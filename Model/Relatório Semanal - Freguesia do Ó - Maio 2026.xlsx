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6.xml" ContentType="application/vnd.openxmlformats-officedocument.drawing+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defaultThemeVersion="166925"/>
  <mc:AlternateContent xmlns:mc="http://schemas.openxmlformats.org/markup-compatibility/2006">
    <mc:Choice Requires="x15">
      <x15ac:absPath xmlns:x15ac="http://schemas.microsoft.com/office/spreadsheetml/2010/11/ac" url="C:\Users\vdias.alphage\Desktop\PC Victor Bckp\Relatório Semanal Base dos Polos\Novos Relatórios 2.0 + fórmula + cesar - Março 2026\"/>
    </mc:Choice>
  </mc:AlternateContent>
  <xr:revisionPtr revIDLastSave="17073" documentId="13_ncr:1_{AB45EF81-B845-48B1-BBA9-B2DAE023778E}" xr6:coauthVersionLast="47" xr6:coauthVersionMax="47" xr10:uidLastSave="{843E23EF-B4CF-4C60-8CBB-B3D0CBE54720}"/>
  <bookViews>
    <workbookView xWindow="0" yWindow="0" windowWidth="24000" windowHeight="10110" tabRatio="861" firstSheet="7" activeTab="3" xr2:uid="{00000000-000D-0000-FFFF-FFFF00000000}"/>
  </bookViews>
  <sheets>
    <sheet name="CAPA" sheetId="12" r:id="rId1"/>
    <sheet name="DADOS - FREGUESIA DO Ó" sheetId="2" r:id="rId2"/>
    <sheet name="GRÁFICOS - FREGUESIA DO Ó" sheetId="1" r:id="rId3"/>
    <sheet name="GRÁFICOS - ÁGUA" sheetId="5" r:id="rId4"/>
    <sheet name="ÁGUA" sheetId="10" r:id="rId5"/>
    <sheet name="EQUIPES - ÁGUA" sheetId="16" state="hidden" r:id="rId6"/>
    <sheet name="GRÁFICOS - ESGOTO" sheetId="4" r:id="rId7"/>
    <sheet name="ESGOTO" sheetId="9" r:id="rId8"/>
    <sheet name="EQUIPES - ESGOTO" sheetId="15" state="hidden" r:id="rId9"/>
    <sheet name="GRÁFICOS - CAVALETE" sheetId="7" r:id="rId10"/>
    <sheet name="CAVALETE" sheetId="8" r:id="rId11"/>
    <sheet name="EQUIPES - CAVALETE " sheetId="13" state="hidden" r:id="rId12"/>
    <sheet name="GRÁFICOS - REPOSIÇÃO" sheetId="6" r:id="rId13"/>
    <sheet name="REPOSIÇÃO" sheetId="11" r:id="rId14"/>
    <sheet name="EQUIPES - REPOSIÇÃO" sheetId="14" state="hidden" r:id="rId15"/>
  </sheets>
  <definedNames>
    <definedName name="_xlnm._FilterDatabase" localSheetId="13" hidden="1">REPOSIÇÃO!$A$1:$AJ$1</definedName>
    <definedName name="_xlnm._FilterDatabase" localSheetId="4" hidden="1">ÁGUA!$A$1:$AK$922</definedName>
    <definedName name="_xlnm._FilterDatabase" localSheetId="7" hidden="1">ESGOTO!$A$1:$AK$973</definedName>
    <definedName name="_xlnm._FilterDatabase" localSheetId="10" hidden="1">CAVALETE!$A$1:$AE$1017</definedName>
    <definedName name="_xlnm.Print_Area" localSheetId="0">CAPA!$B$1:$K$44</definedName>
    <definedName name="_xlnm.Print_Area" localSheetId="5">'EQUIPES - ÁGUA'!$A$1:$H$4</definedName>
    <definedName name="_xlnm.Print_Area" localSheetId="11">'EQUIPES - CAVALETE '!$A$1:$H$4</definedName>
    <definedName name="_xlnm.Print_Area" localSheetId="8">'EQUIPES - ESGOTO'!$A$1:$H$15</definedName>
    <definedName name="_xlnm.Print_Area" localSheetId="14">'EQUIPES - REPOSIÇÃO'!$A$1:$H$4</definedName>
    <definedName name="_xlnm.Print_Area" localSheetId="3">'GRÁFICOS - ÁGUA'!$A$1:$F$136</definedName>
    <definedName name="_xlnm.Print_Area" localSheetId="9">'GRÁFICOS - CAVALETE'!$A$1:$F$138</definedName>
    <definedName name="_xlnm.Print_Area" localSheetId="6">'GRÁFICOS - ESGOTO'!$A$1:$F$139</definedName>
    <definedName name="_xlnm.Print_Area" localSheetId="2">'GRÁFICOS - FREGUESIA DO Ó'!$A$1:$I$118</definedName>
    <definedName name="_xlnm.Print_Area" localSheetId="12">'GRÁFICOS - REPOSIÇÃO'!$A$1:$F$111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571" i="8" l="1"/>
  <c r="AA555" i="8"/>
  <c r="AA551" i="8"/>
  <c r="AA581" i="8"/>
  <c r="AA580" i="8"/>
  <c r="AA579" i="8"/>
  <c r="AA578" i="8"/>
  <c r="AA577" i="8"/>
  <c r="AA576" i="8"/>
  <c r="AA575" i="8"/>
  <c r="AA574" i="8"/>
  <c r="AA573" i="8"/>
  <c r="AA572" i="8"/>
  <c r="AA570" i="8"/>
  <c r="AA569" i="8"/>
  <c r="AA568" i="8"/>
  <c r="AA567" i="8"/>
  <c r="AA566" i="8"/>
  <c r="AA565" i="8"/>
  <c r="AA564" i="8"/>
  <c r="AA563" i="8"/>
  <c r="AA562" i="8"/>
  <c r="AA561" i="8"/>
  <c r="AA560" i="8"/>
  <c r="AA559" i="8"/>
  <c r="AA558" i="8"/>
  <c r="AA557" i="8"/>
  <c r="AA556" i="8"/>
  <c r="AA554" i="8"/>
  <c r="AA553" i="8"/>
  <c r="AA552" i="8"/>
  <c r="AA550" i="8"/>
  <c r="AA549" i="8"/>
  <c r="AD548" i="8"/>
  <c r="AA548" i="8"/>
  <c r="AD547" i="8"/>
  <c r="AA547" i="8"/>
  <c r="AD546" i="8"/>
  <c r="AA546" i="8"/>
  <c r="AD545" i="8"/>
  <c r="AA545" i="8"/>
  <c r="AD544" i="8"/>
  <c r="AA544" i="8"/>
  <c r="AD543" i="8"/>
  <c r="AA543" i="8"/>
  <c r="AD542" i="8"/>
  <c r="AA542" i="8"/>
  <c r="AD541" i="8"/>
  <c r="AA541" i="8"/>
  <c r="AD540" i="8"/>
  <c r="AA540" i="8"/>
  <c r="AD539" i="8"/>
  <c r="AA539" i="8"/>
  <c r="AD538" i="8"/>
  <c r="AA538" i="8"/>
  <c r="AD537" i="8"/>
  <c r="AA537" i="8"/>
  <c r="AD536" i="8"/>
  <c r="AA536" i="8"/>
  <c r="AD535" i="8"/>
  <c r="AA535" i="8"/>
  <c r="AD534" i="8"/>
  <c r="AA534" i="8"/>
  <c r="AD533" i="8"/>
  <c r="AA533" i="8"/>
  <c r="AD532" i="8"/>
  <c r="AA532" i="8"/>
  <c r="AD531" i="8"/>
  <c r="AA531" i="8"/>
  <c r="AD530" i="8"/>
  <c r="AA530" i="8"/>
  <c r="AD529" i="8"/>
  <c r="AA529" i="8"/>
  <c r="AD528" i="8"/>
  <c r="AA528" i="8"/>
  <c r="AD527" i="8"/>
  <c r="AA527" i="8"/>
  <c r="AD526" i="8"/>
  <c r="AA526" i="8"/>
  <c r="AA946" i="8"/>
  <c r="AA947" i="8"/>
  <c r="AA948" i="8"/>
  <c r="AA949" i="8"/>
  <c r="AA950" i="8"/>
  <c r="AA951" i="8"/>
  <c r="AA952" i="8"/>
  <c r="AA953" i="8"/>
  <c r="AA954" i="8"/>
  <c r="AA955" i="8"/>
  <c r="AA956" i="8"/>
  <c r="AA957" i="8"/>
  <c r="AA958" i="8"/>
  <c r="AA959" i="8"/>
  <c r="AA960" i="8"/>
  <c r="AA961" i="8"/>
  <c r="AA962" i="8"/>
  <c r="AA963" i="8"/>
  <c r="AA964" i="8"/>
  <c r="AA965" i="8"/>
  <c r="AA966" i="8"/>
  <c r="AA967" i="8"/>
  <c r="AA968" i="8"/>
  <c r="AA969" i="8"/>
  <c r="AA970" i="8"/>
  <c r="AA971" i="8"/>
  <c r="AA972" i="8"/>
  <c r="AA973" i="8"/>
  <c r="AA974" i="8"/>
  <c r="AA975" i="8"/>
  <c r="AA976" i="8"/>
  <c r="AA977" i="8"/>
  <c r="AA978" i="8"/>
  <c r="AA979" i="8"/>
  <c r="AA980" i="8"/>
  <c r="AA981" i="8"/>
  <c r="AA982" i="8"/>
  <c r="AA983" i="8"/>
  <c r="AA984" i="8"/>
  <c r="AA985" i="8"/>
  <c r="AA986" i="8"/>
  <c r="AA987" i="8"/>
  <c r="AA988" i="8"/>
  <c r="AA989" i="8"/>
  <c r="AA990" i="8"/>
  <c r="AA991" i="8"/>
  <c r="AA992" i="8"/>
  <c r="AA993" i="8"/>
  <c r="AA994" i="8"/>
  <c r="AA995" i="8"/>
  <c r="AA996" i="8"/>
  <c r="AA997" i="8"/>
  <c r="AA998" i="8"/>
  <c r="AA999" i="8"/>
  <c r="AA1000" i="8"/>
  <c r="AA1001" i="8"/>
  <c r="AA1002" i="8"/>
  <c r="AA1003" i="8"/>
  <c r="AA1004" i="8"/>
  <c r="AA1005" i="8"/>
  <c r="AA1006" i="8"/>
  <c r="AA1007" i="8"/>
  <c r="AA1008" i="8"/>
  <c r="AA1009" i="8"/>
  <c r="AA1010" i="8"/>
  <c r="AA1011" i="8"/>
  <c r="AA1012" i="8"/>
  <c r="AA1013" i="8"/>
  <c r="AA1014" i="8"/>
  <c r="AA1015" i="8"/>
  <c r="AA1016" i="8"/>
  <c r="AA1017" i="8"/>
  <c r="Z3" i="8"/>
  <c r="AA3" i="8"/>
  <c r="Z4" i="8"/>
  <c r="AA4" i="8"/>
  <c r="Z5" i="8"/>
  <c r="AA5" i="8"/>
  <c r="Z6" i="8"/>
  <c r="AA6" i="8"/>
  <c r="Z7" i="8"/>
  <c r="AA7" i="8"/>
  <c r="Z8" i="8"/>
  <c r="AA8" i="8"/>
  <c r="Z9" i="8"/>
  <c r="AA9" i="8"/>
  <c r="Z10" i="8"/>
  <c r="AA10" i="8"/>
  <c r="Z11" i="8"/>
  <c r="AA11" i="8"/>
  <c r="Z12" i="8"/>
  <c r="AA12" i="8"/>
  <c r="Z13" i="8"/>
  <c r="AA13" i="8"/>
  <c r="Z14" i="8"/>
  <c r="AA14" i="8"/>
  <c r="Z15" i="8"/>
  <c r="AA15" i="8"/>
  <c r="Z16" i="8"/>
  <c r="AA16" i="8"/>
  <c r="Z17" i="8"/>
  <c r="AA17" i="8"/>
  <c r="Z18" i="8"/>
  <c r="AA18" i="8"/>
  <c r="Z19" i="8"/>
  <c r="AA19" i="8"/>
  <c r="Z20" i="8"/>
  <c r="AA20" i="8"/>
  <c r="Z21" i="8"/>
  <c r="AA21" i="8"/>
  <c r="Z22" i="8"/>
  <c r="AA22" i="8"/>
  <c r="Z23" i="8"/>
  <c r="AA23" i="8"/>
  <c r="Z24" i="8"/>
  <c r="AA24" i="8"/>
  <c r="Z25" i="8"/>
  <c r="AA25" i="8"/>
  <c r="Z26" i="8"/>
  <c r="AA26" i="8"/>
  <c r="Z27" i="8"/>
  <c r="AA27" i="8"/>
  <c r="Z28" i="8"/>
  <c r="AA28" i="8"/>
  <c r="Z29" i="8"/>
  <c r="AA29" i="8"/>
  <c r="Z30" i="8"/>
  <c r="AA30" i="8"/>
  <c r="Z31" i="8"/>
  <c r="AA31" i="8"/>
  <c r="Z32" i="8"/>
  <c r="AA32" i="8"/>
  <c r="Z33" i="8"/>
  <c r="AA33" i="8"/>
  <c r="Z34" i="8"/>
  <c r="AA34" i="8"/>
  <c r="Z35" i="8"/>
  <c r="AA35" i="8"/>
  <c r="Z36" i="8"/>
  <c r="AA36" i="8"/>
  <c r="Z37" i="8"/>
  <c r="AA37" i="8"/>
  <c r="Z38" i="8"/>
  <c r="AA38" i="8"/>
  <c r="Z39" i="8"/>
  <c r="AA39" i="8"/>
  <c r="Z40" i="8"/>
  <c r="AA40" i="8"/>
  <c r="Z41" i="8"/>
  <c r="AA41" i="8"/>
  <c r="Z42" i="8"/>
  <c r="AA42" i="8"/>
  <c r="Z43" i="8"/>
  <c r="AA43" i="8"/>
  <c r="Z44" i="8"/>
  <c r="AA44" i="8"/>
  <c r="Z45" i="8"/>
  <c r="AA45" i="8"/>
  <c r="Z46" i="8"/>
  <c r="AA46" i="8"/>
  <c r="Z47" i="8"/>
  <c r="AA47" i="8"/>
  <c r="Z48" i="8"/>
  <c r="AA48" i="8"/>
  <c r="Z49" i="8"/>
  <c r="AA49" i="8"/>
  <c r="Z50" i="8"/>
  <c r="AA50" i="8"/>
  <c r="Z51" i="8"/>
  <c r="AA51" i="8"/>
  <c r="Z52" i="8"/>
  <c r="AA52" i="8"/>
  <c r="Z53" i="8"/>
  <c r="AA53" i="8"/>
  <c r="Z54" i="8"/>
  <c r="AA54" i="8"/>
  <c r="Z55" i="8"/>
  <c r="AA55" i="8"/>
  <c r="Z56" i="8"/>
  <c r="AA56" i="8"/>
  <c r="Z57" i="8"/>
  <c r="AA57" i="8"/>
  <c r="Z58" i="8"/>
  <c r="AA58" i="8"/>
  <c r="Z59" i="8"/>
  <c r="AA59" i="8"/>
  <c r="Z60" i="8"/>
  <c r="AA60" i="8"/>
  <c r="Z61" i="8"/>
  <c r="AA61" i="8"/>
  <c r="Z62" i="8"/>
  <c r="AA62" i="8"/>
  <c r="Z63" i="8"/>
  <c r="AA63" i="8"/>
  <c r="Z64" i="8"/>
  <c r="AA64" i="8"/>
  <c r="Z65" i="8"/>
  <c r="AA65" i="8"/>
  <c r="Z66" i="8"/>
  <c r="AA66" i="8"/>
  <c r="Z67" i="8"/>
  <c r="AA67" i="8"/>
  <c r="Z68" i="8"/>
  <c r="AA68" i="8"/>
  <c r="Z69" i="8"/>
  <c r="AA69" i="8"/>
  <c r="Z70" i="8"/>
  <c r="AA70" i="8"/>
  <c r="Z71" i="8"/>
  <c r="AA71" i="8"/>
  <c r="Z72" i="8"/>
  <c r="AA72" i="8"/>
  <c r="Z73" i="8"/>
  <c r="AA73" i="8"/>
  <c r="Z74" i="8"/>
  <c r="AA74" i="8"/>
  <c r="Z75" i="8"/>
  <c r="AA75" i="8"/>
  <c r="Z76" i="8"/>
  <c r="AA76" i="8"/>
  <c r="Z77" i="8"/>
  <c r="AA77" i="8"/>
  <c r="Z78" i="8"/>
  <c r="AA78" i="8"/>
  <c r="Z79" i="8"/>
  <c r="AA79" i="8"/>
  <c r="Z80" i="8"/>
  <c r="AA80" i="8"/>
  <c r="Z81" i="8"/>
  <c r="AA81" i="8"/>
  <c r="Z82" i="8"/>
  <c r="AA82" i="8"/>
  <c r="Z83" i="8"/>
  <c r="AA83" i="8"/>
  <c r="Z84" i="8"/>
  <c r="AA84" i="8"/>
  <c r="Z85" i="8"/>
  <c r="AA85" i="8"/>
  <c r="Z86" i="8"/>
  <c r="AA86" i="8"/>
  <c r="Z87" i="8"/>
  <c r="AA87" i="8"/>
  <c r="Z88" i="8"/>
  <c r="AA88" i="8"/>
  <c r="Z89" i="8"/>
  <c r="AA89" i="8"/>
  <c r="Z90" i="8"/>
  <c r="AA90" i="8"/>
  <c r="Z91" i="8"/>
  <c r="AA91" i="8"/>
  <c r="Z92" i="8"/>
  <c r="AA92" i="8"/>
  <c r="Z93" i="8"/>
  <c r="AA93" i="8"/>
  <c r="Z94" i="8"/>
  <c r="AA94" i="8"/>
  <c r="Z95" i="8"/>
  <c r="AA95" i="8"/>
  <c r="Z96" i="8"/>
  <c r="AA96" i="8"/>
  <c r="Z97" i="8"/>
  <c r="AA97" i="8"/>
  <c r="Z98" i="8"/>
  <c r="AA98" i="8"/>
  <c r="Z99" i="8"/>
  <c r="AA99" i="8"/>
  <c r="Z100" i="8"/>
  <c r="AA100" i="8"/>
  <c r="Z101" i="8"/>
  <c r="AA101" i="8"/>
  <c r="Z102" i="8"/>
  <c r="AA102" i="8"/>
  <c r="Z103" i="8"/>
  <c r="AA103" i="8"/>
  <c r="Z104" i="8"/>
  <c r="AA104" i="8"/>
  <c r="Z105" i="8"/>
  <c r="AA105" i="8"/>
  <c r="Z106" i="8"/>
  <c r="AA106" i="8"/>
  <c r="Z107" i="8"/>
  <c r="AA107" i="8"/>
  <c r="Z108" i="8"/>
  <c r="AA108" i="8"/>
  <c r="Z109" i="8"/>
  <c r="AA109" i="8"/>
  <c r="Z110" i="8"/>
  <c r="AA110" i="8"/>
  <c r="Z111" i="8"/>
  <c r="AA111" i="8"/>
  <c r="Z112" i="8"/>
  <c r="AA112" i="8"/>
  <c r="Z113" i="8"/>
  <c r="AA113" i="8"/>
  <c r="Z114" i="8"/>
  <c r="AA114" i="8"/>
  <c r="Z115" i="8"/>
  <c r="AA115" i="8"/>
  <c r="Z116" i="8"/>
  <c r="AA116" i="8"/>
  <c r="Z117" i="8"/>
  <c r="AA117" i="8"/>
  <c r="Z118" i="8"/>
  <c r="AA118" i="8"/>
  <c r="Z119" i="8"/>
  <c r="AA119" i="8"/>
  <c r="Z120" i="8"/>
  <c r="AA120" i="8"/>
  <c r="Z121" i="8"/>
  <c r="AA121" i="8"/>
  <c r="Z122" i="8"/>
  <c r="AA122" i="8"/>
  <c r="Z123" i="8"/>
  <c r="AA123" i="8"/>
  <c r="Z124" i="8"/>
  <c r="AA124" i="8"/>
  <c r="Z125" i="8"/>
  <c r="AA125" i="8"/>
  <c r="Z126" i="8"/>
  <c r="AA126" i="8"/>
  <c r="Z127" i="8"/>
  <c r="AA127" i="8"/>
  <c r="Z128" i="8"/>
  <c r="AA128" i="8"/>
  <c r="Z129" i="8"/>
  <c r="AA129" i="8"/>
  <c r="Z130" i="8"/>
  <c r="AA130" i="8"/>
  <c r="Z131" i="8"/>
  <c r="AA131" i="8"/>
  <c r="Z132" i="8"/>
  <c r="AA132" i="8"/>
  <c r="Z133" i="8"/>
  <c r="AA133" i="8"/>
  <c r="Z134" i="8"/>
  <c r="AA134" i="8"/>
  <c r="Z135" i="8"/>
  <c r="AA135" i="8"/>
  <c r="Z136" i="8"/>
  <c r="AA136" i="8"/>
  <c r="Z137" i="8"/>
  <c r="AA137" i="8"/>
  <c r="Z138" i="8"/>
  <c r="AA138" i="8"/>
  <c r="Z139" i="8"/>
  <c r="AA139" i="8"/>
  <c r="Z140" i="8"/>
  <c r="AA140" i="8"/>
  <c r="Z141" i="8"/>
  <c r="AA141" i="8"/>
  <c r="Z142" i="8"/>
  <c r="AA142" i="8"/>
  <c r="Z143" i="8"/>
  <c r="AA143" i="8"/>
  <c r="Z144" i="8"/>
  <c r="AA144" i="8"/>
  <c r="Z145" i="8"/>
  <c r="AA145" i="8"/>
  <c r="Z146" i="8"/>
  <c r="AA146" i="8"/>
  <c r="Z147" i="8"/>
  <c r="AA147" i="8"/>
  <c r="Z148" i="8"/>
  <c r="AA148" i="8"/>
  <c r="Z149" i="8"/>
  <c r="AA149" i="8"/>
  <c r="Z150" i="8"/>
  <c r="AA150" i="8"/>
  <c r="Z151" i="8"/>
  <c r="AA151" i="8"/>
  <c r="Z152" i="8"/>
  <c r="AA152" i="8"/>
  <c r="Z153" i="8"/>
  <c r="AA153" i="8"/>
  <c r="Z154" i="8"/>
  <c r="AA154" i="8"/>
  <c r="Z155" i="8"/>
  <c r="AA155" i="8"/>
  <c r="Z156" i="8"/>
  <c r="AA156" i="8"/>
  <c r="Z157" i="8"/>
  <c r="AA157" i="8"/>
  <c r="Z158" i="8"/>
  <c r="AA158" i="8"/>
  <c r="Z159" i="8"/>
  <c r="AA159" i="8"/>
  <c r="Z160" i="8"/>
  <c r="AA160" i="8"/>
  <c r="Z161" i="8"/>
  <c r="AA161" i="8"/>
  <c r="Z162" i="8"/>
  <c r="AA162" i="8"/>
  <c r="Z163" i="8"/>
  <c r="AA163" i="8"/>
  <c r="Z164" i="8"/>
  <c r="AA164" i="8"/>
  <c r="Z165" i="8"/>
  <c r="AA165" i="8"/>
  <c r="Z166" i="8"/>
  <c r="AA166" i="8"/>
  <c r="Z167" i="8"/>
  <c r="AA167" i="8"/>
  <c r="Z168" i="8"/>
  <c r="AA168" i="8"/>
  <c r="Z169" i="8"/>
  <c r="AA169" i="8"/>
  <c r="Z170" i="8"/>
  <c r="AA170" i="8"/>
  <c r="Z171" i="8"/>
  <c r="AA171" i="8"/>
  <c r="Z172" i="8"/>
  <c r="AA172" i="8"/>
  <c r="Z173" i="8"/>
  <c r="AA173" i="8"/>
  <c r="Z174" i="8"/>
  <c r="AA174" i="8"/>
  <c r="Z175" i="8"/>
  <c r="AA175" i="8"/>
  <c r="Z176" i="8"/>
  <c r="AA176" i="8"/>
  <c r="Z177" i="8"/>
  <c r="AA177" i="8"/>
  <c r="Z178" i="8"/>
  <c r="AA178" i="8"/>
  <c r="Z179" i="8"/>
  <c r="AA179" i="8"/>
  <c r="Z180" i="8"/>
  <c r="AA180" i="8"/>
  <c r="Z181" i="8"/>
  <c r="AA181" i="8"/>
  <c r="Z182" i="8"/>
  <c r="AA182" i="8"/>
  <c r="Z183" i="8"/>
  <c r="AA183" i="8"/>
  <c r="Z184" i="8"/>
  <c r="AA184" i="8"/>
  <c r="Z185" i="8"/>
  <c r="AA185" i="8"/>
  <c r="Z186" i="8"/>
  <c r="AA186" i="8"/>
  <c r="Z187" i="8"/>
  <c r="AA187" i="8"/>
  <c r="Z188" i="8"/>
  <c r="AA188" i="8"/>
  <c r="Z189" i="8"/>
  <c r="AA189" i="8"/>
  <c r="Z190" i="8"/>
  <c r="AA190" i="8"/>
  <c r="Z191" i="8"/>
  <c r="AA191" i="8"/>
  <c r="Z192" i="8"/>
  <c r="AA192" i="8"/>
  <c r="Z193" i="8"/>
  <c r="AA193" i="8"/>
  <c r="Z194" i="8"/>
  <c r="AA194" i="8"/>
  <c r="Z195" i="8"/>
  <c r="AA195" i="8"/>
  <c r="Z196" i="8"/>
  <c r="AA196" i="8"/>
  <c r="Z197" i="8"/>
  <c r="AA197" i="8"/>
  <c r="Z198" i="8"/>
  <c r="AA198" i="8"/>
  <c r="Z199" i="8"/>
  <c r="AA199" i="8"/>
  <c r="Z200" i="8"/>
  <c r="AA200" i="8"/>
  <c r="Z201" i="8"/>
  <c r="AA201" i="8"/>
  <c r="Z202" i="8"/>
  <c r="AA202" i="8"/>
  <c r="Z203" i="8"/>
  <c r="AA203" i="8"/>
  <c r="Z204" i="8"/>
  <c r="AA204" i="8"/>
  <c r="Z205" i="8"/>
  <c r="AA205" i="8"/>
  <c r="Z206" i="8"/>
  <c r="AA206" i="8"/>
  <c r="Z207" i="8"/>
  <c r="AA207" i="8"/>
  <c r="Z208" i="8"/>
  <c r="AA208" i="8"/>
  <c r="Z209" i="8"/>
  <c r="AA209" i="8"/>
  <c r="Z210" i="8"/>
  <c r="AA210" i="8"/>
  <c r="Z211" i="8"/>
  <c r="AA211" i="8"/>
  <c r="Z212" i="8"/>
  <c r="AA212" i="8"/>
  <c r="Z213" i="8"/>
  <c r="AA213" i="8"/>
  <c r="Z214" i="8"/>
  <c r="AA214" i="8"/>
  <c r="Z215" i="8"/>
  <c r="AA215" i="8"/>
  <c r="Z216" i="8"/>
  <c r="AA216" i="8"/>
  <c r="Z217" i="8"/>
  <c r="AA217" i="8"/>
  <c r="Z218" i="8"/>
  <c r="AA218" i="8"/>
  <c r="Z219" i="8"/>
  <c r="AA219" i="8"/>
  <c r="Z220" i="8"/>
  <c r="AA220" i="8"/>
  <c r="Z221" i="8"/>
  <c r="AA221" i="8"/>
  <c r="Z222" i="8"/>
  <c r="AA222" i="8"/>
  <c r="Z223" i="8"/>
  <c r="AA223" i="8"/>
  <c r="Z224" i="8"/>
  <c r="AA224" i="8"/>
  <c r="Z225" i="8"/>
  <c r="AA225" i="8"/>
  <c r="Z226" i="8"/>
  <c r="AA226" i="8"/>
  <c r="Z227" i="8"/>
  <c r="AA227" i="8"/>
  <c r="Z228" i="8"/>
  <c r="AA228" i="8"/>
  <c r="Z229" i="8"/>
  <c r="AA229" i="8"/>
  <c r="Z230" i="8"/>
  <c r="AA230" i="8"/>
  <c r="Z231" i="8"/>
  <c r="AA231" i="8"/>
  <c r="Z232" i="8"/>
  <c r="AA232" i="8"/>
  <c r="Z233" i="8"/>
  <c r="AA233" i="8"/>
  <c r="Z234" i="8"/>
  <c r="AA234" i="8"/>
  <c r="Z235" i="8"/>
  <c r="AA235" i="8"/>
  <c r="Z236" i="8"/>
  <c r="AA236" i="8"/>
  <c r="Z237" i="8"/>
  <c r="AA237" i="8"/>
  <c r="Z238" i="8"/>
  <c r="AA238" i="8"/>
  <c r="Z239" i="8"/>
  <c r="AA239" i="8"/>
  <c r="Z240" i="8"/>
  <c r="AA240" i="8"/>
  <c r="Z241" i="8"/>
  <c r="AA241" i="8"/>
  <c r="Z242" i="8"/>
  <c r="AA242" i="8"/>
  <c r="Z243" i="8"/>
  <c r="AA243" i="8"/>
  <c r="Z244" i="8"/>
  <c r="AA244" i="8"/>
  <c r="Z245" i="8"/>
  <c r="AA245" i="8"/>
  <c r="Z246" i="8"/>
  <c r="AA246" i="8"/>
  <c r="Z247" i="8"/>
  <c r="AA247" i="8"/>
  <c r="Z248" i="8"/>
  <c r="AA248" i="8"/>
  <c r="Z249" i="8"/>
  <c r="AA249" i="8"/>
  <c r="Z250" i="8"/>
  <c r="AA250" i="8"/>
  <c r="Z251" i="8"/>
  <c r="AA251" i="8"/>
  <c r="Z252" i="8"/>
  <c r="AA252" i="8"/>
  <c r="Z253" i="8"/>
  <c r="AA253" i="8"/>
  <c r="Z254" i="8"/>
  <c r="AA254" i="8"/>
  <c r="Z255" i="8"/>
  <c r="AA255" i="8"/>
  <c r="Z256" i="8"/>
  <c r="AA256" i="8"/>
  <c r="Z257" i="8"/>
  <c r="AA257" i="8"/>
  <c r="Z258" i="8"/>
  <c r="AA258" i="8"/>
  <c r="Z259" i="8"/>
  <c r="AA259" i="8"/>
  <c r="Z260" i="8"/>
  <c r="AA260" i="8"/>
  <c r="Z261" i="8"/>
  <c r="AA261" i="8"/>
  <c r="Z262" i="8"/>
  <c r="AA262" i="8"/>
  <c r="Z263" i="8"/>
  <c r="AA263" i="8"/>
  <c r="Z264" i="8"/>
  <c r="AA264" i="8"/>
  <c r="Z265" i="8"/>
  <c r="AA265" i="8"/>
  <c r="Z266" i="8"/>
  <c r="AA266" i="8"/>
  <c r="Z267" i="8"/>
  <c r="AA267" i="8"/>
  <c r="Z268" i="8"/>
  <c r="AA268" i="8"/>
  <c r="Z269" i="8"/>
  <c r="AA269" i="8"/>
  <c r="Z270" i="8"/>
  <c r="AA270" i="8"/>
  <c r="Z271" i="8"/>
  <c r="AA271" i="8"/>
  <c r="Z272" i="8"/>
  <c r="AA272" i="8"/>
  <c r="Z273" i="8"/>
  <c r="AA273" i="8"/>
  <c r="Z274" i="8"/>
  <c r="AA274" i="8"/>
  <c r="Z275" i="8"/>
  <c r="AA275" i="8"/>
  <c r="Z276" i="8"/>
  <c r="AA276" i="8"/>
  <c r="Z277" i="8"/>
  <c r="AA277" i="8"/>
  <c r="Z278" i="8"/>
  <c r="AA278" i="8"/>
  <c r="Z279" i="8"/>
  <c r="AA279" i="8"/>
  <c r="Z280" i="8"/>
  <c r="AA280" i="8"/>
  <c r="Z281" i="8"/>
  <c r="AA281" i="8"/>
  <c r="Z282" i="8"/>
  <c r="AA282" i="8"/>
  <c r="Z283" i="8"/>
  <c r="AA283" i="8"/>
  <c r="Z284" i="8"/>
  <c r="AA284" i="8"/>
  <c r="Z285" i="8"/>
  <c r="AA285" i="8"/>
  <c r="Z286" i="8"/>
  <c r="AA286" i="8"/>
  <c r="Z287" i="8"/>
  <c r="AA287" i="8"/>
  <c r="Z288" i="8"/>
  <c r="AA288" i="8"/>
  <c r="Z289" i="8"/>
  <c r="AA289" i="8"/>
  <c r="Z290" i="8"/>
  <c r="AA290" i="8"/>
  <c r="Z291" i="8"/>
  <c r="AA291" i="8"/>
  <c r="Z292" i="8"/>
  <c r="AA292" i="8"/>
  <c r="Z293" i="8"/>
  <c r="AA293" i="8"/>
  <c r="Z294" i="8"/>
  <c r="AA294" i="8"/>
  <c r="Z295" i="8"/>
  <c r="AA295" i="8"/>
  <c r="Z296" i="8"/>
  <c r="AA296" i="8"/>
  <c r="Z297" i="8"/>
  <c r="AA297" i="8"/>
  <c r="Z298" i="8"/>
  <c r="AA298" i="8"/>
  <c r="Z299" i="8"/>
  <c r="AA299" i="8"/>
  <c r="Z300" i="8"/>
  <c r="AA300" i="8"/>
  <c r="Z301" i="8"/>
  <c r="AA301" i="8"/>
  <c r="Z302" i="8"/>
  <c r="AA302" i="8"/>
  <c r="Z303" i="8"/>
  <c r="AA303" i="8"/>
  <c r="Z304" i="8"/>
  <c r="AA304" i="8"/>
  <c r="Z305" i="8"/>
  <c r="AA305" i="8"/>
  <c r="Z306" i="8"/>
  <c r="AA306" i="8"/>
  <c r="Z307" i="8"/>
  <c r="AA307" i="8"/>
  <c r="Z308" i="8"/>
  <c r="AA308" i="8"/>
  <c r="Z309" i="8"/>
  <c r="AA309" i="8"/>
  <c r="Z310" i="8"/>
  <c r="AA310" i="8"/>
  <c r="Z311" i="8"/>
  <c r="AA311" i="8"/>
  <c r="Z312" i="8"/>
  <c r="AA312" i="8"/>
  <c r="Z313" i="8"/>
  <c r="AA313" i="8"/>
  <c r="Z314" i="8"/>
  <c r="AA314" i="8"/>
  <c r="Z315" i="8"/>
  <c r="AA315" i="8"/>
  <c r="Z316" i="8"/>
  <c r="AA316" i="8"/>
  <c r="Z317" i="8"/>
  <c r="AA317" i="8"/>
  <c r="Z318" i="8"/>
  <c r="AA318" i="8"/>
  <c r="Z319" i="8"/>
  <c r="AA319" i="8"/>
  <c r="Z320" i="8"/>
  <c r="AA320" i="8"/>
  <c r="Z321" i="8"/>
  <c r="AA321" i="8"/>
  <c r="Z322" i="8"/>
  <c r="AA322" i="8"/>
  <c r="Z323" i="8"/>
  <c r="AA323" i="8"/>
  <c r="Z324" i="8"/>
  <c r="AA324" i="8"/>
  <c r="Z325" i="8"/>
  <c r="AA325" i="8"/>
  <c r="Z326" i="8"/>
  <c r="AA326" i="8"/>
  <c r="Z327" i="8"/>
  <c r="AA327" i="8"/>
  <c r="Z328" i="8"/>
  <c r="AA328" i="8"/>
  <c r="Z329" i="8"/>
  <c r="AA329" i="8"/>
  <c r="Z330" i="8"/>
  <c r="AA330" i="8"/>
  <c r="Z331" i="8"/>
  <c r="AA331" i="8"/>
  <c r="Z332" i="8"/>
  <c r="AA332" i="8"/>
  <c r="Z333" i="8"/>
  <c r="AA333" i="8"/>
  <c r="Z334" i="8"/>
  <c r="AA334" i="8"/>
  <c r="Z335" i="8"/>
  <c r="AA335" i="8"/>
  <c r="Z336" i="8"/>
  <c r="AA336" i="8"/>
  <c r="Z337" i="8"/>
  <c r="AA337" i="8"/>
  <c r="Z338" i="8"/>
  <c r="AA338" i="8"/>
  <c r="Z339" i="8"/>
  <c r="AA339" i="8"/>
  <c r="Z340" i="8"/>
  <c r="AA340" i="8"/>
  <c r="Z341" i="8"/>
  <c r="AA341" i="8"/>
  <c r="Z342" i="8"/>
  <c r="AA342" i="8"/>
  <c r="Z343" i="8"/>
  <c r="AA343" i="8"/>
  <c r="Z344" i="8"/>
  <c r="AA344" i="8"/>
  <c r="Z345" i="8"/>
  <c r="AA345" i="8"/>
  <c r="Z346" i="8"/>
  <c r="AA346" i="8"/>
  <c r="Z347" i="8"/>
  <c r="AA347" i="8"/>
  <c r="Z348" i="8"/>
  <c r="AA348" i="8"/>
  <c r="Z349" i="8"/>
  <c r="AA349" i="8"/>
  <c r="Z350" i="8"/>
  <c r="AA350" i="8"/>
  <c r="Z351" i="8"/>
  <c r="AA351" i="8"/>
  <c r="Z352" i="8"/>
  <c r="AA352" i="8"/>
  <c r="Z353" i="8"/>
  <c r="AA353" i="8"/>
  <c r="Z354" i="8"/>
  <c r="AA354" i="8"/>
  <c r="Z355" i="8"/>
  <c r="AA355" i="8"/>
  <c r="Z356" i="8"/>
  <c r="AA356" i="8"/>
  <c r="Z357" i="8"/>
  <c r="AA357" i="8"/>
  <c r="Z358" i="8"/>
  <c r="AA358" i="8"/>
  <c r="Z359" i="8"/>
  <c r="AA359" i="8"/>
  <c r="Z360" i="8"/>
  <c r="AA360" i="8"/>
  <c r="Z361" i="8"/>
  <c r="AA361" i="8"/>
  <c r="Z362" i="8"/>
  <c r="AA362" i="8"/>
  <c r="Z363" i="8"/>
  <c r="AA363" i="8"/>
  <c r="Z364" i="8"/>
  <c r="AA364" i="8"/>
  <c r="Z365" i="8"/>
  <c r="AA365" i="8"/>
  <c r="Z366" i="8"/>
  <c r="AA366" i="8"/>
  <c r="Z367" i="8"/>
  <c r="AA367" i="8"/>
  <c r="Z368" i="8"/>
  <c r="AA368" i="8"/>
  <c r="Z369" i="8"/>
  <c r="AA369" i="8"/>
  <c r="Z370" i="8"/>
  <c r="AA370" i="8"/>
  <c r="Z371" i="8"/>
  <c r="AA371" i="8"/>
  <c r="Z372" i="8"/>
  <c r="AA372" i="8"/>
  <c r="Z373" i="8"/>
  <c r="AA373" i="8"/>
  <c r="Z374" i="8"/>
  <c r="AA374" i="8"/>
  <c r="Z375" i="8"/>
  <c r="AA375" i="8"/>
  <c r="Z376" i="8"/>
  <c r="AA376" i="8"/>
  <c r="Z377" i="8"/>
  <c r="AA377" i="8"/>
  <c r="Z378" i="8"/>
  <c r="AA378" i="8"/>
  <c r="Z379" i="8"/>
  <c r="AA379" i="8"/>
  <c r="Z380" i="8"/>
  <c r="AA380" i="8"/>
  <c r="Z381" i="8"/>
  <c r="AA381" i="8"/>
  <c r="Z382" i="8"/>
  <c r="AA382" i="8"/>
  <c r="Z383" i="8"/>
  <c r="AA383" i="8"/>
  <c r="Z384" i="8"/>
  <c r="AA384" i="8"/>
  <c r="Z385" i="8"/>
  <c r="AA385" i="8"/>
  <c r="Z386" i="8"/>
  <c r="AA386" i="8"/>
  <c r="Z387" i="8"/>
  <c r="AA387" i="8"/>
  <c r="Z388" i="8"/>
  <c r="AA388" i="8"/>
  <c r="Z389" i="8"/>
  <c r="AA389" i="8"/>
  <c r="Z390" i="8"/>
  <c r="AA390" i="8"/>
  <c r="Z391" i="8"/>
  <c r="AA391" i="8"/>
  <c r="Z392" i="8"/>
  <c r="AA392" i="8"/>
  <c r="Z393" i="8"/>
  <c r="AA393" i="8"/>
  <c r="Z394" i="8"/>
  <c r="AA394" i="8"/>
  <c r="Z395" i="8"/>
  <c r="AA395" i="8"/>
  <c r="Z396" i="8"/>
  <c r="AA396" i="8"/>
  <c r="Z397" i="8"/>
  <c r="AA397" i="8"/>
  <c r="Z398" i="8"/>
  <c r="AA398" i="8"/>
  <c r="Z399" i="8"/>
  <c r="AA399" i="8"/>
  <c r="Z400" i="8"/>
  <c r="AA400" i="8"/>
  <c r="Z401" i="8"/>
  <c r="AA401" i="8"/>
  <c r="Z402" i="8"/>
  <c r="AA402" i="8"/>
  <c r="Z403" i="8"/>
  <c r="AA403" i="8"/>
  <c r="Z404" i="8"/>
  <c r="AA404" i="8"/>
  <c r="Z405" i="8"/>
  <c r="AA405" i="8"/>
  <c r="Z406" i="8"/>
  <c r="AA406" i="8"/>
  <c r="Z407" i="8"/>
  <c r="AA407" i="8" s="1"/>
  <c r="Z408" i="8"/>
  <c r="AA408" i="8"/>
  <c r="Z409" i="8"/>
  <c r="AA409" i="8"/>
  <c r="Z410" i="8"/>
  <c r="AA410" i="8"/>
  <c r="Z411" i="8"/>
  <c r="AA411" i="8"/>
  <c r="Z412" i="8"/>
  <c r="AA412" i="8"/>
  <c r="Z413" i="8"/>
  <c r="AA413" i="8"/>
  <c r="Z414" i="8"/>
  <c r="AA414" i="8"/>
  <c r="Z415" i="8"/>
  <c r="AA415" i="8"/>
  <c r="Z416" i="8"/>
  <c r="AA416" i="8"/>
  <c r="Z417" i="8"/>
  <c r="AA417" i="8"/>
  <c r="Z418" i="8"/>
  <c r="AA418" i="8"/>
  <c r="Z419" i="8"/>
  <c r="AA419" i="8"/>
  <c r="Z420" i="8"/>
  <c r="AA420" i="8"/>
  <c r="Z421" i="8"/>
  <c r="AA421" i="8"/>
  <c r="Z422" i="8"/>
  <c r="AA422" i="8"/>
  <c r="Z423" i="8"/>
  <c r="AA423" i="8"/>
  <c r="Z424" i="8"/>
  <c r="AA424" i="8"/>
  <c r="Z425" i="8"/>
  <c r="AA425" i="8"/>
  <c r="Z426" i="8"/>
  <c r="AA426" i="8"/>
  <c r="Z427" i="8"/>
  <c r="AA427" i="8"/>
  <c r="Z428" i="8"/>
  <c r="AA428" i="8"/>
  <c r="Z429" i="8"/>
  <c r="AA429" i="8"/>
  <c r="Z430" i="8"/>
  <c r="AA430" i="8"/>
  <c r="Z431" i="8"/>
  <c r="AA431" i="8"/>
  <c r="Z432" i="8"/>
  <c r="AA432" i="8"/>
  <c r="Z433" i="8"/>
  <c r="AA433" i="8"/>
  <c r="Z434" i="8"/>
  <c r="AA434" i="8"/>
  <c r="Z435" i="8"/>
  <c r="AA435" i="8"/>
  <c r="Z436" i="8"/>
  <c r="AA436" i="8"/>
  <c r="Z437" i="8"/>
  <c r="AA437" i="8"/>
  <c r="Z438" i="8"/>
  <c r="AA438" i="8"/>
  <c r="Z439" i="8"/>
  <c r="AA439" i="8"/>
  <c r="Z440" i="8"/>
  <c r="AA440" i="8"/>
  <c r="Z441" i="8"/>
  <c r="AA441" i="8"/>
  <c r="Z442" i="8"/>
  <c r="AA442" i="8"/>
  <c r="Z443" i="8"/>
  <c r="AA443" i="8"/>
  <c r="Z444" i="8"/>
  <c r="AA444" i="8"/>
  <c r="AA445" i="8"/>
  <c r="Z446" i="8"/>
  <c r="AA446" i="8"/>
  <c r="Z447" i="8"/>
  <c r="AA447" i="8"/>
  <c r="Z448" i="8"/>
  <c r="AA448" i="8"/>
  <c r="Z449" i="8"/>
  <c r="AA449" i="8"/>
  <c r="Z450" i="8"/>
  <c r="AA450" i="8"/>
  <c r="Z451" i="8"/>
  <c r="AA451" i="8"/>
  <c r="Z452" i="8"/>
  <c r="AA452" i="8"/>
  <c r="Z453" i="8"/>
  <c r="AA453" i="8"/>
  <c r="Z454" i="8"/>
  <c r="AA454" i="8"/>
  <c r="Z455" i="8"/>
  <c r="AA455" i="8"/>
  <c r="Z456" i="8"/>
  <c r="AA456" i="8"/>
  <c r="Z457" i="8"/>
  <c r="AA457" i="8"/>
  <c r="Z458" i="8"/>
  <c r="AA458" i="8"/>
  <c r="Z459" i="8"/>
  <c r="AA459" i="8"/>
  <c r="Z460" i="8"/>
  <c r="AA460" i="8"/>
  <c r="Z461" i="8"/>
  <c r="AA461" i="8"/>
  <c r="Z462" i="8"/>
  <c r="AA462" i="8"/>
  <c r="Z463" i="8"/>
  <c r="AA463" i="8"/>
  <c r="Z464" i="8"/>
  <c r="AA464" i="8"/>
  <c r="Z465" i="8"/>
  <c r="AA465" i="8"/>
  <c r="Z466" i="8"/>
  <c r="AA466" i="8"/>
  <c r="Z467" i="8"/>
  <c r="AA467" i="8"/>
  <c r="Z468" i="8"/>
  <c r="AA468" i="8"/>
  <c r="Z469" i="8"/>
  <c r="AA469" i="8"/>
  <c r="Z470" i="8"/>
  <c r="AA470" i="8"/>
  <c r="Z471" i="8"/>
  <c r="AA471" i="8"/>
  <c r="Z472" i="8"/>
  <c r="AA472" i="8"/>
  <c r="Z473" i="8"/>
  <c r="AA473" i="8"/>
  <c r="Z474" i="8"/>
  <c r="AA474" i="8"/>
  <c r="Z475" i="8"/>
  <c r="AA475" i="8"/>
  <c r="Z476" i="8"/>
  <c r="AA476" i="8"/>
  <c r="Z477" i="8"/>
  <c r="AA477" i="8"/>
  <c r="Z478" i="8"/>
  <c r="AA478" i="8"/>
  <c r="Z479" i="8"/>
  <c r="AA479" i="8"/>
  <c r="Z480" i="8"/>
  <c r="AA480" i="8"/>
  <c r="Z481" i="8"/>
  <c r="AA481" i="8"/>
  <c r="Z482" i="8"/>
  <c r="AA482" i="8"/>
  <c r="Z483" i="8"/>
  <c r="AA483" i="8"/>
  <c r="Z484" i="8"/>
  <c r="AA484" i="8"/>
  <c r="Z485" i="8"/>
  <c r="AA485" i="8"/>
  <c r="Z486" i="8"/>
  <c r="AA486" i="8"/>
  <c r="Z487" i="8"/>
  <c r="AA487" i="8"/>
  <c r="Z488" i="8"/>
  <c r="AA488" i="8"/>
  <c r="Z489" i="8"/>
  <c r="AA489" i="8"/>
  <c r="Z490" i="8"/>
  <c r="AA490" i="8"/>
  <c r="Z491" i="8"/>
  <c r="AA491" i="8"/>
  <c r="Z492" i="8"/>
  <c r="AA492" i="8"/>
  <c r="Z493" i="8"/>
  <c r="AA493" i="8"/>
  <c r="Z494" i="8"/>
  <c r="AA494" i="8"/>
  <c r="Z495" i="8"/>
  <c r="AA495" i="8"/>
  <c r="Z496" i="8"/>
  <c r="AA496" i="8"/>
  <c r="Z497" i="8"/>
  <c r="AA497" i="8"/>
  <c r="Z498" i="8"/>
  <c r="AA498" i="8"/>
  <c r="Z499" i="8"/>
  <c r="AA499" i="8"/>
  <c r="Z500" i="8"/>
  <c r="AA500" i="8"/>
  <c r="Z501" i="8"/>
  <c r="AA501" i="8"/>
  <c r="Z502" i="8"/>
  <c r="AA502" i="8"/>
  <c r="Z503" i="8"/>
  <c r="AA503" i="8"/>
  <c r="Z504" i="8"/>
  <c r="AA504" i="8"/>
  <c r="Z505" i="8"/>
  <c r="AA505" i="8"/>
  <c r="Z506" i="8"/>
  <c r="AA506" i="8"/>
  <c r="Z507" i="8"/>
  <c r="AA507" i="8"/>
  <c r="Z508" i="8"/>
  <c r="AA508" i="8"/>
  <c r="Z509" i="8"/>
  <c r="AA509" i="8"/>
  <c r="Z510" i="8"/>
  <c r="AA510" i="8"/>
  <c r="Z511" i="8"/>
  <c r="AA511" i="8"/>
  <c r="Z512" i="8"/>
  <c r="AA512" i="8"/>
  <c r="Z513" i="8"/>
  <c r="AA513" i="8"/>
  <c r="Z514" i="8"/>
  <c r="AA514" i="8"/>
  <c r="Z515" i="8"/>
  <c r="AA515" i="8"/>
  <c r="Z516" i="8"/>
  <c r="AA516" i="8"/>
  <c r="Z517" i="8"/>
  <c r="AA517" i="8"/>
  <c r="Z518" i="8"/>
  <c r="AA518" i="8"/>
  <c r="Z519" i="8"/>
  <c r="AA519" i="8"/>
  <c r="Z520" i="8"/>
  <c r="AA520" i="8"/>
  <c r="Z521" i="8"/>
  <c r="AA521" i="8"/>
  <c r="Z522" i="8"/>
  <c r="AA522" i="8"/>
  <c r="Z523" i="8"/>
  <c r="AA523" i="8"/>
  <c r="Z524" i="8"/>
  <c r="AA524" i="8"/>
  <c r="Z525" i="8"/>
  <c r="AA525" i="8"/>
  <c r="Z582" i="8"/>
  <c r="AA582" i="8"/>
  <c r="Z583" i="8"/>
  <c r="AA583" i="8"/>
  <c r="Z584" i="8"/>
  <c r="AA584" i="8"/>
  <c r="Z585" i="8"/>
  <c r="AA585" i="8"/>
  <c r="Z586" i="8"/>
  <c r="AA586" i="8"/>
  <c r="Z587" i="8"/>
  <c r="AA587" i="8"/>
  <c r="Z588" i="8"/>
  <c r="AA588" i="8"/>
  <c r="Z589" i="8"/>
  <c r="AA589" i="8"/>
  <c r="Z590" i="8"/>
  <c r="AA590" i="8"/>
  <c r="Z591" i="8"/>
  <c r="AA591" i="8"/>
  <c r="Z592" i="8"/>
  <c r="AA592" i="8"/>
  <c r="Z593" i="8"/>
  <c r="AA593" i="8"/>
  <c r="Z594" i="8"/>
  <c r="AA594" i="8"/>
  <c r="Z595" i="8"/>
  <c r="AA595" i="8"/>
  <c r="Z596" i="8"/>
  <c r="AA596" i="8"/>
  <c r="Z597" i="8"/>
  <c r="AA597" i="8"/>
  <c r="Z598" i="8"/>
  <c r="AA598" i="8"/>
  <c r="Z599" i="8"/>
  <c r="AA599" i="8"/>
  <c r="Z600" i="8"/>
  <c r="AA600" i="8"/>
  <c r="Z601" i="8"/>
  <c r="AA601" i="8"/>
  <c r="Z602" i="8"/>
  <c r="AA602" i="8"/>
  <c r="Z603" i="8"/>
  <c r="AA603" i="8"/>
  <c r="Z604" i="8"/>
  <c r="AA604" i="8"/>
  <c r="Z605" i="8"/>
  <c r="AA605" i="8"/>
  <c r="Z606" i="8"/>
  <c r="AA606" i="8"/>
  <c r="Z607" i="8"/>
  <c r="AA607" i="8"/>
  <c r="Z608" i="8"/>
  <c r="AA608" i="8"/>
  <c r="Z609" i="8"/>
  <c r="AA609" i="8"/>
  <c r="Z610" i="8"/>
  <c r="AA610" i="8"/>
  <c r="Z611" i="8"/>
  <c r="AA611" i="8"/>
  <c r="Z612" i="8"/>
  <c r="AA612" i="8"/>
  <c r="Z613" i="8"/>
  <c r="AA613" i="8"/>
  <c r="Z614" i="8"/>
  <c r="AA614" i="8"/>
  <c r="Z615" i="8"/>
  <c r="AA615" i="8"/>
  <c r="Z616" i="8"/>
  <c r="AA616" i="8"/>
  <c r="Z617" i="8"/>
  <c r="AA617" i="8"/>
  <c r="Z618" i="8"/>
  <c r="AA618" i="8"/>
  <c r="Z619" i="8"/>
  <c r="AA619" i="8"/>
  <c r="Z620" i="8"/>
  <c r="AA620" i="8"/>
  <c r="Z621" i="8"/>
  <c r="AA621" i="8"/>
  <c r="Z622" i="8"/>
  <c r="AA622" i="8"/>
  <c r="Z623" i="8"/>
  <c r="AA623" i="8"/>
  <c r="Z624" i="8"/>
  <c r="AA624" i="8"/>
  <c r="Z625" i="8"/>
  <c r="AA625" i="8"/>
  <c r="Z626" i="8"/>
  <c r="AA626" i="8"/>
  <c r="Z627" i="8"/>
  <c r="AA627" i="8"/>
  <c r="Z628" i="8"/>
  <c r="AA628" i="8"/>
  <c r="Z629" i="8"/>
  <c r="AA629" i="8"/>
  <c r="Z630" i="8"/>
  <c r="AA630" i="8"/>
  <c r="Z631" i="8"/>
  <c r="AA631" i="8"/>
  <c r="Z632" i="8"/>
  <c r="AA632" i="8"/>
  <c r="Z633" i="8"/>
  <c r="AA633" i="8"/>
  <c r="Z634" i="8"/>
  <c r="AA634" i="8"/>
  <c r="Z635" i="8"/>
  <c r="AA635" i="8"/>
  <c r="Z636" i="8"/>
  <c r="AA636" i="8"/>
  <c r="Z637" i="8"/>
  <c r="AA637" i="8"/>
  <c r="Z638" i="8"/>
  <c r="AA638" i="8"/>
  <c r="Z639" i="8"/>
  <c r="AA639" i="8"/>
  <c r="Z640" i="8"/>
  <c r="AA640" i="8"/>
  <c r="Z641" i="8"/>
  <c r="AA641" i="8"/>
  <c r="Z642" i="8"/>
  <c r="AA642" i="8"/>
  <c r="Z643" i="8"/>
  <c r="AA643" i="8"/>
  <c r="Z644" i="8"/>
  <c r="AA644" i="8"/>
  <c r="Z645" i="8"/>
  <c r="AA645" i="8"/>
  <c r="Z646" i="8"/>
  <c r="AA646" i="8"/>
  <c r="Z647" i="8"/>
  <c r="AA647" i="8"/>
  <c r="Z648" i="8"/>
  <c r="AA648" i="8"/>
  <c r="Z649" i="8"/>
  <c r="AA649" i="8"/>
  <c r="Z650" i="8"/>
  <c r="AA650" i="8"/>
  <c r="Z651" i="8"/>
  <c r="AA651" i="8"/>
  <c r="Z652" i="8"/>
  <c r="AA652" i="8"/>
  <c r="Z653" i="8"/>
  <c r="AA653" i="8"/>
  <c r="Z654" i="8"/>
  <c r="AA654" i="8"/>
  <c r="Z655" i="8"/>
  <c r="AA655" i="8"/>
  <c r="Z656" i="8"/>
  <c r="AA656" i="8"/>
  <c r="Z657" i="8"/>
  <c r="AA657" i="8"/>
  <c r="Z658" i="8"/>
  <c r="AA658" i="8"/>
  <c r="Z659" i="8"/>
  <c r="AA659" i="8"/>
  <c r="Z660" i="8"/>
  <c r="AA660" i="8"/>
  <c r="Z661" i="8"/>
  <c r="AA661" i="8"/>
  <c r="Z662" i="8"/>
  <c r="AA662" i="8"/>
  <c r="Z663" i="8"/>
  <c r="AA663" i="8"/>
  <c r="Z664" i="8"/>
  <c r="AA664" i="8"/>
  <c r="Z665" i="8"/>
  <c r="AA665" i="8"/>
  <c r="Z666" i="8"/>
  <c r="AA666" i="8"/>
  <c r="Z667" i="8"/>
  <c r="AA667" i="8"/>
  <c r="Z668" i="8"/>
  <c r="AA668" i="8"/>
  <c r="Z669" i="8"/>
  <c r="AA669" i="8"/>
  <c r="Z670" i="8"/>
  <c r="AA670" i="8"/>
  <c r="Z671" i="8"/>
  <c r="AA671" i="8"/>
  <c r="Z672" i="8"/>
  <c r="AA672" i="8"/>
  <c r="Z673" i="8"/>
  <c r="AA673" i="8"/>
  <c r="Z674" i="8"/>
  <c r="AA674" i="8"/>
  <c r="Z675" i="8"/>
  <c r="AA675" i="8"/>
  <c r="Z676" i="8"/>
  <c r="AA676" i="8"/>
  <c r="Z677" i="8"/>
  <c r="AA677" i="8"/>
  <c r="Z678" i="8"/>
  <c r="AA678" i="8"/>
  <c r="Z679" i="8"/>
  <c r="AA679" i="8"/>
  <c r="Z680" i="8"/>
  <c r="AA680" i="8"/>
  <c r="Z681" i="8"/>
  <c r="AA681" i="8"/>
  <c r="Z682" i="8"/>
  <c r="AA682" i="8"/>
  <c r="Z683" i="8"/>
  <c r="AA683" i="8"/>
  <c r="Z684" i="8"/>
  <c r="AA684" i="8"/>
  <c r="Z685" i="8"/>
  <c r="AA685" i="8"/>
  <c r="Z686" i="8"/>
  <c r="AA686" i="8"/>
  <c r="Z687" i="8"/>
  <c r="AA687" i="8"/>
  <c r="Z688" i="8"/>
  <c r="AA688" i="8"/>
  <c r="Z689" i="8"/>
  <c r="AA689" i="8"/>
  <c r="Z690" i="8"/>
  <c r="AA690" i="8"/>
  <c r="Z691" i="8"/>
  <c r="AA691" i="8"/>
  <c r="Z692" i="8"/>
  <c r="AA692" i="8"/>
  <c r="Z693" i="8"/>
  <c r="AA693" i="8"/>
  <c r="Z694" i="8"/>
  <c r="AA694" i="8"/>
  <c r="Z695" i="8"/>
  <c r="AA695" i="8"/>
  <c r="Z696" i="8"/>
  <c r="AA696" i="8"/>
  <c r="Z697" i="8"/>
  <c r="AA697" i="8"/>
  <c r="Z698" i="8"/>
  <c r="AA698" i="8"/>
  <c r="Z699" i="8"/>
  <c r="AA699" i="8"/>
  <c r="Z700" i="8"/>
  <c r="AA700" i="8"/>
  <c r="Z701" i="8"/>
  <c r="AA701" i="8"/>
  <c r="Z702" i="8"/>
  <c r="AA702" i="8"/>
  <c r="Z703" i="8"/>
  <c r="AA703" i="8"/>
  <c r="Z704" i="8"/>
  <c r="AA704" i="8"/>
  <c r="Z705" i="8"/>
  <c r="AA705" i="8"/>
  <c r="Z706" i="8"/>
  <c r="AA706" i="8"/>
  <c r="Z707" i="8"/>
  <c r="AA707" i="8"/>
  <c r="Z708" i="8"/>
  <c r="AA708" i="8"/>
  <c r="Z709" i="8"/>
  <c r="AA709" i="8"/>
  <c r="Z710" i="8"/>
  <c r="AA710" i="8"/>
  <c r="Z711" i="8"/>
  <c r="AA711" i="8"/>
  <c r="Z712" i="8"/>
  <c r="AA712" i="8"/>
  <c r="Z713" i="8"/>
  <c r="AA713" i="8"/>
  <c r="Z714" i="8"/>
  <c r="AA714" i="8"/>
  <c r="Z715" i="8"/>
  <c r="AA715" i="8"/>
  <c r="Z716" i="8"/>
  <c r="AA716" i="8"/>
  <c r="Z717" i="8"/>
  <c r="AA717" i="8"/>
  <c r="Z718" i="8"/>
  <c r="AA718" i="8"/>
  <c r="Z719" i="8"/>
  <c r="AA719" i="8"/>
  <c r="Z720" i="8"/>
  <c r="AA720" i="8"/>
  <c r="Z721" i="8"/>
  <c r="AA721" i="8"/>
  <c r="Z722" i="8"/>
  <c r="AA722" i="8"/>
  <c r="Z723" i="8"/>
  <c r="AA723" i="8"/>
  <c r="Z724" i="8"/>
  <c r="AA724" i="8"/>
  <c r="Z725" i="8"/>
  <c r="AA725" i="8"/>
  <c r="Z726" i="8"/>
  <c r="AA726" i="8"/>
  <c r="Z727" i="8"/>
  <c r="AA727" i="8"/>
  <c r="Z728" i="8"/>
  <c r="AA728" i="8"/>
  <c r="Z729" i="8"/>
  <c r="AA729" i="8"/>
  <c r="Z730" i="8"/>
  <c r="AA730" i="8"/>
  <c r="Z731" i="8"/>
  <c r="AA731" i="8"/>
  <c r="Z732" i="8"/>
  <c r="AA732" i="8"/>
  <c r="Z733" i="8"/>
  <c r="AA733" i="8"/>
  <c r="Z734" i="8"/>
  <c r="AA734" i="8"/>
  <c r="Z735" i="8"/>
  <c r="AA735" i="8"/>
  <c r="Z736" i="8"/>
  <c r="AA736" i="8"/>
  <c r="Z737" i="8"/>
  <c r="AA737" i="8"/>
  <c r="Z738" i="8"/>
  <c r="AA738" i="8"/>
  <c r="Z739" i="8"/>
  <c r="AA739" i="8"/>
  <c r="Z740" i="8"/>
  <c r="AA740" i="8"/>
  <c r="Z741" i="8"/>
  <c r="AA741" i="8"/>
  <c r="Z742" i="8"/>
  <c r="AA742" i="8"/>
  <c r="Z743" i="8"/>
  <c r="AA743" i="8"/>
  <c r="Z744" i="8"/>
  <c r="AA744" i="8"/>
  <c r="Z745" i="8"/>
  <c r="AA745" i="8"/>
  <c r="Z746" i="8"/>
  <c r="AA746" i="8"/>
  <c r="Z747" i="8"/>
  <c r="AA747" i="8"/>
  <c r="Z748" i="8"/>
  <c r="AA748" i="8"/>
  <c r="Z749" i="8"/>
  <c r="AA749" i="8"/>
  <c r="Z750" i="8"/>
  <c r="AA750" i="8"/>
  <c r="Z751" i="8"/>
  <c r="AA751" i="8"/>
  <c r="Z752" i="8"/>
  <c r="AA752" i="8"/>
  <c r="Z753" i="8"/>
  <c r="AA753" i="8"/>
  <c r="Z754" i="8"/>
  <c r="AA754" i="8"/>
  <c r="Z755" i="8"/>
  <c r="AA755" i="8"/>
  <c r="Z756" i="8"/>
  <c r="AA756" i="8"/>
  <c r="Z757" i="8"/>
  <c r="AA757" i="8"/>
  <c r="Z758" i="8"/>
  <c r="AA758" i="8"/>
  <c r="Z759" i="8"/>
  <c r="AA759" i="8"/>
  <c r="Z760" i="8"/>
  <c r="AA760" i="8"/>
  <c r="Z761" i="8"/>
  <c r="AA761" i="8"/>
  <c r="Z762" i="8"/>
  <c r="AA762" i="8"/>
  <c r="Z763" i="8"/>
  <c r="AA763" i="8"/>
  <c r="Z764" i="8"/>
  <c r="AA764" i="8"/>
  <c r="Z765" i="8"/>
  <c r="AA765" i="8"/>
  <c r="Z766" i="8"/>
  <c r="AA766" i="8"/>
  <c r="Z767" i="8"/>
  <c r="AA767" i="8"/>
  <c r="Z768" i="8"/>
  <c r="AA768" i="8"/>
  <c r="Z769" i="8"/>
  <c r="AA769" i="8"/>
  <c r="Z770" i="8"/>
  <c r="AA770" i="8"/>
  <c r="Z771" i="8"/>
  <c r="AA771" i="8"/>
  <c r="Z772" i="8"/>
  <c r="AA772" i="8"/>
  <c r="Z773" i="8"/>
  <c r="AA773" i="8"/>
  <c r="Z774" i="8"/>
  <c r="AA774" i="8"/>
  <c r="Z775" i="8"/>
  <c r="AA775" i="8"/>
  <c r="Z776" i="8"/>
  <c r="AA776" i="8"/>
  <c r="Z777" i="8"/>
  <c r="AA777" i="8"/>
  <c r="Z778" i="8"/>
  <c r="AA778" i="8"/>
  <c r="Z779" i="8"/>
  <c r="AA779" i="8"/>
  <c r="Z780" i="8"/>
  <c r="AA780" i="8"/>
  <c r="Z781" i="8"/>
  <c r="AA781" i="8"/>
  <c r="Z782" i="8"/>
  <c r="AA782" i="8"/>
  <c r="Z783" i="8"/>
  <c r="AA783" i="8"/>
  <c r="Z784" i="8"/>
  <c r="AA784" i="8"/>
  <c r="Z785" i="8"/>
  <c r="AA785" i="8"/>
  <c r="Z786" i="8"/>
  <c r="AA786" i="8"/>
  <c r="Z787" i="8"/>
  <c r="AA787" i="8"/>
  <c r="Z788" i="8"/>
  <c r="AA788" i="8"/>
  <c r="Z789" i="8"/>
  <c r="AA789" i="8"/>
  <c r="Z790" i="8"/>
  <c r="AA790" i="8"/>
  <c r="Z791" i="8"/>
  <c r="AA791" i="8"/>
  <c r="Z792" i="8"/>
  <c r="AA792" i="8"/>
  <c r="Z793" i="8"/>
  <c r="AA793" i="8"/>
  <c r="Z794" i="8"/>
  <c r="AA794" i="8"/>
  <c r="Z795" i="8"/>
  <c r="AA795" i="8"/>
  <c r="Z796" i="8"/>
  <c r="AA796" i="8"/>
  <c r="Z797" i="8"/>
  <c r="AA797" i="8"/>
  <c r="Z798" i="8"/>
  <c r="AA798" i="8"/>
  <c r="Z799" i="8"/>
  <c r="AA799" i="8"/>
  <c r="Z800" i="8"/>
  <c r="AA800" i="8"/>
  <c r="Z801" i="8"/>
  <c r="AA801" i="8"/>
  <c r="Z802" i="8"/>
  <c r="AA802" i="8"/>
  <c r="Z803" i="8"/>
  <c r="AA803" i="8"/>
  <c r="Z804" i="8"/>
  <c r="AA804" i="8"/>
  <c r="Z805" i="8"/>
  <c r="AA805" i="8"/>
  <c r="Z806" i="8"/>
  <c r="AA806" i="8"/>
  <c r="Z807" i="8"/>
  <c r="AA807" i="8"/>
  <c r="Z808" i="8"/>
  <c r="AA808" i="8"/>
  <c r="Z809" i="8"/>
  <c r="AA809" i="8"/>
  <c r="Z810" i="8"/>
  <c r="AA810" i="8"/>
  <c r="Z811" i="8"/>
  <c r="AA811" i="8"/>
  <c r="Z812" i="8"/>
  <c r="AA812" i="8"/>
  <c r="Z813" i="8"/>
  <c r="AA813" i="8"/>
  <c r="Z814" i="8"/>
  <c r="AA814" i="8"/>
  <c r="Z815" i="8"/>
  <c r="AA815" i="8"/>
  <c r="Z816" i="8"/>
  <c r="AA816" i="8"/>
  <c r="Z817" i="8"/>
  <c r="AA817" i="8"/>
  <c r="Z818" i="8"/>
  <c r="AA818" i="8"/>
  <c r="Z819" i="8"/>
  <c r="AA819" i="8"/>
  <c r="Z820" i="8"/>
  <c r="AA820" i="8"/>
  <c r="Z821" i="8"/>
  <c r="AA821" i="8"/>
  <c r="Z822" i="8"/>
  <c r="AA822" i="8"/>
  <c r="Z823" i="8"/>
  <c r="AA823" i="8"/>
  <c r="Z824" i="8"/>
  <c r="AA824" i="8"/>
  <c r="Z825" i="8"/>
  <c r="AA825" i="8"/>
  <c r="Z826" i="8"/>
  <c r="AA826" i="8"/>
  <c r="Z827" i="8"/>
  <c r="AA827" i="8"/>
  <c r="Z828" i="8"/>
  <c r="AA828" i="8"/>
  <c r="Z829" i="8"/>
  <c r="AA829" i="8"/>
  <c r="Z830" i="8"/>
  <c r="AA830" i="8"/>
  <c r="Z831" i="8"/>
  <c r="AA831" i="8"/>
  <c r="Z832" i="8"/>
  <c r="AA832" i="8"/>
  <c r="Z833" i="8"/>
  <c r="AA833" i="8"/>
  <c r="Z834" i="8"/>
  <c r="AA834" i="8"/>
  <c r="Z835" i="8"/>
  <c r="AA835" i="8"/>
  <c r="Z836" i="8"/>
  <c r="AA836" i="8"/>
  <c r="Z837" i="8"/>
  <c r="AA837" i="8"/>
  <c r="Z838" i="8"/>
  <c r="AA838" i="8"/>
  <c r="Z839" i="8"/>
  <c r="AA839" i="8"/>
  <c r="Z840" i="8"/>
  <c r="AA840" i="8"/>
  <c r="Z841" i="8"/>
  <c r="AA841" i="8"/>
  <c r="Z842" i="8"/>
  <c r="AA842" i="8"/>
  <c r="Z843" i="8"/>
  <c r="AA843" i="8"/>
  <c r="Z844" i="8"/>
  <c r="AA844" i="8"/>
  <c r="Z845" i="8"/>
  <c r="AA845" i="8"/>
  <c r="Z846" i="8"/>
  <c r="AA846" i="8"/>
  <c r="Z847" i="8"/>
  <c r="AA847" i="8"/>
  <c r="Z848" i="8"/>
  <c r="AA848" i="8"/>
  <c r="Z849" i="8"/>
  <c r="AA849" i="8"/>
  <c r="Z850" i="8"/>
  <c r="AA850" i="8"/>
  <c r="Z851" i="8"/>
  <c r="AA851" i="8"/>
  <c r="Z852" i="8"/>
  <c r="AA852" i="8"/>
  <c r="Z853" i="8"/>
  <c r="AA853" i="8"/>
  <c r="Z854" i="8"/>
  <c r="AA854" i="8"/>
  <c r="Z855" i="8"/>
  <c r="AA855" i="8"/>
  <c r="Z856" i="8"/>
  <c r="AA856" i="8"/>
  <c r="Z857" i="8"/>
  <c r="AA857" i="8"/>
  <c r="Z858" i="8"/>
  <c r="AA858" i="8"/>
  <c r="Z859" i="8"/>
  <c r="AA859" i="8"/>
  <c r="Z860" i="8"/>
  <c r="AA860" i="8"/>
  <c r="Z861" i="8"/>
  <c r="AA861" i="8"/>
  <c r="Z862" i="8"/>
  <c r="AA862" i="8"/>
  <c r="Z863" i="8"/>
  <c r="AA863" i="8"/>
  <c r="Z864" i="8"/>
  <c r="AA864" i="8"/>
  <c r="Z865" i="8"/>
  <c r="AA865" i="8"/>
  <c r="Z866" i="8"/>
  <c r="AA866" i="8"/>
  <c r="Z867" i="8"/>
  <c r="AA867" i="8"/>
  <c r="Z868" i="8"/>
  <c r="AA868" i="8"/>
  <c r="Z869" i="8"/>
  <c r="AA869" i="8"/>
  <c r="Z870" i="8"/>
  <c r="AA870" i="8"/>
  <c r="Z871" i="8"/>
  <c r="AA871" i="8"/>
  <c r="Z872" i="8"/>
  <c r="AA872" i="8"/>
  <c r="Z873" i="8"/>
  <c r="AA873" i="8"/>
  <c r="Z874" i="8"/>
  <c r="AA874" i="8"/>
  <c r="Z875" i="8"/>
  <c r="AA875" i="8"/>
  <c r="Z876" i="8"/>
  <c r="AA876" i="8"/>
  <c r="Z877" i="8"/>
  <c r="AA877" i="8"/>
  <c r="Z878" i="8"/>
  <c r="AA878" i="8"/>
  <c r="Z879" i="8"/>
  <c r="AA879" i="8"/>
  <c r="Z880" i="8"/>
  <c r="AA880" i="8"/>
  <c r="Z881" i="8"/>
  <c r="AA881" i="8"/>
  <c r="Z882" i="8"/>
  <c r="AA882" i="8"/>
  <c r="Z883" i="8"/>
  <c r="AA883" i="8"/>
  <c r="Z884" i="8"/>
  <c r="AA884" i="8"/>
  <c r="Z885" i="8"/>
  <c r="AA885" i="8"/>
  <c r="Z886" i="8"/>
  <c r="AA886" i="8"/>
  <c r="Z887" i="8"/>
  <c r="AA887" i="8"/>
  <c r="Z888" i="8"/>
  <c r="AA888" i="8"/>
  <c r="Z889" i="8"/>
  <c r="AA889" i="8"/>
  <c r="Z890" i="8"/>
  <c r="AA890" i="8"/>
  <c r="Z891" i="8"/>
  <c r="AA891" i="8"/>
  <c r="Z892" i="8"/>
  <c r="AA892" i="8"/>
  <c r="Z893" i="8"/>
  <c r="AA893" i="8"/>
  <c r="Z894" i="8"/>
  <c r="AA894" i="8"/>
  <c r="Z895" i="8"/>
  <c r="AA895" i="8"/>
  <c r="Z896" i="8"/>
  <c r="AA896" i="8"/>
  <c r="Z897" i="8"/>
  <c r="AA897" i="8"/>
  <c r="Z898" i="8"/>
  <c r="AA898" i="8"/>
  <c r="Z899" i="8"/>
  <c r="AA899" i="8"/>
  <c r="Z900" i="8"/>
  <c r="AA900" i="8"/>
  <c r="Z901" i="8"/>
  <c r="AA901" i="8"/>
  <c r="Z902" i="8"/>
  <c r="AA902" i="8"/>
  <c r="Z903" i="8"/>
  <c r="AA903" i="8"/>
  <c r="Z904" i="8"/>
  <c r="AA904" i="8"/>
  <c r="Z905" i="8"/>
  <c r="AA905" i="8"/>
  <c r="Z906" i="8"/>
  <c r="AA906" i="8"/>
  <c r="Z907" i="8"/>
  <c r="AA907" i="8"/>
  <c r="Z908" i="8"/>
  <c r="AA908" i="8"/>
  <c r="Z909" i="8"/>
  <c r="AA909" i="8"/>
  <c r="Z910" i="8"/>
  <c r="AA910" i="8"/>
  <c r="Z911" i="8"/>
  <c r="AA911" i="8"/>
  <c r="Z912" i="8"/>
  <c r="AA912" i="8"/>
  <c r="Z913" i="8"/>
  <c r="AA913" i="8"/>
  <c r="Z914" i="8"/>
  <c r="AA914" i="8"/>
  <c r="Z915" i="8"/>
  <c r="AA915" i="8"/>
  <c r="Z916" i="8"/>
  <c r="AA916" i="8"/>
  <c r="Z917" i="8"/>
  <c r="AA917" i="8"/>
  <c r="Z918" i="8"/>
  <c r="AA918" i="8"/>
  <c r="Z919" i="8"/>
  <c r="AA919" i="8"/>
  <c r="Z920" i="8"/>
  <c r="AA920" i="8"/>
  <c r="Z921" i="8"/>
  <c r="AA921" i="8"/>
  <c r="Z922" i="8"/>
  <c r="AA922" i="8"/>
  <c r="Z923" i="8"/>
  <c r="AA923" i="8"/>
  <c r="Z924" i="8"/>
  <c r="AA924" i="8"/>
  <c r="Z925" i="8"/>
  <c r="AA925" i="8"/>
  <c r="Z926" i="8"/>
  <c r="AA926" i="8"/>
  <c r="Z927" i="8"/>
  <c r="AA927" i="8"/>
  <c r="Z928" i="8"/>
  <c r="AA928" i="8"/>
  <c r="Z929" i="8"/>
  <c r="AA929" i="8"/>
  <c r="Z930" i="8"/>
  <c r="AA930" i="8"/>
  <c r="Z931" i="8"/>
  <c r="AA931" i="8"/>
  <c r="Z932" i="8"/>
  <c r="AA932" i="8"/>
  <c r="Z933" i="8"/>
  <c r="AA933" i="8"/>
  <c r="Z934" i="8"/>
  <c r="AA934" i="8"/>
  <c r="Z935" i="8"/>
  <c r="AA935" i="8"/>
  <c r="Z936" i="8"/>
  <c r="AA936" i="8"/>
  <c r="Z937" i="8"/>
  <c r="AA937" i="8"/>
  <c r="Z938" i="8"/>
  <c r="AA938" i="8"/>
  <c r="Z939" i="8"/>
  <c r="AA939" i="8"/>
  <c r="Z940" i="8"/>
  <c r="AA940" i="8"/>
  <c r="Z941" i="8"/>
  <c r="AA941" i="8"/>
  <c r="Z942" i="8"/>
  <c r="AA942" i="8"/>
  <c r="Z943" i="8"/>
  <c r="AA943" i="8"/>
  <c r="Z944" i="8"/>
  <c r="AA944" i="8"/>
  <c r="Z945" i="8"/>
  <c r="AA945" i="8"/>
  <c r="AF124" i="11"/>
  <c r="AG124" i="11"/>
  <c r="AI124" i="11"/>
  <c r="AF387" i="10"/>
  <c r="AF415" i="10"/>
  <c r="AF399" i="10"/>
  <c r="AF121" i="11"/>
  <c r="AJ198" i="10"/>
  <c r="AJ162" i="10"/>
  <c r="G5" i="6"/>
  <c r="G5" i="7"/>
  <c r="G6" i="4"/>
  <c r="G5" i="5"/>
  <c r="AJ113" i="9"/>
  <c r="AD120" i="8"/>
  <c r="B4" i="6"/>
  <c r="B4" i="7"/>
  <c r="B4" i="4"/>
  <c r="B4" i="5"/>
  <c r="AF4" i="9" l="1"/>
  <c r="AF5" i="9"/>
  <c r="AF6" i="9"/>
  <c r="AF7" i="9"/>
  <c r="AF8" i="9"/>
  <c r="AF9" i="9"/>
  <c r="AF10" i="9"/>
  <c r="AF11" i="9"/>
  <c r="AF12" i="9"/>
  <c r="AF13" i="9"/>
  <c r="AF14" i="9"/>
  <c r="AF15" i="9"/>
  <c r="AF16" i="9"/>
  <c r="AF17" i="9"/>
  <c r="AF18" i="9"/>
  <c r="AF19" i="9"/>
  <c r="AF20" i="9"/>
  <c r="AF21" i="9"/>
  <c r="AF22" i="9"/>
  <c r="AF23" i="9"/>
  <c r="AF24" i="9"/>
  <c r="AF25" i="9"/>
  <c r="AF26" i="9"/>
  <c r="AF27" i="9"/>
  <c r="AF28" i="9"/>
  <c r="AF29" i="9"/>
  <c r="AF30" i="9"/>
  <c r="AF31" i="9"/>
  <c r="AF32" i="9"/>
  <c r="AF33" i="9"/>
  <c r="AF34" i="9"/>
  <c r="AF35" i="9"/>
  <c r="AF36" i="9"/>
  <c r="AF37" i="9"/>
  <c r="AF38" i="9"/>
  <c r="AF39" i="9"/>
  <c r="AF40" i="9"/>
  <c r="AF41" i="9"/>
  <c r="AF42" i="9"/>
  <c r="AF43" i="9"/>
  <c r="AF44" i="9"/>
  <c r="AF45" i="9"/>
  <c r="AF46" i="9"/>
  <c r="AF47" i="9"/>
  <c r="AF48" i="9"/>
  <c r="AF49" i="9"/>
  <c r="AF50" i="9"/>
  <c r="AF51" i="9"/>
  <c r="AF52" i="9"/>
  <c r="AF53" i="9"/>
  <c r="AF54" i="9"/>
  <c r="AF55" i="9"/>
  <c r="AF56" i="9"/>
  <c r="AF57" i="9"/>
  <c r="AF58" i="9"/>
  <c r="AF59" i="9"/>
  <c r="AF60" i="9"/>
  <c r="AF61" i="9"/>
  <c r="AF62" i="9"/>
  <c r="AF63" i="9"/>
  <c r="AF64" i="9"/>
  <c r="AF65" i="9"/>
  <c r="AF66" i="9"/>
  <c r="AF67" i="9"/>
  <c r="AF68" i="9"/>
  <c r="AF69" i="9"/>
  <c r="AF70" i="9"/>
  <c r="AF71" i="9"/>
  <c r="AF72" i="9"/>
  <c r="I161" i="2"/>
  <c r="B5" i="13" l="1"/>
  <c r="B5" i="14"/>
  <c r="D402" i="2" l="1"/>
  <c r="E402" i="2"/>
  <c r="D403" i="2"/>
  <c r="E403" i="2"/>
  <c r="D404" i="2"/>
  <c r="E404" i="2"/>
  <c r="D405" i="2"/>
  <c r="E405" i="2"/>
  <c r="D406" i="2"/>
  <c r="E406" i="2"/>
  <c r="D407" i="2"/>
  <c r="E407" i="2"/>
  <c r="D408" i="2"/>
  <c r="E408" i="2"/>
  <c r="D409" i="2"/>
  <c r="E409" i="2"/>
  <c r="D410" i="2"/>
  <c r="E410" i="2"/>
  <c r="D411" i="2"/>
  <c r="E411" i="2"/>
  <c r="D412" i="2"/>
  <c r="E412" i="2"/>
  <c r="D413" i="2"/>
  <c r="E413" i="2"/>
  <c r="D414" i="2"/>
  <c r="E414" i="2"/>
  <c r="D415" i="2"/>
  <c r="E415" i="2"/>
  <c r="D416" i="2"/>
  <c r="E416" i="2"/>
  <c r="D417" i="2"/>
  <c r="E417" i="2"/>
  <c r="D418" i="2"/>
  <c r="E418" i="2"/>
  <c r="D419" i="2"/>
  <c r="E419" i="2"/>
  <c r="D420" i="2"/>
  <c r="E420" i="2"/>
  <c r="D421" i="2"/>
  <c r="E421" i="2"/>
  <c r="D422" i="2"/>
  <c r="E422" i="2"/>
  <c r="D423" i="2"/>
  <c r="E423" i="2"/>
  <c r="D424" i="2"/>
  <c r="E424" i="2"/>
  <c r="D425" i="2"/>
  <c r="E425" i="2"/>
  <c r="D426" i="2"/>
  <c r="E426" i="2"/>
  <c r="D427" i="2"/>
  <c r="E427" i="2"/>
  <c r="D428" i="2"/>
  <c r="E428" i="2"/>
  <c r="D429" i="2"/>
  <c r="E429" i="2"/>
  <c r="D430" i="2"/>
  <c r="E430" i="2"/>
  <c r="D431" i="2"/>
  <c r="E431" i="2"/>
  <c r="D432" i="2"/>
  <c r="E432" i="2"/>
  <c r="D433" i="2"/>
  <c r="E433" i="2"/>
  <c r="D434" i="2"/>
  <c r="E434" i="2"/>
  <c r="D435" i="2"/>
  <c r="E435" i="2"/>
  <c r="D436" i="2"/>
  <c r="E436" i="2"/>
  <c r="D437" i="2"/>
  <c r="E437" i="2"/>
  <c r="D438" i="2"/>
  <c r="E438" i="2"/>
  <c r="D439" i="2"/>
  <c r="E439" i="2"/>
  <c r="D298" i="2"/>
  <c r="E298" i="2"/>
  <c r="D299" i="2"/>
  <c r="E299" i="2"/>
  <c r="D300" i="2"/>
  <c r="E300" i="2"/>
  <c r="D301" i="2"/>
  <c r="E301" i="2"/>
  <c r="D302" i="2"/>
  <c r="E302" i="2"/>
  <c r="D303" i="2"/>
  <c r="E303" i="2"/>
  <c r="D304" i="2"/>
  <c r="E304" i="2"/>
  <c r="D305" i="2"/>
  <c r="E305" i="2"/>
  <c r="D306" i="2"/>
  <c r="E306" i="2"/>
  <c r="D307" i="2"/>
  <c r="E307" i="2"/>
  <c r="D308" i="2"/>
  <c r="E308" i="2"/>
  <c r="D309" i="2"/>
  <c r="E309" i="2"/>
  <c r="D310" i="2"/>
  <c r="E310" i="2"/>
  <c r="D311" i="2"/>
  <c r="E311" i="2"/>
  <c r="D312" i="2"/>
  <c r="E312" i="2"/>
  <c r="D313" i="2"/>
  <c r="E313" i="2"/>
  <c r="D314" i="2"/>
  <c r="E314" i="2"/>
  <c r="D315" i="2"/>
  <c r="E315" i="2"/>
  <c r="D316" i="2"/>
  <c r="E316" i="2"/>
  <c r="D317" i="2"/>
  <c r="E317" i="2"/>
  <c r="D318" i="2"/>
  <c r="E318" i="2"/>
  <c r="D319" i="2"/>
  <c r="E319" i="2"/>
  <c r="D320" i="2"/>
  <c r="E320" i="2"/>
  <c r="D321" i="2"/>
  <c r="E321" i="2"/>
  <c r="D322" i="2"/>
  <c r="E322" i="2"/>
  <c r="D323" i="2"/>
  <c r="E323" i="2"/>
  <c r="D76" i="2"/>
  <c r="E76" i="2"/>
  <c r="D77" i="2"/>
  <c r="E77" i="2"/>
  <c r="D78" i="2"/>
  <c r="E78" i="2"/>
  <c r="D79" i="2"/>
  <c r="E79" i="2"/>
  <c r="D80" i="2"/>
  <c r="E80" i="2"/>
  <c r="D81" i="2"/>
  <c r="E81" i="2"/>
  <c r="D82" i="2"/>
  <c r="E82" i="2"/>
  <c r="D83" i="2"/>
  <c r="E83" i="2"/>
  <c r="D84" i="2"/>
  <c r="E84" i="2"/>
  <c r="D85" i="2"/>
  <c r="E85" i="2"/>
  <c r="D86" i="2"/>
  <c r="E86" i="2"/>
  <c r="D87" i="2"/>
  <c r="E87" i="2"/>
  <c r="D88" i="2"/>
  <c r="E88" i="2"/>
  <c r="D89" i="2"/>
  <c r="E89" i="2"/>
  <c r="D90" i="2"/>
  <c r="E90" i="2"/>
  <c r="D91" i="2"/>
  <c r="E91" i="2"/>
  <c r="D92" i="2"/>
  <c r="E92" i="2"/>
  <c r="D93" i="2"/>
  <c r="E93" i="2"/>
  <c r="D94" i="2"/>
  <c r="E94" i="2"/>
  <c r="D95" i="2"/>
  <c r="E95" i="2"/>
  <c r="D96" i="2"/>
  <c r="E96" i="2"/>
  <c r="D97" i="2"/>
  <c r="E97" i="2"/>
  <c r="D98" i="2"/>
  <c r="E98" i="2"/>
  <c r="D99" i="2"/>
  <c r="E99" i="2"/>
  <c r="D100" i="2"/>
  <c r="E100" i="2"/>
  <c r="D101" i="2"/>
  <c r="E101" i="2"/>
  <c r="D102" i="2"/>
  <c r="E102" i="2"/>
  <c r="D103" i="2"/>
  <c r="E103" i="2"/>
  <c r="D104" i="2"/>
  <c r="E104" i="2"/>
  <c r="D105" i="2"/>
  <c r="E105" i="2"/>
  <c r="D106" i="2"/>
  <c r="E106" i="2"/>
  <c r="D211" i="2"/>
  <c r="E211" i="2"/>
  <c r="D196" i="2"/>
  <c r="E196" i="2"/>
  <c r="D197" i="2"/>
  <c r="E197" i="2"/>
  <c r="D198" i="2"/>
  <c r="E198" i="2"/>
  <c r="D199" i="2"/>
  <c r="E199" i="2"/>
  <c r="D200" i="2"/>
  <c r="E200" i="2"/>
  <c r="D201" i="2"/>
  <c r="E201" i="2"/>
  <c r="D202" i="2"/>
  <c r="E202" i="2"/>
  <c r="D203" i="2"/>
  <c r="E203" i="2"/>
  <c r="D204" i="2"/>
  <c r="E204" i="2"/>
  <c r="D205" i="2"/>
  <c r="E205" i="2"/>
  <c r="D206" i="2"/>
  <c r="E206" i="2"/>
  <c r="D186" i="2"/>
  <c r="E186" i="2"/>
  <c r="D187" i="2"/>
  <c r="E187" i="2"/>
  <c r="D188" i="2"/>
  <c r="E188" i="2"/>
  <c r="D189" i="2"/>
  <c r="E189" i="2"/>
  <c r="D190" i="2"/>
  <c r="E190" i="2"/>
  <c r="D191" i="2"/>
  <c r="E191" i="2"/>
  <c r="D192" i="2"/>
  <c r="E192" i="2"/>
  <c r="D193" i="2"/>
  <c r="E193" i="2"/>
  <c r="D194" i="2"/>
  <c r="E194" i="2"/>
  <c r="D195" i="2"/>
  <c r="E195" i="2"/>
  <c r="D207" i="2"/>
  <c r="E207" i="2"/>
  <c r="D208" i="2"/>
  <c r="E208" i="2"/>
  <c r="D209" i="2"/>
  <c r="E209" i="2"/>
  <c r="D210" i="2"/>
  <c r="E210" i="2"/>
  <c r="D212" i="2"/>
  <c r="E212" i="2"/>
  <c r="D213" i="2"/>
  <c r="E213" i="2"/>
  <c r="D214" i="2"/>
  <c r="E214" i="2"/>
  <c r="D215" i="2"/>
  <c r="E215" i="2"/>
  <c r="D216" i="2"/>
  <c r="E216" i="2"/>
  <c r="D217" i="2"/>
  <c r="E217" i="2"/>
  <c r="D218" i="2"/>
  <c r="E218" i="2"/>
  <c r="D219" i="2"/>
  <c r="E219" i="2"/>
  <c r="D220" i="2"/>
  <c r="E220" i="2"/>
  <c r="D221" i="2"/>
  <c r="E221" i="2"/>
  <c r="AF3" i="11"/>
  <c r="AF4" i="11"/>
  <c r="AG4" i="11" s="1"/>
  <c r="AF5" i="11"/>
  <c r="AG5" i="11" s="1"/>
  <c r="AG6" i="11"/>
  <c r="AG7" i="11"/>
  <c r="AF8" i="11"/>
  <c r="AG8" i="11" s="1"/>
  <c r="AG9" i="11"/>
  <c r="AF10" i="11"/>
  <c r="AG10" i="11" s="1"/>
  <c r="AF11" i="11"/>
  <c r="AG11" i="11" s="1"/>
  <c r="AF12" i="11"/>
  <c r="AG12" i="11" s="1"/>
  <c r="AF13" i="11"/>
  <c r="AG13" i="11" s="1"/>
  <c r="AF14" i="11"/>
  <c r="AG14" i="11" s="1"/>
  <c r="AF15" i="11"/>
  <c r="AG15" i="11" s="1"/>
  <c r="AF16" i="11"/>
  <c r="AG16" i="11" s="1"/>
  <c r="AF17" i="11"/>
  <c r="AG17" i="11" s="1"/>
  <c r="AF18" i="11"/>
  <c r="AG18" i="11" s="1"/>
  <c r="AF19" i="11"/>
  <c r="AG19" i="11" s="1"/>
  <c r="AF20" i="11"/>
  <c r="AG20" i="11" s="1"/>
  <c r="AF21" i="11"/>
  <c r="AG21" i="11" s="1"/>
  <c r="AF22" i="11"/>
  <c r="AG22" i="11" s="1"/>
  <c r="AF23" i="11"/>
  <c r="AG23" i="11" s="1"/>
  <c r="AF24" i="11"/>
  <c r="AG24" i="11" s="1"/>
  <c r="AG25" i="11"/>
  <c r="AF26" i="11"/>
  <c r="AG26" i="11" s="1"/>
  <c r="AF27" i="11"/>
  <c r="AG27" i="11" s="1"/>
  <c r="AG28" i="11"/>
  <c r="AF29" i="11"/>
  <c r="AG29" i="11" s="1"/>
  <c r="AF30" i="11"/>
  <c r="AG30" i="11" s="1"/>
  <c r="AF31" i="11"/>
  <c r="AG31" i="11" s="1"/>
  <c r="AF32" i="11"/>
  <c r="AG32" i="11" s="1"/>
  <c r="AF33" i="11"/>
  <c r="AG33" i="11" s="1"/>
  <c r="AF34" i="11"/>
  <c r="AG34" i="11" s="1"/>
  <c r="AF35" i="11"/>
  <c r="AG35" i="11" s="1"/>
  <c r="AF36" i="11"/>
  <c r="AG36" i="11" s="1"/>
  <c r="AF37" i="11"/>
  <c r="AG37" i="11" s="1"/>
  <c r="AF38" i="11"/>
  <c r="AG38" i="11" s="1"/>
  <c r="AF39" i="11"/>
  <c r="AG39" i="11" s="1"/>
  <c r="AF40" i="11"/>
  <c r="AG40" i="11" s="1"/>
  <c r="AF41" i="11"/>
  <c r="AG41" i="11" s="1"/>
  <c r="AF42" i="11"/>
  <c r="AG42" i="11" s="1"/>
  <c r="AF43" i="11"/>
  <c r="AG43" i="11" s="1"/>
  <c r="AF44" i="11"/>
  <c r="AG44" i="11" s="1"/>
  <c r="AF45" i="11"/>
  <c r="AG45" i="11" s="1"/>
  <c r="AF46" i="11"/>
  <c r="AG46" i="11" s="1"/>
  <c r="AF47" i="11"/>
  <c r="AG47" i="11" s="1"/>
  <c r="AF48" i="11"/>
  <c r="AG48" i="11" s="1"/>
  <c r="AF49" i="11"/>
  <c r="AG49" i="11" s="1"/>
  <c r="AF50" i="11"/>
  <c r="AG50" i="11" s="1"/>
  <c r="AF51" i="11"/>
  <c r="AG51" i="11" s="1"/>
  <c r="AF52" i="11"/>
  <c r="AG52" i="11" s="1"/>
  <c r="AF53" i="11"/>
  <c r="AG53" i="11" s="1"/>
  <c r="AF54" i="11"/>
  <c r="AG54" i="11" s="1"/>
  <c r="AF55" i="11"/>
  <c r="AG55" i="11" s="1"/>
  <c r="AF56" i="11"/>
  <c r="AG56" i="11" s="1"/>
  <c r="AF57" i="11"/>
  <c r="AG57" i="11" s="1"/>
  <c r="AF58" i="11"/>
  <c r="AG58" i="11" s="1"/>
  <c r="AF59" i="11"/>
  <c r="AG59" i="11" s="1"/>
  <c r="AF60" i="11"/>
  <c r="AG60" i="11" s="1"/>
  <c r="AF61" i="11"/>
  <c r="AG61" i="11" s="1"/>
  <c r="AF62" i="11"/>
  <c r="AG62" i="11" s="1"/>
  <c r="AF63" i="11"/>
  <c r="AG63" i="11" s="1"/>
  <c r="AF64" i="11"/>
  <c r="AG64" i="11" s="1"/>
  <c r="AF65" i="11"/>
  <c r="AG65" i="11" s="1"/>
  <c r="AF66" i="11"/>
  <c r="AG66" i="11" s="1"/>
  <c r="AF67" i="11"/>
  <c r="AG67" i="11" s="1"/>
  <c r="AF68" i="11"/>
  <c r="AG68" i="11" s="1"/>
  <c r="AF69" i="11"/>
  <c r="AG69" i="11" s="1"/>
  <c r="AF70" i="11"/>
  <c r="AG70" i="11" s="1"/>
  <c r="AF71" i="11"/>
  <c r="AG71" i="11" s="1"/>
  <c r="AF72" i="11"/>
  <c r="AG72" i="11" s="1"/>
  <c r="AF73" i="11"/>
  <c r="AG73" i="11" s="1"/>
  <c r="AF74" i="11"/>
  <c r="AG74" i="11" s="1"/>
  <c r="AF75" i="11"/>
  <c r="AG75" i="11" s="1"/>
  <c r="AF76" i="11"/>
  <c r="AG76" i="11" s="1"/>
  <c r="AF77" i="11"/>
  <c r="AG77" i="11" s="1"/>
  <c r="AF78" i="11"/>
  <c r="AG78" i="11" s="1"/>
  <c r="AF79" i="11"/>
  <c r="AG79" i="11" s="1"/>
  <c r="AF80" i="11"/>
  <c r="AG80" i="11" s="1"/>
  <c r="AF81" i="11"/>
  <c r="AG81" i="11" s="1"/>
  <c r="AF82" i="11"/>
  <c r="AG82" i="11" s="1"/>
  <c r="AF83" i="11"/>
  <c r="AG83" i="11" s="1"/>
  <c r="AF84" i="11"/>
  <c r="AG84" i="11" s="1"/>
  <c r="AF85" i="11"/>
  <c r="AG85" i="11" s="1"/>
  <c r="AF86" i="11"/>
  <c r="AG86" i="11" s="1"/>
  <c r="AF87" i="11"/>
  <c r="AG87" i="11" s="1"/>
  <c r="AF88" i="11"/>
  <c r="AG88" i="11" s="1"/>
  <c r="AF89" i="11"/>
  <c r="AG89" i="11" s="1"/>
  <c r="AF90" i="11"/>
  <c r="AG90" i="11" s="1"/>
  <c r="AF91" i="11"/>
  <c r="AG91" i="11" s="1"/>
  <c r="AF92" i="11"/>
  <c r="AG92" i="11" s="1"/>
  <c r="AF93" i="11"/>
  <c r="AG93" i="11" s="1"/>
  <c r="AF94" i="11"/>
  <c r="AG94" i="11" s="1"/>
  <c r="AF95" i="11"/>
  <c r="AG95" i="11" s="1"/>
  <c r="AF96" i="11"/>
  <c r="AG96" i="11" s="1"/>
  <c r="AF97" i="11"/>
  <c r="AG97" i="11" s="1"/>
  <c r="AF98" i="11"/>
  <c r="AG98" i="11" s="1"/>
  <c r="AF99" i="11"/>
  <c r="AG99" i="11" s="1"/>
  <c r="AF100" i="11"/>
  <c r="AG100" i="11" s="1"/>
  <c r="AF101" i="11"/>
  <c r="AG101" i="11" s="1"/>
  <c r="AF102" i="11"/>
  <c r="AG102" i="11" s="1"/>
  <c r="AF103" i="11"/>
  <c r="AG103" i="11" s="1"/>
  <c r="AF104" i="11"/>
  <c r="AG104" i="11" s="1"/>
  <c r="AF105" i="11"/>
  <c r="AG105" i="11" s="1"/>
  <c r="AF106" i="11"/>
  <c r="AG106" i="11" s="1"/>
  <c r="AF107" i="11"/>
  <c r="AG107" i="11" s="1"/>
  <c r="AF108" i="11"/>
  <c r="AG108" i="11" s="1"/>
  <c r="AF109" i="11"/>
  <c r="AG109" i="11" s="1"/>
  <c r="AF110" i="11"/>
  <c r="AG110" i="11" s="1"/>
  <c r="AF111" i="11"/>
  <c r="AG111" i="11" s="1"/>
  <c r="AF112" i="11"/>
  <c r="AG112" i="11" s="1"/>
  <c r="AF113" i="11"/>
  <c r="AG113" i="11" s="1"/>
  <c r="AF114" i="11"/>
  <c r="AG114" i="11" s="1"/>
  <c r="AF115" i="11"/>
  <c r="AG115" i="11" s="1"/>
  <c r="AF116" i="11"/>
  <c r="AG116" i="11" s="1"/>
  <c r="AF117" i="11"/>
  <c r="AG117" i="11" s="1"/>
  <c r="AF118" i="11"/>
  <c r="AG118" i="11" s="1"/>
  <c r="AF119" i="11"/>
  <c r="AG119" i="11" s="1"/>
  <c r="AF120" i="11"/>
  <c r="AG120" i="11" s="1"/>
  <c r="AG121" i="11"/>
  <c r="AF122" i="11"/>
  <c r="AG122" i="11" s="1"/>
  <c r="AG123" i="11"/>
  <c r="AF125" i="11"/>
  <c r="AG125" i="11" s="1"/>
  <c r="AF126" i="11"/>
  <c r="AG126" i="11" s="1"/>
  <c r="AF127" i="11"/>
  <c r="AG127" i="11" s="1"/>
  <c r="AF128" i="11"/>
  <c r="AG128" i="11" s="1"/>
  <c r="AF129" i="11"/>
  <c r="AG129" i="11" s="1"/>
  <c r="AF130" i="11"/>
  <c r="AG130" i="11" s="1"/>
  <c r="AF131" i="11"/>
  <c r="AG131" i="11" s="1"/>
  <c r="AF132" i="11"/>
  <c r="AG132" i="11" s="1"/>
  <c r="AF133" i="11"/>
  <c r="AG133" i="11" s="1"/>
  <c r="AF134" i="11"/>
  <c r="AG134" i="11" s="1"/>
  <c r="AF135" i="11"/>
  <c r="AG135" i="11" s="1"/>
  <c r="AF136" i="11"/>
  <c r="AG136" i="11" s="1"/>
  <c r="AF137" i="11"/>
  <c r="AG137" i="11" s="1"/>
  <c r="AF138" i="11"/>
  <c r="AG138" i="11" s="1"/>
  <c r="AF139" i="11"/>
  <c r="AG139" i="11" s="1"/>
  <c r="AF140" i="11"/>
  <c r="AG140" i="11" s="1"/>
  <c r="AF141" i="11"/>
  <c r="AG141" i="11" s="1"/>
  <c r="AF142" i="11"/>
  <c r="AG142" i="11" s="1"/>
  <c r="AF143" i="11"/>
  <c r="AG143" i="11" s="1"/>
  <c r="AF144" i="11"/>
  <c r="AG144" i="11" s="1"/>
  <c r="AF145" i="11"/>
  <c r="AG145" i="11" s="1"/>
  <c r="AF146" i="11"/>
  <c r="AG146" i="11" s="1"/>
  <c r="AF147" i="11"/>
  <c r="AG147" i="11" s="1"/>
  <c r="AF148" i="11"/>
  <c r="AG148" i="11" s="1"/>
  <c r="AF149" i="11"/>
  <c r="AG149" i="11" s="1"/>
  <c r="AF150" i="11"/>
  <c r="AG150" i="11" s="1"/>
  <c r="AF151" i="11"/>
  <c r="AG151" i="11" s="1"/>
  <c r="AF152" i="11"/>
  <c r="AG152" i="11" s="1"/>
  <c r="AF153" i="11"/>
  <c r="AG153" i="11" s="1"/>
  <c r="AF154" i="11"/>
  <c r="AG154" i="11" s="1"/>
  <c r="AF155" i="11"/>
  <c r="AG155" i="11" s="1"/>
  <c r="AF156" i="11"/>
  <c r="AG156" i="11" s="1"/>
  <c r="AF157" i="11"/>
  <c r="AG157" i="11" s="1"/>
  <c r="AF158" i="11"/>
  <c r="AG158" i="11" s="1"/>
  <c r="AF159" i="11"/>
  <c r="AG159" i="11" s="1"/>
  <c r="AF160" i="11"/>
  <c r="AG160" i="11" s="1"/>
  <c r="AF161" i="11"/>
  <c r="AG161" i="11" s="1"/>
  <c r="AF162" i="11"/>
  <c r="AG162" i="11" s="1"/>
  <c r="AF163" i="11"/>
  <c r="AG163" i="11" s="1"/>
  <c r="AF164" i="11"/>
  <c r="AG164" i="11" s="1"/>
  <c r="AF165" i="11"/>
  <c r="AG165" i="11" s="1"/>
  <c r="AF166" i="11"/>
  <c r="AG166" i="11" s="1"/>
  <c r="AF167" i="11"/>
  <c r="AG167" i="11" s="1"/>
  <c r="AF168" i="11"/>
  <c r="AG168" i="11" s="1"/>
  <c r="AF169" i="11"/>
  <c r="AG169" i="11" s="1"/>
  <c r="AF170" i="11"/>
  <c r="AG170" i="11" s="1"/>
  <c r="AF171" i="11"/>
  <c r="AG171" i="11" s="1"/>
  <c r="AF172" i="11"/>
  <c r="AG172" i="11" s="1"/>
  <c r="AF173" i="11"/>
  <c r="AG173" i="11" s="1"/>
  <c r="AF174" i="11"/>
  <c r="AG174" i="11" s="1"/>
  <c r="AF175" i="11"/>
  <c r="AG175" i="11" s="1"/>
  <c r="AF176" i="11"/>
  <c r="AG176" i="11" s="1"/>
  <c r="AF177" i="11"/>
  <c r="AG177" i="11" s="1"/>
  <c r="AF178" i="11"/>
  <c r="AG178" i="11" s="1"/>
  <c r="AF179" i="11"/>
  <c r="AG179" i="11" s="1"/>
  <c r="AF180" i="11"/>
  <c r="AG180" i="11" s="1"/>
  <c r="AF181" i="11"/>
  <c r="AG181" i="11" s="1"/>
  <c r="AF182" i="11"/>
  <c r="AG182" i="11" s="1"/>
  <c r="AF183" i="11"/>
  <c r="AG183" i="11" s="1"/>
  <c r="AF184" i="11"/>
  <c r="AG184" i="11" s="1"/>
  <c r="AF185" i="11"/>
  <c r="AG185" i="11" s="1"/>
  <c r="AF186" i="11"/>
  <c r="AG186" i="11" s="1"/>
  <c r="AF187" i="11"/>
  <c r="AG187" i="11" s="1"/>
  <c r="AF188" i="11"/>
  <c r="AG188" i="11" s="1"/>
  <c r="AF189" i="11"/>
  <c r="AG189" i="11" s="1"/>
  <c r="AF190" i="11"/>
  <c r="AG190" i="11" s="1"/>
  <c r="AF191" i="11"/>
  <c r="AG191" i="11" s="1"/>
  <c r="AF192" i="11"/>
  <c r="AG192" i="11" s="1"/>
  <c r="AF193" i="11"/>
  <c r="AG193" i="11" s="1"/>
  <c r="AF194" i="11"/>
  <c r="AG194" i="11" s="1"/>
  <c r="AF195" i="11"/>
  <c r="AG195" i="11" s="1"/>
  <c r="AF196" i="11"/>
  <c r="AG196" i="11" s="1"/>
  <c r="AF197" i="11"/>
  <c r="AG197" i="11" s="1"/>
  <c r="AF198" i="11"/>
  <c r="AG198" i="11" s="1"/>
  <c r="AF199" i="11"/>
  <c r="AG199" i="11" s="1"/>
  <c r="AF200" i="11"/>
  <c r="AG200" i="11" s="1"/>
  <c r="AF201" i="11"/>
  <c r="AG201" i="11" s="1"/>
  <c r="AF202" i="11"/>
  <c r="AG202" i="11" s="1"/>
  <c r="AF203" i="11"/>
  <c r="AG203" i="11" s="1"/>
  <c r="AF204" i="11"/>
  <c r="AG204" i="11" s="1"/>
  <c r="AF205" i="11"/>
  <c r="AG205" i="11" s="1"/>
  <c r="AF206" i="11"/>
  <c r="AG206" i="11" s="1"/>
  <c r="AF207" i="11"/>
  <c r="AG207" i="11" s="1"/>
  <c r="AF208" i="11"/>
  <c r="AG208" i="11" s="1"/>
  <c r="AF209" i="11"/>
  <c r="AG209" i="11" s="1"/>
  <c r="AF210" i="11"/>
  <c r="AG210" i="11" s="1"/>
  <c r="AF211" i="11"/>
  <c r="AG211" i="11" s="1"/>
  <c r="AF212" i="11"/>
  <c r="AG212" i="11" s="1"/>
  <c r="AF213" i="11"/>
  <c r="AG213" i="11" s="1"/>
  <c r="AF214" i="11"/>
  <c r="AG214" i="11" s="1"/>
  <c r="AF215" i="11"/>
  <c r="AG215" i="11" s="1"/>
  <c r="AF216" i="11"/>
  <c r="AG216" i="11" s="1"/>
  <c r="AF217" i="11"/>
  <c r="AG217" i="11" s="1"/>
  <c r="AF218" i="11"/>
  <c r="AG218" i="11" s="1"/>
  <c r="AF219" i="11"/>
  <c r="AG219" i="11" s="1"/>
  <c r="AF220" i="11"/>
  <c r="AG220" i="11" s="1"/>
  <c r="AF221" i="11"/>
  <c r="AG221" i="11" s="1"/>
  <c r="AF222" i="11"/>
  <c r="AG222" i="11" s="1"/>
  <c r="AF223" i="11"/>
  <c r="AG223" i="11" s="1"/>
  <c r="AF224" i="11"/>
  <c r="AG224" i="11" s="1"/>
  <c r="AF225" i="11"/>
  <c r="AG225" i="11" s="1"/>
  <c r="AF226" i="11"/>
  <c r="AG226" i="11" s="1"/>
  <c r="AF227" i="11"/>
  <c r="AG227" i="11" s="1"/>
  <c r="AF228" i="11"/>
  <c r="AG228" i="11" s="1"/>
  <c r="AF229" i="11"/>
  <c r="AG229" i="11" s="1"/>
  <c r="AF230" i="11"/>
  <c r="AG230" i="11" s="1"/>
  <c r="AF231" i="11"/>
  <c r="AG231" i="11" s="1"/>
  <c r="AF232" i="11"/>
  <c r="AG232" i="11" s="1"/>
  <c r="AF233" i="11"/>
  <c r="AG233" i="11" s="1"/>
  <c r="AF234" i="11"/>
  <c r="AG234" i="11" s="1"/>
  <c r="AF235" i="11"/>
  <c r="AG235" i="11" s="1"/>
  <c r="AF236" i="11"/>
  <c r="AG236" i="11" s="1"/>
  <c r="AF237" i="11"/>
  <c r="AG237" i="11" s="1"/>
  <c r="AF238" i="11"/>
  <c r="AG238" i="11" s="1"/>
  <c r="AF239" i="11"/>
  <c r="AG239" i="11" s="1"/>
  <c r="AF240" i="11"/>
  <c r="AG240" i="11" s="1"/>
  <c r="AF241" i="11"/>
  <c r="AG241" i="11" s="1"/>
  <c r="AF242" i="11"/>
  <c r="AG242" i="11" s="1"/>
  <c r="AF243" i="11"/>
  <c r="AG243" i="11" s="1"/>
  <c r="AF244" i="11"/>
  <c r="AG244" i="11" s="1"/>
  <c r="AF245" i="11"/>
  <c r="AG245" i="11" s="1"/>
  <c r="AF246" i="11"/>
  <c r="AG246" i="11" s="1"/>
  <c r="AF247" i="11"/>
  <c r="AG247" i="11" s="1"/>
  <c r="AF248" i="11"/>
  <c r="AG248" i="11" s="1"/>
  <c r="AF249" i="11"/>
  <c r="AG249" i="11" s="1"/>
  <c r="AF250" i="11"/>
  <c r="AG250" i="11" s="1"/>
  <c r="AF251" i="11"/>
  <c r="AG251" i="11" s="1"/>
  <c r="AF252" i="11"/>
  <c r="AG252" i="11" s="1"/>
  <c r="AF253" i="11"/>
  <c r="AG253" i="11" s="1"/>
  <c r="AF254" i="11"/>
  <c r="AG254" i="11" s="1"/>
  <c r="AF255" i="11"/>
  <c r="AG255" i="11" s="1"/>
  <c r="AF256" i="11"/>
  <c r="AG256" i="11" s="1"/>
  <c r="AF257" i="11"/>
  <c r="AG257" i="11" s="1"/>
  <c r="AF258" i="11"/>
  <c r="AG258" i="11" s="1"/>
  <c r="AF259" i="11"/>
  <c r="AG259" i="11" s="1"/>
  <c r="AF260" i="11"/>
  <c r="AG260" i="11" s="1"/>
  <c r="AF261" i="11"/>
  <c r="AG261" i="11" s="1"/>
  <c r="AF262" i="11"/>
  <c r="AG262" i="11" s="1"/>
  <c r="AF263" i="11"/>
  <c r="AG263" i="11" s="1"/>
  <c r="AF264" i="11"/>
  <c r="AG264" i="11" s="1"/>
  <c r="AF265" i="11"/>
  <c r="AG265" i="11" s="1"/>
  <c r="AF266" i="11"/>
  <c r="AG266" i="11" s="1"/>
  <c r="AF267" i="11"/>
  <c r="AG267" i="11" s="1"/>
  <c r="AF268" i="11"/>
  <c r="AG268" i="11" s="1"/>
  <c r="AF269" i="11"/>
  <c r="AG269" i="11" s="1"/>
  <c r="AF270" i="11"/>
  <c r="AG270" i="11" s="1"/>
  <c r="AF271" i="11"/>
  <c r="AG271" i="11" s="1"/>
  <c r="AF272" i="11"/>
  <c r="AG272" i="11" s="1"/>
  <c r="AF273" i="11"/>
  <c r="AG273" i="11" s="1"/>
  <c r="AF274" i="11"/>
  <c r="AG274" i="11" s="1"/>
  <c r="AF275" i="11"/>
  <c r="AG275" i="11" s="1"/>
  <c r="AF276" i="11"/>
  <c r="AG276" i="11" s="1"/>
  <c r="AF277" i="11"/>
  <c r="AG277" i="11" s="1"/>
  <c r="AF278" i="11"/>
  <c r="AG278" i="11" s="1"/>
  <c r="AF279" i="11"/>
  <c r="AG279" i="11" s="1"/>
  <c r="AF280" i="11"/>
  <c r="AG280" i="11" s="1"/>
  <c r="AF281" i="11"/>
  <c r="AG281" i="11" s="1"/>
  <c r="AF282" i="11"/>
  <c r="AG282" i="11" s="1"/>
  <c r="AF283" i="11"/>
  <c r="AG283" i="11" s="1"/>
  <c r="AF284" i="11"/>
  <c r="AG284" i="11" s="1"/>
  <c r="AF285" i="11"/>
  <c r="AG285" i="11" s="1"/>
  <c r="AF286" i="11"/>
  <c r="AG286" i="11" s="1"/>
  <c r="AF287" i="11"/>
  <c r="AG287" i="11" s="1"/>
  <c r="AF288" i="11"/>
  <c r="AG288" i="11" s="1"/>
  <c r="AF289" i="11"/>
  <c r="AG289" i="11" s="1"/>
  <c r="AF290" i="11"/>
  <c r="AG290" i="11" s="1"/>
  <c r="AF291" i="11"/>
  <c r="AG291" i="11" s="1"/>
  <c r="AF292" i="11"/>
  <c r="AG292" i="11" s="1"/>
  <c r="AF293" i="11"/>
  <c r="AG293" i="11" s="1"/>
  <c r="AF294" i="11"/>
  <c r="AG294" i="11" s="1"/>
  <c r="AF295" i="11"/>
  <c r="AG295" i="11" s="1"/>
  <c r="AF296" i="11"/>
  <c r="AG296" i="11" s="1"/>
  <c r="AF297" i="11"/>
  <c r="AG297" i="11" s="1"/>
  <c r="AF298" i="11"/>
  <c r="AG298" i="11" s="1"/>
  <c r="AF299" i="11"/>
  <c r="AG299" i="11" s="1"/>
  <c r="AF300" i="11"/>
  <c r="AG300" i="11" s="1"/>
  <c r="AF301" i="11"/>
  <c r="AG301" i="11" s="1"/>
  <c r="AF302" i="11"/>
  <c r="AG302" i="11" s="1"/>
  <c r="AF303" i="11"/>
  <c r="AG303" i="11" s="1"/>
  <c r="AF304" i="11"/>
  <c r="AG304" i="11" s="1"/>
  <c r="AF305" i="11"/>
  <c r="AG305" i="11" s="1"/>
  <c r="AF306" i="11"/>
  <c r="AG306" i="11" s="1"/>
  <c r="AF307" i="11"/>
  <c r="AG307" i="11" s="1"/>
  <c r="AF308" i="11"/>
  <c r="AG308" i="11" s="1"/>
  <c r="AF309" i="11"/>
  <c r="AG309" i="11" s="1"/>
  <c r="AF310" i="11"/>
  <c r="AG310" i="11" s="1"/>
  <c r="AF311" i="11"/>
  <c r="AG311" i="11" s="1"/>
  <c r="AF312" i="11"/>
  <c r="AG312" i="11" s="1"/>
  <c r="AF313" i="11"/>
  <c r="AG313" i="11" s="1"/>
  <c r="AF314" i="11"/>
  <c r="AG314" i="11" s="1"/>
  <c r="AF315" i="11"/>
  <c r="AG315" i="11" s="1"/>
  <c r="AF316" i="11"/>
  <c r="AG316" i="11" s="1"/>
  <c r="AF317" i="11"/>
  <c r="AG317" i="11" s="1"/>
  <c r="AF318" i="11"/>
  <c r="AG318" i="11" s="1"/>
  <c r="AF319" i="11"/>
  <c r="AG319" i="11" s="1"/>
  <c r="AF320" i="11"/>
  <c r="AG320" i="11" s="1"/>
  <c r="AF321" i="11"/>
  <c r="AG321" i="11" s="1"/>
  <c r="AF322" i="11"/>
  <c r="AG322" i="11" s="1"/>
  <c r="AF323" i="11"/>
  <c r="AG323" i="11" s="1"/>
  <c r="AF324" i="11"/>
  <c r="AG324" i="11" s="1"/>
  <c r="AF325" i="11"/>
  <c r="AG325" i="11" s="1"/>
  <c r="AF326" i="11"/>
  <c r="AG326" i="11" s="1"/>
  <c r="AF327" i="11"/>
  <c r="AG327" i="11" s="1"/>
  <c r="AF328" i="11"/>
  <c r="AG328" i="11" s="1"/>
  <c r="AF329" i="11"/>
  <c r="AG329" i="11" s="1"/>
  <c r="AF330" i="11"/>
  <c r="AG330" i="11" s="1"/>
  <c r="AF331" i="11"/>
  <c r="AG331" i="11" s="1"/>
  <c r="AF332" i="11"/>
  <c r="AG332" i="11" s="1"/>
  <c r="AF333" i="11"/>
  <c r="AG333" i="11" s="1"/>
  <c r="AF334" i="11"/>
  <c r="AG334" i="11" s="1"/>
  <c r="AF335" i="11"/>
  <c r="AG335" i="11" s="1"/>
  <c r="AF336" i="11"/>
  <c r="AG336" i="11" s="1"/>
  <c r="AF337" i="11"/>
  <c r="AG337" i="11" s="1"/>
  <c r="AF338" i="11"/>
  <c r="AG338" i="11" s="1"/>
  <c r="AF339" i="11"/>
  <c r="AG339" i="11" s="1"/>
  <c r="AF340" i="11"/>
  <c r="AG340" i="11" s="1"/>
  <c r="AF341" i="11"/>
  <c r="AG341" i="11" s="1"/>
  <c r="AF342" i="11"/>
  <c r="AG342" i="11" s="1"/>
  <c r="AF343" i="11"/>
  <c r="AG343" i="11" s="1"/>
  <c r="AF344" i="11"/>
  <c r="AG344" i="11" s="1"/>
  <c r="AF345" i="11"/>
  <c r="AG345" i="11" s="1"/>
  <c r="AF346" i="11"/>
  <c r="AG346" i="11" s="1"/>
  <c r="AF347" i="11"/>
  <c r="AG347" i="11" s="1"/>
  <c r="AF348" i="11"/>
  <c r="AG348" i="11" s="1"/>
  <c r="AF349" i="11"/>
  <c r="AG349" i="11" s="1"/>
  <c r="AF350" i="11"/>
  <c r="AG350" i="11" s="1"/>
  <c r="AF351" i="11"/>
  <c r="AG351" i="11" s="1"/>
  <c r="AF352" i="11"/>
  <c r="AG352" i="11" s="1"/>
  <c r="AF353" i="11"/>
  <c r="AG353" i="11" s="1"/>
  <c r="AF354" i="11"/>
  <c r="AG354" i="11" s="1"/>
  <c r="AF355" i="11"/>
  <c r="AG355" i="11" s="1"/>
  <c r="AF356" i="11"/>
  <c r="AG356" i="11" s="1"/>
  <c r="AF357" i="11"/>
  <c r="AG357" i="11" s="1"/>
  <c r="AF358" i="11"/>
  <c r="AG358" i="11" s="1"/>
  <c r="AF359" i="11"/>
  <c r="AG359" i="11" s="1"/>
  <c r="AF360" i="11"/>
  <c r="AG360" i="11" s="1"/>
  <c r="AF361" i="11"/>
  <c r="AG361" i="11" s="1"/>
  <c r="AF362" i="11"/>
  <c r="AG362" i="11" s="1"/>
  <c r="AF363" i="11"/>
  <c r="AG363" i="11" s="1"/>
  <c r="AF364" i="11"/>
  <c r="AG364" i="11" s="1"/>
  <c r="AF365" i="11"/>
  <c r="AG365" i="11" s="1"/>
  <c r="AF366" i="11"/>
  <c r="AG366" i="11" s="1"/>
  <c r="AF367" i="11"/>
  <c r="AG367" i="11" s="1"/>
  <c r="AF368" i="11"/>
  <c r="AG368" i="11" s="1"/>
  <c r="AF369" i="11"/>
  <c r="AG369" i="11" s="1"/>
  <c r="AF370" i="11"/>
  <c r="AG370" i="11" s="1"/>
  <c r="AF371" i="11"/>
  <c r="AG371" i="11" s="1"/>
  <c r="AF372" i="11"/>
  <c r="AG372" i="11" s="1"/>
  <c r="AF373" i="11"/>
  <c r="AG373" i="11" s="1"/>
  <c r="AF374" i="11"/>
  <c r="AG374" i="11" s="1"/>
  <c r="AF375" i="11"/>
  <c r="AG375" i="11" s="1"/>
  <c r="AF376" i="11"/>
  <c r="AG376" i="11" s="1"/>
  <c r="AF377" i="11"/>
  <c r="AG377" i="11" s="1"/>
  <c r="AF378" i="11"/>
  <c r="AG378" i="11" s="1"/>
  <c r="AF379" i="11"/>
  <c r="AG379" i="11" s="1"/>
  <c r="AF380" i="11"/>
  <c r="AG380" i="11" s="1"/>
  <c r="AF381" i="11"/>
  <c r="AG381" i="11" s="1"/>
  <c r="AF382" i="11"/>
  <c r="AG382" i="11" s="1"/>
  <c r="AF383" i="11"/>
  <c r="AG383" i="11" s="1"/>
  <c r="AF384" i="11"/>
  <c r="AG384" i="11" s="1"/>
  <c r="AF385" i="11"/>
  <c r="AG385" i="11" s="1"/>
  <c r="AF386" i="11"/>
  <c r="AG386" i="11" s="1"/>
  <c r="AF387" i="11"/>
  <c r="AG387" i="11" s="1"/>
  <c r="AF388" i="11"/>
  <c r="AG388" i="11" s="1"/>
  <c r="AF389" i="11"/>
  <c r="AG389" i="11" s="1"/>
  <c r="AF390" i="11"/>
  <c r="AG390" i="11" s="1"/>
  <c r="AF391" i="11"/>
  <c r="AG391" i="11" s="1"/>
  <c r="AF392" i="11"/>
  <c r="AG392" i="11" s="1"/>
  <c r="AF393" i="11"/>
  <c r="AG393" i="11" s="1"/>
  <c r="AF394" i="11"/>
  <c r="AG394" i="11" s="1"/>
  <c r="AF395" i="11"/>
  <c r="AG395" i="11" s="1"/>
  <c r="AF396" i="11"/>
  <c r="AG396" i="11" s="1"/>
  <c r="AF397" i="11"/>
  <c r="AG397" i="11" s="1"/>
  <c r="AF398" i="11"/>
  <c r="AG398" i="11" s="1"/>
  <c r="AF399" i="11"/>
  <c r="AG399" i="11" s="1"/>
  <c r="AF400" i="11"/>
  <c r="AG400" i="11" s="1"/>
  <c r="AF401" i="11"/>
  <c r="AG401" i="11" s="1"/>
  <c r="AF402" i="11"/>
  <c r="AG402" i="11" s="1"/>
  <c r="AF403" i="11"/>
  <c r="AG403" i="11" s="1"/>
  <c r="AF404" i="11"/>
  <c r="AG404" i="11" s="1"/>
  <c r="AF405" i="11"/>
  <c r="AG405" i="11" s="1"/>
  <c r="AF406" i="11"/>
  <c r="AG406" i="11" s="1"/>
  <c r="AF407" i="11"/>
  <c r="AG407" i="11" s="1"/>
  <c r="AF408" i="11"/>
  <c r="AG408" i="11" s="1"/>
  <c r="AF409" i="11"/>
  <c r="AG409" i="11" s="1"/>
  <c r="AF410" i="11"/>
  <c r="AG410" i="11" s="1"/>
  <c r="AF411" i="11"/>
  <c r="AG411" i="11" s="1"/>
  <c r="AF412" i="11"/>
  <c r="AG412" i="11" s="1"/>
  <c r="AF413" i="11"/>
  <c r="AG413" i="11" s="1"/>
  <c r="AF414" i="11"/>
  <c r="AG414" i="11" s="1"/>
  <c r="AF415" i="11"/>
  <c r="AG415" i="11" s="1"/>
  <c r="AF416" i="11"/>
  <c r="AG416" i="11" s="1"/>
  <c r="AF417" i="11"/>
  <c r="AG417" i="11" s="1"/>
  <c r="AF418" i="11"/>
  <c r="AG418" i="11" s="1"/>
  <c r="AF419" i="11"/>
  <c r="AG419" i="11" s="1"/>
  <c r="AF420" i="11"/>
  <c r="AG420" i="11" s="1"/>
  <c r="AF421" i="11"/>
  <c r="AG421" i="11" s="1"/>
  <c r="AF422" i="11"/>
  <c r="AG422" i="11" s="1"/>
  <c r="AF423" i="11"/>
  <c r="AG423" i="11" s="1"/>
  <c r="AF424" i="11"/>
  <c r="AG424" i="11" s="1"/>
  <c r="AF425" i="11"/>
  <c r="AG425" i="11" s="1"/>
  <c r="AF426" i="11"/>
  <c r="AG426" i="11" s="1"/>
  <c r="AF427" i="11"/>
  <c r="AG427" i="11" s="1"/>
  <c r="AF428" i="11"/>
  <c r="AG428" i="11" s="1"/>
  <c r="AF429" i="11"/>
  <c r="AG429" i="11" s="1"/>
  <c r="AF430" i="11"/>
  <c r="AG430" i="11" s="1"/>
  <c r="AF431" i="11"/>
  <c r="AG431" i="11" s="1"/>
  <c r="AF432" i="11"/>
  <c r="AG432" i="11" s="1"/>
  <c r="AF433" i="11"/>
  <c r="AG433" i="11" s="1"/>
  <c r="AF434" i="11"/>
  <c r="AG434" i="11" s="1"/>
  <c r="AF435" i="11"/>
  <c r="AG435" i="11" s="1"/>
  <c r="AF436" i="11"/>
  <c r="AG436" i="11" s="1"/>
  <c r="AF437" i="11"/>
  <c r="AG437" i="11" s="1"/>
  <c r="AF438" i="11"/>
  <c r="AG438" i="11" s="1"/>
  <c r="AF439" i="11"/>
  <c r="AG439" i="11" s="1"/>
  <c r="AF440" i="11"/>
  <c r="AG440" i="11" s="1"/>
  <c r="AF441" i="11"/>
  <c r="AG441" i="11" s="1"/>
  <c r="AF442" i="11"/>
  <c r="AG442" i="11" s="1"/>
  <c r="AF443" i="11"/>
  <c r="AG443" i="11" s="1"/>
  <c r="AF444" i="11"/>
  <c r="AG444" i="11" s="1"/>
  <c r="AF445" i="11"/>
  <c r="AG445" i="11" s="1"/>
  <c r="AF446" i="11"/>
  <c r="AG446" i="11" s="1"/>
  <c r="AF447" i="11"/>
  <c r="AG447" i="11" s="1"/>
  <c r="AF448" i="11"/>
  <c r="AG448" i="11" s="1"/>
  <c r="AF449" i="11"/>
  <c r="AG449" i="11" s="1"/>
  <c r="AF450" i="11"/>
  <c r="AG450" i="11" s="1"/>
  <c r="AF451" i="11"/>
  <c r="AG451" i="11" s="1"/>
  <c r="AF452" i="11"/>
  <c r="AG452" i="11" s="1"/>
  <c r="AF453" i="11"/>
  <c r="AG453" i="11" s="1"/>
  <c r="AF454" i="11"/>
  <c r="AG454" i="11" s="1"/>
  <c r="AF455" i="11"/>
  <c r="AG455" i="11" s="1"/>
  <c r="AF456" i="11"/>
  <c r="AG456" i="11" s="1"/>
  <c r="AF457" i="11"/>
  <c r="AG457" i="11" s="1"/>
  <c r="AF458" i="11"/>
  <c r="AG458" i="11" s="1"/>
  <c r="AF459" i="11"/>
  <c r="AG459" i="11" s="1"/>
  <c r="AF460" i="11"/>
  <c r="AG460" i="11" s="1"/>
  <c r="AF461" i="11"/>
  <c r="AG461" i="11" s="1"/>
  <c r="AF462" i="11"/>
  <c r="AG462" i="11" s="1"/>
  <c r="AF463" i="11"/>
  <c r="AG463" i="11" s="1"/>
  <c r="AF464" i="11"/>
  <c r="AG464" i="11" s="1"/>
  <c r="AF465" i="11"/>
  <c r="AG465" i="11" s="1"/>
  <c r="AF466" i="11"/>
  <c r="AG466" i="11" s="1"/>
  <c r="AF467" i="11"/>
  <c r="AG467" i="11" s="1"/>
  <c r="AF468" i="11"/>
  <c r="AG468" i="11" s="1"/>
  <c r="AF469" i="11"/>
  <c r="AG469" i="11" s="1"/>
  <c r="AF470" i="11"/>
  <c r="AG470" i="11" s="1"/>
  <c r="AF471" i="11"/>
  <c r="AG471" i="11" s="1"/>
  <c r="AF472" i="11"/>
  <c r="AG472" i="11" s="1"/>
  <c r="AF473" i="11"/>
  <c r="AG473" i="11" s="1"/>
  <c r="AF474" i="11"/>
  <c r="AG474" i="11" s="1"/>
  <c r="AF475" i="11"/>
  <c r="AG475" i="11" s="1"/>
  <c r="AF476" i="11"/>
  <c r="AG476" i="11" s="1"/>
  <c r="AF477" i="11"/>
  <c r="AG477" i="11" s="1"/>
  <c r="AF478" i="11"/>
  <c r="AG478" i="11" s="1"/>
  <c r="AF479" i="11"/>
  <c r="AG479" i="11" s="1"/>
  <c r="AF480" i="11"/>
  <c r="AG480" i="11" s="1"/>
  <c r="AF481" i="11"/>
  <c r="AG481" i="11" s="1"/>
  <c r="AF482" i="11"/>
  <c r="AG482" i="11" s="1"/>
  <c r="AF483" i="11"/>
  <c r="AG483" i="11" s="1"/>
  <c r="AF484" i="11"/>
  <c r="AG484" i="11" s="1"/>
  <c r="AF485" i="11"/>
  <c r="AG485" i="11" s="1"/>
  <c r="AF486" i="11"/>
  <c r="AG486" i="11" s="1"/>
  <c r="AF487" i="11"/>
  <c r="AG487" i="11" s="1"/>
  <c r="AF488" i="11"/>
  <c r="AG488" i="11" s="1"/>
  <c r="AF489" i="11"/>
  <c r="AG489" i="11" s="1"/>
  <c r="AF490" i="11"/>
  <c r="AG490" i="11" s="1"/>
  <c r="AF491" i="11"/>
  <c r="AG491" i="11" s="1"/>
  <c r="AF492" i="11"/>
  <c r="AG492" i="11" s="1"/>
  <c r="AF493" i="11"/>
  <c r="AG493" i="11" s="1"/>
  <c r="AF494" i="11"/>
  <c r="AG494" i="11" s="1"/>
  <c r="AF495" i="11"/>
  <c r="AG495" i="11" s="1"/>
  <c r="AF496" i="11"/>
  <c r="AG496" i="11" s="1"/>
  <c r="AF497" i="11"/>
  <c r="AG497" i="11" s="1"/>
  <c r="AF498" i="11"/>
  <c r="AG498" i="11" s="1"/>
  <c r="AF499" i="11"/>
  <c r="AG499" i="11" s="1"/>
  <c r="AF500" i="11"/>
  <c r="AG500" i="11" s="1"/>
  <c r="AF501" i="11"/>
  <c r="AG501" i="11" s="1"/>
  <c r="AF502" i="11"/>
  <c r="AG502" i="11" s="1"/>
  <c r="AF503" i="11"/>
  <c r="AG503" i="11" s="1"/>
  <c r="AF504" i="11"/>
  <c r="AG504" i="11" s="1"/>
  <c r="AF505" i="11"/>
  <c r="AG505" i="11" s="1"/>
  <c r="AF506" i="11"/>
  <c r="AG506" i="11" s="1"/>
  <c r="AF507" i="11"/>
  <c r="AG507" i="11" s="1"/>
  <c r="AF508" i="11"/>
  <c r="AG508" i="11" s="1"/>
  <c r="AF509" i="11"/>
  <c r="AG509" i="11" s="1"/>
  <c r="AF510" i="11"/>
  <c r="AG510" i="11" s="1"/>
  <c r="AF511" i="11"/>
  <c r="AG511" i="11" s="1"/>
  <c r="AF512" i="11"/>
  <c r="AG512" i="11" s="1"/>
  <c r="AF513" i="11"/>
  <c r="AG513" i="11" s="1"/>
  <c r="AF514" i="11"/>
  <c r="AG514" i="11" s="1"/>
  <c r="AF515" i="11"/>
  <c r="AG515" i="11" s="1"/>
  <c r="AF516" i="11"/>
  <c r="AG516" i="11" s="1"/>
  <c r="AF517" i="11"/>
  <c r="AG517" i="11" s="1"/>
  <c r="AF518" i="11"/>
  <c r="AG518" i="11" s="1"/>
  <c r="AF519" i="11"/>
  <c r="AG519" i="11" s="1"/>
  <c r="AF520" i="11"/>
  <c r="AG520" i="11" s="1"/>
  <c r="AF521" i="11"/>
  <c r="AG521" i="11" s="1"/>
  <c r="AF522" i="11"/>
  <c r="AG522" i="11" s="1"/>
  <c r="AF523" i="11"/>
  <c r="AG523" i="11" s="1"/>
  <c r="AF524" i="11"/>
  <c r="AG524" i="11" s="1"/>
  <c r="AF525" i="11"/>
  <c r="AG525" i="11" s="1"/>
  <c r="AF526" i="11"/>
  <c r="AG526" i="11" s="1"/>
  <c r="AF527" i="11"/>
  <c r="AG527" i="11" s="1"/>
  <c r="AF528" i="11"/>
  <c r="AG528" i="11" s="1"/>
  <c r="AF529" i="11"/>
  <c r="AG529" i="11" s="1"/>
  <c r="AF530" i="11"/>
  <c r="AG530" i="11" s="1"/>
  <c r="AF531" i="11"/>
  <c r="AG531" i="11" s="1"/>
  <c r="AF532" i="11"/>
  <c r="AG532" i="11" s="1"/>
  <c r="AF533" i="11"/>
  <c r="AG533" i="11" s="1"/>
  <c r="AF534" i="11"/>
  <c r="AG534" i="11" s="1"/>
  <c r="AF535" i="11"/>
  <c r="AG535" i="11" s="1"/>
  <c r="AF536" i="11"/>
  <c r="AG536" i="11" s="1"/>
  <c r="AF537" i="11"/>
  <c r="AG537" i="11" s="1"/>
  <c r="AF538" i="11"/>
  <c r="AG538" i="11" s="1"/>
  <c r="AF539" i="11"/>
  <c r="AG539" i="11" s="1"/>
  <c r="AF540" i="11"/>
  <c r="AG540" i="11" s="1"/>
  <c r="AF541" i="11"/>
  <c r="AG541" i="11" s="1"/>
  <c r="AF542" i="11"/>
  <c r="AG542" i="11" s="1"/>
  <c r="AF543" i="11"/>
  <c r="AG543" i="11" s="1"/>
  <c r="AF544" i="11"/>
  <c r="AG544" i="11" s="1"/>
  <c r="AF545" i="11"/>
  <c r="AG545" i="11" s="1"/>
  <c r="AF546" i="11"/>
  <c r="AG546" i="11" s="1"/>
  <c r="AF547" i="11"/>
  <c r="AG547" i="11" s="1"/>
  <c r="AF548" i="11"/>
  <c r="AG548" i="11" s="1"/>
  <c r="AF549" i="11"/>
  <c r="AG549" i="11" s="1"/>
  <c r="AF550" i="11"/>
  <c r="AG550" i="11" s="1"/>
  <c r="AF551" i="11"/>
  <c r="AG551" i="11" s="1"/>
  <c r="AF552" i="11"/>
  <c r="AG552" i="11" s="1"/>
  <c r="AF553" i="11"/>
  <c r="AG553" i="11" s="1"/>
  <c r="AF554" i="11"/>
  <c r="AG554" i="11" s="1"/>
  <c r="AF555" i="11"/>
  <c r="AG555" i="11" s="1"/>
  <c r="AF556" i="11"/>
  <c r="AG556" i="11" s="1"/>
  <c r="AF557" i="11"/>
  <c r="AG557" i="11" s="1"/>
  <c r="AF558" i="11"/>
  <c r="AG558" i="11" s="1"/>
  <c r="AF559" i="11"/>
  <c r="AG559" i="11" s="1"/>
  <c r="AF560" i="11"/>
  <c r="AG560" i="11" s="1"/>
  <c r="AF561" i="11"/>
  <c r="AG561" i="11" s="1"/>
  <c r="AF562" i="11"/>
  <c r="AG562" i="11" s="1"/>
  <c r="AF563" i="11"/>
  <c r="AG563" i="11" s="1"/>
  <c r="AF564" i="11"/>
  <c r="AG564" i="11" s="1"/>
  <c r="AF565" i="11"/>
  <c r="AG565" i="11" s="1"/>
  <c r="AF566" i="11"/>
  <c r="AG566" i="11" s="1"/>
  <c r="AF567" i="11"/>
  <c r="AG567" i="11" s="1"/>
  <c r="AF568" i="11"/>
  <c r="AG568" i="11" s="1"/>
  <c r="AF569" i="11"/>
  <c r="AG569" i="11" s="1"/>
  <c r="AF570" i="11"/>
  <c r="AG570" i="11" s="1"/>
  <c r="AF571" i="11"/>
  <c r="AG571" i="11" s="1"/>
  <c r="AF572" i="11"/>
  <c r="AG572" i="11" s="1"/>
  <c r="AF573" i="11"/>
  <c r="AG573" i="11" s="1"/>
  <c r="AF574" i="11"/>
  <c r="AG574" i="11" s="1"/>
  <c r="AF575" i="11"/>
  <c r="AG575" i="11" s="1"/>
  <c r="AF576" i="11"/>
  <c r="AG576" i="11" s="1"/>
  <c r="AF577" i="11"/>
  <c r="AG577" i="11" s="1"/>
  <c r="AF578" i="11"/>
  <c r="AG578" i="11" s="1"/>
  <c r="AF579" i="11"/>
  <c r="AG579" i="11" s="1"/>
  <c r="AF580" i="11"/>
  <c r="AG580" i="11" s="1"/>
  <c r="AF581" i="11"/>
  <c r="AG581" i="11" s="1"/>
  <c r="AF582" i="11"/>
  <c r="AG582" i="11" s="1"/>
  <c r="AF583" i="11"/>
  <c r="AG583" i="11" s="1"/>
  <c r="AF584" i="11"/>
  <c r="AG584" i="11" s="1"/>
  <c r="AF585" i="11"/>
  <c r="AG585" i="11" s="1"/>
  <c r="AF586" i="11"/>
  <c r="AG586" i="11" s="1"/>
  <c r="AF587" i="11"/>
  <c r="AG587" i="11" s="1"/>
  <c r="AF588" i="11"/>
  <c r="AG588" i="11" s="1"/>
  <c r="AF589" i="11"/>
  <c r="AG589" i="11" s="1"/>
  <c r="AF590" i="11"/>
  <c r="AG590" i="11" s="1"/>
  <c r="AF591" i="11"/>
  <c r="AG591" i="11" s="1"/>
  <c r="AF592" i="11"/>
  <c r="AG592" i="11" s="1"/>
  <c r="AF593" i="11"/>
  <c r="AG593" i="11" s="1"/>
  <c r="AF594" i="11"/>
  <c r="AG594" i="11" s="1"/>
  <c r="AF595" i="11"/>
  <c r="AG595" i="11" s="1"/>
  <c r="AF596" i="11"/>
  <c r="AG596" i="11" s="1"/>
  <c r="AF597" i="11"/>
  <c r="AG597" i="11" s="1"/>
  <c r="AF598" i="11"/>
  <c r="AG598" i="11" s="1"/>
  <c r="AF599" i="11"/>
  <c r="AG599" i="11" s="1"/>
  <c r="AF600" i="11"/>
  <c r="AG600" i="11" s="1"/>
  <c r="AF601" i="11"/>
  <c r="AG601" i="11" s="1"/>
  <c r="AF602" i="11"/>
  <c r="AG602" i="11" s="1"/>
  <c r="AF603" i="11"/>
  <c r="AG603" i="11" s="1"/>
  <c r="AF604" i="11"/>
  <c r="AG604" i="11" s="1"/>
  <c r="AF605" i="11"/>
  <c r="AG605" i="11" s="1"/>
  <c r="AF606" i="11"/>
  <c r="AG606" i="11" s="1"/>
  <c r="AF607" i="11"/>
  <c r="AG607" i="11" s="1"/>
  <c r="AF608" i="11"/>
  <c r="AG608" i="11" s="1"/>
  <c r="AF609" i="11"/>
  <c r="AG609" i="11" s="1"/>
  <c r="AF610" i="11"/>
  <c r="AG610" i="11" s="1"/>
  <c r="AF611" i="11"/>
  <c r="AG611" i="11" s="1"/>
  <c r="AF612" i="11"/>
  <c r="AG612" i="11" s="1"/>
  <c r="AF613" i="11"/>
  <c r="AG613" i="11" s="1"/>
  <c r="AF614" i="11"/>
  <c r="AG614" i="11" s="1"/>
  <c r="AF615" i="11"/>
  <c r="AG615" i="11" s="1"/>
  <c r="AF616" i="11"/>
  <c r="AG616" i="11" s="1"/>
  <c r="AF617" i="11"/>
  <c r="AG617" i="11" s="1"/>
  <c r="AF618" i="11"/>
  <c r="AG618" i="11" s="1"/>
  <c r="AF619" i="11"/>
  <c r="AG619" i="11" s="1"/>
  <c r="AF620" i="11"/>
  <c r="AG620" i="11" s="1"/>
  <c r="AF621" i="11"/>
  <c r="AG621" i="11" s="1"/>
  <c r="AF622" i="11"/>
  <c r="AG622" i="11" s="1"/>
  <c r="AF623" i="11"/>
  <c r="AG623" i="11" s="1"/>
  <c r="AF624" i="11"/>
  <c r="AG624" i="11" s="1"/>
  <c r="AF625" i="11"/>
  <c r="AG625" i="11" s="1"/>
  <c r="AF626" i="11"/>
  <c r="AG626" i="11" s="1"/>
  <c r="AF627" i="11"/>
  <c r="AG627" i="11" s="1"/>
  <c r="AF628" i="11"/>
  <c r="AG628" i="11" s="1"/>
  <c r="AF629" i="11"/>
  <c r="AG629" i="11" s="1"/>
  <c r="AF630" i="11"/>
  <c r="AG630" i="11" s="1"/>
  <c r="AF631" i="11"/>
  <c r="AG631" i="11" s="1"/>
  <c r="AF632" i="11"/>
  <c r="AG632" i="11" s="1"/>
  <c r="AF633" i="11"/>
  <c r="AG633" i="11" s="1"/>
  <c r="AF634" i="11"/>
  <c r="AG634" i="11" s="1"/>
  <c r="AF635" i="11"/>
  <c r="AG635" i="11" s="1"/>
  <c r="AF636" i="11"/>
  <c r="AG636" i="11" s="1"/>
  <c r="AF637" i="11"/>
  <c r="AG637" i="11" s="1"/>
  <c r="AF638" i="11"/>
  <c r="AG638" i="11" s="1"/>
  <c r="AF639" i="11"/>
  <c r="AG639" i="11" s="1"/>
  <c r="AF640" i="11"/>
  <c r="AG640" i="11" s="1"/>
  <c r="AF641" i="11"/>
  <c r="AG641" i="11" s="1"/>
  <c r="AF642" i="11"/>
  <c r="AG642" i="11" s="1"/>
  <c r="AF643" i="11"/>
  <c r="AG643" i="11" s="1"/>
  <c r="AF644" i="11"/>
  <c r="AG644" i="11" s="1"/>
  <c r="AF645" i="11"/>
  <c r="AG645" i="11" s="1"/>
  <c r="AF646" i="11"/>
  <c r="AG646" i="11" s="1"/>
  <c r="AF647" i="11"/>
  <c r="AG647" i="11" s="1"/>
  <c r="AF648" i="11"/>
  <c r="AG648" i="11" s="1"/>
  <c r="AF649" i="11"/>
  <c r="AG649" i="11" s="1"/>
  <c r="AF650" i="11"/>
  <c r="AG650" i="11" s="1"/>
  <c r="AF651" i="11"/>
  <c r="AG651" i="11" s="1"/>
  <c r="AF652" i="11"/>
  <c r="AG652" i="11" s="1"/>
  <c r="AF653" i="11"/>
  <c r="AG653" i="11" s="1"/>
  <c r="AF654" i="11"/>
  <c r="AG654" i="11" s="1"/>
  <c r="AF655" i="11"/>
  <c r="AG655" i="11" s="1"/>
  <c r="AF656" i="11"/>
  <c r="AG656" i="11" s="1"/>
  <c r="AF657" i="11"/>
  <c r="AG657" i="11" s="1"/>
  <c r="AF658" i="11"/>
  <c r="AG658" i="11" s="1"/>
  <c r="AF659" i="11"/>
  <c r="AG659" i="11" s="1"/>
  <c r="AF660" i="11"/>
  <c r="AG660" i="11" s="1"/>
  <c r="AF661" i="11"/>
  <c r="AG661" i="11" s="1"/>
  <c r="AF662" i="11"/>
  <c r="AG662" i="11" s="1"/>
  <c r="AF663" i="11"/>
  <c r="AG663" i="11" s="1"/>
  <c r="AF664" i="11"/>
  <c r="AG664" i="11" s="1"/>
  <c r="AF665" i="11"/>
  <c r="AG665" i="11" s="1"/>
  <c r="AF666" i="11"/>
  <c r="AG666" i="11" s="1"/>
  <c r="AF667" i="11"/>
  <c r="AG667" i="11" s="1"/>
  <c r="AF668" i="11"/>
  <c r="AG668" i="11" s="1"/>
  <c r="AF669" i="11"/>
  <c r="AG669" i="11" s="1"/>
  <c r="AF670" i="11"/>
  <c r="AG670" i="11" s="1"/>
  <c r="AF671" i="11"/>
  <c r="AG671" i="11" s="1"/>
  <c r="AF672" i="11"/>
  <c r="AG672" i="11" s="1"/>
  <c r="AF673" i="11"/>
  <c r="AG673" i="11" s="1"/>
  <c r="AF674" i="11"/>
  <c r="AG674" i="11" s="1"/>
  <c r="AF675" i="11"/>
  <c r="AG675" i="11" s="1"/>
  <c r="AF676" i="11"/>
  <c r="AG676" i="11" s="1"/>
  <c r="AF677" i="11"/>
  <c r="AG677" i="11" s="1"/>
  <c r="AF678" i="11"/>
  <c r="AG678" i="11" s="1"/>
  <c r="AF679" i="11"/>
  <c r="AG679" i="11" s="1"/>
  <c r="AF680" i="11"/>
  <c r="AG680" i="11" s="1"/>
  <c r="AF681" i="11"/>
  <c r="AG681" i="11" s="1"/>
  <c r="AF682" i="11"/>
  <c r="AG682" i="11" s="1"/>
  <c r="AF683" i="11"/>
  <c r="AG683" i="11" s="1"/>
  <c r="AF684" i="11"/>
  <c r="AG684" i="11" s="1"/>
  <c r="AF685" i="11"/>
  <c r="AG685" i="11" s="1"/>
  <c r="AF686" i="11"/>
  <c r="AG686" i="11" s="1"/>
  <c r="AF687" i="11"/>
  <c r="AG687" i="11" s="1"/>
  <c r="AF688" i="11"/>
  <c r="AG688" i="11" s="1"/>
  <c r="AF689" i="11"/>
  <c r="AG689" i="11" s="1"/>
  <c r="AF690" i="11"/>
  <c r="AG690" i="11" s="1"/>
  <c r="AF691" i="11"/>
  <c r="AG691" i="11" s="1"/>
  <c r="AF692" i="11"/>
  <c r="AG692" i="11" s="1"/>
  <c r="AF693" i="11"/>
  <c r="AG693" i="11" s="1"/>
  <c r="AF694" i="11"/>
  <c r="AG694" i="11" s="1"/>
  <c r="AF695" i="11"/>
  <c r="AG695" i="11" s="1"/>
  <c r="AF696" i="11"/>
  <c r="AG696" i="11" s="1"/>
  <c r="AF697" i="11"/>
  <c r="AG697" i="11" s="1"/>
  <c r="AF698" i="11"/>
  <c r="AG698" i="11" s="1"/>
  <c r="AF699" i="11"/>
  <c r="AG699" i="11" s="1"/>
  <c r="AF700" i="11"/>
  <c r="AG700" i="11" s="1"/>
  <c r="AF701" i="11"/>
  <c r="AG701" i="11" s="1"/>
  <c r="AF702" i="11"/>
  <c r="AG702" i="11" s="1"/>
  <c r="AF703" i="11"/>
  <c r="AG703" i="11" s="1"/>
  <c r="AF704" i="11"/>
  <c r="AG704" i="11" s="1"/>
  <c r="AF705" i="11"/>
  <c r="AG705" i="11" s="1"/>
  <c r="AF706" i="11"/>
  <c r="AG706" i="11" s="1"/>
  <c r="AF707" i="11"/>
  <c r="AG707" i="11" s="1"/>
  <c r="AF708" i="11"/>
  <c r="AG708" i="11" s="1"/>
  <c r="AF709" i="11"/>
  <c r="AG709" i="11" s="1"/>
  <c r="AF710" i="11"/>
  <c r="AG710" i="11" s="1"/>
  <c r="AF711" i="11"/>
  <c r="AG711" i="11" s="1"/>
  <c r="AF712" i="11"/>
  <c r="AG712" i="11" s="1"/>
  <c r="AF713" i="11"/>
  <c r="AG713" i="11" s="1"/>
  <c r="AF714" i="11"/>
  <c r="AG714" i="11" s="1"/>
  <c r="AF715" i="11"/>
  <c r="AG715" i="11" s="1"/>
  <c r="AF716" i="11"/>
  <c r="AG716" i="11" s="1"/>
  <c r="AF717" i="11"/>
  <c r="AG717" i="11" s="1"/>
  <c r="AF718" i="11"/>
  <c r="AG718" i="11" s="1"/>
  <c r="AF719" i="11"/>
  <c r="AG719" i="11" s="1"/>
  <c r="AF720" i="11"/>
  <c r="AG720" i="11" s="1"/>
  <c r="AF721" i="11"/>
  <c r="AG721" i="11" s="1"/>
  <c r="AF722" i="11"/>
  <c r="AG722" i="11" s="1"/>
  <c r="AF723" i="11"/>
  <c r="AG723" i="11" s="1"/>
  <c r="AF724" i="11"/>
  <c r="AG724" i="11" s="1"/>
  <c r="AF725" i="11"/>
  <c r="AG725" i="11" s="1"/>
  <c r="AF726" i="11"/>
  <c r="AG726" i="11" s="1"/>
  <c r="AF727" i="11"/>
  <c r="AG727" i="11" s="1"/>
  <c r="AF728" i="11"/>
  <c r="AG728" i="11" s="1"/>
  <c r="AF729" i="11"/>
  <c r="AG729" i="11" s="1"/>
  <c r="AF730" i="11"/>
  <c r="AG730" i="11" s="1"/>
  <c r="AF731" i="11"/>
  <c r="AG731" i="11" s="1"/>
  <c r="AF732" i="11"/>
  <c r="AG732" i="11" s="1"/>
  <c r="AF733" i="11"/>
  <c r="AG733" i="11" s="1"/>
  <c r="AF734" i="11"/>
  <c r="AG734" i="11" s="1"/>
  <c r="AF735" i="11"/>
  <c r="AG735" i="11" s="1"/>
  <c r="AF736" i="11"/>
  <c r="AG736" i="11" s="1"/>
  <c r="AF737" i="11"/>
  <c r="AG737" i="11" s="1"/>
  <c r="AF738" i="11"/>
  <c r="AG738" i="11" s="1"/>
  <c r="AF739" i="11"/>
  <c r="AG739" i="11" s="1"/>
  <c r="AF740" i="11"/>
  <c r="AG740" i="11" s="1"/>
  <c r="AF741" i="11"/>
  <c r="AG741" i="11" s="1"/>
  <c r="AF742" i="11"/>
  <c r="AG742" i="11" s="1"/>
  <c r="AF743" i="11"/>
  <c r="AG743" i="11" s="1"/>
  <c r="AF744" i="11"/>
  <c r="AG744" i="11" s="1"/>
  <c r="AF745" i="11"/>
  <c r="AG745" i="11" s="1"/>
  <c r="AF746" i="11"/>
  <c r="AG746" i="11" s="1"/>
  <c r="AF747" i="11"/>
  <c r="AG747" i="11" s="1"/>
  <c r="AF748" i="11"/>
  <c r="AG748" i="11" s="1"/>
  <c r="AF749" i="11"/>
  <c r="AG749" i="11" s="1"/>
  <c r="AF750" i="11"/>
  <c r="AG750" i="11" s="1"/>
  <c r="AF751" i="11"/>
  <c r="AG751" i="11" s="1"/>
  <c r="AF752" i="11"/>
  <c r="AG752" i="11" s="1"/>
  <c r="AF753" i="11"/>
  <c r="AG753" i="11" s="1"/>
  <c r="AF754" i="11"/>
  <c r="AG754" i="11" s="1"/>
  <c r="AF755" i="11"/>
  <c r="AG755" i="11" s="1"/>
  <c r="AF756" i="11"/>
  <c r="AG756" i="11" s="1"/>
  <c r="AF757" i="11"/>
  <c r="AG757" i="11" s="1"/>
  <c r="AF758" i="11"/>
  <c r="AG758" i="11" s="1"/>
  <c r="AF759" i="11"/>
  <c r="AG759" i="11" s="1"/>
  <c r="AF760" i="11"/>
  <c r="AG760" i="11" s="1"/>
  <c r="AF761" i="11"/>
  <c r="AG761" i="11" s="1"/>
  <c r="AF762" i="11"/>
  <c r="AG762" i="11" s="1"/>
  <c r="AF763" i="11"/>
  <c r="AG763" i="11" s="1"/>
  <c r="AF764" i="11"/>
  <c r="AG764" i="11" s="1"/>
  <c r="AF765" i="11"/>
  <c r="AG765" i="11" s="1"/>
  <c r="AF766" i="11"/>
  <c r="AG766" i="11" s="1"/>
  <c r="AF767" i="11"/>
  <c r="AG767" i="11" s="1"/>
  <c r="AF768" i="11"/>
  <c r="AG768" i="11" s="1"/>
  <c r="AF769" i="11"/>
  <c r="AG769" i="11" s="1"/>
  <c r="AF770" i="11"/>
  <c r="AG770" i="11" s="1"/>
  <c r="AF771" i="11"/>
  <c r="AG771" i="11" s="1"/>
  <c r="AF772" i="11"/>
  <c r="AG772" i="11" s="1"/>
  <c r="AF773" i="11"/>
  <c r="AG773" i="11" s="1"/>
  <c r="AF774" i="11"/>
  <c r="AG774" i="11" s="1"/>
  <c r="AF775" i="11"/>
  <c r="AG775" i="11" s="1"/>
  <c r="AF776" i="11"/>
  <c r="AG776" i="11" s="1"/>
  <c r="AF777" i="11"/>
  <c r="AG777" i="11" s="1"/>
  <c r="AF778" i="11"/>
  <c r="AG778" i="11" s="1"/>
  <c r="AF779" i="11"/>
  <c r="AG779" i="11" s="1"/>
  <c r="AF780" i="11"/>
  <c r="AG780" i="11" s="1"/>
  <c r="AF781" i="11"/>
  <c r="AG781" i="11" s="1"/>
  <c r="AF782" i="11"/>
  <c r="AG782" i="11" s="1"/>
  <c r="AF783" i="11"/>
  <c r="AG783" i="11" s="1"/>
  <c r="AF784" i="11"/>
  <c r="AG784" i="11" s="1"/>
  <c r="AF785" i="11"/>
  <c r="AG785" i="11" s="1"/>
  <c r="AF786" i="11"/>
  <c r="AG786" i="11" s="1"/>
  <c r="AF787" i="11"/>
  <c r="AG787" i="11" s="1"/>
  <c r="AF788" i="11"/>
  <c r="AG788" i="11" s="1"/>
  <c r="AF789" i="11"/>
  <c r="AG789" i="11" s="1"/>
  <c r="AF790" i="11"/>
  <c r="AG790" i="11" s="1"/>
  <c r="AF791" i="11"/>
  <c r="AG791" i="11" s="1"/>
  <c r="AF792" i="11"/>
  <c r="AG792" i="11" s="1"/>
  <c r="AF793" i="11"/>
  <c r="AG793" i="11" s="1"/>
  <c r="AF794" i="11"/>
  <c r="AG794" i="11" s="1"/>
  <c r="AF795" i="11"/>
  <c r="AG795" i="11" s="1"/>
  <c r="AF796" i="11"/>
  <c r="AG796" i="11" s="1"/>
  <c r="AF797" i="11"/>
  <c r="AG797" i="11" s="1"/>
  <c r="AF798" i="11"/>
  <c r="AG798" i="11" s="1"/>
  <c r="AF799" i="11"/>
  <c r="AG799" i="11" s="1"/>
  <c r="AF800" i="11"/>
  <c r="AG800" i="11" s="1"/>
  <c r="AF801" i="11"/>
  <c r="AG801" i="11" s="1"/>
  <c r="AF802" i="11"/>
  <c r="AG802" i="11" s="1"/>
  <c r="AF803" i="11"/>
  <c r="AG803" i="11" s="1"/>
  <c r="AF804" i="11"/>
  <c r="AG804" i="11" s="1"/>
  <c r="AF805" i="11"/>
  <c r="AG805" i="11" s="1"/>
  <c r="AF806" i="11"/>
  <c r="AG806" i="11" s="1"/>
  <c r="AF807" i="11"/>
  <c r="AG807" i="11" s="1"/>
  <c r="AF808" i="11"/>
  <c r="AG808" i="11" s="1"/>
  <c r="AF809" i="11"/>
  <c r="AG809" i="11" s="1"/>
  <c r="AF810" i="11"/>
  <c r="AG810" i="11" s="1"/>
  <c r="AF811" i="11"/>
  <c r="AG811" i="11" s="1"/>
  <c r="AF812" i="11"/>
  <c r="AG812" i="11" s="1"/>
  <c r="AF813" i="11"/>
  <c r="AG813" i="11" s="1"/>
  <c r="AF814" i="11"/>
  <c r="AG814" i="11" s="1"/>
  <c r="AF815" i="11"/>
  <c r="AG815" i="11" s="1"/>
  <c r="AF816" i="11"/>
  <c r="AG816" i="11" s="1"/>
  <c r="AF817" i="11"/>
  <c r="AG817" i="11" s="1"/>
  <c r="AF818" i="11"/>
  <c r="AG818" i="11" s="1"/>
  <c r="AF819" i="11"/>
  <c r="AG819" i="11" s="1"/>
  <c r="AF820" i="11"/>
  <c r="AG820" i="11" s="1"/>
  <c r="AF821" i="11"/>
  <c r="AG821" i="11" s="1"/>
  <c r="AF822" i="11"/>
  <c r="AG822" i="11" s="1"/>
  <c r="AF823" i="11"/>
  <c r="AG823" i="11" s="1"/>
  <c r="AF824" i="11"/>
  <c r="AG824" i="11" s="1"/>
  <c r="AF825" i="11"/>
  <c r="AG825" i="11" s="1"/>
  <c r="AF826" i="11"/>
  <c r="AG826" i="11" s="1"/>
  <c r="AF827" i="11"/>
  <c r="AG827" i="11" s="1"/>
  <c r="AF828" i="11"/>
  <c r="AG828" i="11" s="1"/>
  <c r="AF829" i="11"/>
  <c r="AG829" i="11" s="1"/>
  <c r="AF830" i="11"/>
  <c r="AG830" i="11" s="1"/>
  <c r="AF831" i="11"/>
  <c r="AG831" i="11" s="1"/>
  <c r="AF832" i="11"/>
  <c r="AG832" i="11" s="1"/>
  <c r="AF833" i="11"/>
  <c r="AG833" i="11" s="1"/>
  <c r="AF834" i="11"/>
  <c r="AG834" i="11" s="1"/>
  <c r="AF835" i="11"/>
  <c r="AG835" i="11" s="1"/>
  <c r="AF836" i="11"/>
  <c r="AG836" i="11" s="1"/>
  <c r="AF837" i="11"/>
  <c r="AG837" i="11" s="1"/>
  <c r="AF838" i="11"/>
  <c r="AG838" i="11" s="1"/>
  <c r="AF839" i="11"/>
  <c r="AG839" i="11" s="1"/>
  <c r="AF840" i="11"/>
  <c r="AG840" i="11" s="1"/>
  <c r="AF841" i="11"/>
  <c r="AG841" i="11" s="1"/>
  <c r="AF842" i="11"/>
  <c r="AG842" i="11" s="1"/>
  <c r="AF843" i="11"/>
  <c r="AG843" i="11" s="1"/>
  <c r="AF844" i="11"/>
  <c r="AG844" i="11" s="1"/>
  <c r="AF845" i="11"/>
  <c r="AG845" i="11" s="1"/>
  <c r="AF846" i="11"/>
  <c r="AG846" i="11" s="1"/>
  <c r="AF847" i="11"/>
  <c r="AG847" i="11" s="1"/>
  <c r="AF848" i="11"/>
  <c r="AG848" i="11" s="1"/>
  <c r="AF849" i="11"/>
  <c r="AG849" i="11" s="1"/>
  <c r="AF850" i="11"/>
  <c r="AG850" i="11" s="1"/>
  <c r="AF851" i="11"/>
  <c r="AG851" i="11" s="1"/>
  <c r="AF852" i="11"/>
  <c r="AG852" i="11" s="1"/>
  <c r="AF853" i="11"/>
  <c r="AG853" i="11" s="1"/>
  <c r="AF854" i="11"/>
  <c r="AG854" i="11" s="1"/>
  <c r="AF855" i="11"/>
  <c r="AG855" i="11" s="1"/>
  <c r="AF856" i="11"/>
  <c r="AG856" i="11" s="1"/>
  <c r="AF857" i="11"/>
  <c r="AG857" i="11" s="1"/>
  <c r="AF858" i="11"/>
  <c r="AG858" i="11" s="1"/>
  <c r="AF859" i="11"/>
  <c r="AG859" i="11" s="1"/>
  <c r="AF860" i="11"/>
  <c r="AG860" i="11" s="1"/>
  <c r="AF861" i="11"/>
  <c r="AG861" i="11" s="1"/>
  <c r="AF862" i="11"/>
  <c r="AG862" i="11" s="1"/>
  <c r="AF863" i="11"/>
  <c r="AG863" i="11" s="1"/>
  <c r="AF864" i="11"/>
  <c r="AG864" i="11" s="1"/>
  <c r="AF865" i="11"/>
  <c r="AG865" i="11" s="1"/>
  <c r="AF866" i="11"/>
  <c r="AG866" i="11" s="1"/>
  <c r="AF867" i="11"/>
  <c r="AG867" i="11" s="1"/>
  <c r="AF868" i="11"/>
  <c r="AG868" i="11" s="1"/>
  <c r="AF869" i="11"/>
  <c r="AG869" i="11" s="1"/>
  <c r="AF870" i="11"/>
  <c r="AG870" i="11" s="1"/>
  <c r="AF871" i="11"/>
  <c r="AG871" i="11" s="1"/>
  <c r="AF872" i="11"/>
  <c r="AG872" i="11" s="1"/>
  <c r="AF873" i="11"/>
  <c r="AG873" i="11" s="1"/>
  <c r="AF874" i="11"/>
  <c r="AG874" i="11" s="1"/>
  <c r="AF875" i="11"/>
  <c r="AG875" i="11" s="1"/>
  <c r="AF876" i="11"/>
  <c r="AG876" i="11" s="1"/>
  <c r="AF877" i="11"/>
  <c r="AG877" i="11" s="1"/>
  <c r="AF878" i="11"/>
  <c r="AG878" i="11" s="1"/>
  <c r="AF879" i="11"/>
  <c r="AG879" i="11" s="1"/>
  <c r="AF880" i="11"/>
  <c r="AG880" i="11" s="1"/>
  <c r="AF881" i="11"/>
  <c r="AG881" i="11" s="1"/>
  <c r="AF882" i="11"/>
  <c r="AG882" i="11" s="1"/>
  <c r="AF883" i="11"/>
  <c r="AG883" i="11" s="1"/>
  <c r="AF884" i="11"/>
  <c r="AG884" i="11" s="1"/>
  <c r="AF885" i="11"/>
  <c r="AG885" i="11" s="1"/>
  <c r="AF886" i="11"/>
  <c r="AG886" i="11" s="1"/>
  <c r="AF887" i="11"/>
  <c r="AG887" i="11" s="1"/>
  <c r="AF888" i="11"/>
  <c r="AG888" i="11" s="1"/>
  <c r="AF889" i="11"/>
  <c r="AG889" i="11" s="1"/>
  <c r="AF890" i="11"/>
  <c r="AG890" i="11" s="1"/>
  <c r="AF891" i="11"/>
  <c r="AG891" i="11" s="1"/>
  <c r="AF892" i="11"/>
  <c r="AG892" i="11" s="1"/>
  <c r="AF893" i="11"/>
  <c r="AG893" i="11" s="1"/>
  <c r="AF894" i="11"/>
  <c r="AG894" i="11" s="1"/>
  <c r="AF895" i="11"/>
  <c r="AG895" i="11" s="1"/>
  <c r="AF896" i="11"/>
  <c r="AG896" i="11" s="1"/>
  <c r="AF897" i="11"/>
  <c r="AG897" i="11" s="1"/>
  <c r="AF898" i="11"/>
  <c r="AG898" i="11" s="1"/>
  <c r="AF899" i="11"/>
  <c r="AG899" i="11" s="1"/>
  <c r="AF900" i="11"/>
  <c r="AG900" i="11" s="1"/>
  <c r="AF901" i="11"/>
  <c r="AG901" i="11" s="1"/>
  <c r="AF902" i="11"/>
  <c r="AG902" i="11" s="1"/>
  <c r="AF903" i="11"/>
  <c r="AG903" i="11" s="1"/>
  <c r="AF904" i="11"/>
  <c r="AG904" i="11" s="1"/>
  <c r="AF905" i="11"/>
  <c r="AG905" i="11" s="1"/>
  <c r="AF906" i="11"/>
  <c r="AG906" i="11" s="1"/>
  <c r="AF907" i="11"/>
  <c r="AG907" i="11" s="1"/>
  <c r="AF908" i="11"/>
  <c r="AG908" i="11" s="1"/>
  <c r="AF909" i="11"/>
  <c r="AG909" i="11" s="1"/>
  <c r="AF910" i="11"/>
  <c r="AG910" i="11" s="1"/>
  <c r="AF911" i="11"/>
  <c r="AG911" i="11" s="1"/>
  <c r="AF912" i="11"/>
  <c r="AG912" i="11" s="1"/>
  <c r="AF913" i="11"/>
  <c r="AG913" i="11" s="1"/>
  <c r="AF914" i="11"/>
  <c r="AG914" i="11" s="1"/>
  <c r="AF915" i="11"/>
  <c r="AG915" i="11" s="1"/>
  <c r="AF916" i="11"/>
  <c r="AG916" i="11" s="1"/>
  <c r="AF917" i="11"/>
  <c r="AG917" i="11" s="1"/>
  <c r="AF918" i="11"/>
  <c r="AG918" i="11" s="1"/>
  <c r="AF919" i="11"/>
  <c r="AG919" i="11" s="1"/>
  <c r="AF920" i="11"/>
  <c r="AG920" i="11" s="1"/>
  <c r="AF921" i="11"/>
  <c r="AG921" i="11" s="1"/>
  <c r="AF922" i="11"/>
  <c r="AG922" i="11" s="1"/>
  <c r="AF923" i="11"/>
  <c r="AG923" i="11" s="1"/>
  <c r="AF924" i="11"/>
  <c r="AG924" i="11" s="1"/>
  <c r="AF925" i="11"/>
  <c r="AG925" i="11" s="1"/>
  <c r="AF926" i="11"/>
  <c r="AG926" i="11" s="1"/>
  <c r="AF927" i="11"/>
  <c r="AG927" i="11" s="1"/>
  <c r="AF928" i="11"/>
  <c r="AG928" i="11" s="1"/>
  <c r="AF929" i="11"/>
  <c r="AG929" i="11" s="1"/>
  <c r="AF930" i="11"/>
  <c r="AG930" i="11" s="1"/>
  <c r="AF931" i="11"/>
  <c r="AG931" i="11" s="1"/>
  <c r="AF932" i="11"/>
  <c r="AG932" i="11" s="1"/>
  <c r="AF933" i="11"/>
  <c r="AG933" i="11" s="1"/>
  <c r="AF934" i="11"/>
  <c r="AG934" i="11" s="1"/>
  <c r="AF935" i="11"/>
  <c r="AG935" i="11" s="1"/>
  <c r="AF936" i="11"/>
  <c r="AG936" i="11" s="1"/>
  <c r="AF937" i="11"/>
  <c r="AG937" i="11" s="1"/>
  <c r="AF938" i="11"/>
  <c r="AG938" i="11" s="1"/>
  <c r="AF939" i="11"/>
  <c r="AG939" i="11" s="1"/>
  <c r="AF940" i="11"/>
  <c r="AG940" i="11" s="1"/>
  <c r="AF941" i="11"/>
  <c r="AG941" i="11" s="1"/>
  <c r="AF942" i="11"/>
  <c r="AG942" i="11" s="1"/>
  <c r="AF943" i="11"/>
  <c r="AG943" i="11" s="1"/>
  <c r="AF944" i="11"/>
  <c r="AG944" i="11" s="1"/>
  <c r="AF881" i="10"/>
  <c r="AF882" i="10"/>
  <c r="AF883" i="10"/>
  <c r="AG883" i="10" s="1"/>
  <c r="AF884" i="10"/>
  <c r="AF885" i="10"/>
  <c r="AF886" i="10"/>
  <c r="AG886" i="10" s="1"/>
  <c r="AF887" i="10"/>
  <c r="AF888" i="10"/>
  <c r="AF889" i="10"/>
  <c r="AG889" i="10" s="1"/>
  <c r="AF890" i="10"/>
  <c r="AF891" i="10"/>
  <c r="AF892" i="10"/>
  <c r="AG892" i="10" s="1"/>
  <c r="AF893" i="10"/>
  <c r="AF894" i="10"/>
  <c r="AF895" i="10"/>
  <c r="AG895" i="10" s="1"/>
  <c r="AF896" i="10"/>
  <c r="AF897" i="10"/>
  <c r="AF898" i="10"/>
  <c r="AG898" i="10" s="1"/>
  <c r="AF899" i="10"/>
  <c r="AF900" i="10"/>
  <c r="AF901" i="10"/>
  <c r="AG901" i="10" s="1"/>
  <c r="AF902" i="10"/>
  <c r="AF903" i="10"/>
  <c r="AF904" i="10"/>
  <c r="AG904" i="10" s="1"/>
  <c r="AF905" i="10"/>
  <c r="AF906" i="10"/>
  <c r="AF907" i="10"/>
  <c r="AG907" i="10" s="1"/>
  <c r="AF908" i="10"/>
  <c r="AF909" i="10"/>
  <c r="AF910" i="10"/>
  <c r="AG910" i="10" s="1"/>
  <c r="AF911" i="10"/>
  <c r="AF912" i="10"/>
  <c r="AF913" i="10"/>
  <c r="AG913" i="10" s="1"/>
  <c r="AF914" i="10"/>
  <c r="AF915" i="10"/>
  <c r="AF916" i="10"/>
  <c r="AG916" i="10" s="1"/>
  <c r="AF917" i="10"/>
  <c r="AF918" i="10"/>
  <c r="AF919" i="10"/>
  <c r="AG919" i="10" s="1"/>
  <c r="AF920" i="10"/>
  <c r="AF921" i="10"/>
  <c r="AF922" i="10"/>
  <c r="AG922" i="10" s="1"/>
  <c r="AF3" i="10"/>
  <c r="AF4" i="10"/>
  <c r="AF5" i="10"/>
  <c r="AF6" i="10"/>
  <c r="AF7" i="10"/>
  <c r="AF8" i="10"/>
  <c r="AG8" i="10" s="1"/>
  <c r="AF9" i="10"/>
  <c r="AF10" i="10"/>
  <c r="AF11" i="10"/>
  <c r="AF12" i="10"/>
  <c r="AF13" i="10"/>
  <c r="AF14" i="10"/>
  <c r="AG14" i="10" s="1"/>
  <c r="AF15" i="10"/>
  <c r="AF16" i="10"/>
  <c r="AF17" i="10"/>
  <c r="AF18" i="10"/>
  <c r="AF19" i="10"/>
  <c r="AF20" i="10"/>
  <c r="AG20" i="10" s="1"/>
  <c r="AF21" i="10"/>
  <c r="AF22" i="10"/>
  <c r="AF23" i="10"/>
  <c r="AF24" i="10"/>
  <c r="AF25" i="10"/>
  <c r="AF26" i="10"/>
  <c r="AG26" i="10" s="1"/>
  <c r="AF27" i="10"/>
  <c r="AF28" i="10"/>
  <c r="AF29" i="10"/>
  <c r="AF30" i="10"/>
  <c r="AF31" i="10"/>
  <c r="AF32" i="10"/>
  <c r="AG32" i="10" s="1"/>
  <c r="AF33" i="10"/>
  <c r="AF34" i="10"/>
  <c r="AF35" i="10"/>
  <c r="AF36" i="10"/>
  <c r="AF37" i="10"/>
  <c r="AF38" i="10"/>
  <c r="AG38" i="10" s="1"/>
  <c r="AF39" i="10"/>
  <c r="AF40" i="10"/>
  <c r="AF41" i="10"/>
  <c r="AF42" i="10"/>
  <c r="AF43" i="10"/>
  <c r="AF44" i="10"/>
  <c r="AG44" i="10" s="1"/>
  <c r="AF45" i="10"/>
  <c r="AF46" i="10"/>
  <c r="AF47" i="10"/>
  <c r="AF48" i="10"/>
  <c r="AF49" i="10"/>
  <c r="AF50" i="10"/>
  <c r="AG50" i="10" s="1"/>
  <c r="AF51" i="10"/>
  <c r="AF52" i="10"/>
  <c r="AF53" i="10"/>
  <c r="AF54" i="10"/>
  <c r="AF55" i="10"/>
  <c r="AF56" i="10"/>
  <c r="AG56" i="10" s="1"/>
  <c r="AF57" i="10"/>
  <c r="AF58" i="10"/>
  <c r="AF59" i="10"/>
  <c r="AF60" i="10"/>
  <c r="AF61" i="10"/>
  <c r="AF62" i="10"/>
  <c r="AG62" i="10" s="1"/>
  <c r="AF63" i="10"/>
  <c r="AF64" i="10"/>
  <c r="AF65" i="10"/>
  <c r="AF66" i="10"/>
  <c r="AF67" i="10"/>
  <c r="AG67" i="10" s="1"/>
  <c r="AF68" i="10"/>
  <c r="AF69" i="10"/>
  <c r="AF70" i="10"/>
  <c r="AF71" i="10"/>
  <c r="AF72" i="10"/>
  <c r="AF73" i="10"/>
  <c r="AG73" i="10" s="1"/>
  <c r="AF74" i="10"/>
  <c r="AF75" i="10"/>
  <c r="AF76" i="10"/>
  <c r="AF77" i="10"/>
  <c r="AF78" i="10"/>
  <c r="AF79" i="10"/>
  <c r="AG79" i="10" s="1"/>
  <c r="AF80" i="10"/>
  <c r="AF81" i="10"/>
  <c r="AF82" i="10"/>
  <c r="AF83" i="10"/>
  <c r="AF84" i="10"/>
  <c r="AF85" i="10"/>
  <c r="AG85" i="10" s="1"/>
  <c r="AF86" i="10"/>
  <c r="AF87" i="10"/>
  <c r="AF88" i="10"/>
  <c r="AF89" i="10"/>
  <c r="AF90" i="10"/>
  <c r="AF91" i="10"/>
  <c r="AG91" i="10" s="1"/>
  <c r="AF92" i="10"/>
  <c r="AF93" i="10"/>
  <c r="AF94" i="10"/>
  <c r="AF95" i="10"/>
  <c r="AF96" i="10"/>
  <c r="AF97" i="10"/>
  <c r="AG97" i="10" s="1"/>
  <c r="AF98" i="10"/>
  <c r="AF99" i="10"/>
  <c r="AF100" i="10"/>
  <c r="AF101" i="10"/>
  <c r="AF102" i="10"/>
  <c r="AF103" i="10"/>
  <c r="AG103" i="10" s="1"/>
  <c r="AF104" i="10"/>
  <c r="AF105" i="10"/>
  <c r="AF106" i="10"/>
  <c r="AF107" i="10"/>
  <c r="AF108" i="10"/>
  <c r="AF109" i="10"/>
  <c r="AG109" i="10" s="1"/>
  <c r="AF110" i="10"/>
  <c r="AF111" i="10"/>
  <c r="AF112" i="10"/>
  <c r="AF113" i="10"/>
  <c r="AF114" i="10"/>
  <c r="AF115" i="10"/>
  <c r="AG115" i="10" s="1"/>
  <c r="AF116" i="10"/>
  <c r="AF117" i="10"/>
  <c r="AF118" i="10"/>
  <c r="AF119" i="10"/>
  <c r="AF120" i="10"/>
  <c r="AF121" i="10"/>
  <c r="AG121" i="10" s="1"/>
  <c r="AF124" i="10"/>
  <c r="AF126" i="10"/>
  <c r="AF127" i="10"/>
  <c r="AG127" i="10" s="1"/>
  <c r="AF128" i="10"/>
  <c r="AF129" i="10"/>
  <c r="AF130" i="10"/>
  <c r="AF131" i="10"/>
  <c r="AF132" i="10"/>
  <c r="AF133" i="10"/>
  <c r="AG133" i="10" s="1"/>
  <c r="AF134" i="10"/>
  <c r="AF135" i="10"/>
  <c r="AF136" i="10"/>
  <c r="AF137" i="10"/>
  <c r="AF138" i="10"/>
  <c r="AF139" i="10"/>
  <c r="AG139" i="10" s="1"/>
  <c r="AF140" i="10"/>
  <c r="AF141" i="10"/>
  <c r="AF142" i="10"/>
  <c r="AF143" i="10"/>
  <c r="AF144" i="10"/>
  <c r="AF145" i="10"/>
  <c r="AG145" i="10" s="1"/>
  <c r="AF146" i="10"/>
  <c r="AF147" i="10"/>
  <c r="AF148" i="10"/>
  <c r="AF149" i="10"/>
  <c r="AF150" i="10"/>
  <c r="AF151" i="10"/>
  <c r="AG151" i="10" s="1"/>
  <c r="AF152" i="10"/>
  <c r="AF153" i="10"/>
  <c r="AF154" i="10"/>
  <c r="AF155" i="10"/>
  <c r="AF156" i="10"/>
  <c r="AF157" i="10"/>
  <c r="AG157" i="10" s="1"/>
  <c r="AF158" i="10"/>
  <c r="AF159" i="10"/>
  <c r="AF160" i="10"/>
  <c r="AF161" i="10"/>
  <c r="AF162" i="10"/>
  <c r="AF163" i="10"/>
  <c r="AG163" i="10" s="1"/>
  <c r="AF164" i="10"/>
  <c r="AF165" i="10"/>
  <c r="AF166" i="10"/>
  <c r="AF167" i="10"/>
  <c r="AF168" i="10"/>
  <c r="AF169" i="10"/>
  <c r="AG169" i="10" s="1"/>
  <c r="AF170" i="10"/>
  <c r="AF171" i="10"/>
  <c r="AF172" i="10"/>
  <c r="AF173" i="10"/>
  <c r="AF174" i="10"/>
  <c r="AF175" i="10"/>
  <c r="AG175" i="10" s="1"/>
  <c r="AF176" i="10"/>
  <c r="AF177" i="10"/>
  <c r="AF178" i="10"/>
  <c r="AF179" i="10"/>
  <c r="AF180" i="10"/>
  <c r="AF181" i="10"/>
  <c r="AG181" i="10" s="1"/>
  <c r="AF182" i="10"/>
  <c r="AF183" i="10"/>
  <c r="AF184" i="10"/>
  <c r="AF185" i="10"/>
  <c r="AF186" i="10"/>
  <c r="AF187" i="10"/>
  <c r="AG187" i="10" s="1"/>
  <c r="AF188" i="10"/>
  <c r="AF189" i="10"/>
  <c r="AF190" i="10"/>
  <c r="AF191" i="10"/>
  <c r="AF192" i="10"/>
  <c r="AF193" i="10"/>
  <c r="AG193" i="10" s="1"/>
  <c r="AF194" i="10"/>
  <c r="AF195" i="10"/>
  <c r="AF196" i="10"/>
  <c r="AF197" i="10"/>
  <c r="AG204" i="10"/>
  <c r="AG210" i="10"/>
  <c r="AG216" i="10"/>
  <c r="AG222" i="10"/>
  <c r="AF228" i="10"/>
  <c r="AG228" i="10" s="1"/>
  <c r="AF229" i="10"/>
  <c r="AF230" i="10"/>
  <c r="AF231" i="10"/>
  <c r="AF232" i="10"/>
  <c r="AF233" i="10"/>
  <c r="AF234" i="10"/>
  <c r="AG234" i="10" s="1"/>
  <c r="AF235" i="10"/>
  <c r="AF236" i="10"/>
  <c r="AF237" i="10"/>
  <c r="AF238" i="10"/>
  <c r="AF239" i="10"/>
  <c r="AF240" i="10"/>
  <c r="AG240" i="10" s="1"/>
  <c r="AF241" i="10"/>
  <c r="AF242" i="10"/>
  <c r="AF243" i="10"/>
  <c r="AF244" i="10"/>
  <c r="AF245" i="10"/>
  <c r="AF246" i="10"/>
  <c r="AG246" i="10" s="1"/>
  <c r="AF247" i="10"/>
  <c r="AF248" i="10"/>
  <c r="AF249" i="10"/>
  <c r="AF250" i="10"/>
  <c r="AF251" i="10"/>
  <c r="AF252" i="10"/>
  <c r="AG252" i="10" s="1"/>
  <c r="AF253" i="10"/>
  <c r="AF254" i="10"/>
  <c r="AF255" i="10"/>
  <c r="AF256" i="10"/>
  <c r="AF257" i="10"/>
  <c r="AF258" i="10"/>
  <c r="AG258" i="10" s="1"/>
  <c r="AF259" i="10"/>
  <c r="AF260" i="10"/>
  <c r="AF261" i="10"/>
  <c r="AG261" i="10" s="1"/>
  <c r="AF262" i="10"/>
  <c r="AF263" i="10"/>
  <c r="AF264" i="10"/>
  <c r="AG264" i="10" s="1"/>
  <c r="AF265" i="10"/>
  <c r="AF266" i="10"/>
  <c r="AF267" i="10"/>
  <c r="AF268" i="10"/>
  <c r="AF269" i="10"/>
  <c r="AF270" i="10"/>
  <c r="AG270" i="10" s="1"/>
  <c r="AF271" i="10"/>
  <c r="AF272" i="10"/>
  <c r="AF273" i="10"/>
  <c r="AG273" i="10" s="1"/>
  <c r="AF274" i="10"/>
  <c r="AF275" i="10"/>
  <c r="AF276" i="10"/>
  <c r="AG276" i="10" s="1"/>
  <c r="AF277" i="10"/>
  <c r="AF278" i="10"/>
  <c r="AF279" i="10"/>
  <c r="AF280" i="10"/>
  <c r="AF281" i="10"/>
  <c r="AF282" i="10"/>
  <c r="AG282" i="10" s="1"/>
  <c r="AF283" i="10"/>
  <c r="AF284" i="10"/>
  <c r="AF285" i="10"/>
  <c r="AF286" i="10"/>
  <c r="AF287" i="10"/>
  <c r="AF288" i="10"/>
  <c r="AG288" i="10" s="1"/>
  <c r="AF289" i="10"/>
  <c r="AF290" i="10"/>
  <c r="AF291" i="10"/>
  <c r="AF292" i="10"/>
  <c r="AF293" i="10"/>
  <c r="AF294" i="10"/>
  <c r="AG294" i="10" s="1"/>
  <c r="AF295" i="10"/>
  <c r="AF296" i="10"/>
  <c r="AF298" i="10"/>
  <c r="AF299" i="10"/>
  <c r="AF300" i="10"/>
  <c r="AG300" i="10" s="1"/>
  <c r="AF301" i="10"/>
  <c r="AF302" i="10"/>
  <c r="AF303" i="10"/>
  <c r="AF304" i="10"/>
  <c r="AF305" i="10"/>
  <c r="AF306" i="10"/>
  <c r="AG306" i="10" s="1"/>
  <c r="AF307" i="10"/>
  <c r="AF308" i="10"/>
  <c r="AF309" i="10"/>
  <c r="AF310" i="10"/>
  <c r="AF311" i="10"/>
  <c r="AG311" i="10" s="1"/>
  <c r="AF312" i="10"/>
  <c r="AF313" i="10"/>
  <c r="AF314" i="10"/>
  <c r="AF315" i="10"/>
  <c r="AF316" i="10"/>
  <c r="AF317" i="10"/>
  <c r="AG317" i="10" s="1"/>
  <c r="AF318" i="10"/>
  <c r="AF319" i="10"/>
  <c r="AF321" i="10"/>
  <c r="AF322" i="10"/>
  <c r="AG322" i="10" s="1"/>
  <c r="AF323" i="10"/>
  <c r="AG323" i="10" s="1"/>
  <c r="AF324" i="10"/>
  <c r="AF325" i="10"/>
  <c r="AF326" i="10"/>
  <c r="AF327" i="10"/>
  <c r="AF328" i="10"/>
  <c r="AG328" i="10" s="1"/>
  <c r="AF329" i="10"/>
  <c r="AF330" i="10"/>
  <c r="AF331" i="10"/>
  <c r="AF332" i="10"/>
  <c r="AG332" i="10" s="1"/>
  <c r="AF333" i="10"/>
  <c r="AF334" i="10"/>
  <c r="AF335" i="10"/>
  <c r="AF336" i="10"/>
  <c r="AF337" i="10"/>
  <c r="AF338" i="10"/>
  <c r="AF339" i="10"/>
  <c r="AF340" i="10"/>
  <c r="AG340" i="10" s="1"/>
  <c r="AF341" i="10"/>
  <c r="AF343" i="10"/>
  <c r="AF344" i="10"/>
  <c r="AG344" i="10" s="1"/>
  <c r="AF345" i="10"/>
  <c r="AF346" i="10"/>
  <c r="AF347" i="10"/>
  <c r="AF348" i="10"/>
  <c r="AF349" i="10"/>
  <c r="AF350" i="10"/>
  <c r="AG350" i="10" s="1"/>
  <c r="AF351" i="10"/>
  <c r="AF352" i="10"/>
  <c r="AF353" i="10"/>
  <c r="AF354" i="10"/>
  <c r="AF355" i="10"/>
  <c r="AF356" i="10"/>
  <c r="AG356" i="10" s="1"/>
  <c r="AF357" i="10"/>
  <c r="AF358" i="10"/>
  <c r="AF359" i="10"/>
  <c r="AG359" i="10" s="1"/>
  <c r="AF360" i="10"/>
  <c r="AF361" i="10"/>
  <c r="AF362" i="10"/>
  <c r="AF363" i="10"/>
  <c r="AF364" i="10"/>
  <c r="AF365" i="10"/>
  <c r="AG365" i="10" s="1"/>
  <c r="AF366" i="10"/>
  <c r="AF367" i="10"/>
  <c r="AF368" i="10"/>
  <c r="AF369" i="10"/>
  <c r="AF371" i="10"/>
  <c r="AG371" i="10" s="1"/>
  <c r="AF372" i="10"/>
  <c r="AF373" i="10"/>
  <c r="AF374" i="10"/>
  <c r="AF375" i="10"/>
  <c r="AF376" i="10"/>
  <c r="AF377" i="10"/>
  <c r="AG377" i="10" s="1"/>
  <c r="AF378" i="10"/>
  <c r="AF379" i="10"/>
  <c r="AF380" i="10"/>
  <c r="AF381" i="10"/>
  <c r="AF382" i="10"/>
  <c r="AF383" i="10"/>
  <c r="AG383" i="10" s="1"/>
  <c r="AF384" i="10"/>
  <c r="AF385" i="10"/>
  <c r="AF386" i="10"/>
  <c r="AF388" i="10"/>
  <c r="AF389" i="10"/>
  <c r="AG389" i="10" s="1"/>
  <c r="AF390" i="10"/>
  <c r="AF391" i="10"/>
  <c r="AF392" i="10"/>
  <c r="AF393" i="10"/>
  <c r="AF394" i="10"/>
  <c r="AF395" i="10"/>
  <c r="AG395" i="10" s="1"/>
  <c r="AF397" i="10"/>
  <c r="AF400" i="10"/>
  <c r="AF401" i="10"/>
  <c r="AG401" i="10" s="1"/>
  <c r="AF402" i="10"/>
  <c r="AF403" i="10"/>
  <c r="AF404" i="10"/>
  <c r="AF405" i="10"/>
  <c r="AF406" i="10"/>
  <c r="AF407" i="10"/>
  <c r="AG407" i="10" s="1"/>
  <c r="AF408" i="10"/>
  <c r="AF409" i="10"/>
  <c r="AF410" i="10"/>
  <c r="AF411" i="10"/>
  <c r="AF412" i="10"/>
  <c r="AF413" i="10"/>
  <c r="AG413" i="10" s="1"/>
  <c r="AF414" i="10"/>
  <c r="AF416" i="10"/>
  <c r="AG416" i="10" s="1"/>
  <c r="AF417" i="10"/>
  <c r="AF418" i="10"/>
  <c r="AF419" i="10"/>
  <c r="AG419" i="10" s="1"/>
  <c r="AF420" i="10"/>
  <c r="AF421" i="10"/>
  <c r="AF422" i="10"/>
  <c r="AF423" i="10"/>
  <c r="AF424" i="10"/>
  <c r="AF425" i="10"/>
  <c r="AG425" i="10" s="1"/>
  <c r="AF426" i="10"/>
  <c r="AF427" i="10"/>
  <c r="AF428" i="10"/>
  <c r="AF429" i="10"/>
  <c r="AF430" i="10"/>
  <c r="AF431" i="10"/>
  <c r="AG431" i="10" s="1"/>
  <c r="AF432" i="10"/>
  <c r="AF433" i="10"/>
  <c r="AF434" i="10"/>
  <c r="AF435" i="10"/>
  <c r="AF436" i="10"/>
  <c r="AG436" i="10" s="1"/>
  <c r="AF437" i="10"/>
  <c r="AG437" i="10" s="1"/>
  <c r="AF438" i="10"/>
  <c r="AF439" i="10"/>
  <c r="AF440" i="10"/>
  <c r="AF441" i="10"/>
  <c r="AF442" i="10"/>
  <c r="AF443" i="10"/>
  <c r="AG443" i="10" s="1"/>
  <c r="AF444" i="10"/>
  <c r="AF445" i="10"/>
  <c r="AF446" i="10"/>
  <c r="AF447" i="10"/>
  <c r="AF448" i="10"/>
  <c r="AF449" i="10"/>
  <c r="AG449" i="10" s="1"/>
  <c r="AF450" i="10"/>
  <c r="AF451" i="10"/>
  <c r="AF452" i="10"/>
  <c r="AF453" i="10"/>
  <c r="AF455" i="10"/>
  <c r="AG455" i="10" s="1"/>
  <c r="AF456" i="10"/>
  <c r="AF457" i="10"/>
  <c r="AF458" i="10"/>
  <c r="AF459" i="10"/>
  <c r="AF460" i="10"/>
  <c r="AG461" i="10"/>
  <c r="AF463" i="10"/>
  <c r="AF464" i="10"/>
  <c r="AF465" i="10"/>
  <c r="AF466" i="10"/>
  <c r="AF467" i="10"/>
  <c r="AG467" i="10" s="1"/>
  <c r="AF468" i="10"/>
  <c r="AF469" i="10"/>
  <c r="AF470" i="10"/>
  <c r="AF471" i="10"/>
  <c r="AF472" i="10"/>
  <c r="AG472" i="10" s="1"/>
  <c r="AF473" i="10"/>
  <c r="AF474" i="10"/>
  <c r="AF475" i="10"/>
  <c r="AF476" i="10"/>
  <c r="AF477" i="10"/>
  <c r="AF478" i="10"/>
  <c r="AG478" i="10" s="1"/>
  <c r="AF479" i="10"/>
  <c r="AF480" i="10"/>
  <c r="AF481" i="10"/>
  <c r="AF482" i="10"/>
  <c r="AF483" i="10"/>
  <c r="AF484" i="10"/>
  <c r="AG484" i="10" s="1"/>
  <c r="AF485" i="10"/>
  <c r="AG485" i="10" s="1"/>
  <c r="AF486" i="10"/>
  <c r="AF487" i="10"/>
  <c r="AF488" i="10"/>
  <c r="AF489" i="10"/>
  <c r="AF490" i="10"/>
  <c r="AF491" i="10"/>
  <c r="AG491" i="10" s="1"/>
  <c r="AF492" i="10"/>
  <c r="AF493" i="10"/>
  <c r="AF494" i="10"/>
  <c r="AF495" i="10"/>
  <c r="AF496" i="10"/>
  <c r="AF497" i="10"/>
  <c r="AG497" i="10" s="1"/>
  <c r="AF498" i="10"/>
  <c r="AF499" i="10"/>
  <c r="AF500" i="10"/>
  <c r="AF501" i="10"/>
  <c r="AF502" i="10"/>
  <c r="AG502" i="10" s="1"/>
  <c r="AF503" i="10"/>
  <c r="AF504" i="10"/>
  <c r="AF505" i="10"/>
  <c r="AF506" i="10"/>
  <c r="AF507" i="10"/>
  <c r="AG507" i="10" s="1"/>
  <c r="AF508" i="10"/>
  <c r="AF509" i="10"/>
  <c r="AF510" i="10"/>
  <c r="AF511" i="10"/>
  <c r="AF512" i="10"/>
  <c r="AF513" i="10"/>
  <c r="AG513" i="10" s="1"/>
  <c r="AF514" i="10"/>
  <c r="AF515" i="10"/>
  <c r="AF516" i="10"/>
  <c r="AF517" i="10"/>
  <c r="AF518" i="10"/>
  <c r="AF519" i="10"/>
  <c r="AG519" i="10" s="1"/>
  <c r="AF520" i="10"/>
  <c r="AF521" i="10"/>
  <c r="AF522" i="10"/>
  <c r="AF523" i="10"/>
  <c r="AF524" i="10"/>
  <c r="AF525" i="10"/>
  <c r="AG525" i="10" s="1"/>
  <c r="AF526" i="10"/>
  <c r="AF527" i="10"/>
  <c r="AF528" i="10"/>
  <c r="AF529" i="10"/>
  <c r="AF530" i="10"/>
  <c r="AF531" i="10"/>
  <c r="AG531" i="10" s="1"/>
  <c r="AF532" i="10"/>
  <c r="AF533" i="10"/>
  <c r="AF534" i="10"/>
  <c r="AF535" i="10"/>
  <c r="AF536" i="10"/>
  <c r="AF537" i="10"/>
  <c r="AG537" i="10" s="1"/>
  <c r="AF538" i="10"/>
  <c r="AF539" i="10"/>
  <c r="AF540" i="10"/>
  <c r="AF541" i="10"/>
  <c r="AF542" i="10"/>
  <c r="AF543" i="10"/>
  <c r="AG543" i="10" s="1"/>
  <c r="AF544" i="10"/>
  <c r="AF545" i="10"/>
  <c r="AF546" i="10"/>
  <c r="AF547" i="10"/>
  <c r="AF548" i="10"/>
  <c r="AF549" i="10"/>
  <c r="AG549" i="10" s="1"/>
  <c r="AF550" i="10"/>
  <c r="AF551" i="10"/>
  <c r="AF552" i="10"/>
  <c r="AF553" i="10"/>
  <c r="AF554" i="10"/>
  <c r="AF555" i="10"/>
  <c r="AG555" i="10" s="1"/>
  <c r="AF556" i="10"/>
  <c r="AF557" i="10"/>
  <c r="AF558" i="10"/>
  <c r="AF559" i="10"/>
  <c r="AF560" i="10"/>
  <c r="AF561" i="10"/>
  <c r="AG561" i="10" s="1"/>
  <c r="AF562" i="10"/>
  <c r="AF563" i="10"/>
  <c r="AF564" i="10"/>
  <c r="AF565" i="10"/>
  <c r="AF566" i="10"/>
  <c r="AG566" i="10" s="1"/>
  <c r="AF567" i="10"/>
  <c r="AF568" i="10"/>
  <c r="AF569" i="10"/>
  <c r="AF570" i="10"/>
  <c r="AF571" i="10"/>
  <c r="AF572" i="10"/>
  <c r="AG572" i="10" s="1"/>
  <c r="AF573" i="10"/>
  <c r="AF574" i="10"/>
  <c r="AF575" i="10"/>
  <c r="AF576" i="10"/>
  <c r="AF577" i="10"/>
  <c r="AF578" i="10"/>
  <c r="AG578" i="10" s="1"/>
  <c r="AF579" i="10"/>
  <c r="AF580" i="10"/>
  <c r="AF581" i="10"/>
  <c r="AF582" i="10"/>
  <c r="AF583" i="10"/>
  <c r="AF584" i="10"/>
  <c r="AG584" i="10" s="1"/>
  <c r="AF585" i="10"/>
  <c r="AF586" i="10"/>
  <c r="AF587" i="10"/>
  <c r="AF588" i="10"/>
  <c r="AF589" i="10"/>
  <c r="AF590" i="10"/>
  <c r="AG590" i="10" s="1"/>
  <c r="AF591" i="10"/>
  <c r="AF592" i="10"/>
  <c r="AF593" i="10"/>
  <c r="AF594" i="10"/>
  <c r="AF595" i="10"/>
  <c r="AF596" i="10"/>
  <c r="AG596" i="10" s="1"/>
  <c r="AF597" i="10"/>
  <c r="AF598" i="10"/>
  <c r="AF599" i="10"/>
  <c r="AF600" i="10"/>
  <c r="AF601" i="10"/>
  <c r="AF602" i="10"/>
  <c r="AG602" i="10" s="1"/>
  <c r="AF603" i="10"/>
  <c r="AF604" i="10"/>
  <c r="AF605" i="10"/>
  <c r="AF606" i="10"/>
  <c r="AF607" i="10"/>
  <c r="AF608" i="10"/>
  <c r="AG608" i="10" s="1"/>
  <c r="AF609" i="10"/>
  <c r="AF610" i="10"/>
  <c r="AF611" i="10"/>
  <c r="AF612" i="10"/>
  <c r="AF613" i="10"/>
  <c r="AF614" i="10"/>
  <c r="AG614" i="10" s="1"/>
  <c r="AF615" i="10"/>
  <c r="AF616" i="10"/>
  <c r="AF617" i="10"/>
  <c r="AF618" i="10"/>
  <c r="AF619" i="10"/>
  <c r="AF620" i="10"/>
  <c r="AG620" i="10" s="1"/>
  <c r="AF621" i="10"/>
  <c r="AF622" i="10"/>
  <c r="AF623" i="10"/>
  <c r="AF624" i="10"/>
  <c r="AF625" i="10"/>
  <c r="AF626" i="10"/>
  <c r="AG626" i="10" s="1"/>
  <c r="AF627" i="10"/>
  <c r="AF628" i="10"/>
  <c r="AF629" i="10"/>
  <c r="AF630" i="10"/>
  <c r="AF631" i="10"/>
  <c r="AF632" i="10"/>
  <c r="AG632" i="10" s="1"/>
  <c r="AF633" i="10"/>
  <c r="AF634" i="10"/>
  <c r="AF635" i="10"/>
  <c r="AF636" i="10"/>
  <c r="AF637" i="10"/>
  <c r="AF638" i="10"/>
  <c r="AG638" i="10" s="1"/>
  <c r="AF639" i="10"/>
  <c r="AF640" i="10"/>
  <c r="AF641" i="10"/>
  <c r="AF642" i="10"/>
  <c r="AF643" i="10"/>
  <c r="AF644" i="10"/>
  <c r="AG644" i="10" s="1"/>
  <c r="AF645" i="10"/>
  <c r="AF646" i="10"/>
  <c r="AF647" i="10"/>
  <c r="AF648" i="10"/>
  <c r="AF649" i="10"/>
  <c r="AF650" i="10"/>
  <c r="AG650" i="10" s="1"/>
  <c r="AF651" i="10"/>
  <c r="AF652" i="10"/>
  <c r="AF653" i="10"/>
  <c r="AF654" i="10"/>
  <c r="AF655" i="10"/>
  <c r="AF656" i="10"/>
  <c r="AG656" i="10" s="1"/>
  <c r="AF657" i="10"/>
  <c r="AF658" i="10"/>
  <c r="AF659" i="10"/>
  <c r="AF660" i="10"/>
  <c r="AF661" i="10"/>
  <c r="AF662" i="10"/>
  <c r="AG662" i="10" s="1"/>
  <c r="AF663" i="10"/>
  <c r="AF664" i="10"/>
  <c r="AF665" i="10"/>
  <c r="AF666" i="10"/>
  <c r="AF667" i="10"/>
  <c r="AF668" i="10"/>
  <c r="AG668" i="10" s="1"/>
  <c r="AF669" i="10"/>
  <c r="AF670" i="10"/>
  <c r="AF671" i="10"/>
  <c r="AF672" i="10"/>
  <c r="AF673" i="10"/>
  <c r="AF674" i="10"/>
  <c r="AG674" i="10" s="1"/>
  <c r="AF675" i="10"/>
  <c r="AF676" i="10"/>
  <c r="AF677" i="10"/>
  <c r="AF678" i="10"/>
  <c r="AF679" i="10"/>
  <c r="AF680" i="10"/>
  <c r="AG680" i="10" s="1"/>
  <c r="AF681" i="10"/>
  <c r="AF682" i="10"/>
  <c r="AF683" i="10"/>
  <c r="AF684" i="10"/>
  <c r="AF685" i="10"/>
  <c r="AF686" i="10"/>
  <c r="AG686" i="10" s="1"/>
  <c r="AF687" i="10"/>
  <c r="AF688" i="10"/>
  <c r="AF689" i="10"/>
  <c r="AF690" i="10"/>
  <c r="AF691" i="10"/>
  <c r="AF692" i="10"/>
  <c r="AG692" i="10" s="1"/>
  <c r="AF693" i="10"/>
  <c r="AF694" i="10"/>
  <c r="AF695" i="10"/>
  <c r="AF696" i="10"/>
  <c r="AF697" i="10"/>
  <c r="AF698" i="10"/>
  <c r="AG698" i="10" s="1"/>
  <c r="AF699" i="10"/>
  <c r="AF700" i="10"/>
  <c r="AF701" i="10"/>
  <c r="AF702" i="10"/>
  <c r="AF703" i="10"/>
  <c r="AF704" i="10"/>
  <c r="AG704" i="10" s="1"/>
  <c r="AF705" i="10"/>
  <c r="AF706" i="10"/>
  <c r="AF707" i="10"/>
  <c r="AF708" i="10"/>
  <c r="AF709" i="10"/>
  <c r="AF710" i="10"/>
  <c r="AG710" i="10" s="1"/>
  <c r="AF711" i="10"/>
  <c r="AF712" i="10"/>
  <c r="AF713" i="10"/>
  <c r="AF714" i="10"/>
  <c r="AF715" i="10"/>
  <c r="AF716" i="10"/>
  <c r="AG716" i="10" s="1"/>
  <c r="AF717" i="10"/>
  <c r="AF718" i="10"/>
  <c r="AF719" i="10"/>
  <c r="AF720" i="10"/>
  <c r="AF721" i="10"/>
  <c r="AF722" i="10"/>
  <c r="AG722" i="10" s="1"/>
  <c r="AF723" i="10"/>
  <c r="AF724" i="10"/>
  <c r="AF725" i="10"/>
  <c r="AF726" i="10"/>
  <c r="AF727" i="10"/>
  <c r="AF728" i="10"/>
  <c r="AG728" i="10" s="1"/>
  <c r="AF729" i="10"/>
  <c r="AF730" i="10"/>
  <c r="AF731" i="10"/>
  <c r="AF732" i="10"/>
  <c r="AF733" i="10"/>
  <c r="AF734" i="10"/>
  <c r="AG734" i="10" s="1"/>
  <c r="AF735" i="10"/>
  <c r="AF736" i="10"/>
  <c r="AF737" i="10"/>
  <c r="AF738" i="10"/>
  <c r="AF739" i="10"/>
  <c r="AF740" i="10"/>
  <c r="AG740" i="10" s="1"/>
  <c r="AF741" i="10"/>
  <c r="AF742" i="10"/>
  <c r="AF743" i="10"/>
  <c r="AF744" i="10"/>
  <c r="AF745" i="10"/>
  <c r="AF746" i="10"/>
  <c r="AG746" i="10" s="1"/>
  <c r="AF747" i="10"/>
  <c r="AF748" i="10"/>
  <c r="AF749" i="10"/>
  <c r="AF750" i="10"/>
  <c r="AF751" i="10"/>
  <c r="AF752" i="10"/>
  <c r="AG752" i="10" s="1"/>
  <c r="AF753" i="10"/>
  <c r="AF754" i="10"/>
  <c r="AF755" i="10"/>
  <c r="AF756" i="10"/>
  <c r="AF757" i="10"/>
  <c r="AF758" i="10"/>
  <c r="AG758" i="10" s="1"/>
  <c r="AF759" i="10"/>
  <c r="AF760" i="10"/>
  <c r="AF761" i="10"/>
  <c r="AF762" i="10"/>
  <c r="AF763" i="10"/>
  <c r="AF764" i="10"/>
  <c r="AG764" i="10" s="1"/>
  <c r="AF765" i="10"/>
  <c r="AF766" i="10"/>
  <c r="AF767" i="10"/>
  <c r="AF768" i="10"/>
  <c r="AF769" i="10"/>
  <c r="AF770" i="10"/>
  <c r="AG770" i="10" s="1"/>
  <c r="AF771" i="10"/>
  <c r="AF772" i="10"/>
  <c r="AF773" i="10"/>
  <c r="AF774" i="10"/>
  <c r="AF775" i="10"/>
  <c r="AF776" i="10"/>
  <c r="AG776" i="10" s="1"/>
  <c r="AF777" i="10"/>
  <c r="AF778" i="10"/>
  <c r="AF779" i="10"/>
  <c r="AF780" i="10"/>
  <c r="AF781" i="10"/>
  <c r="AF782" i="10"/>
  <c r="AG782" i="10" s="1"/>
  <c r="AF783" i="10"/>
  <c r="AF784" i="10"/>
  <c r="AF785" i="10"/>
  <c r="AF786" i="10"/>
  <c r="AF787" i="10"/>
  <c r="AF788" i="10"/>
  <c r="AG788" i="10" s="1"/>
  <c r="AF789" i="10"/>
  <c r="AF790" i="10"/>
  <c r="AF791" i="10"/>
  <c r="AF792" i="10"/>
  <c r="AF793" i="10"/>
  <c r="AF794" i="10"/>
  <c r="AG794" i="10" s="1"/>
  <c r="AF795" i="10"/>
  <c r="AF796" i="10"/>
  <c r="AF797" i="10"/>
  <c r="AF798" i="10"/>
  <c r="AF799" i="10"/>
  <c r="AF800" i="10"/>
  <c r="AG800" i="10" s="1"/>
  <c r="AF801" i="10"/>
  <c r="AF802" i="10"/>
  <c r="AF803" i="10"/>
  <c r="AF804" i="10"/>
  <c r="AF805" i="10"/>
  <c r="AF806" i="10"/>
  <c r="AG806" i="10" s="1"/>
  <c r="AF807" i="10"/>
  <c r="AF808" i="10"/>
  <c r="AF809" i="10"/>
  <c r="AF810" i="10"/>
  <c r="AF811" i="10"/>
  <c r="AF812" i="10"/>
  <c r="AG812" i="10" s="1"/>
  <c r="AF813" i="10"/>
  <c r="AF814" i="10"/>
  <c r="AF815" i="10"/>
  <c r="AF816" i="10"/>
  <c r="AF817" i="10"/>
  <c r="AF818" i="10"/>
  <c r="AG818" i="10" s="1"/>
  <c r="AF819" i="10"/>
  <c r="AF820" i="10"/>
  <c r="AF821" i="10"/>
  <c r="AF822" i="10"/>
  <c r="AF823" i="10"/>
  <c r="AF824" i="10"/>
  <c r="AG824" i="10" s="1"/>
  <c r="AF825" i="10"/>
  <c r="AF826" i="10"/>
  <c r="AF827" i="10"/>
  <c r="AF828" i="10"/>
  <c r="AF829" i="10"/>
  <c r="AF830" i="10"/>
  <c r="AG830" i="10" s="1"/>
  <c r="AF831" i="10"/>
  <c r="AF832" i="10"/>
  <c r="AF833" i="10"/>
  <c r="AF834" i="10"/>
  <c r="AF835" i="10"/>
  <c r="AF836" i="10"/>
  <c r="AG836" i="10" s="1"/>
  <c r="AF837" i="10"/>
  <c r="AF838" i="10"/>
  <c r="AF839" i="10"/>
  <c r="AF840" i="10"/>
  <c r="AF841" i="10"/>
  <c r="AF842" i="10"/>
  <c r="AG842" i="10" s="1"/>
  <c r="AF843" i="10"/>
  <c r="AF844" i="10"/>
  <c r="AF845" i="10"/>
  <c r="AF846" i="10"/>
  <c r="AF847" i="10"/>
  <c r="AF848" i="10"/>
  <c r="AG848" i="10" s="1"/>
  <c r="AF849" i="10"/>
  <c r="AF850" i="10"/>
  <c r="AF851" i="10"/>
  <c r="AF852" i="10"/>
  <c r="AF853" i="10"/>
  <c r="AF854" i="10"/>
  <c r="AG854" i="10" s="1"/>
  <c r="AF855" i="10"/>
  <c r="AF856" i="10"/>
  <c r="AF857" i="10"/>
  <c r="AF858" i="10"/>
  <c r="AF859" i="10"/>
  <c r="AF860" i="10"/>
  <c r="AG860" i="10" s="1"/>
  <c r="AF861" i="10"/>
  <c r="AF862" i="10"/>
  <c r="AF863" i="10"/>
  <c r="AF864" i="10"/>
  <c r="AF865" i="10"/>
  <c r="AF866" i="10"/>
  <c r="AG866" i="10" s="1"/>
  <c r="AF867" i="10"/>
  <c r="AF868" i="10"/>
  <c r="AF869" i="10"/>
  <c r="AF870" i="10"/>
  <c r="AF871" i="10"/>
  <c r="AF872" i="10"/>
  <c r="AG872" i="10" s="1"/>
  <c r="AF873" i="10"/>
  <c r="AF874" i="10"/>
  <c r="AF875" i="10"/>
  <c r="AF876" i="10"/>
  <c r="AF877" i="10"/>
  <c r="AF878" i="10"/>
  <c r="AG878" i="10" s="1"/>
  <c r="AF879" i="10"/>
  <c r="AF880" i="10"/>
  <c r="AG882" i="10"/>
  <c r="AJ882" i="10"/>
  <c r="AJ883" i="10"/>
  <c r="AG884" i="10"/>
  <c r="AJ884" i="10"/>
  <c r="AG885" i="10"/>
  <c r="AJ885" i="10"/>
  <c r="AJ886" i="10"/>
  <c r="AG887" i="10"/>
  <c r="AJ887" i="10"/>
  <c r="AG888" i="10"/>
  <c r="AJ888" i="10"/>
  <c r="AJ889" i="10"/>
  <c r="AG890" i="10"/>
  <c r="AJ890" i="10"/>
  <c r="AG891" i="10"/>
  <c r="AJ891" i="10"/>
  <c r="AJ892" i="10"/>
  <c r="AG893" i="10"/>
  <c r="AJ893" i="10"/>
  <c r="AG894" i="10"/>
  <c r="AJ894" i="10"/>
  <c r="AJ895" i="10"/>
  <c r="AG896" i="10"/>
  <c r="AJ896" i="10"/>
  <c r="AG897" i="10"/>
  <c r="AJ897" i="10"/>
  <c r="AJ898" i="10"/>
  <c r="AG899" i="10"/>
  <c r="AJ899" i="10"/>
  <c r="AG900" i="10"/>
  <c r="AJ900" i="10"/>
  <c r="AJ901" i="10"/>
  <c r="AG902" i="10"/>
  <c r="AJ902" i="10"/>
  <c r="AG903" i="10"/>
  <c r="AJ903" i="10"/>
  <c r="AJ904" i="10"/>
  <c r="AG905" i="10"/>
  <c r="AJ905" i="10"/>
  <c r="AG906" i="10"/>
  <c r="AJ906" i="10"/>
  <c r="AJ907" i="10"/>
  <c r="AG908" i="10"/>
  <c r="AJ908" i="10"/>
  <c r="AG909" i="10"/>
  <c r="AJ909" i="10"/>
  <c r="AJ910" i="10"/>
  <c r="AG911" i="10"/>
  <c r="AJ911" i="10"/>
  <c r="AG912" i="10"/>
  <c r="AJ912" i="10"/>
  <c r="AJ913" i="10"/>
  <c r="AG914" i="10"/>
  <c r="AJ914" i="10"/>
  <c r="AG915" i="10"/>
  <c r="AJ915" i="10"/>
  <c r="AJ916" i="10"/>
  <c r="AG917" i="10"/>
  <c r="AJ917" i="10"/>
  <c r="AG918" i="10"/>
  <c r="AJ918" i="10"/>
  <c r="AJ919" i="10"/>
  <c r="AG920" i="10"/>
  <c r="AJ920" i="10"/>
  <c r="AG921" i="10"/>
  <c r="AJ921" i="10"/>
  <c r="AJ922" i="10"/>
  <c r="AJ3" i="10"/>
  <c r="AJ4" i="10"/>
  <c r="AJ5" i="10"/>
  <c r="AJ6" i="10"/>
  <c r="AJ7" i="10"/>
  <c r="AJ8" i="10"/>
  <c r="AJ9" i="10"/>
  <c r="AJ10" i="10"/>
  <c r="AJ11" i="10"/>
  <c r="AJ12" i="10"/>
  <c r="AJ13" i="10"/>
  <c r="AJ14" i="10"/>
  <c r="AJ15" i="10"/>
  <c r="AJ16" i="10"/>
  <c r="AJ17" i="10"/>
  <c r="AJ18" i="10"/>
  <c r="AJ19" i="10"/>
  <c r="AJ20" i="10"/>
  <c r="AJ21" i="10"/>
  <c r="AJ22" i="10"/>
  <c r="AJ23" i="10"/>
  <c r="AJ24" i="10"/>
  <c r="AJ25" i="10"/>
  <c r="AJ26" i="10"/>
  <c r="AJ27" i="10"/>
  <c r="AJ28" i="10"/>
  <c r="AJ29" i="10"/>
  <c r="AJ30" i="10"/>
  <c r="AJ31" i="10"/>
  <c r="AJ32" i="10"/>
  <c r="AJ33" i="10"/>
  <c r="AJ34" i="10"/>
  <c r="AJ35" i="10"/>
  <c r="AJ36" i="10"/>
  <c r="AJ37" i="10"/>
  <c r="AJ38" i="10"/>
  <c r="AJ39" i="10"/>
  <c r="AJ40" i="10"/>
  <c r="AJ41" i="10"/>
  <c r="AJ42" i="10"/>
  <c r="AJ43" i="10"/>
  <c r="AJ44" i="10"/>
  <c r="AJ45" i="10"/>
  <c r="AJ46" i="10"/>
  <c r="AJ47" i="10"/>
  <c r="AJ48" i="10"/>
  <c r="AJ49" i="10"/>
  <c r="AJ50" i="10"/>
  <c r="AJ51" i="10"/>
  <c r="AJ52" i="10"/>
  <c r="AJ53" i="10"/>
  <c r="AJ54" i="10"/>
  <c r="AJ55" i="10"/>
  <c r="AJ56" i="10"/>
  <c r="AJ57" i="10"/>
  <c r="AJ58" i="10"/>
  <c r="AJ59" i="10"/>
  <c r="AJ60" i="10"/>
  <c r="AJ61" i="10"/>
  <c r="AJ62" i="10"/>
  <c r="AJ63" i="10"/>
  <c r="AJ64" i="10"/>
  <c r="AJ65" i="10"/>
  <c r="AJ66" i="10"/>
  <c r="AJ67" i="10"/>
  <c r="AJ68" i="10"/>
  <c r="AJ69" i="10"/>
  <c r="AJ70" i="10"/>
  <c r="AJ71" i="10"/>
  <c r="AJ72" i="10"/>
  <c r="AJ73" i="10"/>
  <c r="AJ74" i="10"/>
  <c r="AJ75" i="10"/>
  <c r="AJ76" i="10"/>
  <c r="AJ77" i="10"/>
  <c r="AJ78" i="10"/>
  <c r="AJ79" i="10"/>
  <c r="AJ80" i="10"/>
  <c r="AJ81" i="10"/>
  <c r="AJ82" i="10"/>
  <c r="AJ83" i="10"/>
  <c r="AJ84" i="10"/>
  <c r="AJ85" i="10"/>
  <c r="AJ86" i="10"/>
  <c r="AJ87" i="10"/>
  <c r="AJ88" i="10"/>
  <c r="AJ89" i="10"/>
  <c r="AJ90" i="10"/>
  <c r="AJ91" i="10"/>
  <c r="AJ92" i="10"/>
  <c r="AJ93" i="10"/>
  <c r="AJ94" i="10"/>
  <c r="AJ95" i="10"/>
  <c r="AJ96" i="10"/>
  <c r="AJ97" i="10"/>
  <c r="AJ98" i="10"/>
  <c r="AJ99" i="10"/>
  <c r="AJ100" i="10"/>
  <c r="AJ101" i="10"/>
  <c r="AJ102" i="10"/>
  <c r="AJ103" i="10"/>
  <c r="AJ104" i="10"/>
  <c r="AJ105" i="10"/>
  <c r="AJ106" i="10"/>
  <c r="AJ107" i="10"/>
  <c r="AJ108" i="10"/>
  <c r="AJ109" i="10"/>
  <c r="AJ110" i="10"/>
  <c r="AJ111" i="10"/>
  <c r="AJ112" i="10"/>
  <c r="AJ113" i="10"/>
  <c r="AJ114" i="10"/>
  <c r="AJ115" i="10"/>
  <c r="AJ116" i="10"/>
  <c r="AJ117" i="10"/>
  <c r="AJ118" i="10"/>
  <c r="AJ119" i="10"/>
  <c r="AJ120" i="10"/>
  <c r="AJ121" i="10"/>
  <c r="AJ122" i="10"/>
  <c r="AJ123" i="10"/>
  <c r="AJ124" i="10"/>
  <c r="AJ125" i="10"/>
  <c r="AJ126" i="10"/>
  <c r="AJ127" i="10"/>
  <c r="AJ128" i="10"/>
  <c r="AJ129" i="10"/>
  <c r="AJ130" i="10"/>
  <c r="AJ131" i="10"/>
  <c r="AJ132" i="10"/>
  <c r="AJ133" i="10"/>
  <c r="AJ134" i="10"/>
  <c r="AJ135" i="10"/>
  <c r="AJ136" i="10"/>
  <c r="AJ137" i="10"/>
  <c r="AJ138" i="10"/>
  <c r="AJ139" i="10"/>
  <c r="AJ140" i="10"/>
  <c r="AJ141" i="10"/>
  <c r="AJ142" i="10"/>
  <c r="AJ143" i="10"/>
  <c r="AJ144" i="10"/>
  <c r="AJ145" i="10"/>
  <c r="AJ146" i="10"/>
  <c r="AJ147" i="10"/>
  <c r="AJ148" i="10"/>
  <c r="AJ149" i="10"/>
  <c r="AJ150" i="10"/>
  <c r="AJ151" i="10"/>
  <c r="AJ152" i="10"/>
  <c r="AJ153" i="10"/>
  <c r="AJ154" i="10"/>
  <c r="AJ155" i="10"/>
  <c r="AJ156" i="10"/>
  <c r="AJ157" i="10"/>
  <c r="AJ158" i="10"/>
  <c r="AJ159" i="10"/>
  <c r="AJ160" i="10"/>
  <c r="AJ161" i="10"/>
  <c r="AJ163" i="10"/>
  <c r="AJ164" i="10"/>
  <c r="AJ165" i="10"/>
  <c r="AJ166" i="10"/>
  <c r="AJ167" i="10"/>
  <c r="AJ168" i="10"/>
  <c r="AJ169" i="10"/>
  <c r="AJ170" i="10"/>
  <c r="AJ171" i="10"/>
  <c r="AJ172" i="10"/>
  <c r="AJ173" i="10"/>
  <c r="AJ174" i="10"/>
  <c r="AJ175" i="10"/>
  <c r="AJ176" i="10"/>
  <c r="AJ177" i="10"/>
  <c r="AJ178" i="10"/>
  <c r="AJ179" i="10"/>
  <c r="AJ180" i="10"/>
  <c r="AJ181" i="10"/>
  <c r="AJ182" i="10"/>
  <c r="AJ183" i="10"/>
  <c r="AJ184" i="10"/>
  <c r="AJ185" i="10"/>
  <c r="AJ186" i="10"/>
  <c r="AJ187" i="10"/>
  <c r="AJ188" i="10"/>
  <c r="AJ189" i="10"/>
  <c r="AJ190" i="10"/>
  <c r="AJ191" i="10"/>
  <c r="AJ192" i="10"/>
  <c r="AJ193" i="10"/>
  <c r="AJ194" i="10"/>
  <c r="AJ195" i="10"/>
  <c r="AJ196" i="10"/>
  <c r="AJ197" i="10"/>
  <c r="AJ199" i="10"/>
  <c r="AJ200" i="10"/>
  <c r="AJ201" i="10"/>
  <c r="AJ202" i="10"/>
  <c r="AJ203" i="10"/>
  <c r="AJ204" i="10"/>
  <c r="AJ205" i="10"/>
  <c r="AJ206" i="10"/>
  <c r="AJ207" i="10"/>
  <c r="AJ208" i="10"/>
  <c r="AJ209" i="10"/>
  <c r="AJ210" i="10"/>
  <c r="AJ211" i="10"/>
  <c r="AJ212" i="10"/>
  <c r="AJ213" i="10"/>
  <c r="AJ214" i="10"/>
  <c r="AJ215" i="10"/>
  <c r="AJ216" i="10"/>
  <c r="AJ217" i="10"/>
  <c r="AJ218" i="10"/>
  <c r="AJ219" i="10"/>
  <c r="AJ220" i="10"/>
  <c r="AJ221" i="10"/>
  <c r="AJ222" i="10"/>
  <c r="AJ223" i="10"/>
  <c r="AJ224" i="10"/>
  <c r="AJ225" i="10"/>
  <c r="AJ226" i="10"/>
  <c r="AJ227" i="10"/>
  <c r="AJ228" i="10"/>
  <c r="AJ229" i="10"/>
  <c r="AJ230" i="10"/>
  <c r="AJ231" i="10"/>
  <c r="AJ232" i="10"/>
  <c r="AJ233" i="10"/>
  <c r="AJ234" i="10"/>
  <c r="AJ235" i="10"/>
  <c r="AJ236" i="10"/>
  <c r="AJ237" i="10"/>
  <c r="AJ238" i="10"/>
  <c r="AJ239" i="10"/>
  <c r="AJ240" i="10"/>
  <c r="AJ241" i="10"/>
  <c r="AJ242" i="10"/>
  <c r="AJ243" i="10"/>
  <c r="AJ244" i="10"/>
  <c r="AJ245" i="10"/>
  <c r="AJ246" i="10"/>
  <c r="AJ247" i="10"/>
  <c r="AJ248" i="10"/>
  <c r="AJ249" i="10"/>
  <c r="AJ250" i="10"/>
  <c r="AJ251" i="10"/>
  <c r="AJ252" i="10"/>
  <c r="AJ253" i="10"/>
  <c r="AJ254" i="10"/>
  <c r="AJ255" i="10"/>
  <c r="AJ256" i="10"/>
  <c r="AJ257" i="10"/>
  <c r="AJ258" i="10"/>
  <c r="AJ259" i="10"/>
  <c r="AJ260" i="10"/>
  <c r="AJ261" i="10"/>
  <c r="AJ262" i="10"/>
  <c r="AJ263" i="10"/>
  <c r="AJ264" i="10"/>
  <c r="AJ265" i="10"/>
  <c r="AJ266" i="10"/>
  <c r="AJ267" i="10"/>
  <c r="AJ268" i="10"/>
  <c r="AJ269" i="10"/>
  <c r="AJ270" i="10"/>
  <c r="AJ271" i="10"/>
  <c r="AJ272" i="10"/>
  <c r="AJ273" i="10"/>
  <c r="AJ274" i="10"/>
  <c r="AJ275" i="10"/>
  <c r="AJ276" i="10"/>
  <c r="AJ277" i="10"/>
  <c r="AJ278" i="10"/>
  <c r="AJ279" i="10"/>
  <c r="AJ280" i="10"/>
  <c r="AJ281" i="10"/>
  <c r="AJ282" i="10"/>
  <c r="AJ283" i="10"/>
  <c r="AJ284" i="10"/>
  <c r="AJ285" i="10"/>
  <c r="AJ286" i="10"/>
  <c r="AJ287" i="10"/>
  <c r="AJ288" i="10"/>
  <c r="AJ289" i="10"/>
  <c r="AJ290" i="10"/>
  <c r="AJ291" i="10"/>
  <c r="AJ292" i="10"/>
  <c r="AJ293" i="10"/>
  <c r="AJ294" i="10"/>
  <c r="AJ295" i="10"/>
  <c r="AJ296" i="10"/>
  <c r="AJ297" i="10"/>
  <c r="AJ298" i="10"/>
  <c r="AJ299" i="10"/>
  <c r="AJ300" i="10"/>
  <c r="AJ301" i="10"/>
  <c r="AJ302" i="10"/>
  <c r="AJ303" i="10"/>
  <c r="AJ304" i="10"/>
  <c r="AJ305" i="10"/>
  <c r="AJ306" i="10"/>
  <c r="AJ307" i="10"/>
  <c r="AJ308" i="10"/>
  <c r="AJ309" i="10"/>
  <c r="AJ310" i="10"/>
  <c r="AJ311" i="10"/>
  <c r="AJ312" i="10"/>
  <c r="AJ313" i="10"/>
  <c r="AJ314" i="10"/>
  <c r="AJ315" i="10"/>
  <c r="AJ316" i="10"/>
  <c r="AJ317" i="10"/>
  <c r="AJ318" i="10"/>
  <c r="AJ319" i="10"/>
  <c r="AJ320" i="10"/>
  <c r="AJ321" i="10"/>
  <c r="AJ322" i="10"/>
  <c r="AJ323" i="10"/>
  <c r="AJ324" i="10"/>
  <c r="AJ325" i="10"/>
  <c r="AJ326" i="10"/>
  <c r="AJ327" i="10"/>
  <c r="AJ328" i="10"/>
  <c r="AJ329" i="10"/>
  <c r="AJ330" i="10"/>
  <c r="AJ331" i="10"/>
  <c r="AJ332" i="10"/>
  <c r="AJ333" i="10"/>
  <c r="AJ334" i="10"/>
  <c r="AJ335" i="10"/>
  <c r="AJ336" i="10"/>
  <c r="AJ337" i="10"/>
  <c r="AJ338" i="10"/>
  <c r="AJ339" i="10"/>
  <c r="AJ340" i="10"/>
  <c r="AJ341" i="10"/>
  <c r="AJ342" i="10"/>
  <c r="AJ343" i="10"/>
  <c r="AJ344" i="10"/>
  <c r="AJ345" i="10"/>
  <c r="AJ346" i="10"/>
  <c r="AJ347" i="10"/>
  <c r="AJ348" i="10"/>
  <c r="AJ349" i="10"/>
  <c r="AJ350" i="10"/>
  <c r="AJ351" i="10"/>
  <c r="AJ352" i="10"/>
  <c r="AJ353" i="10"/>
  <c r="AJ354" i="10"/>
  <c r="AJ355" i="10"/>
  <c r="AJ356" i="10"/>
  <c r="AJ357" i="10"/>
  <c r="AJ358" i="10"/>
  <c r="AJ359" i="10"/>
  <c r="AJ360" i="10"/>
  <c r="AJ361" i="10"/>
  <c r="AJ362" i="10"/>
  <c r="AJ363" i="10"/>
  <c r="AJ364" i="10"/>
  <c r="AJ365" i="10"/>
  <c r="AJ366" i="10"/>
  <c r="AJ367" i="10"/>
  <c r="AJ368" i="10"/>
  <c r="AJ369" i="10"/>
  <c r="AJ370" i="10"/>
  <c r="AJ371" i="10"/>
  <c r="AJ372" i="10"/>
  <c r="AJ373" i="10"/>
  <c r="AJ374" i="10"/>
  <c r="AJ375" i="10"/>
  <c r="AJ376" i="10"/>
  <c r="AJ377" i="10"/>
  <c r="AJ378" i="10"/>
  <c r="AJ379" i="10"/>
  <c r="AJ380" i="10"/>
  <c r="AJ381" i="10"/>
  <c r="AJ382" i="10"/>
  <c r="AJ383" i="10"/>
  <c r="AJ384" i="10"/>
  <c r="AJ385" i="10"/>
  <c r="AJ386" i="10"/>
  <c r="AJ387" i="10"/>
  <c r="AJ388" i="10"/>
  <c r="AJ389" i="10"/>
  <c r="AJ390" i="10"/>
  <c r="AJ391" i="10"/>
  <c r="AJ392" i="10"/>
  <c r="AJ393" i="10"/>
  <c r="AJ394" i="10"/>
  <c r="AJ395" i="10"/>
  <c r="AJ396" i="10"/>
  <c r="AJ397" i="10"/>
  <c r="AJ398" i="10"/>
  <c r="AJ399" i="10"/>
  <c r="AJ400" i="10"/>
  <c r="AJ401" i="10"/>
  <c r="AJ402" i="10"/>
  <c r="AJ403" i="10"/>
  <c r="AJ404" i="10"/>
  <c r="AJ405" i="10"/>
  <c r="AJ406" i="10"/>
  <c r="AJ407" i="10"/>
  <c r="AJ408" i="10"/>
  <c r="AJ409" i="10"/>
  <c r="AJ410" i="10"/>
  <c r="AJ411" i="10"/>
  <c r="AJ412" i="10"/>
  <c r="AJ413" i="10"/>
  <c r="AJ414" i="10"/>
  <c r="AJ415" i="10"/>
  <c r="AJ416" i="10"/>
  <c r="AJ417" i="10"/>
  <c r="AJ418" i="10"/>
  <c r="AJ419" i="10"/>
  <c r="AJ420" i="10"/>
  <c r="AJ421" i="10"/>
  <c r="AJ422" i="10"/>
  <c r="AJ423" i="10"/>
  <c r="AJ424" i="10"/>
  <c r="AJ425" i="10"/>
  <c r="AJ426" i="10"/>
  <c r="AJ427" i="10"/>
  <c r="AJ428" i="10"/>
  <c r="AJ429" i="10"/>
  <c r="AJ430" i="10"/>
  <c r="AJ431" i="10"/>
  <c r="AJ432" i="10"/>
  <c r="AJ433" i="10"/>
  <c r="AJ434" i="10"/>
  <c r="AJ435" i="10"/>
  <c r="AJ436" i="10"/>
  <c r="AJ437" i="10"/>
  <c r="AJ438" i="10"/>
  <c r="AJ439" i="10"/>
  <c r="AJ440" i="10"/>
  <c r="AJ441" i="10"/>
  <c r="AJ442" i="10"/>
  <c r="AJ443" i="10"/>
  <c r="AJ444" i="10"/>
  <c r="AJ445" i="10"/>
  <c r="AJ446" i="10"/>
  <c r="AJ447" i="10"/>
  <c r="AJ448" i="10"/>
  <c r="AJ449" i="10"/>
  <c r="AJ450" i="10"/>
  <c r="AJ451" i="10"/>
  <c r="AJ452" i="10"/>
  <c r="AJ453" i="10"/>
  <c r="AJ454" i="10"/>
  <c r="AJ455" i="10"/>
  <c r="AJ456" i="10"/>
  <c r="AJ457" i="10"/>
  <c r="AJ458" i="10"/>
  <c r="AJ459" i="10"/>
  <c r="AJ460" i="10"/>
  <c r="AJ461" i="10"/>
  <c r="AJ462" i="10"/>
  <c r="AJ463" i="10"/>
  <c r="AJ464" i="10"/>
  <c r="AJ465" i="10"/>
  <c r="AJ466" i="10"/>
  <c r="AJ467" i="10"/>
  <c r="AJ468" i="10"/>
  <c r="AJ469" i="10"/>
  <c r="AJ470" i="10"/>
  <c r="AJ471" i="10"/>
  <c r="AJ472" i="10"/>
  <c r="AJ473" i="10"/>
  <c r="AJ474" i="10"/>
  <c r="AJ475" i="10"/>
  <c r="AJ476" i="10"/>
  <c r="AJ477" i="10"/>
  <c r="AJ478" i="10"/>
  <c r="AJ479" i="10"/>
  <c r="AJ480" i="10"/>
  <c r="AJ481" i="10"/>
  <c r="AJ482" i="10"/>
  <c r="AJ483" i="10"/>
  <c r="AJ484" i="10"/>
  <c r="AJ485" i="10"/>
  <c r="AJ486" i="10"/>
  <c r="AJ487" i="10"/>
  <c r="AJ488" i="10"/>
  <c r="AJ489" i="10"/>
  <c r="AJ490" i="10"/>
  <c r="AJ491" i="10"/>
  <c r="AJ492" i="10"/>
  <c r="AJ493" i="10"/>
  <c r="AJ494" i="10"/>
  <c r="AJ495" i="10"/>
  <c r="AJ496" i="10"/>
  <c r="AJ497" i="10"/>
  <c r="AJ498" i="10"/>
  <c r="AJ499" i="10"/>
  <c r="AJ500" i="10"/>
  <c r="AJ501" i="10"/>
  <c r="AJ502" i="10"/>
  <c r="AJ503" i="10"/>
  <c r="AJ504" i="10"/>
  <c r="AJ505" i="10"/>
  <c r="AJ506" i="10"/>
  <c r="AJ507" i="10"/>
  <c r="AJ508" i="10"/>
  <c r="AJ509" i="10"/>
  <c r="AJ510" i="10"/>
  <c r="AJ511" i="10"/>
  <c r="AJ512" i="10"/>
  <c r="AJ513" i="10"/>
  <c r="AJ514" i="10"/>
  <c r="AJ515" i="10"/>
  <c r="AJ516" i="10"/>
  <c r="AJ517" i="10"/>
  <c r="AJ518" i="10"/>
  <c r="AJ519" i="10"/>
  <c r="AJ520" i="10"/>
  <c r="AJ521" i="10"/>
  <c r="AJ522" i="10"/>
  <c r="AJ523" i="10"/>
  <c r="AJ524" i="10"/>
  <c r="AJ525" i="10"/>
  <c r="AJ526" i="10"/>
  <c r="AJ527" i="10"/>
  <c r="AJ528" i="10"/>
  <c r="AJ529" i="10"/>
  <c r="AJ530" i="10"/>
  <c r="AJ531" i="10"/>
  <c r="AJ532" i="10"/>
  <c r="AJ533" i="10"/>
  <c r="AJ534" i="10"/>
  <c r="AJ535" i="10"/>
  <c r="AJ536" i="10"/>
  <c r="AJ537" i="10"/>
  <c r="AJ538" i="10"/>
  <c r="AJ539" i="10"/>
  <c r="AJ540" i="10"/>
  <c r="AJ541" i="10"/>
  <c r="AJ542" i="10"/>
  <c r="AJ543" i="10"/>
  <c r="AJ544" i="10"/>
  <c r="AJ545" i="10"/>
  <c r="AJ546" i="10"/>
  <c r="AJ547" i="10"/>
  <c r="AJ548" i="10"/>
  <c r="AJ549" i="10"/>
  <c r="AJ550" i="10"/>
  <c r="AJ551" i="10"/>
  <c r="AJ552" i="10"/>
  <c r="AJ553" i="10"/>
  <c r="AJ554" i="10"/>
  <c r="AJ555" i="10"/>
  <c r="AJ556" i="10"/>
  <c r="AJ557" i="10"/>
  <c r="AJ558" i="10"/>
  <c r="AJ559" i="10"/>
  <c r="AJ560" i="10"/>
  <c r="AJ561" i="10"/>
  <c r="AJ562" i="10"/>
  <c r="AJ563" i="10"/>
  <c r="AJ564" i="10"/>
  <c r="AJ565" i="10"/>
  <c r="AJ566" i="10"/>
  <c r="AJ567" i="10"/>
  <c r="AJ568" i="10"/>
  <c r="AJ569" i="10"/>
  <c r="AJ570" i="10"/>
  <c r="AJ571" i="10"/>
  <c r="AJ572" i="10"/>
  <c r="AJ573" i="10"/>
  <c r="AJ574" i="10"/>
  <c r="AJ575" i="10"/>
  <c r="AJ576" i="10"/>
  <c r="AJ577" i="10"/>
  <c r="AJ578" i="10"/>
  <c r="AJ579" i="10"/>
  <c r="AJ580" i="10"/>
  <c r="AJ581" i="10"/>
  <c r="AJ582" i="10"/>
  <c r="AJ583" i="10"/>
  <c r="AJ584" i="10"/>
  <c r="AJ585" i="10"/>
  <c r="AJ586" i="10"/>
  <c r="AJ587" i="10"/>
  <c r="AJ588" i="10"/>
  <c r="AJ589" i="10"/>
  <c r="AJ590" i="10"/>
  <c r="AJ591" i="10"/>
  <c r="AJ592" i="10"/>
  <c r="AJ593" i="10"/>
  <c r="AJ594" i="10"/>
  <c r="AJ595" i="10"/>
  <c r="AJ596" i="10"/>
  <c r="AJ597" i="10"/>
  <c r="AJ598" i="10"/>
  <c r="AJ599" i="10"/>
  <c r="AJ600" i="10"/>
  <c r="AJ601" i="10"/>
  <c r="AJ602" i="10"/>
  <c r="AJ603" i="10"/>
  <c r="AJ604" i="10"/>
  <c r="AJ605" i="10"/>
  <c r="AJ606" i="10"/>
  <c r="AJ607" i="10"/>
  <c r="AJ608" i="10"/>
  <c r="AJ609" i="10"/>
  <c r="AJ610" i="10"/>
  <c r="AJ611" i="10"/>
  <c r="AJ612" i="10"/>
  <c r="AJ613" i="10"/>
  <c r="AJ614" i="10"/>
  <c r="AJ615" i="10"/>
  <c r="AJ616" i="10"/>
  <c r="AJ617" i="10"/>
  <c r="AJ618" i="10"/>
  <c r="AJ619" i="10"/>
  <c r="AJ620" i="10"/>
  <c r="AJ621" i="10"/>
  <c r="AJ622" i="10"/>
  <c r="AJ623" i="10"/>
  <c r="AJ624" i="10"/>
  <c r="AJ625" i="10"/>
  <c r="AJ626" i="10"/>
  <c r="AJ627" i="10"/>
  <c r="AJ628" i="10"/>
  <c r="AJ629" i="10"/>
  <c r="AJ630" i="10"/>
  <c r="AJ631" i="10"/>
  <c r="AJ632" i="10"/>
  <c r="AJ633" i="10"/>
  <c r="AJ634" i="10"/>
  <c r="AJ635" i="10"/>
  <c r="AJ636" i="10"/>
  <c r="AJ637" i="10"/>
  <c r="AJ638" i="10"/>
  <c r="AJ639" i="10"/>
  <c r="AJ640" i="10"/>
  <c r="AJ641" i="10"/>
  <c r="AJ642" i="10"/>
  <c r="AJ643" i="10"/>
  <c r="AJ644" i="10"/>
  <c r="AJ645" i="10"/>
  <c r="AJ646" i="10"/>
  <c r="AJ647" i="10"/>
  <c r="AJ648" i="10"/>
  <c r="AJ649" i="10"/>
  <c r="AJ650" i="10"/>
  <c r="AJ651" i="10"/>
  <c r="AJ652" i="10"/>
  <c r="AJ653" i="10"/>
  <c r="AJ654" i="10"/>
  <c r="AJ655" i="10"/>
  <c r="AJ656" i="10"/>
  <c r="AJ657" i="10"/>
  <c r="AJ658" i="10"/>
  <c r="AJ659" i="10"/>
  <c r="AJ660" i="10"/>
  <c r="AJ661" i="10"/>
  <c r="AJ662" i="10"/>
  <c r="AJ663" i="10"/>
  <c r="AJ664" i="10"/>
  <c r="AJ665" i="10"/>
  <c r="AJ666" i="10"/>
  <c r="AJ667" i="10"/>
  <c r="AJ668" i="10"/>
  <c r="AJ669" i="10"/>
  <c r="AJ670" i="10"/>
  <c r="AJ671" i="10"/>
  <c r="AJ672" i="10"/>
  <c r="AJ673" i="10"/>
  <c r="AJ674" i="10"/>
  <c r="AJ675" i="10"/>
  <c r="AJ676" i="10"/>
  <c r="AJ677" i="10"/>
  <c r="AJ678" i="10"/>
  <c r="AJ679" i="10"/>
  <c r="AJ680" i="10"/>
  <c r="AJ681" i="10"/>
  <c r="AJ682" i="10"/>
  <c r="AJ683" i="10"/>
  <c r="AJ684" i="10"/>
  <c r="AJ685" i="10"/>
  <c r="AJ686" i="10"/>
  <c r="AJ687" i="10"/>
  <c r="AJ688" i="10"/>
  <c r="AJ689" i="10"/>
  <c r="AJ690" i="10"/>
  <c r="AJ691" i="10"/>
  <c r="AJ692" i="10"/>
  <c r="AJ693" i="10"/>
  <c r="AJ694" i="10"/>
  <c r="AJ695" i="10"/>
  <c r="AJ696" i="10"/>
  <c r="AJ697" i="10"/>
  <c r="AJ698" i="10"/>
  <c r="AJ699" i="10"/>
  <c r="AJ700" i="10"/>
  <c r="AJ701" i="10"/>
  <c r="AJ702" i="10"/>
  <c r="AJ703" i="10"/>
  <c r="AJ704" i="10"/>
  <c r="AJ705" i="10"/>
  <c r="AJ706" i="10"/>
  <c r="AJ707" i="10"/>
  <c r="AJ708" i="10"/>
  <c r="AJ709" i="10"/>
  <c r="AJ710" i="10"/>
  <c r="AJ711" i="10"/>
  <c r="AJ712" i="10"/>
  <c r="AJ713" i="10"/>
  <c r="AJ714" i="10"/>
  <c r="AJ715" i="10"/>
  <c r="AJ716" i="10"/>
  <c r="AJ717" i="10"/>
  <c r="AJ718" i="10"/>
  <c r="AJ719" i="10"/>
  <c r="AJ720" i="10"/>
  <c r="AJ721" i="10"/>
  <c r="AJ722" i="10"/>
  <c r="AJ723" i="10"/>
  <c r="AJ724" i="10"/>
  <c r="AJ725" i="10"/>
  <c r="AJ726" i="10"/>
  <c r="AJ727" i="10"/>
  <c r="AJ728" i="10"/>
  <c r="AJ729" i="10"/>
  <c r="AJ730" i="10"/>
  <c r="AJ731" i="10"/>
  <c r="AJ732" i="10"/>
  <c r="AJ733" i="10"/>
  <c r="AJ734" i="10"/>
  <c r="AJ735" i="10"/>
  <c r="AJ736" i="10"/>
  <c r="AJ737" i="10"/>
  <c r="AJ738" i="10"/>
  <c r="AJ739" i="10"/>
  <c r="AJ740" i="10"/>
  <c r="AJ741" i="10"/>
  <c r="AJ742" i="10"/>
  <c r="AJ743" i="10"/>
  <c r="AJ744" i="10"/>
  <c r="AJ745" i="10"/>
  <c r="AJ746" i="10"/>
  <c r="AJ747" i="10"/>
  <c r="AJ748" i="10"/>
  <c r="AJ749" i="10"/>
  <c r="AJ750" i="10"/>
  <c r="AJ751" i="10"/>
  <c r="AJ752" i="10"/>
  <c r="AJ753" i="10"/>
  <c r="AJ754" i="10"/>
  <c r="AJ755" i="10"/>
  <c r="AJ756" i="10"/>
  <c r="AJ757" i="10"/>
  <c r="AJ758" i="10"/>
  <c r="AJ759" i="10"/>
  <c r="AJ760" i="10"/>
  <c r="AJ761" i="10"/>
  <c r="AJ762" i="10"/>
  <c r="AJ763" i="10"/>
  <c r="AJ764" i="10"/>
  <c r="AJ765" i="10"/>
  <c r="AJ766" i="10"/>
  <c r="AJ767" i="10"/>
  <c r="AJ768" i="10"/>
  <c r="AJ769" i="10"/>
  <c r="AJ770" i="10"/>
  <c r="AJ771" i="10"/>
  <c r="AJ772" i="10"/>
  <c r="AJ773" i="10"/>
  <c r="AJ774" i="10"/>
  <c r="AJ775" i="10"/>
  <c r="AJ776" i="10"/>
  <c r="AJ777" i="10"/>
  <c r="AJ778" i="10"/>
  <c r="AJ779" i="10"/>
  <c r="AJ780" i="10"/>
  <c r="AJ781" i="10"/>
  <c r="AJ782" i="10"/>
  <c r="AJ783" i="10"/>
  <c r="AJ784" i="10"/>
  <c r="AJ785" i="10"/>
  <c r="AJ786" i="10"/>
  <c r="AJ787" i="10"/>
  <c r="AJ788" i="10"/>
  <c r="AJ789" i="10"/>
  <c r="AJ790" i="10"/>
  <c r="AJ791" i="10"/>
  <c r="AJ792" i="10"/>
  <c r="AJ793" i="10"/>
  <c r="AJ794" i="10"/>
  <c r="AJ795" i="10"/>
  <c r="AJ796" i="10"/>
  <c r="AJ797" i="10"/>
  <c r="AJ798" i="10"/>
  <c r="AJ799" i="10"/>
  <c r="AJ800" i="10"/>
  <c r="AJ801" i="10"/>
  <c r="AJ802" i="10"/>
  <c r="AJ803" i="10"/>
  <c r="AJ804" i="10"/>
  <c r="AJ805" i="10"/>
  <c r="AJ806" i="10"/>
  <c r="AJ807" i="10"/>
  <c r="AJ808" i="10"/>
  <c r="AJ809" i="10"/>
  <c r="AJ810" i="10"/>
  <c r="AJ811" i="10"/>
  <c r="AJ812" i="10"/>
  <c r="AJ813" i="10"/>
  <c r="AJ814" i="10"/>
  <c r="AJ815" i="10"/>
  <c r="AJ816" i="10"/>
  <c r="AJ817" i="10"/>
  <c r="AJ818" i="10"/>
  <c r="AJ819" i="10"/>
  <c r="AJ820" i="10"/>
  <c r="AJ821" i="10"/>
  <c r="AJ822" i="10"/>
  <c r="AJ823" i="10"/>
  <c r="AJ824" i="10"/>
  <c r="AJ825" i="10"/>
  <c r="AJ826" i="10"/>
  <c r="AJ827" i="10"/>
  <c r="AJ828" i="10"/>
  <c r="AJ829" i="10"/>
  <c r="AJ830" i="10"/>
  <c r="AJ831" i="10"/>
  <c r="AJ832" i="10"/>
  <c r="AJ833" i="10"/>
  <c r="AJ834" i="10"/>
  <c r="AJ835" i="10"/>
  <c r="AJ836" i="10"/>
  <c r="AJ837" i="10"/>
  <c r="AJ838" i="10"/>
  <c r="AJ839" i="10"/>
  <c r="AJ840" i="10"/>
  <c r="AJ841" i="10"/>
  <c r="AJ842" i="10"/>
  <c r="AJ843" i="10"/>
  <c r="AJ844" i="10"/>
  <c r="AJ845" i="10"/>
  <c r="AJ846" i="10"/>
  <c r="AJ847" i="10"/>
  <c r="AJ848" i="10"/>
  <c r="AJ849" i="10"/>
  <c r="AJ850" i="10"/>
  <c r="AJ851" i="10"/>
  <c r="AJ852" i="10"/>
  <c r="AJ853" i="10"/>
  <c r="AJ854" i="10"/>
  <c r="AJ855" i="10"/>
  <c r="AJ856" i="10"/>
  <c r="AJ857" i="10"/>
  <c r="AJ858" i="10"/>
  <c r="AJ859" i="10"/>
  <c r="AJ860" i="10"/>
  <c r="AJ861" i="10"/>
  <c r="AJ862" i="10"/>
  <c r="AJ863" i="10"/>
  <c r="AJ864" i="10"/>
  <c r="AJ865" i="10"/>
  <c r="AJ866" i="10"/>
  <c r="AJ867" i="10"/>
  <c r="AJ868" i="10"/>
  <c r="AJ869" i="10"/>
  <c r="AJ870" i="10"/>
  <c r="AJ871" i="10"/>
  <c r="AJ872" i="10"/>
  <c r="AJ873" i="10"/>
  <c r="AJ874" i="10"/>
  <c r="AJ875" i="10"/>
  <c r="AJ876" i="10"/>
  <c r="AJ877" i="10"/>
  <c r="AJ878" i="10"/>
  <c r="AJ879" i="10"/>
  <c r="AJ880" i="10"/>
  <c r="AJ881" i="10"/>
  <c r="AG4" i="10"/>
  <c r="AG5" i="10"/>
  <c r="AG6" i="10"/>
  <c r="AG7" i="10"/>
  <c r="AG9" i="10"/>
  <c r="AG10" i="10"/>
  <c r="AG11" i="10"/>
  <c r="AG12" i="10"/>
  <c r="AG13" i="10"/>
  <c r="AG15" i="10"/>
  <c r="AG16" i="10"/>
  <c r="AG17" i="10"/>
  <c r="AG18" i="10"/>
  <c r="AG19" i="10"/>
  <c r="AG21" i="10"/>
  <c r="AG22" i="10"/>
  <c r="AG23" i="10"/>
  <c r="AG24" i="10"/>
  <c r="AG25" i="10"/>
  <c r="AG27" i="10"/>
  <c r="AG28" i="10"/>
  <c r="AG29" i="10"/>
  <c r="AG30" i="10"/>
  <c r="AG31" i="10"/>
  <c r="AG33" i="10"/>
  <c r="AG34" i="10"/>
  <c r="AG35" i="10"/>
  <c r="AG36" i="10"/>
  <c r="AG37" i="10"/>
  <c r="AG39" i="10"/>
  <c r="AG40" i="10"/>
  <c r="AG41" i="10"/>
  <c r="AG42" i="10"/>
  <c r="AG43" i="10"/>
  <c r="AG45" i="10"/>
  <c r="AG46" i="10"/>
  <c r="AG47" i="10"/>
  <c r="AG48" i="10"/>
  <c r="AG49" i="10"/>
  <c r="AG51" i="10"/>
  <c r="AG52" i="10"/>
  <c r="AG53" i="10"/>
  <c r="AG54" i="10"/>
  <c r="AG55" i="10"/>
  <c r="AG57" i="10"/>
  <c r="AG58" i="10"/>
  <c r="AG59" i="10"/>
  <c r="AG60" i="10"/>
  <c r="AG61" i="10"/>
  <c r="AG63" i="10"/>
  <c r="AG64" i="10"/>
  <c r="AG65" i="10"/>
  <c r="AG66" i="10"/>
  <c r="AG68" i="10"/>
  <c r="AG69" i="10"/>
  <c r="AG70" i="10"/>
  <c r="AG71" i="10"/>
  <c r="AG72" i="10"/>
  <c r="AG74" i="10"/>
  <c r="AG75" i="10"/>
  <c r="AG76" i="10"/>
  <c r="AG77" i="10"/>
  <c r="AG78" i="10"/>
  <c r="AG80" i="10"/>
  <c r="AG81" i="10"/>
  <c r="AG82" i="10"/>
  <c r="AG83" i="10"/>
  <c r="AG84" i="10"/>
  <c r="AG86" i="10"/>
  <c r="AG87" i="10"/>
  <c r="AG88" i="10"/>
  <c r="AG89" i="10"/>
  <c r="AG90" i="10"/>
  <c r="AG92" i="10"/>
  <c r="AG93" i="10"/>
  <c r="AG94" i="10"/>
  <c r="AG95" i="10"/>
  <c r="AG96" i="10"/>
  <c r="AG98" i="10"/>
  <c r="AG99" i="10"/>
  <c r="AG100" i="10"/>
  <c r="AG101" i="10"/>
  <c r="AG102" i="10"/>
  <c r="AG104" i="10"/>
  <c r="AG105" i="10"/>
  <c r="AG106" i="10"/>
  <c r="AG107" i="10"/>
  <c r="AG108" i="10"/>
  <c r="AG110" i="10"/>
  <c r="AG111" i="10"/>
  <c r="AG112" i="10"/>
  <c r="AG113" i="10"/>
  <c r="AG114" i="10"/>
  <c r="AG116" i="10"/>
  <c r="AG117" i="10"/>
  <c r="AG118" i="10"/>
  <c r="AG119" i="10"/>
  <c r="AG120" i="10"/>
  <c r="AG122" i="10"/>
  <c r="AG123" i="10"/>
  <c r="AG124" i="10"/>
  <c r="AG125" i="10"/>
  <c r="AG126" i="10"/>
  <c r="AG128" i="10"/>
  <c r="AG129" i="10"/>
  <c r="AG130" i="10"/>
  <c r="AG131" i="10"/>
  <c r="AG132" i="10"/>
  <c r="AG134" i="10"/>
  <c r="AG135" i="10"/>
  <c r="AG136" i="10"/>
  <c r="AG137" i="10"/>
  <c r="AG138" i="10"/>
  <c r="AG140" i="10"/>
  <c r="AG141" i="10"/>
  <c r="AG142" i="10"/>
  <c r="AG143" i="10"/>
  <c r="AG144" i="10"/>
  <c r="AG146" i="10"/>
  <c r="AG147" i="10"/>
  <c r="AG148" i="10"/>
  <c r="AG149" i="10"/>
  <c r="AG150" i="10"/>
  <c r="AG152" i="10"/>
  <c r="AG153" i="10"/>
  <c r="AG154" i="10"/>
  <c r="AG155" i="10"/>
  <c r="AG156" i="10"/>
  <c r="AG158" i="10"/>
  <c r="AG159" i="10"/>
  <c r="AG160" i="10"/>
  <c r="AG161" i="10"/>
  <c r="AG162" i="10"/>
  <c r="AG164" i="10"/>
  <c r="AG165" i="10"/>
  <c r="AG166" i="10"/>
  <c r="AG167" i="10"/>
  <c r="AG168" i="10"/>
  <c r="AG170" i="10"/>
  <c r="AG171" i="10"/>
  <c r="AG172" i="10"/>
  <c r="AG173" i="10"/>
  <c r="AG174" i="10"/>
  <c r="AG176" i="10"/>
  <c r="AG177" i="10"/>
  <c r="AG178" i="10"/>
  <c r="AG179" i="10"/>
  <c r="AG180" i="10"/>
  <c r="AG182" i="10"/>
  <c r="AG183" i="10"/>
  <c r="AG184" i="10"/>
  <c r="AG185" i="10"/>
  <c r="AG186" i="10"/>
  <c r="AG188" i="10"/>
  <c r="AG189" i="10"/>
  <c r="AG190" i="10"/>
  <c r="AG191" i="10"/>
  <c r="AG192" i="10"/>
  <c r="AG194" i="10"/>
  <c r="AG195" i="10"/>
  <c r="AG196" i="10"/>
  <c r="AG197" i="10"/>
  <c r="AG199" i="10"/>
  <c r="AG200" i="10"/>
  <c r="AG201" i="10"/>
  <c r="AG202" i="10"/>
  <c r="AG203" i="10"/>
  <c r="AG205" i="10"/>
  <c r="AG206" i="10"/>
  <c r="AG207" i="10"/>
  <c r="AG208" i="10"/>
  <c r="AG209" i="10"/>
  <c r="AG211" i="10"/>
  <c r="AG212" i="10"/>
  <c r="AG213" i="10"/>
  <c r="AG214" i="10"/>
  <c r="AG215" i="10"/>
  <c r="AG217" i="10"/>
  <c r="AG218" i="10"/>
  <c r="AG219" i="10"/>
  <c r="AG220" i="10"/>
  <c r="AG221" i="10"/>
  <c r="AG223" i="10"/>
  <c r="AG224" i="10"/>
  <c r="AG225" i="10"/>
  <c r="AG226" i="10"/>
  <c r="AG227" i="10"/>
  <c r="AG229" i="10"/>
  <c r="AG230" i="10"/>
  <c r="AG231" i="10"/>
  <c r="AG232" i="10"/>
  <c r="AG233" i="10"/>
  <c r="AG235" i="10"/>
  <c r="AG236" i="10"/>
  <c r="AG237" i="10"/>
  <c r="AG238" i="10"/>
  <c r="AG239" i="10"/>
  <c r="AG241" i="10"/>
  <c r="AG242" i="10"/>
  <c r="AG243" i="10"/>
  <c r="AG244" i="10"/>
  <c r="AG245" i="10"/>
  <c r="AG247" i="10"/>
  <c r="AG248" i="10"/>
  <c r="AG249" i="10"/>
  <c r="AG250" i="10"/>
  <c r="AG251" i="10"/>
  <c r="AG253" i="10"/>
  <c r="AG254" i="10"/>
  <c r="AG255" i="10"/>
  <c r="AG256" i="10"/>
  <c r="AG257" i="10"/>
  <c r="AG259" i="10"/>
  <c r="AG260" i="10"/>
  <c r="AG262" i="10"/>
  <c r="AG263" i="10"/>
  <c r="AG265" i="10"/>
  <c r="AG266" i="10"/>
  <c r="AG267" i="10"/>
  <c r="AG268" i="10"/>
  <c r="AG269" i="10"/>
  <c r="AG271" i="10"/>
  <c r="AG272" i="10"/>
  <c r="AG274" i="10"/>
  <c r="AG275" i="10"/>
  <c r="AG277" i="10"/>
  <c r="AG278" i="10"/>
  <c r="AG279" i="10"/>
  <c r="AG280" i="10"/>
  <c r="AG281" i="10"/>
  <c r="AG283" i="10"/>
  <c r="AG284" i="10"/>
  <c r="AG285" i="10"/>
  <c r="AG286" i="10"/>
  <c r="AG287" i="10"/>
  <c r="AG289" i="10"/>
  <c r="AG290" i="10"/>
  <c r="AG291" i="10"/>
  <c r="AG292" i="10"/>
  <c r="AG293" i="10"/>
  <c r="AG295" i="10"/>
  <c r="AG296" i="10"/>
  <c r="AG297" i="10"/>
  <c r="AG298" i="10"/>
  <c r="AG299" i="10"/>
  <c r="AG301" i="10"/>
  <c r="AG302" i="10"/>
  <c r="AG303" i="10"/>
  <c r="AG304" i="10"/>
  <c r="AG305" i="10"/>
  <c r="AG307" i="10"/>
  <c r="AG308" i="10"/>
  <c r="AG309" i="10"/>
  <c r="AG310" i="10"/>
  <c r="AG312" i="10"/>
  <c r="AG313" i="10"/>
  <c r="AG314" i="10"/>
  <c r="AG315" i="10"/>
  <c r="AG316" i="10"/>
  <c r="AG318" i="10"/>
  <c r="AG319" i="10"/>
  <c r="AG320" i="10"/>
  <c r="AG321" i="10"/>
  <c r="AG324" i="10"/>
  <c r="AG325" i="10"/>
  <c r="AG326" i="10"/>
  <c r="AG327" i="10"/>
  <c r="AG329" i="10"/>
  <c r="AG330" i="10"/>
  <c r="AG331" i="10"/>
  <c r="AG333" i="10"/>
  <c r="AG334" i="10"/>
  <c r="AG335" i="10"/>
  <c r="AG336" i="10"/>
  <c r="AG337" i="10"/>
  <c r="AG338" i="10"/>
  <c r="AG339" i="10"/>
  <c r="AG341" i="10"/>
  <c r="AG342" i="10"/>
  <c r="AG343" i="10"/>
  <c r="AG345" i="10"/>
  <c r="AG346" i="10"/>
  <c r="AG347" i="10"/>
  <c r="AG348" i="10"/>
  <c r="AG349" i="10"/>
  <c r="AG351" i="10"/>
  <c r="AG352" i="10"/>
  <c r="AG353" i="10"/>
  <c r="AG354" i="10"/>
  <c r="AG355" i="10"/>
  <c r="AG357" i="10"/>
  <c r="AG358" i="10"/>
  <c r="AG360" i="10"/>
  <c r="AG361" i="10"/>
  <c r="AG362" i="10"/>
  <c r="AG363" i="10"/>
  <c r="AG364" i="10"/>
  <c r="AG366" i="10"/>
  <c r="AG367" i="10"/>
  <c r="AG368" i="10"/>
  <c r="AG369" i="10"/>
  <c r="AG370" i="10"/>
  <c r="AG372" i="10"/>
  <c r="AG373" i="10"/>
  <c r="AG374" i="10"/>
  <c r="AG375" i="10"/>
  <c r="AG376" i="10"/>
  <c r="AG378" i="10"/>
  <c r="AG379" i="10"/>
  <c r="AG380" i="10"/>
  <c r="AG381" i="10"/>
  <c r="AG382" i="10"/>
  <c r="AG384" i="10"/>
  <c r="AG385" i="10"/>
  <c r="AG386" i="10"/>
  <c r="AG387" i="10"/>
  <c r="AG388" i="10"/>
  <c r="AG390" i="10"/>
  <c r="AG391" i="10"/>
  <c r="AG392" i="10"/>
  <c r="AG393" i="10"/>
  <c r="AG394" i="10"/>
  <c r="AG396" i="10"/>
  <c r="AG397" i="10"/>
  <c r="AG398" i="10"/>
  <c r="AG399" i="10"/>
  <c r="AG400" i="10"/>
  <c r="AG402" i="10"/>
  <c r="AG403" i="10"/>
  <c r="AG404" i="10"/>
  <c r="AG405" i="10"/>
  <c r="AG406" i="10"/>
  <c r="AG408" i="10"/>
  <c r="AG409" i="10"/>
  <c r="AG410" i="10"/>
  <c r="AG411" i="10"/>
  <c r="AG412" i="10"/>
  <c r="AG414" i="10"/>
  <c r="AG415" i="10"/>
  <c r="AG417" i="10"/>
  <c r="AG418" i="10"/>
  <c r="AG420" i="10"/>
  <c r="AG421" i="10"/>
  <c r="AG422" i="10"/>
  <c r="AG423" i="10"/>
  <c r="AG424" i="10"/>
  <c r="AG426" i="10"/>
  <c r="AG427" i="10"/>
  <c r="AG428" i="10"/>
  <c r="AG429" i="10"/>
  <c r="AG430" i="10"/>
  <c r="AG432" i="10"/>
  <c r="AG433" i="10"/>
  <c r="AG434" i="10"/>
  <c r="AG435" i="10"/>
  <c r="AG438" i="10"/>
  <c r="AG439" i="10"/>
  <c r="AG440" i="10"/>
  <c r="AG441" i="10"/>
  <c r="AG442" i="10"/>
  <c r="AG444" i="10"/>
  <c r="AG445" i="10"/>
  <c r="AG446" i="10"/>
  <c r="AG447" i="10"/>
  <c r="AG448" i="10"/>
  <c r="AG450" i="10"/>
  <c r="AG451" i="10"/>
  <c r="AG452" i="10"/>
  <c r="AG453" i="10"/>
  <c r="AG454" i="10"/>
  <c r="AG456" i="10"/>
  <c r="AG457" i="10"/>
  <c r="AG458" i="10"/>
  <c r="AG459" i="10"/>
  <c r="AG460" i="10"/>
  <c r="AG462" i="10"/>
  <c r="AG463" i="10"/>
  <c r="AG464" i="10"/>
  <c r="AG465" i="10"/>
  <c r="AG466" i="10"/>
  <c r="AG468" i="10"/>
  <c r="AG469" i="10"/>
  <c r="AG470" i="10"/>
  <c r="AG471" i="10"/>
  <c r="AG473" i="10"/>
  <c r="AG474" i="10"/>
  <c r="AG475" i="10"/>
  <c r="AG476" i="10"/>
  <c r="AG477" i="10"/>
  <c r="AG479" i="10"/>
  <c r="AG480" i="10"/>
  <c r="AG481" i="10"/>
  <c r="AG482" i="10"/>
  <c r="AG483" i="10"/>
  <c r="AG486" i="10"/>
  <c r="AG487" i="10"/>
  <c r="AG488" i="10"/>
  <c r="AG489" i="10"/>
  <c r="AG490" i="10"/>
  <c r="AG492" i="10"/>
  <c r="AG493" i="10"/>
  <c r="AG494" i="10"/>
  <c r="AG495" i="10"/>
  <c r="AG496" i="10"/>
  <c r="AG498" i="10"/>
  <c r="AG499" i="10"/>
  <c r="AG500" i="10"/>
  <c r="AG501" i="10"/>
  <c r="AG503" i="10"/>
  <c r="AG504" i="10"/>
  <c r="AG505" i="10"/>
  <c r="AG506" i="10"/>
  <c r="AG508" i="10"/>
  <c r="AG509" i="10"/>
  <c r="AG510" i="10"/>
  <c r="AG511" i="10"/>
  <c r="AG512" i="10"/>
  <c r="AG514" i="10"/>
  <c r="AG515" i="10"/>
  <c r="AG516" i="10"/>
  <c r="AG517" i="10"/>
  <c r="AG518" i="10"/>
  <c r="AG520" i="10"/>
  <c r="AG521" i="10"/>
  <c r="AG522" i="10"/>
  <c r="AG523" i="10"/>
  <c r="AG524" i="10"/>
  <c r="AG526" i="10"/>
  <c r="AG527" i="10"/>
  <c r="AG528" i="10"/>
  <c r="AG529" i="10"/>
  <c r="AG530" i="10"/>
  <c r="AG532" i="10"/>
  <c r="AG533" i="10"/>
  <c r="AG534" i="10"/>
  <c r="AG535" i="10"/>
  <c r="AG536" i="10"/>
  <c r="AG538" i="10"/>
  <c r="AG539" i="10"/>
  <c r="AG540" i="10"/>
  <c r="AG541" i="10"/>
  <c r="AG542" i="10"/>
  <c r="AG544" i="10"/>
  <c r="AG545" i="10"/>
  <c r="AG546" i="10"/>
  <c r="AG547" i="10"/>
  <c r="AG548" i="10"/>
  <c r="AG550" i="10"/>
  <c r="AG551" i="10"/>
  <c r="AG552" i="10"/>
  <c r="AG553" i="10"/>
  <c r="AG554" i="10"/>
  <c r="AG556" i="10"/>
  <c r="AG557" i="10"/>
  <c r="AG558" i="10"/>
  <c r="AG559" i="10"/>
  <c r="AG560" i="10"/>
  <c r="AG562" i="10"/>
  <c r="AG563" i="10"/>
  <c r="AG564" i="10"/>
  <c r="AG565" i="10"/>
  <c r="AG567" i="10"/>
  <c r="AG568" i="10"/>
  <c r="AG569" i="10"/>
  <c r="AG570" i="10"/>
  <c r="AG571" i="10"/>
  <c r="AG573" i="10"/>
  <c r="AG574" i="10"/>
  <c r="AG575" i="10"/>
  <c r="AG576" i="10"/>
  <c r="AG577" i="10"/>
  <c r="AG579" i="10"/>
  <c r="AG580" i="10"/>
  <c r="AG581" i="10"/>
  <c r="AG582" i="10"/>
  <c r="AG583" i="10"/>
  <c r="AG585" i="10"/>
  <c r="AG586" i="10"/>
  <c r="AG587" i="10"/>
  <c r="AG588" i="10"/>
  <c r="AG589" i="10"/>
  <c r="AG591" i="10"/>
  <c r="AG592" i="10"/>
  <c r="AG593" i="10"/>
  <c r="AG594" i="10"/>
  <c r="AG595" i="10"/>
  <c r="AG597" i="10"/>
  <c r="AG598" i="10"/>
  <c r="AG599" i="10"/>
  <c r="AG600" i="10"/>
  <c r="AG601" i="10"/>
  <c r="AG603" i="10"/>
  <c r="AG604" i="10"/>
  <c r="AG605" i="10"/>
  <c r="AG606" i="10"/>
  <c r="AG607" i="10"/>
  <c r="AG609" i="10"/>
  <c r="AG610" i="10"/>
  <c r="AG611" i="10"/>
  <c r="AG612" i="10"/>
  <c r="AG613" i="10"/>
  <c r="AG615" i="10"/>
  <c r="AG616" i="10"/>
  <c r="AG617" i="10"/>
  <c r="AG618" i="10"/>
  <c r="AG619" i="10"/>
  <c r="AG621" i="10"/>
  <c r="AG622" i="10"/>
  <c r="AG623" i="10"/>
  <c r="AG624" i="10"/>
  <c r="AG625" i="10"/>
  <c r="AG627" i="10"/>
  <c r="AG628" i="10"/>
  <c r="AG629" i="10"/>
  <c r="AG630" i="10"/>
  <c r="AG631" i="10"/>
  <c r="AG633" i="10"/>
  <c r="AG634" i="10"/>
  <c r="AG635" i="10"/>
  <c r="AG636" i="10"/>
  <c r="AG637" i="10"/>
  <c r="AG639" i="10"/>
  <c r="AG640" i="10"/>
  <c r="AG641" i="10"/>
  <c r="AG642" i="10"/>
  <c r="AG643" i="10"/>
  <c r="AG645" i="10"/>
  <c r="AG646" i="10"/>
  <c r="AG647" i="10"/>
  <c r="AG648" i="10"/>
  <c r="AG649" i="10"/>
  <c r="AG651" i="10"/>
  <c r="AG652" i="10"/>
  <c r="AG653" i="10"/>
  <c r="AG654" i="10"/>
  <c r="AG655" i="10"/>
  <c r="AG657" i="10"/>
  <c r="AG658" i="10"/>
  <c r="AG659" i="10"/>
  <c r="AG660" i="10"/>
  <c r="AG661" i="10"/>
  <c r="AG663" i="10"/>
  <c r="AG664" i="10"/>
  <c r="AG665" i="10"/>
  <c r="AG666" i="10"/>
  <c r="AG667" i="10"/>
  <c r="AG669" i="10"/>
  <c r="AG670" i="10"/>
  <c r="AG671" i="10"/>
  <c r="AG672" i="10"/>
  <c r="AG673" i="10"/>
  <c r="AG675" i="10"/>
  <c r="AG676" i="10"/>
  <c r="AG677" i="10"/>
  <c r="AG678" i="10"/>
  <c r="AG679" i="10"/>
  <c r="AG681" i="10"/>
  <c r="AG682" i="10"/>
  <c r="AG683" i="10"/>
  <c r="AG684" i="10"/>
  <c r="AG685" i="10"/>
  <c r="AG687" i="10"/>
  <c r="AG688" i="10"/>
  <c r="AG689" i="10"/>
  <c r="AG690" i="10"/>
  <c r="AG691" i="10"/>
  <c r="AG693" i="10"/>
  <c r="AG694" i="10"/>
  <c r="AG695" i="10"/>
  <c r="AG696" i="10"/>
  <c r="AG697" i="10"/>
  <c r="AG699" i="10"/>
  <c r="AG700" i="10"/>
  <c r="AG701" i="10"/>
  <c r="AG702" i="10"/>
  <c r="AG703" i="10"/>
  <c r="AG705" i="10"/>
  <c r="AG706" i="10"/>
  <c r="AG707" i="10"/>
  <c r="AG708" i="10"/>
  <c r="AG709" i="10"/>
  <c r="AG711" i="10"/>
  <c r="AG712" i="10"/>
  <c r="AG713" i="10"/>
  <c r="AG714" i="10"/>
  <c r="AG715" i="10"/>
  <c r="AG717" i="10"/>
  <c r="AG718" i="10"/>
  <c r="AG719" i="10"/>
  <c r="AG720" i="10"/>
  <c r="AG721" i="10"/>
  <c r="AG723" i="10"/>
  <c r="AG724" i="10"/>
  <c r="AG725" i="10"/>
  <c r="AG726" i="10"/>
  <c r="AG727" i="10"/>
  <c r="AG729" i="10"/>
  <c r="AG730" i="10"/>
  <c r="AG731" i="10"/>
  <c r="AG732" i="10"/>
  <c r="AG733" i="10"/>
  <c r="AG735" i="10"/>
  <c r="AG736" i="10"/>
  <c r="AG737" i="10"/>
  <c r="AG738" i="10"/>
  <c r="AG739" i="10"/>
  <c r="AG741" i="10"/>
  <c r="AG742" i="10"/>
  <c r="AG743" i="10"/>
  <c r="AG744" i="10"/>
  <c r="AG745" i="10"/>
  <c r="AG747" i="10"/>
  <c r="AG748" i="10"/>
  <c r="AG749" i="10"/>
  <c r="AG750" i="10"/>
  <c r="AG751" i="10"/>
  <c r="AG753" i="10"/>
  <c r="AG754" i="10"/>
  <c r="AG755" i="10"/>
  <c r="AG756" i="10"/>
  <c r="AG757" i="10"/>
  <c r="AG759" i="10"/>
  <c r="AG760" i="10"/>
  <c r="AG761" i="10"/>
  <c r="AG762" i="10"/>
  <c r="AG763" i="10"/>
  <c r="AG765" i="10"/>
  <c r="AG766" i="10"/>
  <c r="AG767" i="10"/>
  <c r="AG768" i="10"/>
  <c r="AG769" i="10"/>
  <c r="AG771" i="10"/>
  <c r="AG772" i="10"/>
  <c r="AG773" i="10"/>
  <c r="AG774" i="10"/>
  <c r="AG775" i="10"/>
  <c r="AG777" i="10"/>
  <c r="AG778" i="10"/>
  <c r="AG779" i="10"/>
  <c r="AG780" i="10"/>
  <c r="AG781" i="10"/>
  <c r="AG783" i="10"/>
  <c r="AG784" i="10"/>
  <c r="AG785" i="10"/>
  <c r="AG786" i="10"/>
  <c r="AG787" i="10"/>
  <c r="AG789" i="10"/>
  <c r="AG790" i="10"/>
  <c r="AG791" i="10"/>
  <c r="AG792" i="10"/>
  <c r="AG793" i="10"/>
  <c r="AG795" i="10"/>
  <c r="AG796" i="10"/>
  <c r="AG797" i="10"/>
  <c r="AG798" i="10"/>
  <c r="AG799" i="10"/>
  <c r="AG801" i="10"/>
  <c r="AG802" i="10"/>
  <c r="AG803" i="10"/>
  <c r="AG804" i="10"/>
  <c r="AG805" i="10"/>
  <c r="AG807" i="10"/>
  <c r="AG808" i="10"/>
  <c r="AG809" i="10"/>
  <c r="AG810" i="10"/>
  <c r="AG811" i="10"/>
  <c r="AG813" i="10"/>
  <c r="AG814" i="10"/>
  <c r="AG815" i="10"/>
  <c r="AG816" i="10"/>
  <c r="AG817" i="10"/>
  <c r="AG819" i="10"/>
  <c r="AG820" i="10"/>
  <c r="AG821" i="10"/>
  <c r="AG822" i="10"/>
  <c r="AG823" i="10"/>
  <c r="AG825" i="10"/>
  <c r="AG826" i="10"/>
  <c r="AG827" i="10"/>
  <c r="AG828" i="10"/>
  <c r="AG829" i="10"/>
  <c r="AG831" i="10"/>
  <c r="AG832" i="10"/>
  <c r="AG833" i="10"/>
  <c r="AG834" i="10"/>
  <c r="AG835" i="10"/>
  <c r="AG837" i="10"/>
  <c r="AG838" i="10"/>
  <c r="AG839" i="10"/>
  <c r="AG840" i="10"/>
  <c r="AG841" i="10"/>
  <c r="AG843" i="10"/>
  <c r="AG844" i="10"/>
  <c r="AG845" i="10"/>
  <c r="AG846" i="10"/>
  <c r="AG847" i="10"/>
  <c r="AG849" i="10"/>
  <c r="AG850" i="10"/>
  <c r="AG851" i="10"/>
  <c r="AG852" i="10"/>
  <c r="AG853" i="10"/>
  <c r="AG855" i="10"/>
  <c r="AG856" i="10"/>
  <c r="AG857" i="10"/>
  <c r="AG858" i="10"/>
  <c r="AG859" i="10"/>
  <c r="AG861" i="10"/>
  <c r="AG862" i="10"/>
  <c r="AG863" i="10"/>
  <c r="AG864" i="10"/>
  <c r="AG865" i="10"/>
  <c r="AG867" i="10"/>
  <c r="AG868" i="10"/>
  <c r="AG869" i="10"/>
  <c r="AG870" i="10"/>
  <c r="AG871" i="10"/>
  <c r="AG873" i="10"/>
  <c r="AG874" i="10"/>
  <c r="AG875" i="10"/>
  <c r="AG876" i="10"/>
  <c r="AG877" i="10"/>
  <c r="AG879" i="10"/>
  <c r="AG880" i="10"/>
  <c r="AG3" i="10"/>
  <c r="AG881" i="10"/>
  <c r="AF3" i="9"/>
  <c r="AG3" i="9" s="1"/>
  <c r="AG4" i="9"/>
  <c r="AG5" i="9"/>
  <c r="AG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1" i="9"/>
  <c r="AG42" i="9"/>
  <c r="AG43" i="9"/>
  <c r="AG44" i="9"/>
  <c r="AG45" i="9"/>
  <c r="AG46" i="9"/>
  <c r="AG47" i="9"/>
  <c r="AG48" i="9"/>
  <c r="AG49" i="9"/>
  <c r="AG50" i="9"/>
  <c r="AG51" i="9"/>
  <c r="AG52" i="9"/>
  <c r="AG53" i="9"/>
  <c r="AG54" i="9"/>
  <c r="AG55" i="9"/>
  <c r="AG56" i="9"/>
  <c r="AG57" i="9"/>
  <c r="AG58" i="9"/>
  <c r="AG59" i="9"/>
  <c r="AG60" i="9"/>
  <c r="AG61" i="9"/>
  <c r="AG62" i="9"/>
  <c r="AG63" i="9"/>
  <c r="AG64" i="9"/>
  <c r="AG65" i="9"/>
  <c r="AG66" i="9"/>
  <c r="AG67" i="9"/>
  <c r="AG68" i="9"/>
  <c r="AG69" i="9"/>
  <c r="AG70" i="9"/>
  <c r="AG71" i="9"/>
  <c r="AG72" i="9"/>
  <c r="AF73" i="9"/>
  <c r="AG73" i="9" s="1"/>
  <c r="AF74" i="9"/>
  <c r="AG74" i="9" s="1"/>
  <c r="AF75" i="9"/>
  <c r="AG75" i="9" s="1"/>
  <c r="AF76" i="9"/>
  <c r="AG76" i="9" s="1"/>
  <c r="AF77" i="9"/>
  <c r="AG77" i="9" s="1"/>
  <c r="AF78" i="9"/>
  <c r="AG78" i="9" s="1"/>
  <c r="AF79" i="9"/>
  <c r="AG79" i="9" s="1"/>
  <c r="AF80" i="9"/>
  <c r="AG80" i="9" s="1"/>
  <c r="AF81" i="9"/>
  <c r="AG81" i="9" s="1"/>
  <c r="AF82" i="9"/>
  <c r="AG82" i="9" s="1"/>
  <c r="AF83" i="9"/>
  <c r="AG83" i="9" s="1"/>
  <c r="AF84" i="9"/>
  <c r="AG84" i="9" s="1"/>
  <c r="AF85" i="9"/>
  <c r="AG85" i="9" s="1"/>
  <c r="AF86" i="9"/>
  <c r="AG86" i="9" s="1"/>
  <c r="AF87" i="9"/>
  <c r="AG87" i="9" s="1"/>
  <c r="AF88" i="9"/>
  <c r="AG88" i="9" s="1"/>
  <c r="AF89" i="9"/>
  <c r="AG89" i="9" s="1"/>
  <c r="AF90" i="9"/>
  <c r="AG90" i="9" s="1"/>
  <c r="AF91" i="9"/>
  <c r="AG91" i="9" s="1"/>
  <c r="AF92" i="9"/>
  <c r="AG92" i="9" s="1"/>
  <c r="AF93" i="9"/>
  <c r="AG93" i="9" s="1"/>
  <c r="AF94" i="9"/>
  <c r="AG94" i="9" s="1"/>
  <c r="AF95" i="9"/>
  <c r="AG95" i="9" s="1"/>
  <c r="AF96" i="9"/>
  <c r="AG96" i="9" s="1"/>
  <c r="AF97" i="9"/>
  <c r="AG97" i="9" s="1"/>
  <c r="AF98" i="9"/>
  <c r="AG98" i="9" s="1"/>
  <c r="AF99" i="9"/>
  <c r="AG99" i="9" s="1"/>
  <c r="AF100" i="9"/>
  <c r="AG100" i="9" s="1"/>
  <c r="AF101" i="9"/>
  <c r="AG101" i="9" s="1"/>
  <c r="AF102" i="9"/>
  <c r="AG102" i="9" s="1"/>
  <c r="AF103" i="9"/>
  <c r="AG103" i="9" s="1"/>
  <c r="AF104" i="9"/>
  <c r="AG104" i="9" s="1"/>
  <c r="AF105" i="9"/>
  <c r="AG105" i="9" s="1"/>
  <c r="AF106" i="9"/>
  <c r="AG106" i="9" s="1"/>
  <c r="AF107" i="9"/>
  <c r="AG107" i="9" s="1"/>
  <c r="AF108" i="9"/>
  <c r="AG108" i="9" s="1"/>
  <c r="AF109" i="9"/>
  <c r="AG109" i="9" s="1"/>
  <c r="AF110" i="9"/>
  <c r="AG110" i="9" s="1"/>
  <c r="AF111" i="9"/>
  <c r="AG111" i="9" s="1"/>
  <c r="AF112" i="9"/>
  <c r="AG112" i="9" s="1"/>
  <c r="AF113" i="9"/>
  <c r="AG113" i="9" s="1"/>
  <c r="AF114" i="9"/>
  <c r="AG114" i="9" s="1"/>
  <c r="AF115" i="9"/>
  <c r="AG115" i="9" s="1"/>
  <c r="AF116" i="9"/>
  <c r="AG116" i="9" s="1"/>
  <c r="AF117" i="9"/>
  <c r="AG117" i="9" s="1"/>
  <c r="AF118" i="9"/>
  <c r="AG118" i="9" s="1"/>
  <c r="AF119" i="9"/>
  <c r="AG119" i="9" s="1"/>
  <c r="AF120" i="9"/>
  <c r="AG120" i="9" s="1"/>
  <c r="AF121" i="9"/>
  <c r="AG121" i="9" s="1"/>
  <c r="AF122" i="9"/>
  <c r="AG122" i="9" s="1"/>
  <c r="AF123" i="9"/>
  <c r="AG123" i="9" s="1"/>
  <c r="AF124" i="9"/>
  <c r="AG124" i="9" s="1"/>
  <c r="AF125" i="9"/>
  <c r="AG125" i="9" s="1"/>
  <c r="AF126" i="9"/>
  <c r="AG126" i="9" s="1"/>
  <c r="AF127" i="9"/>
  <c r="AG127" i="9" s="1"/>
  <c r="AF128" i="9"/>
  <c r="AG128" i="9" s="1"/>
  <c r="AF129" i="9"/>
  <c r="AG129" i="9" s="1"/>
  <c r="AF130" i="9"/>
  <c r="AG130" i="9" s="1"/>
  <c r="AF131" i="9"/>
  <c r="AG131" i="9" s="1"/>
  <c r="AF132" i="9"/>
  <c r="AG132" i="9" s="1"/>
  <c r="AF133" i="9"/>
  <c r="AG133" i="9" s="1"/>
  <c r="AF134" i="9"/>
  <c r="AG134" i="9" s="1"/>
  <c r="AF135" i="9"/>
  <c r="AG135" i="9" s="1"/>
  <c r="AF136" i="9"/>
  <c r="AG136" i="9" s="1"/>
  <c r="AF137" i="9"/>
  <c r="AG137" i="9" s="1"/>
  <c r="AF138" i="9"/>
  <c r="AG138" i="9" s="1"/>
  <c r="AF139" i="9"/>
  <c r="AG139" i="9" s="1"/>
  <c r="AF140" i="9"/>
  <c r="AG140" i="9" s="1"/>
  <c r="AF141" i="9"/>
  <c r="AG141" i="9" s="1"/>
  <c r="AF142" i="9"/>
  <c r="AG142" i="9" s="1"/>
  <c r="AF143" i="9"/>
  <c r="AG143" i="9" s="1"/>
  <c r="AF144" i="9"/>
  <c r="AG144" i="9" s="1"/>
  <c r="AF145" i="9"/>
  <c r="AG145" i="9" s="1"/>
  <c r="AF146" i="9"/>
  <c r="AG146" i="9" s="1"/>
  <c r="AF147" i="9"/>
  <c r="AG147" i="9" s="1"/>
  <c r="AF148" i="9"/>
  <c r="AG148" i="9" s="1"/>
  <c r="AF149" i="9"/>
  <c r="AG149" i="9" s="1"/>
  <c r="AF150" i="9"/>
  <c r="AG150" i="9" s="1"/>
  <c r="AF151" i="9"/>
  <c r="AG151" i="9" s="1"/>
  <c r="AF152" i="9"/>
  <c r="AG152" i="9" s="1"/>
  <c r="AF153" i="9"/>
  <c r="AG153" i="9" s="1"/>
  <c r="AF154" i="9"/>
  <c r="AG154" i="9" s="1"/>
  <c r="AF155" i="9"/>
  <c r="AG155" i="9" s="1"/>
  <c r="AF156" i="9"/>
  <c r="AG156" i="9" s="1"/>
  <c r="AF157" i="9"/>
  <c r="AG157" i="9" s="1"/>
  <c r="AF158" i="9"/>
  <c r="AG158" i="9" s="1"/>
  <c r="AF159" i="9"/>
  <c r="AG159" i="9" s="1"/>
  <c r="AF160" i="9"/>
  <c r="AG160" i="9" s="1"/>
  <c r="AF161" i="9"/>
  <c r="AG161" i="9" s="1"/>
  <c r="AF162" i="9"/>
  <c r="AG162" i="9" s="1"/>
  <c r="AF163" i="9"/>
  <c r="AG163" i="9" s="1"/>
  <c r="AF164" i="9"/>
  <c r="AG164" i="9" s="1"/>
  <c r="AF165" i="9"/>
  <c r="AG165" i="9" s="1"/>
  <c r="AF166" i="9"/>
  <c r="AG166" i="9" s="1"/>
  <c r="AF167" i="9"/>
  <c r="AG167" i="9" s="1"/>
  <c r="AF168" i="9"/>
  <c r="AG168" i="9" s="1"/>
  <c r="AF169" i="9"/>
  <c r="AG169" i="9" s="1"/>
  <c r="AF170" i="9"/>
  <c r="AG170" i="9" s="1"/>
  <c r="AF171" i="9"/>
  <c r="AG171" i="9" s="1"/>
  <c r="AF172" i="9"/>
  <c r="AG172" i="9" s="1"/>
  <c r="AF173" i="9"/>
  <c r="AG173" i="9" s="1"/>
  <c r="AF174" i="9"/>
  <c r="AG174" i="9" s="1"/>
  <c r="AF175" i="9"/>
  <c r="AG175" i="9" s="1"/>
  <c r="AF176" i="9"/>
  <c r="AG176" i="9" s="1"/>
  <c r="AF177" i="9"/>
  <c r="AG177" i="9" s="1"/>
  <c r="AF178" i="9"/>
  <c r="AG178" i="9" s="1"/>
  <c r="AF179" i="9"/>
  <c r="AG179" i="9" s="1"/>
  <c r="AF180" i="9"/>
  <c r="AG180" i="9" s="1"/>
  <c r="AF181" i="9"/>
  <c r="AG181" i="9" s="1"/>
  <c r="AF182" i="9"/>
  <c r="AG182" i="9" s="1"/>
  <c r="AF183" i="9"/>
  <c r="AG183" i="9" s="1"/>
  <c r="AF184" i="9"/>
  <c r="AG184" i="9" s="1"/>
  <c r="AF185" i="9"/>
  <c r="AG185" i="9" s="1"/>
  <c r="AF186" i="9"/>
  <c r="AG186" i="9" s="1"/>
  <c r="AF187" i="9"/>
  <c r="AG187" i="9" s="1"/>
  <c r="AF188" i="9"/>
  <c r="AG188" i="9" s="1"/>
  <c r="AF189" i="9"/>
  <c r="AG189" i="9" s="1"/>
  <c r="AF190" i="9"/>
  <c r="AG190" i="9" s="1"/>
  <c r="AF191" i="9"/>
  <c r="AG191" i="9" s="1"/>
  <c r="AF192" i="9"/>
  <c r="AG192" i="9" s="1"/>
  <c r="AF193" i="9"/>
  <c r="AG193" i="9" s="1"/>
  <c r="AF194" i="9"/>
  <c r="AG194" i="9" s="1"/>
  <c r="AF195" i="9"/>
  <c r="AG195" i="9" s="1"/>
  <c r="AF196" i="9"/>
  <c r="AG196" i="9" s="1"/>
  <c r="AF197" i="9"/>
  <c r="AG197" i="9" s="1"/>
  <c r="AF198" i="9"/>
  <c r="AG198" i="9" s="1"/>
  <c r="AF199" i="9"/>
  <c r="AG199" i="9" s="1"/>
  <c r="AF200" i="9"/>
  <c r="AG200" i="9" s="1"/>
  <c r="AF201" i="9"/>
  <c r="AG201" i="9" s="1"/>
  <c r="AG202" i="9"/>
  <c r="AF203" i="9"/>
  <c r="AG203" i="9" s="1"/>
  <c r="AF204" i="9"/>
  <c r="AG204" i="9" s="1"/>
  <c r="AF205" i="9"/>
  <c r="AG205" i="9" s="1"/>
  <c r="AF206" i="9"/>
  <c r="AG206" i="9" s="1"/>
  <c r="AF207" i="9"/>
  <c r="AG207" i="9" s="1"/>
  <c r="AF208" i="9"/>
  <c r="AG208" i="9" s="1"/>
  <c r="AF209" i="9"/>
  <c r="AG209" i="9" s="1"/>
  <c r="AF210" i="9"/>
  <c r="AG210" i="9" s="1"/>
  <c r="AF211" i="9"/>
  <c r="AG211" i="9" s="1"/>
  <c r="AF212" i="9"/>
  <c r="AG212" i="9" s="1"/>
  <c r="AF213" i="9"/>
  <c r="AG213" i="9" s="1"/>
  <c r="AF214" i="9"/>
  <c r="AG214" i="9" s="1"/>
  <c r="AF215" i="9"/>
  <c r="AG215" i="9" s="1"/>
  <c r="AF216" i="9"/>
  <c r="AG216" i="9" s="1"/>
  <c r="AF217" i="9"/>
  <c r="AG217" i="9" s="1"/>
  <c r="AF218" i="9"/>
  <c r="AG218" i="9" s="1"/>
  <c r="AF219" i="9"/>
  <c r="AG219" i="9" s="1"/>
  <c r="AF220" i="9"/>
  <c r="AG220" i="9" s="1"/>
  <c r="AF221" i="9"/>
  <c r="AG221" i="9" s="1"/>
  <c r="AF222" i="9"/>
  <c r="AG222" i="9" s="1"/>
  <c r="AF223" i="9"/>
  <c r="AG223" i="9" s="1"/>
  <c r="AF224" i="9"/>
  <c r="AG224" i="9" s="1"/>
  <c r="AF225" i="9"/>
  <c r="AG225" i="9" s="1"/>
  <c r="AF226" i="9"/>
  <c r="AG226" i="9" s="1"/>
  <c r="AF227" i="9"/>
  <c r="AG227" i="9" s="1"/>
  <c r="AF228" i="9"/>
  <c r="AG228" i="9" s="1"/>
  <c r="AF229" i="9"/>
  <c r="AG229" i="9" s="1"/>
  <c r="AF230" i="9"/>
  <c r="AG230" i="9" s="1"/>
  <c r="AF231" i="9"/>
  <c r="AG231" i="9" s="1"/>
  <c r="AF232" i="9"/>
  <c r="AG232" i="9" s="1"/>
  <c r="AF233" i="9"/>
  <c r="AG233" i="9" s="1"/>
  <c r="AF234" i="9"/>
  <c r="AG234" i="9" s="1"/>
  <c r="AG235" i="9"/>
  <c r="AF236" i="9"/>
  <c r="AG236" i="9" s="1"/>
  <c r="AF237" i="9"/>
  <c r="AG237" i="9" s="1"/>
  <c r="AF238" i="9"/>
  <c r="AG238" i="9" s="1"/>
  <c r="AF239" i="9"/>
  <c r="AG239" i="9" s="1"/>
  <c r="AF240" i="9"/>
  <c r="AG240" i="9" s="1"/>
  <c r="AF241" i="9"/>
  <c r="AG241" i="9" s="1"/>
  <c r="AF242" i="9"/>
  <c r="AG242" i="9" s="1"/>
  <c r="AF243" i="9"/>
  <c r="AG243" i="9" s="1"/>
  <c r="AF244" i="9"/>
  <c r="AG244" i="9" s="1"/>
  <c r="AF245" i="9"/>
  <c r="AG245" i="9" s="1"/>
  <c r="AF246" i="9"/>
  <c r="AG246" i="9" s="1"/>
  <c r="AF247" i="9"/>
  <c r="AG247" i="9" s="1"/>
  <c r="AF248" i="9"/>
  <c r="AG248" i="9" s="1"/>
  <c r="AF249" i="9"/>
  <c r="AG249" i="9" s="1"/>
  <c r="AF250" i="9"/>
  <c r="AG250" i="9" s="1"/>
  <c r="AF251" i="9"/>
  <c r="AG251" i="9" s="1"/>
  <c r="AF252" i="9"/>
  <c r="AG252" i="9" s="1"/>
  <c r="AF253" i="9"/>
  <c r="AG253" i="9" s="1"/>
  <c r="AF254" i="9"/>
  <c r="AG254" i="9" s="1"/>
  <c r="AF255" i="9"/>
  <c r="AG255" i="9" s="1"/>
  <c r="AF256" i="9"/>
  <c r="AG256" i="9" s="1"/>
  <c r="AF257" i="9"/>
  <c r="AG257" i="9" s="1"/>
  <c r="AF258" i="9"/>
  <c r="AG258" i="9" s="1"/>
  <c r="AF259" i="9"/>
  <c r="AG259" i="9" s="1"/>
  <c r="AF260" i="9"/>
  <c r="AG260" i="9" s="1"/>
  <c r="AF261" i="9"/>
  <c r="AG261" i="9" s="1"/>
  <c r="AF262" i="9"/>
  <c r="AG262" i="9" s="1"/>
  <c r="AF263" i="9"/>
  <c r="AG263" i="9" s="1"/>
  <c r="AF264" i="9"/>
  <c r="AG264" i="9" s="1"/>
  <c r="AF265" i="9"/>
  <c r="AG265" i="9" s="1"/>
  <c r="AF266" i="9"/>
  <c r="AG266" i="9" s="1"/>
  <c r="AF267" i="9"/>
  <c r="AG267" i="9" s="1"/>
  <c r="AF268" i="9"/>
  <c r="AG268" i="9" s="1"/>
  <c r="AF269" i="9"/>
  <c r="AG269" i="9" s="1"/>
  <c r="AF270" i="9"/>
  <c r="AG270" i="9" s="1"/>
  <c r="AF271" i="9"/>
  <c r="AG271" i="9" s="1"/>
  <c r="AF272" i="9"/>
  <c r="AG272" i="9" s="1"/>
  <c r="AF273" i="9"/>
  <c r="AG273" i="9" s="1"/>
  <c r="AF274" i="9"/>
  <c r="AG274" i="9" s="1"/>
  <c r="AF275" i="9"/>
  <c r="AG275" i="9" s="1"/>
  <c r="AF276" i="9"/>
  <c r="AG276" i="9" s="1"/>
  <c r="AF277" i="9"/>
  <c r="AG277" i="9" s="1"/>
  <c r="AF278" i="9"/>
  <c r="AG278" i="9" s="1"/>
  <c r="AF279" i="9"/>
  <c r="AG279" i="9" s="1"/>
  <c r="AF280" i="9"/>
  <c r="AG280" i="9" s="1"/>
  <c r="AF281" i="9"/>
  <c r="AG281" i="9" s="1"/>
  <c r="AF282" i="9"/>
  <c r="AG282" i="9" s="1"/>
  <c r="AF283" i="9"/>
  <c r="AG283" i="9" s="1"/>
  <c r="AF284" i="9"/>
  <c r="AG284" i="9" s="1"/>
  <c r="AF285" i="9"/>
  <c r="AG285" i="9" s="1"/>
  <c r="AF286" i="9"/>
  <c r="AG286" i="9" s="1"/>
  <c r="AF287" i="9"/>
  <c r="AG287" i="9" s="1"/>
  <c r="AF288" i="9"/>
  <c r="AG288" i="9" s="1"/>
  <c r="AF289" i="9"/>
  <c r="AG289" i="9" s="1"/>
  <c r="AF290" i="9"/>
  <c r="AG290" i="9" s="1"/>
  <c r="AF291" i="9"/>
  <c r="AG291" i="9" s="1"/>
  <c r="AF292" i="9"/>
  <c r="AG292" i="9" s="1"/>
  <c r="AF293" i="9"/>
  <c r="AG293" i="9" s="1"/>
  <c r="AF294" i="9"/>
  <c r="AG294" i="9" s="1"/>
  <c r="AF295" i="9"/>
  <c r="AG295" i="9" s="1"/>
  <c r="AF296" i="9"/>
  <c r="AG296" i="9" s="1"/>
  <c r="AF297" i="9"/>
  <c r="AG297" i="9" s="1"/>
  <c r="AF298" i="9"/>
  <c r="AG298" i="9" s="1"/>
  <c r="AF299" i="9"/>
  <c r="AG299" i="9" s="1"/>
  <c r="AF300" i="9"/>
  <c r="AG300" i="9" s="1"/>
  <c r="AF301" i="9"/>
  <c r="AG301" i="9" s="1"/>
  <c r="AF302" i="9"/>
  <c r="AG302" i="9" s="1"/>
  <c r="AF303" i="9"/>
  <c r="AG303" i="9" s="1"/>
  <c r="AF304" i="9"/>
  <c r="AG304" i="9" s="1"/>
  <c r="AF305" i="9"/>
  <c r="AG305" i="9" s="1"/>
  <c r="AF306" i="9"/>
  <c r="AG306" i="9" s="1"/>
  <c r="AF307" i="9"/>
  <c r="AG307" i="9" s="1"/>
  <c r="AF308" i="9"/>
  <c r="AG308" i="9" s="1"/>
  <c r="AF309" i="9"/>
  <c r="AG309" i="9" s="1"/>
  <c r="AF310" i="9"/>
  <c r="AG310" i="9" s="1"/>
  <c r="AF311" i="9"/>
  <c r="AG311" i="9" s="1"/>
  <c r="AF312" i="9"/>
  <c r="AG312" i="9" s="1"/>
  <c r="AF313" i="9"/>
  <c r="AG313" i="9" s="1"/>
  <c r="AF314" i="9"/>
  <c r="AG314" i="9" s="1"/>
  <c r="AF315" i="9"/>
  <c r="AG315" i="9" s="1"/>
  <c r="AF316" i="9"/>
  <c r="AG316" i="9" s="1"/>
  <c r="AF317" i="9"/>
  <c r="AG317" i="9" s="1"/>
  <c r="AF318" i="9"/>
  <c r="AG318" i="9" s="1"/>
  <c r="AF319" i="9"/>
  <c r="AG319" i="9" s="1"/>
  <c r="AF320" i="9"/>
  <c r="AG320" i="9" s="1"/>
  <c r="AF321" i="9"/>
  <c r="AG321" i="9" s="1"/>
  <c r="AF322" i="9"/>
  <c r="AG322" i="9" s="1"/>
  <c r="AF323" i="9"/>
  <c r="AG323" i="9" s="1"/>
  <c r="AF324" i="9"/>
  <c r="AG324" i="9" s="1"/>
  <c r="AF325" i="9"/>
  <c r="AG325" i="9" s="1"/>
  <c r="AF326" i="9"/>
  <c r="AG326" i="9" s="1"/>
  <c r="AF327" i="9"/>
  <c r="AG327" i="9" s="1"/>
  <c r="AF328" i="9"/>
  <c r="AG328" i="9" s="1"/>
  <c r="AF329" i="9"/>
  <c r="AG329" i="9" s="1"/>
  <c r="AF330" i="9"/>
  <c r="AG330" i="9" s="1"/>
  <c r="AF331" i="9"/>
  <c r="AG331" i="9" s="1"/>
  <c r="AF332" i="9"/>
  <c r="AG332" i="9" s="1"/>
  <c r="AF333" i="9"/>
  <c r="AG333" i="9" s="1"/>
  <c r="AF334" i="9"/>
  <c r="AG334" i="9" s="1"/>
  <c r="AF335" i="9"/>
  <c r="AG335" i="9" s="1"/>
  <c r="AF336" i="9"/>
  <c r="AG336" i="9" s="1"/>
  <c r="AF337" i="9"/>
  <c r="AG337" i="9" s="1"/>
  <c r="AF338" i="9"/>
  <c r="AG338" i="9" s="1"/>
  <c r="AF339" i="9"/>
  <c r="AG339" i="9" s="1"/>
  <c r="AF340" i="9"/>
  <c r="AG340" i="9" s="1"/>
  <c r="AF341" i="9"/>
  <c r="AG341" i="9" s="1"/>
  <c r="AF342" i="9"/>
  <c r="AG342" i="9" s="1"/>
  <c r="AF343" i="9"/>
  <c r="AG343" i="9" s="1"/>
  <c r="AF344" i="9"/>
  <c r="AG344" i="9" s="1"/>
  <c r="AF345" i="9"/>
  <c r="AG345" i="9" s="1"/>
  <c r="AF346" i="9"/>
  <c r="AG346" i="9" s="1"/>
  <c r="AF347" i="9"/>
  <c r="AG347" i="9" s="1"/>
  <c r="AF348" i="9"/>
  <c r="AG348" i="9" s="1"/>
  <c r="AF349" i="9"/>
  <c r="AG349" i="9" s="1"/>
  <c r="AF350" i="9"/>
  <c r="AG350" i="9" s="1"/>
  <c r="AF351" i="9"/>
  <c r="AG351" i="9" s="1"/>
  <c r="AF352" i="9"/>
  <c r="AG352" i="9" s="1"/>
  <c r="AF353" i="9"/>
  <c r="AG353" i="9" s="1"/>
  <c r="AF354" i="9"/>
  <c r="AG354" i="9" s="1"/>
  <c r="AF355" i="9"/>
  <c r="AG355" i="9" s="1"/>
  <c r="AF356" i="9"/>
  <c r="AG356" i="9" s="1"/>
  <c r="AF357" i="9"/>
  <c r="AG357" i="9" s="1"/>
  <c r="AF358" i="9"/>
  <c r="AG358" i="9" s="1"/>
  <c r="AF359" i="9"/>
  <c r="AG359" i="9" s="1"/>
  <c r="AF360" i="9"/>
  <c r="AG360" i="9" s="1"/>
  <c r="AF361" i="9"/>
  <c r="AG361" i="9" s="1"/>
  <c r="AF362" i="9"/>
  <c r="AG362" i="9" s="1"/>
  <c r="AF363" i="9"/>
  <c r="AG363" i="9" s="1"/>
  <c r="AF364" i="9"/>
  <c r="AG364" i="9" s="1"/>
  <c r="AF365" i="9"/>
  <c r="AG365" i="9" s="1"/>
  <c r="AF366" i="9"/>
  <c r="AG366" i="9" s="1"/>
  <c r="AF367" i="9"/>
  <c r="AG367" i="9" s="1"/>
  <c r="AF368" i="9"/>
  <c r="AG368" i="9" s="1"/>
  <c r="AF369" i="9"/>
  <c r="AG369" i="9" s="1"/>
  <c r="AF370" i="9"/>
  <c r="AG370" i="9" s="1"/>
  <c r="AF371" i="9"/>
  <c r="AG371" i="9" s="1"/>
  <c r="AF372" i="9"/>
  <c r="AG372" i="9" s="1"/>
  <c r="AF373" i="9"/>
  <c r="AG373" i="9" s="1"/>
  <c r="AF374" i="9"/>
  <c r="AG374" i="9" s="1"/>
  <c r="AF375" i="9"/>
  <c r="AG375" i="9" s="1"/>
  <c r="AF376" i="9"/>
  <c r="AG376" i="9" s="1"/>
  <c r="AF377" i="9"/>
  <c r="AG377" i="9" s="1"/>
  <c r="AF378" i="9"/>
  <c r="AG378" i="9" s="1"/>
  <c r="AF379" i="9"/>
  <c r="AG379" i="9" s="1"/>
  <c r="AF380" i="9"/>
  <c r="AG380" i="9" s="1"/>
  <c r="AF381" i="9"/>
  <c r="AG381" i="9" s="1"/>
  <c r="AF382" i="9"/>
  <c r="AG382" i="9" s="1"/>
  <c r="AF383" i="9"/>
  <c r="AG383" i="9" s="1"/>
  <c r="AF384" i="9"/>
  <c r="AG384" i="9" s="1"/>
  <c r="AF385" i="9"/>
  <c r="AG385" i="9" s="1"/>
  <c r="AF386" i="9"/>
  <c r="AG386" i="9" s="1"/>
  <c r="AF387" i="9"/>
  <c r="AG387" i="9" s="1"/>
  <c r="AF388" i="9"/>
  <c r="AG388" i="9" s="1"/>
  <c r="AF389" i="9"/>
  <c r="AG389" i="9" s="1"/>
  <c r="AF390" i="9"/>
  <c r="AG390" i="9" s="1"/>
  <c r="AF391" i="9"/>
  <c r="AG391" i="9" s="1"/>
  <c r="AF392" i="9"/>
  <c r="AG392" i="9" s="1"/>
  <c r="AF393" i="9"/>
  <c r="AG393" i="9" s="1"/>
  <c r="AF394" i="9"/>
  <c r="AG394" i="9" s="1"/>
  <c r="AF395" i="9"/>
  <c r="AG395" i="9" s="1"/>
  <c r="AF396" i="9"/>
  <c r="AG396" i="9" s="1"/>
  <c r="AF397" i="9"/>
  <c r="AG397" i="9" s="1"/>
  <c r="AF398" i="9"/>
  <c r="AG398" i="9" s="1"/>
  <c r="AF399" i="9"/>
  <c r="AG399" i="9" s="1"/>
  <c r="AF400" i="9"/>
  <c r="AG400" i="9" s="1"/>
  <c r="AF401" i="9"/>
  <c r="AG401" i="9" s="1"/>
  <c r="AF402" i="9"/>
  <c r="AG402" i="9" s="1"/>
  <c r="AF403" i="9"/>
  <c r="AG403" i="9" s="1"/>
  <c r="AF404" i="9"/>
  <c r="AG404" i="9" s="1"/>
  <c r="AF405" i="9"/>
  <c r="AG405" i="9" s="1"/>
  <c r="AF406" i="9"/>
  <c r="AG406" i="9" s="1"/>
  <c r="AF407" i="9"/>
  <c r="AG407" i="9" s="1"/>
  <c r="AF408" i="9"/>
  <c r="AG408" i="9" s="1"/>
  <c r="AF409" i="9"/>
  <c r="AG409" i="9" s="1"/>
  <c r="AF410" i="9"/>
  <c r="AG410" i="9" s="1"/>
  <c r="AF411" i="9"/>
  <c r="AG411" i="9" s="1"/>
  <c r="AF412" i="9"/>
  <c r="AG412" i="9" s="1"/>
  <c r="AF413" i="9"/>
  <c r="AG413" i="9" s="1"/>
  <c r="AF414" i="9"/>
  <c r="AG414" i="9" s="1"/>
  <c r="AF415" i="9"/>
  <c r="AG415" i="9" s="1"/>
  <c r="AF416" i="9"/>
  <c r="AG416" i="9" s="1"/>
  <c r="AF417" i="9"/>
  <c r="AG417" i="9" s="1"/>
  <c r="AF418" i="9"/>
  <c r="AG418" i="9" s="1"/>
  <c r="AF419" i="9"/>
  <c r="AG419" i="9" s="1"/>
  <c r="AF420" i="9"/>
  <c r="AG420" i="9" s="1"/>
  <c r="AF421" i="9"/>
  <c r="AG421" i="9" s="1"/>
  <c r="AF422" i="9"/>
  <c r="AG422" i="9" s="1"/>
  <c r="AF423" i="9"/>
  <c r="AG423" i="9" s="1"/>
  <c r="AF424" i="9"/>
  <c r="AG424" i="9" s="1"/>
  <c r="AF425" i="9"/>
  <c r="AG425" i="9" s="1"/>
  <c r="AF426" i="9"/>
  <c r="AG426" i="9" s="1"/>
  <c r="AF427" i="9"/>
  <c r="AG427" i="9" s="1"/>
  <c r="AF428" i="9"/>
  <c r="AG428" i="9" s="1"/>
  <c r="AF429" i="9"/>
  <c r="AG429" i="9" s="1"/>
  <c r="AF430" i="9"/>
  <c r="AG430" i="9" s="1"/>
  <c r="AF431" i="9"/>
  <c r="AG431" i="9" s="1"/>
  <c r="AF432" i="9"/>
  <c r="AG432" i="9" s="1"/>
  <c r="AF433" i="9"/>
  <c r="AG433" i="9" s="1"/>
  <c r="AF434" i="9"/>
  <c r="AG434" i="9" s="1"/>
  <c r="AF435" i="9"/>
  <c r="AG435" i="9" s="1"/>
  <c r="AF436" i="9"/>
  <c r="AG436" i="9" s="1"/>
  <c r="AF437" i="9"/>
  <c r="AG437" i="9" s="1"/>
  <c r="AF438" i="9"/>
  <c r="AG438" i="9" s="1"/>
  <c r="AF439" i="9"/>
  <c r="AG439" i="9" s="1"/>
  <c r="AF440" i="9"/>
  <c r="AG440" i="9" s="1"/>
  <c r="AF441" i="9"/>
  <c r="AG441" i="9" s="1"/>
  <c r="AF442" i="9"/>
  <c r="AG442" i="9" s="1"/>
  <c r="AF443" i="9"/>
  <c r="AG443" i="9" s="1"/>
  <c r="AF444" i="9"/>
  <c r="AG444" i="9" s="1"/>
  <c r="AF445" i="9"/>
  <c r="AG445" i="9" s="1"/>
  <c r="AF446" i="9"/>
  <c r="AG446" i="9" s="1"/>
  <c r="AF447" i="9"/>
  <c r="AG447" i="9" s="1"/>
  <c r="AF448" i="9"/>
  <c r="AG448" i="9" s="1"/>
  <c r="AF449" i="9"/>
  <c r="AG449" i="9" s="1"/>
  <c r="AF450" i="9"/>
  <c r="AG450" i="9" s="1"/>
  <c r="AF451" i="9"/>
  <c r="AG451" i="9" s="1"/>
  <c r="AF452" i="9"/>
  <c r="AG452" i="9" s="1"/>
  <c r="AF453" i="9"/>
  <c r="AG453" i="9" s="1"/>
  <c r="AF454" i="9"/>
  <c r="AG454" i="9" s="1"/>
  <c r="AF455" i="9"/>
  <c r="AG455" i="9" s="1"/>
  <c r="AF456" i="9"/>
  <c r="AG456" i="9" s="1"/>
  <c r="AF457" i="9"/>
  <c r="AG457" i="9" s="1"/>
  <c r="AF458" i="9"/>
  <c r="AG458" i="9" s="1"/>
  <c r="AF459" i="9"/>
  <c r="AG459" i="9" s="1"/>
  <c r="AF460" i="9"/>
  <c r="AG460" i="9" s="1"/>
  <c r="AF461" i="9"/>
  <c r="AG461" i="9" s="1"/>
  <c r="AF462" i="9"/>
  <c r="AG462" i="9" s="1"/>
  <c r="AF463" i="9"/>
  <c r="AG463" i="9" s="1"/>
  <c r="AF464" i="9"/>
  <c r="AG464" i="9" s="1"/>
  <c r="AF465" i="9"/>
  <c r="AG465" i="9" s="1"/>
  <c r="AF466" i="9"/>
  <c r="AG466" i="9" s="1"/>
  <c r="AF467" i="9"/>
  <c r="AG467" i="9" s="1"/>
  <c r="AF468" i="9"/>
  <c r="AG468" i="9" s="1"/>
  <c r="AF469" i="9"/>
  <c r="AG469" i="9" s="1"/>
  <c r="AF470" i="9"/>
  <c r="AG470" i="9" s="1"/>
  <c r="AF471" i="9"/>
  <c r="AG471" i="9" s="1"/>
  <c r="AF472" i="9"/>
  <c r="AG472" i="9" s="1"/>
  <c r="AF473" i="9"/>
  <c r="AG473" i="9" s="1"/>
  <c r="AF474" i="9"/>
  <c r="AG474" i="9" s="1"/>
  <c r="AF475" i="9"/>
  <c r="AG475" i="9" s="1"/>
  <c r="AF476" i="9"/>
  <c r="AG476" i="9" s="1"/>
  <c r="AF477" i="9"/>
  <c r="AG477" i="9" s="1"/>
  <c r="AF478" i="9"/>
  <c r="AG478" i="9" s="1"/>
  <c r="AF479" i="9"/>
  <c r="AG479" i="9" s="1"/>
  <c r="AF480" i="9"/>
  <c r="AG480" i="9" s="1"/>
  <c r="AF481" i="9"/>
  <c r="AG481" i="9" s="1"/>
  <c r="AF482" i="9"/>
  <c r="AG482" i="9" s="1"/>
  <c r="AF483" i="9"/>
  <c r="AG483" i="9" s="1"/>
  <c r="AF484" i="9"/>
  <c r="AG484" i="9" s="1"/>
  <c r="AF485" i="9"/>
  <c r="AG485" i="9" s="1"/>
  <c r="AF486" i="9"/>
  <c r="AG486" i="9" s="1"/>
  <c r="AF487" i="9"/>
  <c r="AG487" i="9" s="1"/>
  <c r="AF488" i="9"/>
  <c r="AG488" i="9" s="1"/>
  <c r="AF489" i="9"/>
  <c r="AG489" i="9" s="1"/>
  <c r="AF490" i="9"/>
  <c r="AG490" i="9" s="1"/>
  <c r="AF491" i="9"/>
  <c r="AG491" i="9" s="1"/>
  <c r="AF492" i="9"/>
  <c r="AG492" i="9" s="1"/>
  <c r="AF493" i="9"/>
  <c r="AG493" i="9" s="1"/>
  <c r="AF494" i="9"/>
  <c r="AG494" i="9" s="1"/>
  <c r="AF495" i="9"/>
  <c r="AG495" i="9" s="1"/>
  <c r="AF496" i="9"/>
  <c r="AG496" i="9" s="1"/>
  <c r="AF497" i="9"/>
  <c r="AG497" i="9" s="1"/>
  <c r="AF498" i="9"/>
  <c r="AG498" i="9" s="1"/>
  <c r="AF499" i="9"/>
  <c r="AG499" i="9" s="1"/>
  <c r="AF500" i="9"/>
  <c r="AG500" i="9" s="1"/>
  <c r="AF501" i="9"/>
  <c r="AG501" i="9" s="1"/>
  <c r="AF502" i="9"/>
  <c r="AG502" i="9" s="1"/>
  <c r="AF503" i="9"/>
  <c r="AG503" i="9" s="1"/>
  <c r="AF504" i="9"/>
  <c r="AG504" i="9" s="1"/>
  <c r="AF505" i="9"/>
  <c r="AG505" i="9" s="1"/>
  <c r="AF506" i="9"/>
  <c r="AG506" i="9" s="1"/>
  <c r="AF507" i="9"/>
  <c r="AG507" i="9" s="1"/>
  <c r="AF508" i="9"/>
  <c r="AG508" i="9" s="1"/>
  <c r="AF509" i="9"/>
  <c r="AG509" i="9" s="1"/>
  <c r="AF510" i="9"/>
  <c r="AG510" i="9" s="1"/>
  <c r="AF511" i="9"/>
  <c r="AG511" i="9" s="1"/>
  <c r="AF512" i="9"/>
  <c r="AG512" i="9" s="1"/>
  <c r="AF513" i="9"/>
  <c r="AG513" i="9" s="1"/>
  <c r="AF514" i="9"/>
  <c r="AG514" i="9" s="1"/>
  <c r="AF515" i="9"/>
  <c r="AG515" i="9" s="1"/>
  <c r="AF516" i="9"/>
  <c r="AG516" i="9" s="1"/>
  <c r="AF517" i="9"/>
  <c r="AG517" i="9" s="1"/>
  <c r="AF518" i="9"/>
  <c r="AG518" i="9" s="1"/>
  <c r="AF519" i="9"/>
  <c r="AG519" i="9" s="1"/>
  <c r="AF520" i="9"/>
  <c r="AG520" i="9" s="1"/>
  <c r="AF521" i="9"/>
  <c r="AG521" i="9" s="1"/>
  <c r="AF522" i="9"/>
  <c r="AG522" i="9" s="1"/>
  <c r="AF523" i="9"/>
  <c r="AG523" i="9" s="1"/>
  <c r="AF524" i="9"/>
  <c r="AG524" i="9" s="1"/>
  <c r="AF525" i="9"/>
  <c r="AG525" i="9" s="1"/>
  <c r="AF526" i="9"/>
  <c r="AG526" i="9" s="1"/>
  <c r="AF527" i="9"/>
  <c r="AG527" i="9" s="1"/>
  <c r="AF528" i="9"/>
  <c r="AG528" i="9" s="1"/>
  <c r="AF529" i="9"/>
  <c r="AG529" i="9" s="1"/>
  <c r="AF530" i="9"/>
  <c r="AG530" i="9" s="1"/>
  <c r="AF531" i="9"/>
  <c r="AG531" i="9" s="1"/>
  <c r="AF532" i="9"/>
  <c r="AG532" i="9" s="1"/>
  <c r="AF533" i="9"/>
  <c r="AG533" i="9" s="1"/>
  <c r="AF534" i="9"/>
  <c r="AG534" i="9" s="1"/>
  <c r="AF535" i="9"/>
  <c r="AG535" i="9" s="1"/>
  <c r="AF536" i="9"/>
  <c r="AG536" i="9" s="1"/>
  <c r="AF537" i="9"/>
  <c r="AG537" i="9" s="1"/>
  <c r="AF538" i="9"/>
  <c r="AG538" i="9" s="1"/>
  <c r="AF539" i="9"/>
  <c r="AG539" i="9" s="1"/>
  <c r="AF540" i="9"/>
  <c r="AG540" i="9" s="1"/>
  <c r="AF541" i="9"/>
  <c r="AG541" i="9" s="1"/>
  <c r="AF542" i="9"/>
  <c r="AG542" i="9" s="1"/>
  <c r="AF543" i="9"/>
  <c r="AG543" i="9" s="1"/>
  <c r="AF544" i="9"/>
  <c r="AG544" i="9" s="1"/>
  <c r="AF545" i="9"/>
  <c r="AG545" i="9" s="1"/>
  <c r="AF546" i="9"/>
  <c r="AG546" i="9" s="1"/>
  <c r="AF547" i="9"/>
  <c r="AG547" i="9" s="1"/>
  <c r="AF548" i="9"/>
  <c r="AG548" i="9" s="1"/>
  <c r="AF549" i="9"/>
  <c r="AG549" i="9" s="1"/>
  <c r="AF550" i="9"/>
  <c r="AG550" i="9" s="1"/>
  <c r="AF551" i="9"/>
  <c r="AG551" i="9" s="1"/>
  <c r="AF552" i="9"/>
  <c r="AG552" i="9" s="1"/>
  <c r="AF553" i="9"/>
  <c r="AG553" i="9" s="1"/>
  <c r="AF554" i="9"/>
  <c r="AG554" i="9" s="1"/>
  <c r="AF555" i="9"/>
  <c r="AG555" i="9" s="1"/>
  <c r="AF556" i="9"/>
  <c r="AG556" i="9" s="1"/>
  <c r="AF557" i="9"/>
  <c r="AG557" i="9" s="1"/>
  <c r="AF558" i="9"/>
  <c r="AG558" i="9" s="1"/>
  <c r="AF559" i="9"/>
  <c r="AG559" i="9" s="1"/>
  <c r="AF560" i="9"/>
  <c r="AG560" i="9" s="1"/>
  <c r="AF561" i="9"/>
  <c r="AG561" i="9" s="1"/>
  <c r="AF562" i="9"/>
  <c r="AG562" i="9" s="1"/>
  <c r="AF563" i="9"/>
  <c r="AG563" i="9" s="1"/>
  <c r="AF564" i="9"/>
  <c r="AG564" i="9" s="1"/>
  <c r="AF565" i="9"/>
  <c r="AG565" i="9" s="1"/>
  <c r="AF566" i="9"/>
  <c r="AG566" i="9" s="1"/>
  <c r="AF567" i="9"/>
  <c r="AG567" i="9" s="1"/>
  <c r="AF568" i="9"/>
  <c r="AG568" i="9" s="1"/>
  <c r="AF569" i="9"/>
  <c r="AG569" i="9" s="1"/>
  <c r="AF570" i="9"/>
  <c r="AG570" i="9" s="1"/>
  <c r="AF571" i="9"/>
  <c r="AG571" i="9" s="1"/>
  <c r="AF572" i="9"/>
  <c r="AG572" i="9" s="1"/>
  <c r="AF573" i="9"/>
  <c r="AG573" i="9" s="1"/>
  <c r="AF574" i="9"/>
  <c r="AG574" i="9" s="1"/>
  <c r="AF575" i="9"/>
  <c r="AG575" i="9" s="1"/>
  <c r="AF576" i="9"/>
  <c r="AG576" i="9" s="1"/>
  <c r="AF577" i="9"/>
  <c r="AG577" i="9" s="1"/>
  <c r="AF578" i="9"/>
  <c r="AG578" i="9" s="1"/>
  <c r="AF579" i="9"/>
  <c r="AG579" i="9" s="1"/>
  <c r="AF580" i="9"/>
  <c r="AG580" i="9" s="1"/>
  <c r="AF581" i="9"/>
  <c r="AG581" i="9" s="1"/>
  <c r="AF582" i="9"/>
  <c r="AG582" i="9" s="1"/>
  <c r="AF583" i="9"/>
  <c r="AG583" i="9" s="1"/>
  <c r="AF584" i="9"/>
  <c r="AG584" i="9" s="1"/>
  <c r="AF585" i="9"/>
  <c r="AG585" i="9" s="1"/>
  <c r="AF586" i="9"/>
  <c r="AG586" i="9" s="1"/>
  <c r="AF587" i="9"/>
  <c r="AG587" i="9" s="1"/>
  <c r="AF588" i="9"/>
  <c r="AG588" i="9" s="1"/>
  <c r="AF589" i="9"/>
  <c r="AG589" i="9" s="1"/>
  <c r="AF590" i="9"/>
  <c r="AG590" i="9" s="1"/>
  <c r="AF591" i="9"/>
  <c r="AG591" i="9" s="1"/>
  <c r="AF592" i="9"/>
  <c r="AG592" i="9" s="1"/>
  <c r="AF593" i="9"/>
  <c r="AG593" i="9" s="1"/>
  <c r="AF594" i="9"/>
  <c r="AG594" i="9" s="1"/>
  <c r="AF595" i="9"/>
  <c r="AG595" i="9" s="1"/>
  <c r="AF596" i="9"/>
  <c r="AG596" i="9" s="1"/>
  <c r="AF597" i="9"/>
  <c r="AG597" i="9" s="1"/>
  <c r="AF598" i="9"/>
  <c r="AG598" i="9" s="1"/>
  <c r="AF599" i="9"/>
  <c r="AG599" i="9" s="1"/>
  <c r="AF600" i="9"/>
  <c r="AG600" i="9" s="1"/>
  <c r="AF601" i="9"/>
  <c r="AG601" i="9" s="1"/>
  <c r="AF602" i="9"/>
  <c r="AG602" i="9" s="1"/>
  <c r="AF603" i="9"/>
  <c r="AG603" i="9" s="1"/>
  <c r="AF604" i="9"/>
  <c r="AG604" i="9" s="1"/>
  <c r="AF605" i="9"/>
  <c r="AG605" i="9" s="1"/>
  <c r="AF606" i="9"/>
  <c r="AG606" i="9" s="1"/>
  <c r="AF607" i="9"/>
  <c r="AG607" i="9" s="1"/>
  <c r="AF608" i="9"/>
  <c r="AG608" i="9" s="1"/>
  <c r="AF609" i="9"/>
  <c r="AG609" i="9" s="1"/>
  <c r="AF610" i="9"/>
  <c r="AG610" i="9" s="1"/>
  <c r="AF611" i="9"/>
  <c r="AG611" i="9" s="1"/>
  <c r="AF612" i="9"/>
  <c r="AG612" i="9" s="1"/>
  <c r="AF613" i="9"/>
  <c r="AG613" i="9" s="1"/>
  <c r="AF614" i="9"/>
  <c r="AG614" i="9" s="1"/>
  <c r="AF615" i="9"/>
  <c r="AG615" i="9" s="1"/>
  <c r="AF616" i="9"/>
  <c r="AG616" i="9" s="1"/>
  <c r="AF617" i="9"/>
  <c r="AG617" i="9" s="1"/>
  <c r="AF618" i="9"/>
  <c r="AG618" i="9" s="1"/>
  <c r="AF619" i="9"/>
  <c r="AG619" i="9" s="1"/>
  <c r="AF620" i="9"/>
  <c r="AG620" i="9" s="1"/>
  <c r="AF621" i="9"/>
  <c r="AG621" i="9" s="1"/>
  <c r="AF622" i="9"/>
  <c r="AG622" i="9" s="1"/>
  <c r="AF623" i="9"/>
  <c r="AG623" i="9" s="1"/>
  <c r="AF624" i="9"/>
  <c r="AG624" i="9" s="1"/>
  <c r="AF625" i="9"/>
  <c r="AG625" i="9" s="1"/>
  <c r="AF626" i="9"/>
  <c r="AG626" i="9" s="1"/>
  <c r="AF627" i="9"/>
  <c r="AG627" i="9" s="1"/>
  <c r="AF628" i="9"/>
  <c r="AG628" i="9" s="1"/>
  <c r="AF629" i="9"/>
  <c r="AG629" i="9" s="1"/>
  <c r="AF630" i="9"/>
  <c r="AG630" i="9" s="1"/>
  <c r="AF631" i="9"/>
  <c r="AG631" i="9" s="1"/>
  <c r="AF632" i="9"/>
  <c r="AG632" i="9" s="1"/>
  <c r="AF633" i="9"/>
  <c r="AG633" i="9" s="1"/>
  <c r="AF634" i="9"/>
  <c r="AG634" i="9" s="1"/>
  <c r="AF635" i="9"/>
  <c r="AG635" i="9" s="1"/>
  <c r="AF636" i="9"/>
  <c r="AG636" i="9" s="1"/>
  <c r="AF637" i="9"/>
  <c r="AG637" i="9" s="1"/>
  <c r="AF638" i="9"/>
  <c r="AG638" i="9" s="1"/>
  <c r="AF639" i="9"/>
  <c r="AG639" i="9" s="1"/>
  <c r="AF640" i="9"/>
  <c r="AG640" i="9" s="1"/>
  <c r="AF641" i="9"/>
  <c r="AG641" i="9" s="1"/>
  <c r="AF642" i="9"/>
  <c r="AG642" i="9" s="1"/>
  <c r="AF643" i="9"/>
  <c r="AG643" i="9" s="1"/>
  <c r="AF644" i="9"/>
  <c r="AG644" i="9" s="1"/>
  <c r="AF645" i="9"/>
  <c r="AG645" i="9" s="1"/>
  <c r="AF646" i="9"/>
  <c r="AG646" i="9" s="1"/>
  <c r="AF647" i="9"/>
  <c r="AG647" i="9" s="1"/>
  <c r="AF648" i="9"/>
  <c r="AG648" i="9" s="1"/>
  <c r="AF649" i="9"/>
  <c r="AG649" i="9" s="1"/>
  <c r="AF650" i="9"/>
  <c r="AG650" i="9" s="1"/>
  <c r="AF651" i="9"/>
  <c r="AG651" i="9" s="1"/>
  <c r="AF652" i="9"/>
  <c r="AG652" i="9" s="1"/>
  <c r="AF653" i="9"/>
  <c r="AG653" i="9" s="1"/>
  <c r="AF654" i="9"/>
  <c r="AG654" i="9" s="1"/>
  <c r="AF655" i="9"/>
  <c r="AG655" i="9" s="1"/>
  <c r="AF656" i="9"/>
  <c r="AG656" i="9" s="1"/>
  <c r="AF657" i="9"/>
  <c r="AG657" i="9" s="1"/>
  <c r="AF658" i="9"/>
  <c r="AG658" i="9" s="1"/>
  <c r="AF659" i="9"/>
  <c r="AG659" i="9" s="1"/>
  <c r="AF660" i="9"/>
  <c r="AG660" i="9" s="1"/>
  <c r="AF661" i="9"/>
  <c r="AG661" i="9" s="1"/>
  <c r="AF662" i="9"/>
  <c r="AG662" i="9" s="1"/>
  <c r="AF663" i="9"/>
  <c r="AG663" i="9" s="1"/>
  <c r="AF664" i="9"/>
  <c r="AG664" i="9" s="1"/>
  <c r="AF665" i="9"/>
  <c r="AG665" i="9" s="1"/>
  <c r="AF666" i="9"/>
  <c r="AG666" i="9" s="1"/>
  <c r="AF667" i="9"/>
  <c r="AG667" i="9" s="1"/>
  <c r="AF668" i="9"/>
  <c r="AG668" i="9" s="1"/>
  <c r="AF669" i="9"/>
  <c r="AG669" i="9" s="1"/>
  <c r="AF670" i="9"/>
  <c r="AG670" i="9" s="1"/>
  <c r="AF671" i="9"/>
  <c r="AG671" i="9" s="1"/>
  <c r="AF672" i="9"/>
  <c r="AG672" i="9" s="1"/>
  <c r="AF673" i="9"/>
  <c r="AG673" i="9" s="1"/>
  <c r="AF674" i="9"/>
  <c r="AG674" i="9" s="1"/>
  <c r="AF675" i="9"/>
  <c r="AG675" i="9" s="1"/>
  <c r="AF676" i="9"/>
  <c r="AG676" i="9" s="1"/>
  <c r="AF677" i="9"/>
  <c r="AG677" i="9" s="1"/>
  <c r="AF678" i="9"/>
  <c r="AG678" i="9" s="1"/>
  <c r="AF679" i="9"/>
  <c r="AG679" i="9" s="1"/>
  <c r="AF680" i="9"/>
  <c r="AG680" i="9" s="1"/>
  <c r="AF681" i="9"/>
  <c r="AG681" i="9" s="1"/>
  <c r="AF682" i="9"/>
  <c r="AG682" i="9" s="1"/>
  <c r="AF683" i="9"/>
  <c r="AG683" i="9" s="1"/>
  <c r="AF684" i="9"/>
  <c r="AG684" i="9" s="1"/>
  <c r="AF685" i="9"/>
  <c r="AG685" i="9" s="1"/>
  <c r="AF686" i="9"/>
  <c r="AG686" i="9" s="1"/>
  <c r="AF687" i="9"/>
  <c r="AG687" i="9" s="1"/>
  <c r="AF688" i="9"/>
  <c r="AG688" i="9" s="1"/>
  <c r="AF689" i="9"/>
  <c r="AG689" i="9" s="1"/>
  <c r="AF690" i="9"/>
  <c r="AG690" i="9" s="1"/>
  <c r="AF691" i="9"/>
  <c r="AG691" i="9" s="1"/>
  <c r="AF692" i="9"/>
  <c r="AG692" i="9" s="1"/>
  <c r="AF693" i="9"/>
  <c r="AG693" i="9" s="1"/>
  <c r="AF694" i="9"/>
  <c r="AG694" i="9" s="1"/>
  <c r="AF695" i="9"/>
  <c r="AG695" i="9" s="1"/>
  <c r="AF696" i="9"/>
  <c r="AG696" i="9" s="1"/>
  <c r="AF697" i="9"/>
  <c r="AG697" i="9" s="1"/>
  <c r="AF698" i="9"/>
  <c r="AG698" i="9" s="1"/>
  <c r="AF699" i="9"/>
  <c r="AG699" i="9" s="1"/>
  <c r="AF700" i="9"/>
  <c r="AG700" i="9" s="1"/>
  <c r="AF701" i="9"/>
  <c r="AG701" i="9" s="1"/>
  <c r="AF702" i="9"/>
  <c r="AG702" i="9" s="1"/>
  <c r="AF703" i="9"/>
  <c r="AG703" i="9" s="1"/>
  <c r="AF704" i="9"/>
  <c r="AG704" i="9" s="1"/>
  <c r="AF705" i="9"/>
  <c r="AG705" i="9" s="1"/>
  <c r="AF706" i="9"/>
  <c r="AG706" i="9" s="1"/>
  <c r="AF707" i="9"/>
  <c r="AG707" i="9" s="1"/>
  <c r="AF708" i="9"/>
  <c r="AG708" i="9" s="1"/>
  <c r="AF709" i="9"/>
  <c r="AG709" i="9" s="1"/>
  <c r="AF710" i="9"/>
  <c r="AG710" i="9" s="1"/>
  <c r="AF711" i="9"/>
  <c r="AG711" i="9" s="1"/>
  <c r="AF712" i="9"/>
  <c r="AG712" i="9" s="1"/>
  <c r="AF713" i="9"/>
  <c r="AG713" i="9" s="1"/>
  <c r="AF714" i="9"/>
  <c r="AG714" i="9" s="1"/>
  <c r="AF715" i="9"/>
  <c r="AG715" i="9" s="1"/>
  <c r="AF716" i="9"/>
  <c r="AG716" i="9" s="1"/>
  <c r="AF717" i="9"/>
  <c r="AG717" i="9" s="1"/>
  <c r="AF718" i="9"/>
  <c r="AG718" i="9" s="1"/>
  <c r="AF719" i="9"/>
  <c r="AG719" i="9" s="1"/>
  <c r="AF720" i="9"/>
  <c r="AG720" i="9" s="1"/>
  <c r="AF721" i="9"/>
  <c r="AG721" i="9" s="1"/>
  <c r="AF722" i="9"/>
  <c r="AG722" i="9" s="1"/>
  <c r="AF723" i="9"/>
  <c r="AG723" i="9" s="1"/>
  <c r="AF724" i="9"/>
  <c r="AG724" i="9" s="1"/>
  <c r="AF725" i="9"/>
  <c r="AG725" i="9" s="1"/>
  <c r="AF726" i="9"/>
  <c r="AG726" i="9" s="1"/>
  <c r="AF727" i="9"/>
  <c r="AG727" i="9" s="1"/>
  <c r="AF728" i="9"/>
  <c r="AG728" i="9" s="1"/>
  <c r="AF729" i="9"/>
  <c r="AG729" i="9" s="1"/>
  <c r="AF730" i="9"/>
  <c r="AG730" i="9" s="1"/>
  <c r="AF731" i="9"/>
  <c r="AG731" i="9" s="1"/>
  <c r="AF732" i="9"/>
  <c r="AG732" i="9" s="1"/>
  <c r="AF733" i="9"/>
  <c r="AG733" i="9" s="1"/>
  <c r="AF734" i="9"/>
  <c r="AG734" i="9" s="1"/>
  <c r="AF735" i="9"/>
  <c r="AG735" i="9" s="1"/>
  <c r="AF736" i="9"/>
  <c r="AG736" i="9" s="1"/>
  <c r="AF737" i="9"/>
  <c r="AG737" i="9" s="1"/>
  <c r="AF738" i="9"/>
  <c r="AG738" i="9" s="1"/>
  <c r="AF739" i="9"/>
  <c r="AG739" i="9" s="1"/>
  <c r="AF740" i="9"/>
  <c r="AG740" i="9" s="1"/>
  <c r="AF741" i="9"/>
  <c r="AG741" i="9" s="1"/>
  <c r="AF742" i="9"/>
  <c r="AG742" i="9" s="1"/>
  <c r="AF743" i="9"/>
  <c r="AG743" i="9" s="1"/>
  <c r="AF744" i="9"/>
  <c r="AG744" i="9" s="1"/>
  <c r="AF745" i="9"/>
  <c r="AG745" i="9" s="1"/>
  <c r="AF746" i="9"/>
  <c r="AG746" i="9" s="1"/>
  <c r="AF747" i="9"/>
  <c r="AG747" i="9" s="1"/>
  <c r="AF748" i="9"/>
  <c r="AG748" i="9" s="1"/>
  <c r="AF749" i="9"/>
  <c r="AG749" i="9" s="1"/>
  <c r="AF750" i="9"/>
  <c r="AG750" i="9" s="1"/>
  <c r="AF751" i="9"/>
  <c r="AG751" i="9" s="1"/>
  <c r="AF752" i="9"/>
  <c r="AG752" i="9" s="1"/>
  <c r="AF753" i="9"/>
  <c r="AG753" i="9" s="1"/>
  <c r="AF754" i="9"/>
  <c r="AG754" i="9" s="1"/>
  <c r="AF755" i="9"/>
  <c r="AG755" i="9" s="1"/>
  <c r="AF756" i="9"/>
  <c r="AG756" i="9" s="1"/>
  <c r="AF757" i="9"/>
  <c r="AG757" i="9" s="1"/>
  <c r="AF758" i="9"/>
  <c r="AG758" i="9" s="1"/>
  <c r="AF759" i="9"/>
  <c r="AG759" i="9" s="1"/>
  <c r="AF760" i="9"/>
  <c r="AG760" i="9" s="1"/>
  <c r="AF761" i="9"/>
  <c r="AG761" i="9" s="1"/>
  <c r="AF762" i="9"/>
  <c r="AG762" i="9" s="1"/>
  <c r="AF763" i="9"/>
  <c r="AG763" i="9" s="1"/>
  <c r="AF764" i="9"/>
  <c r="AG764" i="9" s="1"/>
  <c r="AF765" i="9"/>
  <c r="AG765" i="9" s="1"/>
  <c r="AF766" i="9"/>
  <c r="AG766" i="9" s="1"/>
  <c r="AF767" i="9"/>
  <c r="AG767" i="9" s="1"/>
  <c r="AF768" i="9"/>
  <c r="AG768" i="9" s="1"/>
  <c r="AF769" i="9"/>
  <c r="AG769" i="9" s="1"/>
  <c r="AF770" i="9"/>
  <c r="AG770" i="9" s="1"/>
  <c r="AF771" i="9"/>
  <c r="AG771" i="9" s="1"/>
  <c r="AF772" i="9"/>
  <c r="AG772" i="9" s="1"/>
  <c r="AF773" i="9"/>
  <c r="AG773" i="9" s="1"/>
  <c r="AF774" i="9"/>
  <c r="AG774" i="9" s="1"/>
  <c r="AF775" i="9"/>
  <c r="AG775" i="9" s="1"/>
  <c r="AF776" i="9"/>
  <c r="AG776" i="9" s="1"/>
  <c r="AF777" i="9"/>
  <c r="AG777" i="9" s="1"/>
  <c r="AF778" i="9"/>
  <c r="AG778" i="9" s="1"/>
  <c r="AF779" i="9"/>
  <c r="AG779" i="9" s="1"/>
  <c r="AF780" i="9"/>
  <c r="AG780" i="9" s="1"/>
  <c r="AF781" i="9"/>
  <c r="AG781" i="9" s="1"/>
  <c r="AF782" i="9"/>
  <c r="AG782" i="9" s="1"/>
  <c r="AF783" i="9"/>
  <c r="AG783" i="9" s="1"/>
  <c r="AF784" i="9"/>
  <c r="AG784" i="9" s="1"/>
  <c r="AF785" i="9"/>
  <c r="AG785" i="9" s="1"/>
  <c r="AF786" i="9"/>
  <c r="AG786" i="9" s="1"/>
  <c r="AF787" i="9"/>
  <c r="AG787" i="9" s="1"/>
  <c r="AF788" i="9"/>
  <c r="AG788" i="9" s="1"/>
  <c r="AF789" i="9"/>
  <c r="AG789" i="9" s="1"/>
  <c r="AF790" i="9"/>
  <c r="AG790" i="9" s="1"/>
  <c r="AF791" i="9"/>
  <c r="AG791" i="9" s="1"/>
  <c r="AF792" i="9"/>
  <c r="AG792" i="9" s="1"/>
  <c r="AF793" i="9"/>
  <c r="AG793" i="9" s="1"/>
  <c r="AF794" i="9"/>
  <c r="AG794" i="9" s="1"/>
  <c r="AF795" i="9"/>
  <c r="AG795" i="9" s="1"/>
  <c r="AF796" i="9"/>
  <c r="AG796" i="9" s="1"/>
  <c r="AF797" i="9"/>
  <c r="AG797" i="9" s="1"/>
  <c r="AF798" i="9"/>
  <c r="AG798" i="9" s="1"/>
  <c r="AF799" i="9"/>
  <c r="AG799" i="9" s="1"/>
  <c r="AF800" i="9"/>
  <c r="AG800" i="9" s="1"/>
  <c r="AF801" i="9"/>
  <c r="AG801" i="9" s="1"/>
  <c r="AF802" i="9"/>
  <c r="AG802" i="9" s="1"/>
  <c r="AF803" i="9"/>
  <c r="AG803" i="9" s="1"/>
  <c r="AF804" i="9"/>
  <c r="AG804" i="9" s="1"/>
  <c r="AF805" i="9"/>
  <c r="AG805" i="9" s="1"/>
  <c r="AF806" i="9"/>
  <c r="AG806" i="9" s="1"/>
  <c r="AF807" i="9"/>
  <c r="AG807" i="9" s="1"/>
  <c r="AF808" i="9"/>
  <c r="AG808" i="9" s="1"/>
  <c r="AF809" i="9"/>
  <c r="AG809" i="9" s="1"/>
  <c r="AF810" i="9"/>
  <c r="AG810" i="9" s="1"/>
  <c r="AF811" i="9"/>
  <c r="AG811" i="9" s="1"/>
  <c r="AF812" i="9"/>
  <c r="AG812" i="9" s="1"/>
  <c r="AF813" i="9"/>
  <c r="AG813" i="9" s="1"/>
  <c r="AF814" i="9"/>
  <c r="AG814" i="9" s="1"/>
  <c r="AF815" i="9"/>
  <c r="AG815" i="9" s="1"/>
  <c r="AF816" i="9"/>
  <c r="AG816" i="9" s="1"/>
  <c r="AF817" i="9"/>
  <c r="AG817" i="9" s="1"/>
  <c r="AF818" i="9"/>
  <c r="AG818" i="9" s="1"/>
  <c r="AF819" i="9"/>
  <c r="AG819" i="9" s="1"/>
  <c r="AF820" i="9"/>
  <c r="AG820" i="9" s="1"/>
  <c r="AF821" i="9"/>
  <c r="AG821" i="9" s="1"/>
  <c r="AF822" i="9"/>
  <c r="AG822" i="9" s="1"/>
  <c r="AF823" i="9"/>
  <c r="AG823" i="9" s="1"/>
  <c r="AF824" i="9"/>
  <c r="AG824" i="9" s="1"/>
  <c r="AF825" i="9"/>
  <c r="AG825" i="9" s="1"/>
  <c r="AF826" i="9"/>
  <c r="AG826" i="9" s="1"/>
  <c r="AF827" i="9"/>
  <c r="AG827" i="9" s="1"/>
  <c r="AF828" i="9"/>
  <c r="AG828" i="9" s="1"/>
  <c r="AF829" i="9"/>
  <c r="AG829" i="9" s="1"/>
  <c r="AF830" i="9"/>
  <c r="AG830" i="9" s="1"/>
  <c r="AF831" i="9"/>
  <c r="AG831" i="9" s="1"/>
  <c r="AF832" i="9"/>
  <c r="AG832" i="9" s="1"/>
  <c r="AF833" i="9"/>
  <c r="AG833" i="9" s="1"/>
  <c r="AF834" i="9"/>
  <c r="AG834" i="9" s="1"/>
  <c r="AF835" i="9"/>
  <c r="AG835" i="9" s="1"/>
  <c r="AF836" i="9"/>
  <c r="AG836" i="9" s="1"/>
  <c r="AF837" i="9"/>
  <c r="AG837" i="9" s="1"/>
  <c r="AF838" i="9"/>
  <c r="AG838" i="9" s="1"/>
  <c r="AF839" i="9"/>
  <c r="AG839" i="9" s="1"/>
  <c r="AF840" i="9"/>
  <c r="AG840" i="9" s="1"/>
  <c r="AF841" i="9"/>
  <c r="AG841" i="9" s="1"/>
  <c r="AF842" i="9"/>
  <c r="AG842" i="9" s="1"/>
  <c r="AF843" i="9"/>
  <c r="AG843" i="9" s="1"/>
  <c r="AF844" i="9"/>
  <c r="AG844" i="9" s="1"/>
  <c r="AF845" i="9"/>
  <c r="AG845" i="9" s="1"/>
  <c r="AF846" i="9"/>
  <c r="AG846" i="9" s="1"/>
  <c r="AF847" i="9"/>
  <c r="AG847" i="9" s="1"/>
  <c r="AF848" i="9"/>
  <c r="AG848" i="9" s="1"/>
  <c r="AF849" i="9"/>
  <c r="AG849" i="9" s="1"/>
  <c r="AF850" i="9"/>
  <c r="AG850" i="9" s="1"/>
  <c r="AF851" i="9"/>
  <c r="AG851" i="9" s="1"/>
  <c r="AF852" i="9"/>
  <c r="AG852" i="9" s="1"/>
  <c r="AF853" i="9"/>
  <c r="AG853" i="9" s="1"/>
  <c r="AF854" i="9"/>
  <c r="AG854" i="9" s="1"/>
  <c r="AF855" i="9"/>
  <c r="AG855" i="9" s="1"/>
  <c r="AF856" i="9"/>
  <c r="AG856" i="9" s="1"/>
  <c r="AF857" i="9"/>
  <c r="AG857" i="9" s="1"/>
  <c r="AF858" i="9"/>
  <c r="AG858" i="9" s="1"/>
  <c r="AF859" i="9"/>
  <c r="AG859" i="9" s="1"/>
  <c r="AF860" i="9"/>
  <c r="AG860" i="9" s="1"/>
  <c r="AF861" i="9"/>
  <c r="AG861" i="9" s="1"/>
  <c r="AF862" i="9"/>
  <c r="AG862" i="9" s="1"/>
  <c r="AF863" i="9"/>
  <c r="AG863" i="9" s="1"/>
  <c r="AF864" i="9"/>
  <c r="AG864" i="9" s="1"/>
  <c r="AF865" i="9"/>
  <c r="AG865" i="9" s="1"/>
  <c r="AF866" i="9"/>
  <c r="AG866" i="9" s="1"/>
  <c r="AF867" i="9"/>
  <c r="AG867" i="9" s="1"/>
  <c r="AF868" i="9"/>
  <c r="AG868" i="9" s="1"/>
  <c r="AF869" i="9"/>
  <c r="AG869" i="9" s="1"/>
  <c r="AF870" i="9"/>
  <c r="AG870" i="9" s="1"/>
  <c r="AF871" i="9"/>
  <c r="AG871" i="9" s="1"/>
  <c r="AF872" i="9"/>
  <c r="AG872" i="9" s="1"/>
  <c r="AF873" i="9"/>
  <c r="AG873" i="9" s="1"/>
  <c r="AF874" i="9"/>
  <c r="AG874" i="9" s="1"/>
  <c r="AF875" i="9"/>
  <c r="AG875" i="9" s="1"/>
  <c r="AF876" i="9"/>
  <c r="AG876" i="9" s="1"/>
  <c r="AF877" i="9"/>
  <c r="AG877" i="9" s="1"/>
  <c r="AF878" i="9"/>
  <c r="AG878" i="9" s="1"/>
  <c r="AF879" i="9"/>
  <c r="AG879" i="9" s="1"/>
  <c r="AF880" i="9"/>
  <c r="AG880" i="9" s="1"/>
  <c r="AF881" i="9"/>
  <c r="AG881" i="9" s="1"/>
  <c r="AF882" i="9"/>
  <c r="AG882" i="9" s="1"/>
  <c r="AF883" i="9"/>
  <c r="AG883" i="9" s="1"/>
  <c r="AF884" i="9"/>
  <c r="AG884" i="9" s="1"/>
  <c r="AF885" i="9"/>
  <c r="AG885" i="9" s="1"/>
  <c r="AF886" i="9"/>
  <c r="AG886" i="9" s="1"/>
  <c r="AF887" i="9"/>
  <c r="AG887" i="9" s="1"/>
  <c r="AF888" i="9"/>
  <c r="AG888" i="9" s="1"/>
  <c r="AF889" i="9"/>
  <c r="AG889" i="9" s="1"/>
  <c r="AF890" i="9"/>
  <c r="AG890" i="9" s="1"/>
  <c r="AF891" i="9"/>
  <c r="AG891" i="9" s="1"/>
  <c r="AF892" i="9"/>
  <c r="AG892" i="9" s="1"/>
  <c r="AF893" i="9"/>
  <c r="AG893" i="9" s="1"/>
  <c r="AF894" i="9"/>
  <c r="AG894" i="9" s="1"/>
  <c r="AF895" i="9"/>
  <c r="AG895" i="9" s="1"/>
  <c r="AF896" i="9"/>
  <c r="AG896" i="9" s="1"/>
  <c r="AF897" i="9"/>
  <c r="AG897" i="9" s="1"/>
  <c r="AF898" i="9"/>
  <c r="AG898" i="9" s="1"/>
  <c r="AF899" i="9"/>
  <c r="AG899" i="9" s="1"/>
  <c r="AF900" i="9"/>
  <c r="AG900" i="9" s="1"/>
  <c r="AF901" i="9"/>
  <c r="AG901" i="9" s="1"/>
  <c r="AF902" i="9"/>
  <c r="AG902" i="9" s="1"/>
  <c r="AF903" i="9"/>
  <c r="AG903" i="9" s="1"/>
  <c r="AF904" i="9"/>
  <c r="AG904" i="9" s="1"/>
  <c r="AF905" i="9"/>
  <c r="AG905" i="9" s="1"/>
  <c r="AF906" i="9"/>
  <c r="AG906" i="9" s="1"/>
  <c r="AF907" i="9"/>
  <c r="AG907" i="9" s="1"/>
  <c r="AF908" i="9"/>
  <c r="AG908" i="9" s="1"/>
  <c r="AF909" i="9"/>
  <c r="AG909" i="9" s="1"/>
  <c r="AF910" i="9"/>
  <c r="AG910" i="9" s="1"/>
  <c r="AF911" i="9"/>
  <c r="AG911" i="9" s="1"/>
  <c r="AF912" i="9"/>
  <c r="AG912" i="9" s="1"/>
  <c r="AF913" i="9"/>
  <c r="AG913" i="9" s="1"/>
  <c r="AF914" i="9"/>
  <c r="AG914" i="9" s="1"/>
  <c r="AF915" i="9"/>
  <c r="AG915" i="9" s="1"/>
  <c r="AF916" i="9"/>
  <c r="AG916" i="9" s="1"/>
  <c r="AF917" i="9"/>
  <c r="AG917" i="9" s="1"/>
  <c r="AF918" i="9"/>
  <c r="AG918" i="9" s="1"/>
  <c r="AF919" i="9"/>
  <c r="AG919" i="9" s="1"/>
  <c r="AF920" i="9"/>
  <c r="AG920" i="9" s="1"/>
  <c r="AF921" i="9"/>
  <c r="AG921" i="9" s="1"/>
  <c r="AF922" i="9"/>
  <c r="AG922" i="9" s="1"/>
  <c r="AF923" i="9"/>
  <c r="AG923" i="9" s="1"/>
  <c r="AF924" i="9"/>
  <c r="AG924" i="9" s="1"/>
  <c r="AF925" i="9"/>
  <c r="AG925" i="9" s="1"/>
  <c r="AF926" i="9"/>
  <c r="AG926" i="9" s="1"/>
  <c r="AF927" i="9"/>
  <c r="AG927" i="9" s="1"/>
  <c r="AF928" i="9"/>
  <c r="AG928" i="9" s="1"/>
  <c r="AF929" i="9"/>
  <c r="AG929" i="9" s="1"/>
  <c r="AF930" i="9"/>
  <c r="AG930" i="9" s="1"/>
  <c r="AF931" i="9"/>
  <c r="AG931" i="9" s="1"/>
  <c r="AF932" i="9"/>
  <c r="AG932" i="9" s="1"/>
  <c r="AF933" i="9"/>
  <c r="AG933" i="9" s="1"/>
  <c r="AF934" i="9"/>
  <c r="AG934" i="9" s="1"/>
  <c r="AF935" i="9"/>
  <c r="AG935" i="9" s="1"/>
  <c r="AF936" i="9"/>
  <c r="AG936" i="9" s="1"/>
  <c r="AF937" i="9"/>
  <c r="AG937" i="9" s="1"/>
  <c r="AF938" i="9"/>
  <c r="AG938" i="9" s="1"/>
  <c r="AF939" i="9"/>
  <c r="AG939" i="9" s="1"/>
  <c r="AF940" i="9"/>
  <c r="AG940" i="9" s="1"/>
  <c r="AF941" i="9"/>
  <c r="AG941" i="9" s="1"/>
  <c r="AF942" i="9"/>
  <c r="AG942" i="9" s="1"/>
  <c r="AF943" i="9"/>
  <c r="AG943" i="9" s="1"/>
  <c r="AF944" i="9"/>
  <c r="AG944" i="9" s="1"/>
  <c r="AF945" i="9"/>
  <c r="AG945" i="9" s="1"/>
  <c r="AF946" i="9"/>
  <c r="AG946" i="9" s="1"/>
  <c r="AF947" i="9"/>
  <c r="AG947" i="9" s="1"/>
  <c r="AF948" i="9"/>
  <c r="AG948" i="9" s="1"/>
  <c r="AF949" i="9"/>
  <c r="AG949" i="9" s="1"/>
  <c r="AF950" i="9"/>
  <c r="AG950" i="9" s="1"/>
  <c r="AF951" i="9"/>
  <c r="AG951" i="9" s="1"/>
  <c r="AF952" i="9"/>
  <c r="AG952" i="9" s="1"/>
  <c r="AF953" i="9"/>
  <c r="AG953" i="9" s="1"/>
  <c r="AF954" i="9"/>
  <c r="AG954" i="9" s="1"/>
  <c r="AF955" i="9"/>
  <c r="AG955" i="9" s="1"/>
  <c r="AF956" i="9"/>
  <c r="AG956" i="9" s="1"/>
  <c r="AF957" i="9"/>
  <c r="AG957" i="9" s="1"/>
  <c r="AF958" i="9"/>
  <c r="AG958" i="9" s="1"/>
  <c r="AF959" i="9"/>
  <c r="AG959" i="9" s="1"/>
  <c r="AF960" i="9"/>
  <c r="AG960" i="9" s="1"/>
  <c r="AF961" i="9"/>
  <c r="AG961" i="9" s="1"/>
  <c r="AF962" i="9"/>
  <c r="AG962" i="9" s="1"/>
  <c r="AF963" i="9"/>
  <c r="AG963" i="9" s="1"/>
  <c r="AF964" i="9"/>
  <c r="AG964" i="9" s="1"/>
  <c r="AF965" i="9"/>
  <c r="AG965" i="9" s="1"/>
  <c r="AF966" i="9"/>
  <c r="AG966" i="9" s="1"/>
  <c r="AF967" i="9"/>
  <c r="AG967" i="9" s="1"/>
  <c r="AF968" i="9"/>
  <c r="AG968" i="9" s="1"/>
  <c r="AF969" i="9"/>
  <c r="AG969" i="9" s="1"/>
  <c r="AF970" i="9"/>
  <c r="AG970" i="9" s="1"/>
  <c r="AF971" i="9"/>
  <c r="AG971" i="9" s="1"/>
  <c r="AF972" i="9"/>
  <c r="AG972" i="9" s="1"/>
  <c r="AF973" i="9"/>
  <c r="AG973" i="9" s="1"/>
  <c r="AJ933" i="9"/>
  <c r="AJ934" i="9"/>
  <c r="AJ935" i="9"/>
  <c r="AJ936" i="9"/>
  <c r="AJ937" i="9"/>
  <c r="AJ938" i="9"/>
  <c r="AJ939" i="9"/>
  <c r="AJ940" i="9"/>
  <c r="AJ941" i="9"/>
  <c r="AJ942" i="9"/>
  <c r="AJ943" i="9"/>
  <c r="AJ944" i="9"/>
  <c r="AJ945" i="9"/>
  <c r="AJ946" i="9"/>
  <c r="AJ947" i="9"/>
  <c r="AJ948" i="9"/>
  <c r="AJ949" i="9"/>
  <c r="AJ950" i="9"/>
  <c r="AJ951" i="9"/>
  <c r="AJ952" i="9"/>
  <c r="AJ953" i="9"/>
  <c r="AJ954" i="9"/>
  <c r="AJ955" i="9"/>
  <c r="AJ956" i="9"/>
  <c r="AJ957" i="9"/>
  <c r="AJ958" i="9"/>
  <c r="AJ959" i="9"/>
  <c r="AJ960" i="9"/>
  <c r="AJ961" i="9"/>
  <c r="AJ962" i="9"/>
  <c r="AJ963" i="9"/>
  <c r="AJ964" i="9"/>
  <c r="AJ965" i="9"/>
  <c r="AJ966" i="9"/>
  <c r="AJ967" i="9"/>
  <c r="AJ968" i="9"/>
  <c r="AJ969" i="9"/>
  <c r="AJ970" i="9"/>
  <c r="AJ971" i="9"/>
  <c r="AJ972" i="9"/>
  <c r="AJ973" i="9"/>
  <c r="AD849" i="8"/>
  <c r="AD850" i="8"/>
  <c r="AD851" i="8"/>
  <c r="AD852" i="8"/>
  <c r="AD853" i="8"/>
  <c r="AD854" i="8"/>
  <c r="AD855" i="8"/>
  <c r="AD856" i="8"/>
  <c r="AD857" i="8"/>
  <c r="AD858" i="8"/>
  <c r="AD859" i="8"/>
  <c r="AD860" i="8"/>
  <c r="AD861" i="8"/>
  <c r="AD862" i="8"/>
  <c r="AD863" i="8"/>
  <c r="AD864" i="8"/>
  <c r="AD865" i="8"/>
  <c r="AD866" i="8"/>
  <c r="AD867" i="8"/>
  <c r="AD868" i="8"/>
  <c r="AD869" i="8"/>
  <c r="AD870" i="8"/>
  <c r="AD871" i="8"/>
  <c r="AD872" i="8"/>
  <c r="AD873" i="8"/>
  <c r="AD874" i="8"/>
  <c r="AD875" i="8"/>
  <c r="AD876" i="8"/>
  <c r="AD877" i="8"/>
  <c r="AD878" i="8"/>
  <c r="AD879" i="8"/>
  <c r="AD880" i="8"/>
  <c r="AD881" i="8"/>
  <c r="AD882" i="8"/>
  <c r="AD883" i="8"/>
  <c r="AD884" i="8"/>
  <c r="AD885" i="8"/>
  <c r="AD886" i="8"/>
  <c r="AD887" i="8"/>
  <c r="AD888" i="8"/>
  <c r="AD889" i="8"/>
  <c r="AD890" i="8"/>
  <c r="AD891" i="8"/>
  <c r="AD892" i="8"/>
  <c r="AD893" i="8"/>
  <c r="AD894" i="8"/>
  <c r="AD895" i="8"/>
  <c r="AD896" i="8"/>
  <c r="AD897" i="8"/>
  <c r="AD898" i="8"/>
  <c r="AD899" i="8"/>
  <c r="AD900" i="8"/>
  <c r="AD901" i="8"/>
  <c r="AD902" i="8"/>
  <c r="AD903" i="8"/>
  <c r="AD904" i="8"/>
  <c r="AD905" i="8"/>
  <c r="AD906" i="8"/>
  <c r="AD907" i="8"/>
  <c r="AD908" i="8"/>
  <c r="AD909" i="8"/>
  <c r="AD910" i="8"/>
  <c r="AD911" i="8"/>
  <c r="AD912" i="8"/>
  <c r="AD913" i="8"/>
  <c r="AD914" i="8"/>
  <c r="AD915" i="8"/>
  <c r="AD916" i="8"/>
  <c r="AD917" i="8"/>
  <c r="AD918" i="8"/>
  <c r="AD919" i="8"/>
  <c r="AD920" i="8"/>
  <c r="AD921" i="8"/>
  <c r="AD922" i="8"/>
  <c r="AD923" i="8"/>
  <c r="AD924" i="8"/>
  <c r="AD925" i="8"/>
  <c r="AD926" i="8"/>
  <c r="AD927" i="8"/>
  <c r="AD928" i="8"/>
  <c r="AD929" i="8"/>
  <c r="AD930" i="8"/>
  <c r="AD931" i="8"/>
  <c r="AD932" i="8"/>
  <c r="AD933" i="8"/>
  <c r="AD934" i="8"/>
  <c r="AD935" i="8"/>
  <c r="AD936" i="8"/>
  <c r="AD937" i="8"/>
  <c r="AD938" i="8"/>
  <c r="AD939" i="8"/>
  <c r="AD940" i="8"/>
  <c r="AD941" i="8"/>
  <c r="AD942" i="8"/>
  <c r="AD943" i="8"/>
  <c r="AD944" i="8"/>
  <c r="AD945" i="8"/>
  <c r="AI916" i="11"/>
  <c r="AI917" i="11"/>
  <c r="AI918" i="11"/>
  <c r="AI919" i="11"/>
  <c r="AI920" i="11"/>
  <c r="AI921" i="11"/>
  <c r="AI922" i="11"/>
  <c r="AI923" i="11"/>
  <c r="AI924" i="11"/>
  <c r="AI925" i="11"/>
  <c r="AI926" i="11"/>
  <c r="AI927" i="11"/>
  <c r="AI928" i="11"/>
  <c r="AI929" i="11"/>
  <c r="AI930" i="11"/>
  <c r="AI931" i="11"/>
  <c r="AI932" i="11"/>
  <c r="AI933" i="11"/>
  <c r="AI934" i="11"/>
  <c r="AI935" i="11"/>
  <c r="AI936" i="11"/>
  <c r="AI937" i="11"/>
  <c r="AI938" i="11"/>
  <c r="AI939" i="11"/>
  <c r="AI940" i="11"/>
  <c r="AI941" i="11"/>
  <c r="AI942" i="11"/>
  <c r="AI943" i="11"/>
  <c r="AI944" i="11"/>
  <c r="AG3" i="11" l="1"/>
  <c r="C405" i="2"/>
  <c r="F405" i="2" s="1"/>
  <c r="G405" i="2" s="1"/>
  <c r="C402" i="2"/>
  <c r="C439" i="2"/>
  <c r="F439" i="2" s="1"/>
  <c r="G439" i="2" s="1"/>
  <c r="C427" i="2"/>
  <c r="F427" i="2" s="1"/>
  <c r="G427" i="2" s="1"/>
  <c r="C421" i="2"/>
  <c r="F421" i="2" s="1"/>
  <c r="G421" i="2" s="1"/>
  <c r="C415" i="2"/>
  <c r="F415" i="2" s="1"/>
  <c r="G415" i="2" s="1"/>
  <c r="C409" i="2"/>
  <c r="F409" i="2" s="1"/>
  <c r="G409" i="2" s="1"/>
  <c r="C437" i="2"/>
  <c r="F437" i="2" s="1"/>
  <c r="G437" i="2" s="1"/>
  <c r="C431" i="2"/>
  <c r="C425" i="2"/>
  <c r="F425" i="2" s="1"/>
  <c r="G425" i="2" s="1"/>
  <c r="C422" i="2"/>
  <c r="F422" i="2" s="1"/>
  <c r="G422" i="2" s="1"/>
  <c r="C419" i="2"/>
  <c r="C416" i="2"/>
  <c r="F416" i="2" s="1"/>
  <c r="G416" i="2" s="1"/>
  <c r="C410" i="2"/>
  <c r="F410" i="2" s="1"/>
  <c r="G410" i="2" s="1"/>
  <c r="C407" i="2"/>
  <c r="F407" i="2" s="1"/>
  <c r="G407" i="2" s="1"/>
  <c r="C413" i="2"/>
  <c r="F413" i="2" s="1"/>
  <c r="G413" i="2" s="1"/>
  <c r="C436" i="2"/>
  <c r="F436" i="2" s="1"/>
  <c r="G436" i="2" s="1"/>
  <c r="C430" i="2"/>
  <c r="F430" i="2" s="1"/>
  <c r="G430" i="2" s="1"/>
  <c r="C424" i="2"/>
  <c r="F424" i="2" s="1"/>
  <c r="G424" i="2" s="1"/>
  <c r="C418" i="2"/>
  <c r="F418" i="2" s="1"/>
  <c r="G418" i="2" s="1"/>
  <c r="C412" i="2"/>
  <c r="F412" i="2" s="1"/>
  <c r="G412" i="2" s="1"/>
  <c r="C404" i="2"/>
  <c r="F404" i="2" s="1"/>
  <c r="G404" i="2" s="1"/>
  <c r="C406" i="2"/>
  <c r="F406" i="2" s="1"/>
  <c r="G406" i="2" s="1"/>
  <c r="C438" i="2"/>
  <c r="F438" i="2" s="1"/>
  <c r="G438" i="2" s="1"/>
  <c r="C435" i="2"/>
  <c r="F435" i="2" s="1"/>
  <c r="G435" i="2" s="1"/>
  <c r="C432" i="2"/>
  <c r="F432" i="2" s="1"/>
  <c r="G432" i="2" s="1"/>
  <c r="C429" i="2"/>
  <c r="F429" i="2" s="1"/>
  <c r="G429" i="2" s="1"/>
  <c r="C426" i="2"/>
  <c r="F426" i="2" s="1"/>
  <c r="G426" i="2" s="1"/>
  <c r="C423" i="2"/>
  <c r="F423" i="2" s="1"/>
  <c r="G423" i="2" s="1"/>
  <c r="C420" i="2"/>
  <c r="F420" i="2" s="1"/>
  <c r="G420" i="2" s="1"/>
  <c r="C417" i="2"/>
  <c r="F417" i="2" s="1"/>
  <c r="G417" i="2" s="1"/>
  <c r="C414" i="2"/>
  <c r="F414" i="2" s="1"/>
  <c r="G414" i="2" s="1"/>
  <c r="C411" i="2"/>
  <c r="F411" i="2" s="1"/>
  <c r="G411" i="2" s="1"/>
  <c r="C408" i="2"/>
  <c r="F408" i="2" s="1"/>
  <c r="G408" i="2" s="1"/>
  <c r="C433" i="2"/>
  <c r="F433" i="2" s="1"/>
  <c r="G433" i="2" s="1"/>
  <c r="C403" i="2"/>
  <c r="F403" i="2" s="1"/>
  <c r="G403" i="2" s="1"/>
  <c r="C434" i="2"/>
  <c r="F434" i="2" s="1"/>
  <c r="G434" i="2" s="1"/>
  <c r="F431" i="2"/>
  <c r="G431" i="2" s="1"/>
  <c r="C428" i="2"/>
  <c r="F428" i="2" s="1"/>
  <c r="G428" i="2" s="1"/>
  <c r="F419" i="2"/>
  <c r="G419" i="2" s="1"/>
  <c r="F402" i="2"/>
  <c r="G402" i="2" s="1"/>
  <c r="C305" i="2"/>
  <c r="F305" i="2" s="1"/>
  <c r="G305" i="2" s="1"/>
  <c r="C299" i="2"/>
  <c r="F299" i="2" s="1"/>
  <c r="G299" i="2" s="1"/>
  <c r="C313" i="2"/>
  <c r="F313" i="2" s="1"/>
  <c r="G313" i="2" s="1"/>
  <c r="C310" i="2"/>
  <c r="F310" i="2" s="1"/>
  <c r="G310" i="2" s="1"/>
  <c r="C307" i="2"/>
  <c r="F307" i="2" s="1"/>
  <c r="G307" i="2" s="1"/>
  <c r="C304" i="2"/>
  <c r="F304" i="2" s="1"/>
  <c r="G304" i="2" s="1"/>
  <c r="C301" i="2"/>
  <c r="F301" i="2" s="1"/>
  <c r="G301" i="2" s="1"/>
  <c r="C298" i="2"/>
  <c r="F298" i="2" s="1"/>
  <c r="G298" i="2" s="1"/>
  <c r="C321" i="2"/>
  <c r="C318" i="2"/>
  <c r="F318" i="2" s="1"/>
  <c r="G318" i="2" s="1"/>
  <c r="C315" i="2"/>
  <c r="F315" i="2" s="1"/>
  <c r="G315" i="2" s="1"/>
  <c r="C320" i="2"/>
  <c r="F320" i="2" s="1"/>
  <c r="G320" i="2" s="1"/>
  <c r="C314" i="2"/>
  <c r="F314" i="2" s="1"/>
  <c r="G314" i="2" s="1"/>
  <c r="C311" i="2"/>
  <c r="F311" i="2" s="1"/>
  <c r="G311" i="2" s="1"/>
  <c r="C323" i="2"/>
  <c r="F323" i="2" s="1"/>
  <c r="G323" i="2" s="1"/>
  <c r="C317" i="2"/>
  <c r="F317" i="2" s="1"/>
  <c r="G317" i="2" s="1"/>
  <c r="C312" i="2"/>
  <c r="F312" i="2" s="1"/>
  <c r="G312" i="2" s="1"/>
  <c r="C309" i="2"/>
  <c r="F309" i="2" s="1"/>
  <c r="G309" i="2" s="1"/>
  <c r="C306" i="2"/>
  <c r="F306" i="2" s="1"/>
  <c r="G306" i="2" s="1"/>
  <c r="C303" i="2"/>
  <c r="F303" i="2" s="1"/>
  <c r="G303" i="2" s="1"/>
  <c r="C300" i="2"/>
  <c r="F300" i="2" s="1"/>
  <c r="G300" i="2" s="1"/>
  <c r="C308" i="2"/>
  <c r="F308" i="2" s="1"/>
  <c r="G308" i="2" s="1"/>
  <c r="C302" i="2"/>
  <c r="F302" i="2" s="1"/>
  <c r="G302" i="2" s="1"/>
  <c r="C319" i="2"/>
  <c r="F319" i="2" s="1"/>
  <c r="G319" i="2" s="1"/>
  <c r="C316" i="2"/>
  <c r="F316" i="2" s="1"/>
  <c r="G316" i="2" s="1"/>
  <c r="C322" i="2"/>
  <c r="F322" i="2" s="1"/>
  <c r="G322" i="2" s="1"/>
  <c r="F321" i="2"/>
  <c r="G321" i="2" s="1"/>
  <c r="C85" i="2"/>
  <c r="F85" i="2" s="1"/>
  <c r="G85" i="2" s="1"/>
  <c r="C82" i="2"/>
  <c r="F82" i="2" s="1"/>
  <c r="G82" i="2" s="1"/>
  <c r="C79" i="2"/>
  <c r="F79" i="2" s="1"/>
  <c r="G79" i="2" s="1"/>
  <c r="C76" i="2"/>
  <c r="F76" i="2" s="1"/>
  <c r="G76" i="2" s="1"/>
  <c r="C98" i="2"/>
  <c r="F98" i="2" s="1"/>
  <c r="G98" i="2" s="1"/>
  <c r="C92" i="2"/>
  <c r="F92" i="2" s="1"/>
  <c r="G92" i="2" s="1"/>
  <c r="C105" i="2"/>
  <c r="F105" i="2" s="1"/>
  <c r="G105" i="2" s="1"/>
  <c r="C86" i="2"/>
  <c r="F86" i="2" s="1"/>
  <c r="G86" i="2" s="1"/>
  <c r="C80" i="2"/>
  <c r="F80" i="2" s="1"/>
  <c r="G80" i="2" s="1"/>
  <c r="C104" i="2"/>
  <c r="F104" i="2" s="1"/>
  <c r="G104" i="2" s="1"/>
  <c r="C102" i="2"/>
  <c r="F102" i="2" s="1"/>
  <c r="G102" i="2" s="1"/>
  <c r="C99" i="2"/>
  <c r="F99" i="2" s="1"/>
  <c r="G99" i="2" s="1"/>
  <c r="C96" i="2"/>
  <c r="F96" i="2" s="1"/>
  <c r="G96" i="2" s="1"/>
  <c r="C93" i="2"/>
  <c r="F93" i="2" s="1"/>
  <c r="G93" i="2" s="1"/>
  <c r="C90" i="2"/>
  <c r="F90" i="2" s="1"/>
  <c r="G90" i="2" s="1"/>
  <c r="C87" i="2"/>
  <c r="F87" i="2" s="1"/>
  <c r="G87" i="2" s="1"/>
  <c r="C84" i="2"/>
  <c r="F84" i="2" s="1"/>
  <c r="G84" i="2" s="1"/>
  <c r="C81" i="2"/>
  <c r="F81" i="2" s="1"/>
  <c r="G81" i="2" s="1"/>
  <c r="C78" i="2"/>
  <c r="F78" i="2" s="1"/>
  <c r="G78" i="2" s="1"/>
  <c r="C101" i="2"/>
  <c r="F101" i="2" s="1"/>
  <c r="G101" i="2" s="1"/>
  <c r="C95" i="2"/>
  <c r="F95" i="2" s="1"/>
  <c r="G95" i="2" s="1"/>
  <c r="C89" i="2"/>
  <c r="F89" i="2" s="1"/>
  <c r="G89" i="2" s="1"/>
  <c r="C83" i="2"/>
  <c r="F83" i="2" s="1"/>
  <c r="G83" i="2" s="1"/>
  <c r="C103" i="2"/>
  <c r="F103" i="2" s="1"/>
  <c r="G103" i="2" s="1"/>
  <c r="C100" i="2"/>
  <c r="F100" i="2" s="1"/>
  <c r="G100" i="2" s="1"/>
  <c r="C97" i="2"/>
  <c r="F97" i="2" s="1"/>
  <c r="G97" i="2" s="1"/>
  <c r="C94" i="2"/>
  <c r="F94" i="2" s="1"/>
  <c r="G94" i="2" s="1"/>
  <c r="C91" i="2"/>
  <c r="F91" i="2" s="1"/>
  <c r="G91" i="2" s="1"/>
  <c r="C88" i="2"/>
  <c r="F88" i="2" s="1"/>
  <c r="G88" i="2" s="1"/>
  <c r="C77" i="2"/>
  <c r="F77" i="2" s="1"/>
  <c r="G77" i="2" s="1"/>
  <c r="C106" i="2"/>
  <c r="F106" i="2" s="1"/>
  <c r="G106" i="2" s="1"/>
  <c r="C202" i="2"/>
  <c r="F202" i="2" s="1"/>
  <c r="G202" i="2" s="1"/>
  <c r="C199" i="2"/>
  <c r="F199" i="2" s="1"/>
  <c r="G199" i="2" s="1"/>
  <c r="C196" i="2"/>
  <c r="F196" i="2" s="1"/>
  <c r="G196" i="2" s="1"/>
  <c r="C211" i="2"/>
  <c r="F211" i="2" s="1"/>
  <c r="G211" i="2" s="1"/>
  <c r="C203" i="2"/>
  <c r="F203" i="2" s="1"/>
  <c r="G203" i="2" s="1"/>
  <c r="C197" i="2"/>
  <c r="F197" i="2" s="1"/>
  <c r="G197" i="2" s="1"/>
  <c r="C205" i="2"/>
  <c r="F205" i="2" s="1"/>
  <c r="G205" i="2" s="1"/>
  <c r="C201" i="2"/>
  <c r="F201" i="2" s="1"/>
  <c r="G201" i="2" s="1"/>
  <c r="C198" i="2"/>
  <c r="F198" i="2" s="1"/>
  <c r="G198" i="2" s="1"/>
  <c r="C206" i="2"/>
  <c r="F206" i="2" s="1"/>
  <c r="G206" i="2" s="1"/>
  <c r="C200" i="2"/>
  <c r="F200" i="2" s="1"/>
  <c r="G200" i="2" s="1"/>
  <c r="C204" i="2"/>
  <c r="F204" i="2" s="1"/>
  <c r="G204" i="2" s="1"/>
  <c r="C208" i="2"/>
  <c r="F208" i="2" s="1"/>
  <c r="G208" i="2" s="1"/>
  <c r="C221" i="2"/>
  <c r="F221" i="2" s="1"/>
  <c r="G221" i="2" s="1"/>
  <c r="C215" i="2"/>
  <c r="F215" i="2" s="1"/>
  <c r="G215" i="2" s="1"/>
  <c r="C189" i="2"/>
  <c r="F189" i="2" s="1"/>
  <c r="G189" i="2" s="1"/>
  <c r="C186" i="2"/>
  <c r="F186" i="2" s="1"/>
  <c r="G186" i="2" s="1"/>
  <c r="C191" i="2"/>
  <c r="F191" i="2" s="1"/>
  <c r="G191" i="2" s="1"/>
  <c r="C220" i="2"/>
  <c r="F220" i="2" s="1"/>
  <c r="G220" i="2" s="1"/>
  <c r="C214" i="2"/>
  <c r="F214" i="2" s="1"/>
  <c r="G214" i="2" s="1"/>
  <c r="C207" i="2"/>
  <c r="F207" i="2" s="1"/>
  <c r="G207" i="2" s="1"/>
  <c r="C190" i="2"/>
  <c r="F190" i="2" s="1"/>
  <c r="G190" i="2" s="1"/>
  <c r="C219" i="2"/>
  <c r="F219" i="2" s="1"/>
  <c r="G219" i="2" s="1"/>
  <c r="C213" i="2"/>
  <c r="F213" i="2" s="1"/>
  <c r="G213" i="2" s="1"/>
  <c r="C218" i="2"/>
  <c r="F218" i="2" s="1"/>
  <c r="G218" i="2" s="1"/>
  <c r="C212" i="2"/>
  <c r="F212" i="2" s="1"/>
  <c r="G212" i="2" s="1"/>
  <c r="C194" i="2"/>
  <c r="F194" i="2" s="1"/>
  <c r="G194" i="2" s="1"/>
  <c r="C210" i="2"/>
  <c r="F210" i="2" s="1"/>
  <c r="G210" i="2" s="1"/>
  <c r="C193" i="2"/>
  <c r="F193" i="2" s="1"/>
  <c r="G193" i="2" s="1"/>
  <c r="C188" i="2"/>
  <c r="F188" i="2" s="1"/>
  <c r="G188" i="2" s="1"/>
  <c r="C216" i="2"/>
  <c r="F216" i="2" s="1"/>
  <c r="G216" i="2" s="1"/>
  <c r="C209" i="2"/>
  <c r="F209" i="2" s="1"/>
  <c r="G209" i="2" s="1"/>
  <c r="C195" i="2"/>
  <c r="F195" i="2" s="1"/>
  <c r="G195" i="2" s="1"/>
  <c r="C192" i="2"/>
  <c r="F192" i="2" s="1"/>
  <c r="G192" i="2" s="1"/>
  <c r="C217" i="2"/>
  <c r="F217" i="2" s="1"/>
  <c r="G217" i="2" s="1"/>
  <c r="C187" i="2"/>
  <c r="F187" i="2" s="1"/>
  <c r="G187" i="2" s="1"/>
  <c r="E563" i="2"/>
  <c r="D563" i="2"/>
  <c r="E562" i="2"/>
  <c r="D562" i="2"/>
  <c r="E561" i="2"/>
  <c r="D561" i="2"/>
  <c r="E554" i="2"/>
  <c r="D554" i="2"/>
  <c r="E553" i="2"/>
  <c r="D553" i="2"/>
  <c r="E552" i="2"/>
  <c r="D552" i="2"/>
  <c r="E551" i="2"/>
  <c r="D551" i="2"/>
  <c r="E550" i="2"/>
  <c r="D550" i="2"/>
  <c r="E549" i="2"/>
  <c r="D549" i="2"/>
  <c r="E548" i="2"/>
  <c r="D548" i="2"/>
  <c r="E547" i="2"/>
  <c r="D547" i="2"/>
  <c r="E545" i="2"/>
  <c r="D545" i="2"/>
  <c r="E542" i="2"/>
  <c r="D542" i="2"/>
  <c r="F553" i="2" l="1"/>
  <c r="C548" i="2"/>
  <c r="C551" i="2"/>
  <c r="C554" i="2"/>
  <c r="F554" i="2"/>
  <c r="C547" i="2"/>
  <c r="C550" i="2"/>
  <c r="F542" i="2"/>
  <c r="F561" i="2"/>
  <c r="F563" i="2"/>
  <c r="F545" i="2"/>
  <c r="C545" i="2"/>
  <c r="C542" i="2"/>
  <c r="C562" i="2"/>
  <c r="C549" i="2"/>
  <c r="F547" i="2"/>
  <c r="C552" i="2"/>
  <c r="F550" i="2"/>
  <c r="C553" i="2"/>
  <c r="F548" i="2"/>
  <c r="F551" i="2"/>
  <c r="C563" i="2"/>
  <c r="C561" i="2"/>
  <c r="F549" i="2"/>
  <c r="F552" i="2"/>
  <c r="F562" i="2"/>
  <c r="AJ2" i="10" l="1"/>
  <c r="AJ3" i="9"/>
  <c r="AJ4" i="9"/>
  <c r="AJ5" i="9"/>
  <c r="AJ6" i="9"/>
  <c r="AJ7" i="9"/>
  <c r="AJ8" i="9"/>
  <c r="AJ9" i="9"/>
  <c r="AJ10" i="9"/>
  <c r="AJ11" i="9"/>
  <c r="AJ12" i="9"/>
  <c r="AJ13" i="9"/>
  <c r="AJ14" i="9"/>
  <c r="AJ15" i="9"/>
  <c r="AJ16" i="9"/>
  <c r="AJ17" i="9"/>
  <c r="AJ18" i="9"/>
  <c r="AJ19" i="9"/>
  <c r="AJ20" i="9"/>
  <c r="AJ21" i="9"/>
  <c r="AJ22" i="9"/>
  <c r="AJ23" i="9"/>
  <c r="AJ24" i="9"/>
  <c r="AJ25" i="9"/>
  <c r="AJ26" i="9"/>
  <c r="AJ27" i="9"/>
  <c r="AJ28" i="9"/>
  <c r="AJ29" i="9"/>
  <c r="AJ30" i="9"/>
  <c r="AJ31" i="9"/>
  <c r="AJ32" i="9"/>
  <c r="AJ33" i="9"/>
  <c r="AJ34" i="9"/>
  <c r="AJ35" i="9"/>
  <c r="AJ36" i="9"/>
  <c r="AJ37" i="9"/>
  <c r="AJ38" i="9"/>
  <c r="AJ39" i="9"/>
  <c r="AJ40" i="9"/>
  <c r="AJ41" i="9"/>
  <c r="AJ42" i="9"/>
  <c r="AJ43" i="9"/>
  <c r="AJ44" i="9"/>
  <c r="AJ45" i="9"/>
  <c r="AJ46" i="9"/>
  <c r="AJ47" i="9"/>
  <c r="AJ48" i="9"/>
  <c r="AJ49" i="9"/>
  <c r="AJ50" i="9"/>
  <c r="AJ51" i="9"/>
  <c r="AJ52" i="9"/>
  <c r="AJ53" i="9"/>
  <c r="AJ54" i="9"/>
  <c r="AJ55" i="9"/>
  <c r="AJ56" i="9"/>
  <c r="AJ57" i="9"/>
  <c r="AJ58" i="9"/>
  <c r="AJ59" i="9"/>
  <c r="AJ60" i="9"/>
  <c r="AJ61" i="9"/>
  <c r="AJ62" i="9"/>
  <c r="AJ63" i="9"/>
  <c r="AJ64" i="9"/>
  <c r="AJ65" i="9"/>
  <c r="AJ66" i="9"/>
  <c r="AJ67" i="9"/>
  <c r="AJ68" i="9"/>
  <c r="AJ69" i="9"/>
  <c r="AJ70" i="9"/>
  <c r="AJ71" i="9"/>
  <c r="AJ72" i="9"/>
  <c r="AJ73" i="9"/>
  <c r="AJ74" i="9"/>
  <c r="AJ75" i="9"/>
  <c r="AJ76" i="9"/>
  <c r="AJ77" i="9"/>
  <c r="AJ78" i="9"/>
  <c r="AJ79" i="9"/>
  <c r="AJ80" i="9"/>
  <c r="AJ81" i="9"/>
  <c r="AJ82" i="9"/>
  <c r="AJ83" i="9"/>
  <c r="AJ84" i="9"/>
  <c r="AJ85" i="9"/>
  <c r="AJ86" i="9"/>
  <c r="AJ87" i="9"/>
  <c r="AJ88" i="9"/>
  <c r="AJ89" i="9"/>
  <c r="AJ90" i="9"/>
  <c r="AJ91" i="9"/>
  <c r="AJ92" i="9"/>
  <c r="AJ93" i="9"/>
  <c r="AJ94" i="9"/>
  <c r="AJ95" i="9"/>
  <c r="AJ96" i="9"/>
  <c r="AJ97" i="9"/>
  <c r="AJ98" i="9"/>
  <c r="AJ99" i="9"/>
  <c r="AJ100" i="9"/>
  <c r="AJ101" i="9"/>
  <c r="AJ102" i="9"/>
  <c r="AJ103" i="9"/>
  <c r="AJ104" i="9"/>
  <c r="AJ105" i="9"/>
  <c r="AJ106" i="9"/>
  <c r="AJ107" i="9"/>
  <c r="AJ108" i="9"/>
  <c r="AJ109" i="9"/>
  <c r="AJ110" i="9"/>
  <c r="AJ111" i="9"/>
  <c r="AJ112" i="9"/>
  <c r="AJ114" i="9"/>
  <c r="AJ115" i="9"/>
  <c r="AJ116" i="9"/>
  <c r="AJ117" i="9"/>
  <c r="AJ118" i="9"/>
  <c r="AJ119" i="9"/>
  <c r="AJ120" i="9"/>
  <c r="AJ121" i="9"/>
  <c r="AJ122" i="9"/>
  <c r="AJ123" i="9"/>
  <c r="AJ124" i="9"/>
  <c r="AJ125" i="9"/>
  <c r="AJ126" i="9"/>
  <c r="AJ127" i="9"/>
  <c r="AJ128" i="9"/>
  <c r="AJ129" i="9"/>
  <c r="AJ130" i="9"/>
  <c r="AJ131" i="9"/>
  <c r="AJ132" i="9"/>
  <c r="AJ133" i="9"/>
  <c r="AJ134" i="9"/>
  <c r="AJ135" i="9"/>
  <c r="AJ136" i="9"/>
  <c r="AJ137" i="9"/>
  <c r="AJ138" i="9"/>
  <c r="AJ139" i="9"/>
  <c r="AJ140" i="9"/>
  <c r="AJ141" i="9"/>
  <c r="AJ142" i="9"/>
  <c r="AJ143" i="9"/>
  <c r="AJ144" i="9"/>
  <c r="AJ145" i="9"/>
  <c r="AJ146" i="9"/>
  <c r="AJ147" i="9"/>
  <c r="AJ148" i="9"/>
  <c r="AJ149" i="9"/>
  <c r="AJ150" i="9"/>
  <c r="AJ151" i="9"/>
  <c r="AJ152" i="9"/>
  <c r="AJ153" i="9"/>
  <c r="AJ154" i="9"/>
  <c r="AJ155" i="9"/>
  <c r="AJ156" i="9"/>
  <c r="AJ157" i="9"/>
  <c r="AJ158" i="9"/>
  <c r="AJ159" i="9"/>
  <c r="AJ160" i="9"/>
  <c r="AJ161" i="9"/>
  <c r="AJ162" i="9"/>
  <c r="AJ163" i="9"/>
  <c r="AJ164" i="9"/>
  <c r="AJ165" i="9"/>
  <c r="AJ166" i="9"/>
  <c r="AJ167" i="9"/>
  <c r="AJ168" i="9"/>
  <c r="AJ169" i="9"/>
  <c r="AJ170" i="9"/>
  <c r="AJ171" i="9"/>
  <c r="AJ172" i="9"/>
  <c r="AJ173" i="9"/>
  <c r="AJ174" i="9"/>
  <c r="AJ175" i="9"/>
  <c r="AJ176" i="9"/>
  <c r="AJ177" i="9"/>
  <c r="AJ178" i="9"/>
  <c r="AJ179" i="9"/>
  <c r="AJ180" i="9"/>
  <c r="AJ181" i="9"/>
  <c r="AJ182" i="9"/>
  <c r="AJ183" i="9"/>
  <c r="AJ184" i="9"/>
  <c r="AJ185" i="9"/>
  <c r="AJ186" i="9"/>
  <c r="AJ187" i="9"/>
  <c r="AJ188" i="9"/>
  <c r="AJ189" i="9"/>
  <c r="AJ190" i="9"/>
  <c r="AJ191" i="9"/>
  <c r="AJ192" i="9"/>
  <c r="AJ193" i="9"/>
  <c r="AJ194" i="9"/>
  <c r="AJ195" i="9"/>
  <c r="AJ196" i="9"/>
  <c r="AJ197" i="9"/>
  <c r="AJ198" i="9"/>
  <c r="AJ199" i="9"/>
  <c r="AJ200" i="9"/>
  <c r="AJ201" i="9"/>
  <c r="AJ202" i="9"/>
  <c r="AJ203" i="9"/>
  <c r="AJ204" i="9"/>
  <c r="AJ205" i="9"/>
  <c r="AJ206" i="9"/>
  <c r="AJ207" i="9"/>
  <c r="AJ208" i="9"/>
  <c r="AJ209" i="9"/>
  <c r="AJ210" i="9"/>
  <c r="AJ211" i="9"/>
  <c r="AJ212" i="9"/>
  <c r="AJ213" i="9"/>
  <c r="AJ214" i="9"/>
  <c r="AJ215" i="9"/>
  <c r="AJ216" i="9"/>
  <c r="AJ217" i="9"/>
  <c r="AJ218" i="9"/>
  <c r="AJ219" i="9"/>
  <c r="AJ220" i="9"/>
  <c r="AJ221" i="9"/>
  <c r="AJ222" i="9"/>
  <c r="AJ223" i="9"/>
  <c r="AJ224" i="9"/>
  <c r="AJ225" i="9"/>
  <c r="AJ226" i="9"/>
  <c r="AJ227" i="9"/>
  <c r="AJ228" i="9"/>
  <c r="AJ229" i="9"/>
  <c r="AJ230" i="9"/>
  <c r="AJ231" i="9"/>
  <c r="AJ232" i="9"/>
  <c r="AJ233" i="9"/>
  <c r="AJ234" i="9"/>
  <c r="AJ235" i="9"/>
  <c r="AJ236" i="9"/>
  <c r="AJ237" i="9"/>
  <c r="AJ238" i="9"/>
  <c r="AJ239" i="9"/>
  <c r="AJ240" i="9"/>
  <c r="AJ241" i="9"/>
  <c r="AJ242" i="9"/>
  <c r="AJ243" i="9"/>
  <c r="AJ244" i="9"/>
  <c r="AJ245" i="9"/>
  <c r="AJ246" i="9"/>
  <c r="AJ247" i="9"/>
  <c r="AJ248" i="9"/>
  <c r="AJ249" i="9"/>
  <c r="AJ250" i="9"/>
  <c r="AJ251" i="9"/>
  <c r="AJ252" i="9"/>
  <c r="AJ253" i="9"/>
  <c r="AJ254" i="9"/>
  <c r="AJ255" i="9"/>
  <c r="AJ256" i="9"/>
  <c r="AJ257" i="9"/>
  <c r="AJ258" i="9"/>
  <c r="AJ259" i="9"/>
  <c r="AJ260" i="9"/>
  <c r="AJ261" i="9"/>
  <c r="AJ262" i="9"/>
  <c r="AJ263" i="9"/>
  <c r="AJ264" i="9"/>
  <c r="AJ265" i="9"/>
  <c r="AJ266" i="9"/>
  <c r="AJ267" i="9"/>
  <c r="AJ268" i="9"/>
  <c r="AJ269" i="9"/>
  <c r="AJ270" i="9"/>
  <c r="AJ271" i="9"/>
  <c r="AJ272" i="9"/>
  <c r="AJ273" i="9"/>
  <c r="AJ274" i="9"/>
  <c r="AJ275" i="9"/>
  <c r="AJ276" i="9"/>
  <c r="AJ277" i="9"/>
  <c r="AJ278" i="9"/>
  <c r="AJ279" i="9"/>
  <c r="AJ280" i="9"/>
  <c r="AJ281" i="9"/>
  <c r="AJ282" i="9"/>
  <c r="AJ283" i="9"/>
  <c r="AJ284" i="9"/>
  <c r="AJ285" i="9"/>
  <c r="AJ286" i="9"/>
  <c r="AJ287" i="9"/>
  <c r="AJ288" i="9"/>
  <c r="AJ289" i="9"/>
  <c r="AJ290" i="9"/>
  <c r="AJ291" i="9"/>
  <c r="AJ292" i="9"/>
  <c r="AJ293" i="9"/>
  <c r="AJ294" i="9"/>
  <c r="AJ295" i="9"/>
  <c r="AJ296" i="9"/>
  <c r="AJ297" i="9"/>
  <c r="AJ298" i="9"/>
  <c r="AJ299" i="9"/>
  <c r="AJ300" i="9"/>
  <c r="AJ301" i="9"/>
  <c r="AJ302" i="9"/>
  <c r="AJ303" i="9"/>
  <c r="AJ304" i="9"/>
  <c r="AJ305" i="9"/>
  <c r="AJ306" i="9"/>
  <c r="AJ307" i="9"/>
  <c r="AJ308" i="9"/>
  <c r="AJ309" i="9"/>
  <c r="AJ310" i="9"/>
  <c r="AJ311" i="9"/>
  <c r="AJ312" i="9"/>
  <c r="AJ313" i="9"/>
  <c r="AJ314" i="9"/>
  <c r="AJ315" i="9"/>
  <c r="AJ316" i="9"/>
  <c r="AJ317" i="9"/>
  <c r="AJ318" i="9"/>
  <c r="AJ319" i="9"/>
  <c r="AJ320" i="9"/>
  <c r="AJ321" i="9"/>
  <c r="AJ322" i="9"/>
  <c r="AJ323" i="9"/>
  <c r="AJ324" i="9"/>
  <c r="AJ325" i="9"/>
  <c r="AJ326" i="9"/>
  <c r="AJ327" i="9"/>
  <c r="AJ328" i="9"/>
  <c r="AJ329" i="9"/>
  <c r="AJ330" i="9"/>
  <c r="AJ331" i="9"/>
  <c r="AJ332" i="9"/>
  <c r="AJ333" i="9"/>
  <c r="AJ334" i="9"/>
  <c r="AJ335" i="9"/>
  <c r="AJ336" i="9"/>
  <c r="AJ337" i="9"/>
  <c r="AJ338" i="9"/>
  <c r="AJ339" i="9"/>
  <c r="AJ340" i="9"/>
  <c r="AJ341" i="9"/>
  <c r="AJ342" i="9"/>
  <c r="AJ343" i="9"/>
  <c r="AJ344" i="9"/>
  <c r="AJ345" i="9"/>
  <c r="AJ346" i="9"/>
  <c r="AJ347" i="9"/>
  <c r="AJ348" i="9"/>
  <c r="AJ349" i="9"/>
  <c r="AJ350" i="9"/>
  <c r="AJ351" i="9"/>
  <c r="AJ352" i="9"/>
  <c r="AJ353" i="9"/>
  <c r="AJ354" i="9"/>
  <c r="AJ355" i="9"/>
  <c r="AJ356" i="9"/>
  <c r="AJ357" i="9"/>
  <c r="AJ358" i="9"/>
  <c r="AJ359" i="9"/>
  <c r="AJ360" i="9"/>
  <c r="AJ361" i="9"/>
  <c r="AJ362" i="9"/>
  <c r="AJ363" i="9"/>
  <c r="AJ364" i="9"/>
  <c r="AJ365" i="9"/>
  <c r="AJ366" i="9"/>
  <c r="AJ367" i="9"/>
  <c r="AJ368" i="9"/>
  <c r="AJ369" i="9"/>
  <c r="AJ370" i="9"/>
  <c r="AJ371" i="9"/>
  <c r="AJ372" i="9"/>
  <c r="AJ373" i="9"/>
  <c r="AJ374" i="9"/>
  <c r="AJ375" i="9"/>
  <c r="AJ376" i="9"/>
  <c r="AJ377" i="9"/>
  <c r="AJ378" i="9"/>
  <c r="AJ379" i="9"/>
  <c r="AJ380" i="9"/>
  <c r="AJ381" i="9"/>
  <c r="AJ382" i="9"/>
  <c r="AJ383" i="9"/>
  <c r="AJ384" i="9"/>
  <c r="AJ385" i="9"/>
  <c r="AJ386" i="9"/>
  <c r="AJ387" i="9"/>
  <c r="AJ388" i="9"/>
  <c r="AJ389" i="9"/>
  <c r="AJ390" i="9"/>
  <c r="AJ391" i="9"/>
  <c r="AJ392" i="9"/>
  <c r="AJ393" i="9"/>
  <c r="AJ394" i="9"/>
  <c r="AJ395" i="9"/>
  <c r="AJ396" i="9"/>
  <c r="AJ397" i="9"/>
  <c r="AJ398" i="9"/>
  <c r="AJ399" i="9"/>
  <c r="AJ400" i="9"/>
  <c r="AJ401" i="9"/>
  <c r="AJ402" i="9"/>
  <c r="AJ403" i="9"/>
  <c r="AJ404" i="9"/>
  <c r="AJ405" i="9"/>
  <c r="AJ406" i="9"/>
  <c r="AJ407" i="9"/>
  <c r="AJ408" i="9"/>
  <c r="AJ409" i="9"/>
  <c r="AJ410" i="9"/>
  <c r="AJ411" i="9"/>
  <c r="AJ412" i="9"/>
  <c r="AJ413" i="9"/>
  <c r="AJ414" i="9"/>
  <c r="AJ415" i="9"/>
  <c r="AJ416" i="9"/>
  <c r="AJ417" i="9"/>
  <c r="AJ418" i="9"/>
  <c r="AJ419" i="9"/>
  <c r="AJ420" i="9"/>
  <c r="AJ421" i="9"/>
  <c r="AJ422" i="9"/>
  <c r="AJ423" i="9"/>
  <c r="AJ424" i="9"/>
  <c r="AJ425" i="9"/>
  <c r="AJ426" i="9"/>
  <c r="AJ427" i="9"/>
  <c r="AJ428" i="9"/>
  <c r="AJ429" i="9"/>
  <c r="AJ430" i="9"/>
  <c r="AJ431" i="9"/>
  <c r="AJ432" i="9"/>
  <c r="AJ433" i="9"/>
  <c r="AJ434" i="9"/>
  <c r="AJ435" i="9"/>
  <c r="AJ436" i="9"/>
  <c r="AJ437" i="9"/>
  <c r="AJ438" i="9"/>
  <c r="AJ439" i="9"/>
  <c r="AJ440" i="9"/>
  <c r="AJ441" i="9"/>
  <c r="AJ442" i="9"/>
  <c r="AJ443" i="9"/>
  <c r="AJ444" i="9"/>
  <c r="AJ445" i="9"/>
  <c r="AJ446" i="9"/>
  <c r="AJ447" i="9"/>
  <c r="AJ448" i="9"/>
  <c r="AJ449" i="9"/>
  <c r="AJ450" i="9"/>
  <c r="AJ451" i="9"/>
  <c r="AJ452" i="9"/>
  <c r="AJ453" i="9"/>
  <c r="AJ454" i="9"/>
  <c r="AJ455" i="9"/>
  <c r="AJ456" i="9"/>
  <c r="AJ457" i="9"/>
  <c r="AJ458" i="9"/>
  <c r="AJ459" i="9"/>
  <c r="AJ460" i="9"/>
  <c r="AJ461" i="9"/>
  <c r="AJ462" i="9"/>
  <c r="AJ463" i="9"/>
  <c r="AJ464" i="9"/>
  <c r="AJ465" i="9"/>
  <c r="AJ466" i="9"/>
  <c r="AJ467" i="9"/>
  <c r="AJ468" i="9"/>
  <c r="AJ469" i="9"/>
  <c r="AJ470" i="9"/>
  <c r="AJ471" i="9"/>
  <c r="AJ472" i="9"/>
  <c r="AJ473" i="9"/>
  <c r="AJ474" i="9"/>
  <c r="AJ475" i="9"/>
  <c r="AJ476" i="9"/>
  <c r="AJ477" i="9"/>
  <c r="AJ478" i="9"/>
  <c r="AJ479" i="9"/>
  <c r="AJ480" i="9"/>
  <c r="AJ481" i="9"/>
  <c r="AJ482" i="9"/>
  <c r="AJ483" i="9"/>
  <c r="AJ484" i="9"/>
  <c r="AJ485" i="9"/>
  <c r="AJ486" i="9"/>
  <c r="AJ487" i="9"/>
  <c r="AJ488" i="9"/>
  <c r="AJ489" i="9"/>
  <c r="AJ490" i="9"/>
  <c r="AJ491" i="9"/>
  <c r="AJ492" i="9"/>
  <c r="AJ493" i="9"/>
  <c r="AJ494" i="9"/>
  <c r="AJ495" i="9"/>
  <c r="AJ496" i="9"/>
  <c r="AJ497" i="9"/>
  <c r="AJ498" i="9"/>
  <c r="AJ499" i="9"/>
  <c r="AJ500" i="9"/>
  <c r="AJ501" i="9"/>
  <c r="AJ502" i="9"/>
  <c r="AJ503" i="9"/>
  <c r="AJ504" i="9"/>
  <c r="AJ505" i="9"/>
  <c r="AJ506" i="9"/>
  <c r="AJ507" i="9"/>
  <c r="AJ508" i="9"/>
  <c r="AJ509" i="9"/>
  <c r="AJ510" i="9"/>
  <c r="AJ511" i="9"/>
  <c r="AJ512" i="9"/>
  <c r="AJ513" i="9"/>
  <c r="AJ514" i="9"/>
  <c r="AJ515" i="9"/>
  <c r="AJ516" i="9"/>
  <c r="AJ517" i="9"/>
  <c r="AJ518" i="9"/>
  <c r="AJ519" i="9"/>
  <c r="AJ520" i="9"/>
  <c r="AJ521" i="9"/>
  <c r="AJ522" i="9"/>
  <c r="AJ523" i="9"/>
  <c r="AJ524" i="9"/>
  <c r="AJ525" i="9"/>
  <c r="AJ526" i="9"/>
  <c r="AJ527" i="9"/>
  <c r="AJ528" i="9"/>
  <c r="AJ529" i="9"/>
  <c r="AJ530" i="9"/>
  <c r="AJ531" i="9"/>
  <c r="AJ532" i="9"/>
  <c r="AJ533" i="9"/>
  <c r="AJ534" i="9"/>
  <c r="AJ535" i="9"/>
  <c r="AJ536" i="9"/>
  <c r="AJ537" i="9"/>
  <c r="AJ538" i="9"/>
  <c r="AJ539" i="9"/>
  <c r="AJ540" i="9"/>
  <c r="AJ541" i="9"/>
  <c r="AJ542" i="9"/>
  <c r="AJ543" i="9"/>
  <c r="AJ544" i="9"/>
  <c r="AJ545" i="9"/>
  <c r="AJ546" i="9"/>
  <c r="AJ547" i="9"/>
  <c r="AJ548" i="9"/>
  <c r="AJ549" i="9"/>
  <c r="AJ550" i="9"/>
  <c r="AJ551" i="9"/>
  <c r="AJ552" i="9"/>
  <c r="AJ553" i="9"/>
  <c r="AJ554" i="9"/>
  <c r="AJ555" i="9"/>
  <c r="AJ556" i="9"/>
  <c r="AJ557" i="9"/>
  <c r="AJ558" i="9"/>
  <c r="AJ559" i="9"/>
  <c r="AJ560" i="9"/>
  <c r="AJ561" i="9"/>
  <c r="AJ562" i="9"/>
  <c r="AJ563" i="9"/>
  <c r="AJ564" i="9"/>
  <c r="AJ565" i="9"/>
  <c r="AJ566" i="9"/>
  <c r="AJ567" i="9"/>
  <c r="AJ568" i="9"/>
  <c r="AJ569" i="9"/>
  <c r="AJ570" i="9"/>
  <c r="AJ571" i="9"/>
  <c r="AJ572" i="9"/>
  <c r="AJ573" i="9"/>
  <c r="AJ574" i="9"/>
  <c r="AJ575" i="9"/>
  <c r="AJ576" i="9"/>
  <c r="AJ577" i="9"/>
  <c r="AJ578" i="9"/>
  <c r="AJ579" i="9"/>
  <c r="AJ580" i="9"/>
  <c r="AJ581" i="9"/>
  <c r="AJ582" i="9"/>
  <c r="AJ583" i="9"/>
  <c r="AJ584" i="9"/>
  <c r="AJ585" i="9"/>
  <c r="AJ586" i="9"/>
  <c r="AJ587" i="9"/>
  <c r="AJ588" i="9"/>
  <c r="AJ589" i="9"/>
  <c r="AJ590" i="9"/>
  <c r="AJ591" i="9"/>
  <c r="AJ592" i="9"/>
  <c r="AJ593" i="9"/>
  <c r="AJ594" i="9"/>
  <c r="AJ595" i="9"/>
  <c r="AJ596" i="9"/>
  <c r="AJ597" i="9"/>
  <c r="AJ598" i="9"/>
  <c r="AJ599" i="9"/>
  <c r="AJ600" i="9"/>
  <c r="AJ601" i="9"/>
  <c r="AJ602" i="9"/>
  <c r="AJ603" i="9"/>
  <c r="AJ604" i="9"/>
  <c r="AJ605" i="9"/>
  <c r="AJ606" i="9"/>
  <c r="AJ607" i="9"/>
  <c r="AJ608" i="9"/>
  <c r="AJ609" i="9"/>
  <c r="AJ610" i="9"/>
  <c r="AJ611" i="9"/>
  <c r="AJ612" i="9"/>
  <c r="AJ613" i="9"/>
  <c r="AJ614" i="9"/>
  <c r="AJ615" i="9"/>
  <c r="AJ616" i="9"/>
  <c r="AJ617" i="9"/>
  <c r="AJ618" i="9"/>
  <c r="AJ619" i="9"/>
  <c r="AJ620" i="9"/>
  <c r="AJ621" i="9"/>
  <c r="AJ622" i="9"/>
  <c r="AJ623" i="9"/>
  <c r="AJ624" i="9"/>
  <c r="AJ625" i="9"/>
  <c r="AJ626" i="9"/>
  <c r="AJ627" i="9"/>
  <c r="AJ628" i="9"/>
  <c r="AJ629" i="9"/>
  <c r="AJ630" i="9"/>
  <c r="AJ631" i="9"/>
  <c r="AJ632" i="9"/>
  <c r="AJ633" i="9"/>
  <c r="AJ634" i="9"/>
  <c r="AJ635" i="9"/>
  <c r="AJ636" i="9"/>
  <c r="AJ637" i="9"/>
  <c r="AJ638" i="9"/>
  <c r="AJ639" i="9"/>
  <c r="AJ640" i="9"/>
  <c r="AJ641" i="9"/>
  <c r="AJ642" i="9"/>
  <c r="AJ643" i="9"/>
  <c r="AJ644" i="9"/>
  <c r="AJ645" i="9"/>
  <c r="AJ646" i="9"/>
  <c r="AJ647" i="9"/>
  <c r="AJ648" i="9"/>
  <c r="AJ649" i="9"/>
  <c r="AJ650" i="9"/>
  <c r="AJ651" i="9"/>
  <c r="AJ652" i="9"/>
  <c r="AJ653" i="9"/>
  <c r="AJ654" i="9"/>
  <c r="AJ655" i="9"/>
  <c r="AJ656" i="9"/>
  <c r="AJ657" i="9"/>
  <c r="AJ658" i="9"/>
  <c r="AJ659" i="9"/>
  <c r="AJ660" i="9"/>
  <c r="AJ661" i="9"/>
  <c r="AJ662" i="9"/>
  <c r="AJ663" i="9"/>
  <c r="AJ664" i="9"/>
  <c r="AJ665" i="9"/>
  <c r="AJ666" i="9"/>
  <c r="AJ667" i="9"/>
  <c r="AJ668" i="9"/>
  <c r="AJ669" i="9"/>
  <c r="AJ670" i="9"/>
  <c r="AJ671" i="9"/>
  <c r="AJ672" i="9"/>
  <c r="AJ673" i="9"/>
  <c r="AJ674" i="9"/>
  <c r="AJ675" i="9"/>
  <c r="AJ676" i="9"/>
  <c r="AJ677" i="9"/>
  <c r="AJ678" i="9"/>
  <c r="AJ679" i="9"/>
  <c r="AJ680" i="9"/>
  <c r="AJ681" i="9"/>
  <c r="AJ682" i="9"/>
  <c r="AJ683" i="9"/>
  <c r="AJ684" i="9"/>
  <c r="AJ685" i="9"/>
  <c r="AJ686" i="9"/>
  <c r="AJ687" i="9"/>
  <c r="AJ688" i="9"/>
  <c r="AJ689" i="9"/>
  <c r="AJ690" i="9"/>
  <c r="AJ691" i="9"/>
  <c r="AJ692" i="9"/>
  <c r="AJ693" i="9"/>
  <c r="AJ694" i="9"/>
  <c r="AJ695" i="9"/>
  <c r="AJ696" i="9"/>
  <c r="AJ697" i="9"/>
  <c r="AJ698" i="9"/>
  <c r="AJ699" i="9"/>
  <c r="AJ700" i="9"/>
  <c r="AJ701" i="9"/>
  <c r="AJ702" i="9"/>
  <c r="AJ703" i="9"/>
  <c r="AJ704" i="9"/>
  <c r="AJ705" i="9"/>
  <c r="AJ706" i="9"/>
  <c r="AJ707" i="9"/>
  <c r="AJ708" i="9"/>
  <c r="AJ709" i="9"/>
  <c r="AJ710" i="9"/>
  <c r="AJ711" i="9"/>
  <c r="AJ712" i="9"/>
  <c r="AJ713" i="9"/>
  <c r="AJ714" i="9"/>
  <c r="AJ715" i="9"/>
  <c r="AJ716" i="9"/>
  <c r="AJ717" i="9"/>
  <c r="AJ718" i="9"/>
  <c r="AJ719" i="9"/>
  <c r="AJ720" i="9"/>
  <c r="AJ721" i="9"/>
  <c r="AJ722" i="9"/>
  <c r="AJ723" i="9"/>
  <c r="AJ724" i="9"/>
  <c r="AJ725" i="9"/>
  <c r="AJ726" i="9"/>
  <c r="AJ727" i="9"/>
  <c r="AJ728" i="9"/>
  <c r="AJ729" i="9"/>
  <c r="AJ730" i="9"/>
  <c r="AJ731" i="9"/>
  <c r="AJ732" i="9"/>
  <c r="AJ733" i="9"/>
  <c r="AJ734" i="9"/>
  <c r="AJ735" i="9"/>
  <c r="AJ736" i="9"/>
  <c r="AJ737" i="9"/>
  <c r="AJ738" i="9"/>
  <c r="AJ739" i="9"/>
  <c r="AJ740" i="9"/>
  <c r="AJ741" i="9"/>
  <c r="AJ742" i="9"/>
  <c r="AJ743" i="9"/>
  <c r="AJ744" i="9"/>
  <c r="AJ745" i="9"/>
  <c r="AJ746" i="9"/>
  <c r="AJ747" i="9"/>
  <c r="AJ748" i="9"/>
  <c r="AJ749" i="9"/>
  <c r="AJ750" i="9"/>
  <c r="AJ751" i="9"/>
  <c r="AJ752" i="9"/>
  <c r="AJ753" i="9"/>
  <c r="AJ754" i="9"/>
  <c r="AJ755" i="9"/>
  <c r="AJ756" i="9"/>
  <c r="AJ757" i="9"/>
  <c r="AJ758" i="9"/>
  <c r="AJ759" i="9"/>
  <c r="AJ760" i="9"/>
  <c r="AJ761" i="9"/>
  <c r="AJ762" i="9"/>
  <c r="AJ763" i="9"/>
  <c r="AJ764" i="9"/>
  <c r="AJ765" i="9"/>
  <c r="AJ766" i="9"/>
  <c r="AJ767" i="9"/>
  <c r="AJ768" i="9"/>
  <c r="AJ769" i="9"/>
  <c r="AJ770" i="9"/>
  <c r="AJ771" i="9"/>
  <c r="AJ772" i="9"/>
  <c r="AJ773" i="9"/>
  <c r="AJ774" i="9"/>
  <c r="AJ775" i="9"/>
  <c r="AJ776" i="9"/>
  <c r="AJ777" i="9"/>
  <c r="AJ778" i="9"/>
  <c r="AJ779" i="9"/>
  <c r="AJ780" i="9"/>
  <c r="AJ781" i="9"/>
  <c r="AJ782" i="9"/>
  <c r="AJ783" i="9"/>
  <c r="AJ784" i="9"/>
  <c r="AJ785" i="9"/>
  <c r="AJ786" i="9"/>
  <c r="AJ787" i="9"/>
  <c r="AJ788" i="9"/>
  <c r="AJ789" i="9"/>
  <c r="AJ790" i="9"/>
  <c r="AJ791" i="9"/>
  <c r="AJ792" i="9"/>
  <c r="AJ793" i="9"/>
  <c r="AJ794" i="9"/>
  <c r="AJ795" i="9"/>
  <c r="AJ796" i="9"/>
  <c r="AJ797" i="9"/>
  <c r="AJ798" i="9"/>
  <c r="AJ799" i="9"/>
  <c r="AJ800" i="9"/>
  <c r="AJ801" i="9"/>
  <c r="AJ802" i="9"/>
  <c r="AJ803" i="9"/>
  <c r="AJ804" i="9"/>
  <c r="AJ805" i="9"/>
  <c r="AJ806" i="9"/>
  <c r="AJ807" i="9"/>
  <c r="AJ808" i="9"/>
  <c r="AJ809" i="9"/>
  <c r="AJ810" i="9"/>
  <c r="AJ811" i="9"/>
  <c r="AJ812" i="9"/>
  <c r="AJ813" i="9"/>
  <c r="AJ814" i="9"/>
  <c r="AJ815" i="9"/>
  <c r="AJ816" i="9"/>
  <c r="AJ817" i="9"/>
  <c r="AJ818" i="9"/>
  <c r="AJ819" i="9"/>
  <c r="AJ820" i="9"/>
  <c r="AJ821" i="9"/>
  <c r="AJ822" i="9"/>
  <c r="AJ823" i="9"/>
  <c r="AJ824" i="9"/>
  <c r="AJ825" i="9"/>
  <c r="AJ826" i="9"/>
  <c r="AJ827" i="9"/>
  <c r="AJ828" i="9"/>
  <c r="AJ829" i="9"/>
  <c r="AJ830" i="9"/>
  <c r="AJ831" i="9"/>
  <c r="AJ832" i="9"/>
  <c r="AJ833" i="9"/>
  <c r="AJ834" i="9"/>
  <c r="AJ835" i="9"/>
  <c r="AJ836" i="9"/>
  <c r="AJ837" i="9"/>
  <c r="AJ838" i="9"/>
  <c r="AJ839" i="9"/>
  <c r="AJ840" i="9"/>
  <c r="AJ841" i="9"/>
  <c r="AJ842" i="9"/>
  <c r="AJ843" i="9"/>
  <c r="AJ844" i="9"/>
  <c r="AJ845" i="9"/>
  <c r="AJ846" i="9"/>
  <c r="AJ847" i="9"/>
  <c r="AJ848" i="9"/>
  <c r="AJ849" i="9"/>
  <c r="AJ850" i="9"/>
  <c r="AJ851" i="9"/>
  <c r="AJ852" i="9"/>
  <c r="AJ853" i="9"/>
  <c r="AJ854" i="9"/>
  <c r="AJ855" i="9"/>
  <c r="AJ856" i="9"/>
  <c r="AJ857" i="9"/>
  <c r="AJ858" i="9"/>
  <c r="AJ859" i="9"/>
  <c r="AJ860" i="9"/>
  <c r="AJ861" i="9"/>
  <c r="AJ862" i="9"/>
  <c r="AJ863" i="9"/>
  <c r="AJ864" i="9"/>
  <c r="AJ865" i="9"/>
  <c r="AJ866" i="9"/>
  <c r="AJ867" i="9"/>
  <c r="AJ868" i="9"/>
  <c r="AJ869" i="9"/>
  <c r="AJ870" i="9"/>
  <c r="AJ871" i="9"/>
  <c r="AJ872" i="9"/>
  <c r="AJ873" i="9"/>
  <c r="AJ874" i="9"/>
  <c r="AJ875" i="9"/>
  <c r="AJ876" i="9"/>
  <c r="AJ877" i="9"/>
  <c r="AJ878" i="9"/>
  <c r="AJ879" i="9"/>
  <c r="AJ880" i="9"/>
  <c r="AJ881" i="9"/>
  <c r="AJ882" i="9"/>
  <c r="AJ883" i="9"/>
  <c r="AJ884" i="9"/>
  <c r="AJ885" i="9"/>
  <c r="AJ886" i="9"/>
  <c r="AJ887" i="9"/>
  <c r="AJ888" i="9"/>
  <c r="AJ889" i="9"/>
  <c r="AJ890" i="9"/>
  <c r="AJ891" i="9"/>
  <c r="AJ892" i="9"/>
  <c r="AJ893" i="9"/>
  <c r="AJ894" i="9"/>
  <c r="AJ895" i="9"/>
  <c r="AJ896" i="9"/>
  <c r="AJ897" i="9"/>
  <c r="AJ898" i="9"/>
  <c r="AJ899" i="9"/>
  <c r="AJ900" i="9"/>
  <c r="AJ901" i="9"/>
  <c r="AJ902" i="9"/>
  <c r="AJ903" i="9"/>
  <c r="AJ904" i="9"/>
  <c r="AJ905" i="9"/>
  <c r="AJ906" i="9"/>
  <c r="AJ907" i="9"/>
  <c r="AJ908" i="9"/>
  <c r="AJ909" i="9"/>
  <c r="AJ910" i="9"/>
  <c r="AJ911" i="9"/>
  <c r="AJ912" i="9"/>
  <c r="AJ913" i="9"/>
  <c r="AJ914" i="9"/>
  <c r="AJ915" i="9"/>
  <c r="AJ916" i="9"/>
  <c r="AJ917" i="9"/>
  <c r="AJ918" i="9"/>
  <c r="AJ919" i="9"/>
  <c r="AJ920" i="9"/>
  <c r="AJ921" i="9"/>
  <c r="AJ922" i="9"/>
  <c r="AJ923" i="9"/>
  <c r="AJ924" i="9"/>
  <c r="AJ925" i="9"/>
  <c r="AJ926" i="9"/>
  <c r="AJ927" i="9"/>
  <c r="AJ928" i="9"/>
  <c r="AJ929" i="9"/>
  <c r="AJ930" i="9"/>
  <c r="AJ931" i="9"/>
  <c r="AJ932" i="9"/>
  <c r="AJ2" i="9"/>
  <c r="AI3" i="11"/>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I514" i="11"/>
  <c r="AI515" i="11"/>
  <c r="AI516" i="11"/>
  <c r="AI517" i="11"/>
  <c r="AI518" i="11"/>
  <c r="AI519" i="11"/>
  <c r="AI520" i="11"/>
  <c r="AI521" i="11"/>
  <c r="AI522" i="11"/>
  <c r="AI523" i="11"/>
  <c r="AI524" i="11"/>
  <c r="AI525" i="11"/>
  <c r="AI526" i="11"/>
  <c r="AI527" i="11"/>
  <c r="AI528" i="11"/>
  <c r="AI529" i="11"/>
  <c r="AI530" i="11"/>
  <c r="AI531" i="11"/>
  <c r="AI532" i="11"/>
  <c r="AI533" i="11"/>
  <c r="AI534" i="11"/>
  <c r="AI535" i="11"/>
  <c r="AI536" i="11"/>
  <c r="AI537" i="11"/>
  <c r="AI538" i="11"/>
  <c r="AI539" i="11"/>
  <c r="AI540" i="11"/>
  <c r="AI541" i="11"/>
  <c r="AI542" i="11"/>
  <c r="AI543" i="11"/>
  <c r="AI544" i="11"/>
  <c r="AI545" i="11"/>
  <c r="AI546" i="11"/>
  <c r="AI547" i="11"/>
  <c r="AI548" i="11"/>
  <c r="AI549" i="11"/>
  <c r="AI550" i="11"/>
  <c r="AI551" i="11"/>
  <c r="AI552" i="11"/>
  <c r="AI553" i="11"/>
  <c r="AI554" i="11"/>
  <c r="AI555" i="11"/>
  <c r="AI556" i="11"/>
  <c r="AI557" i="11"/>
  <c r="AI558" i="11"/>
  <c r="AI559" i="11"/>
  <c r="AI560" i="11"/>
  <c r="AI561" i="11"/>
  <c r="AI562" i="11"/>
  <c r="AI563" i="11"/>
  <c r="AI564" i="11"/>
  <c r="AI565" i="11"/>
  <c r="AI566" i="11"/>
  <c r="AI567" i="11"/>
  <c r="AI568" i="11"/>
  <c r="AI569" i="11"/>
  <c r="AI570" i="11"/>
  <c r="AI571" i="11"/>
  <c r="AI572" i="11"/>
  <c r="AI573" i="11"/>
  <c r="AI574" i="11"/>
  <c r="AI575" i="11"/>
  <c r="AI576" i="11"/>
  <c r="AI577" i="11"/>
  <c r="AI578" i="11"/>
  <c r="AI579" i="11"/>
  <c r="AI580" i="11"/>
  <c r="AI581" i="11"/>
  <c r="AI582" i="11"/>
  <c r="AI583" i="11"/>
  <c r="AI584" i="11"/>
  <c r="AI585" i="11"/>
  <c r="AI586" i="11"/>
  <c r="AI587" i="11"/>
  <c r="AI588" i="11"/>
  <c r="AI589" i="11"/>
  <c r="AI590" i="11"/>
  <c r="AI591" i="11"/>
  <c r="AI592" i="11"/>
  <c r="AI593" i="11"/>
  <c r="AI594" i="11"/>
  <c r="AI595" i="11"/>
  <c r="AI596" i="11"/>
  <c r="AI597" i="11"/>
  <c r="AI598" i="11"/>
  <c r="AI599" i="11"/>
  <c r="AI600" i="11"/>
  <c r="AI601" i="11"/>
  <c r="AI602" i="11"/>
  <c r="AI603" i="11"/>
  <c r="AI604" i="11"/>
  <c r="AI605" i="11"/>
  <c r="AI606" i="11"/>
  <c r="AI607" i="11"/>
  <c r="AI608" i="11"/>
  <c r="AI609" i="11"/>
  <c r="AI610" i="11"/>
  <c r="AI611" i="11"/>
  <c r="AI612" i="11"/>
  <c r="AI613" i="11"/>
  <c r="AI614" i="11"/>
  <c r="AI615" i="11"/>
  <c r="AI616" i="11"/>
  <c r="AI617" i="11"/>
  <c r="AI618" i="11"/>
  <c r="AI619" i="11"/>
  <c r="AI620" i="11"/>
  <c r="AI621" i="11"/>
  <c r="AI622" i="11"/>
  <c r="AI623" i="11"/>
  <c r="AI624" i="11"/>
  <c r="AI625" i="11"/>
  <c r="AI626" i="11"/>
  <c r="AI627" i="11"/>
  <c r="AI628" i="11"/>
  <c r="AI629" i="11"/>
  <c r="AI630" i="11"/>
  <c r="AI631" i="11"/>
  <c r="AI632" i="11"/>
  <c r="AI633" i="11"/>
  <c r="AI634" i="11"/>
  <c r="AI635" i="11"/>
  <c r="AI636" i="11"/>
  <c r="AI637" i="11"/>
  <c r="AI638" i="11"/>
  <c r="AI639" i="11"/>
  <c r="AI640" i="11"/>
  <c r="AI641" i="11"/>
  <c r="AI642" i="11"/>
  <c r="AI643" i="11"/>
  <c r="AI644" i="11"/>
  <c r="AI645" i="11"/>
  <c r="AI646" i="11"/>
  <c r="AI647" i="11"/>
  <c r="AI648" i="11"/>
  <c r="AI649" i="11"/>
  <c r="AI650" i="11"/>
  <c r="AI651" i="11"/>
  <c r="AI652" i="11"/>
  <c r="AI653" i="11"/>
  <c r="AI654" i="11"/>
  <c r="AI655" i="11"/>
  <c r="AI656" i="11"/>
  <c r="AI657" i="11"/>
  <c r="AI658" i="11"/>
  <c r="AI659" i="11"/>
  <c r="AI660" i="11"/>
  <c r="AI661" i="11"/>
  <c r="AI662" i="11"/>
  <c r="AI663" i="11"/>
  <c r="AI664" i="11"/>
  <c r="AI665" i="11"/>
  <c r="AI666" i="11"/>
  <c r="AI667" i="11"/>
  <c r="AI668" i="11"/>
  <c r="AI669" i="11"/>
  <c r="AI670" i="11"/>
  <c r="AI671" i="11"/>
  <c r="AI672" i="11"/>
  <c r="AI673" i="11"/>
  <c r="AI674" i="11"/>
  <c r="AI675" i="11"/>
  <c r="AI676" i="11"/>
  <c r="AI677" i="11"/>
  <c r="AI678" i="11"/>
  <c r="AI679" i="11"/>
  <c r="AI680" i="11"/>
  <c r="AI681" i="11"/>
  <c r="AI682" i="11"/>
  <c r="AI683" i="11"/>
  <c r="AI684" i="11"/>
  <c r="AI685" i="11"/>
  <c r="AI686" i="11"/>
  <c r="AI687" i="11"/>
  <c r="AI688" i="11"/>
  <c r="AI689" i="11"/>
  <c r="AI690" i="11"/>
  <c r="AI691" i="11"/>
  <c r="AI692" i="11"/>
  <c r="AI693" i="11"/>
  <c r="AI694" i="11"/>
  <c r="AI695" i="11"/>
  <c r="AI696" i="11"/>
  <c r="AI697" i="11"/>
  <c r="AI698" i="11"/>
  <c r="AI699" i="11"/>
  <c r="AI700" i="11"/>
  <c r="AI701" i="11"/>
  <c r="AI702" i="11"/>
  <c r="AI703" i="11"/>
  <c r="AI704" i="11"/>
  <c r="AI705" i="11"/>
  <c r="AI706" i="11"/>
  <c r="AI707" i="11"/>
  <c r="AI708" i="11"/>
  <c r="AI709" i="11"/>
  <c r="AI710" i="11"/>
  <c r="AI711" i="11"/>
  <c r="AI712" i="11"/>
  <c r="AI713" i="11"/>
  <c r="AI714" i="11"/>
  <c r="AI715" i="11"/>
  <c r="AI716" i="11"/>
  <c r="AI717" i="11"/>
  <c r="AI718" i="11"/>
  <c r="AI719" i="11"/>
  <c r="AI720" i="11"/>
  <c r="AI721" i="11"/>
  <c r="AI722" i="11"/>
  <c r="AI723" i="11"/>
  <c r="AI724" i="11"/>
  <c r="AI725" i="11"/>
  <c r="AI726" i="11"/>
  <c r="AI727" i="11"/>
  <c r="AI728" i="11"/>
  <c r="AI729" i="11"/>
  <c r="AI730" i="11"/>
  <c r="AI731" i="11"/>
  <c r="AI732" i="11"/>
  <c r="AI733" i="11"/>
  <c r="AI734" i="11"/>
  <c r="AI735" i="11"/>
  <c r="AI736" i="11"/>
  <c r="AI737" i="11"/>
  <c r="AI738" i="11"/>
  <c r="AI739" i="11"/>
  <c r="AI740" i="11"/>
  <c r="AI741" i="11"/>
  <c r="AI742" i="11"/>
  <c r="AI743" i="11"/>
  <c r="AI744" i="11"/>
  <c r="AI745" i="11"/>
  <c r="AI746" i="11"/>
  <c r="AI747" i="11"/>
  <c r="AI748" i="11"/>
  <c r="AI749" i="11"/>
  <c r="AI750" i="11"/>
  <c r="AI751" i="11"/>
  <c r="AI752" i="11"/>
  <c r="AI753" i="11"/>
  <c r="AI754" i="11"/>
  <c r="AI755" i="11"/>
  <c r="AI756" i="11"/>
  <c r="AI757" i="11"/>
  <c r="AI758" i="11"/>
  <c r="AI759" i="11"/>
  <c r="AI760" i="11"/>
  <c r="AI761" i="11"/>
  <c r="AI762" i="11"/>
  <c r="AI763" i="11"/>
  <c r="AI764" i="11"/>
  <c r="AI765" i="11"/>
  <c r="AI766" i="11"/>
  <c r="AI767" i="11"/>
  <c r="AI768" i="11"/>
  <c r="AI769" i="11"/>
  <c r="AI770" i="11"/>
  <c r="AI771" i="11"/>
  <c r="AI772" i="11"/>
  <c r="AI773" i="11"/>
  <c r="AI774" i="11"/>
  <c r="AI775" i="11"/>
  <c r="AI776" i="11"/>
  <c r="AI777" i="11"/>
  <c r="AI778" i="11"/>
  <c r="AI779" i="11"/>
  <c r="AI780" i="11"/>
  <c r="AI781" i="11"/>
  <c r="AI782" i="11"/>
  <c r="AI783" i="11"/>
  <c r="AI784" i="11"/>
  <c r="AI785" i="11"/>
  <c r="AI786" i="11"/>
  <c r="AI787" i="11"/>
  <c r="AI788" i="11"/>
  <c r="AI789" i="11"/>
  <c r="AI790" i="11"/>
  <c r="AI791" i="11"/>
  <c r="AI792" i="11"/>
  <c r="AI793" i="11"/>
  <c r="AI794" i="11"/>
  <c r="AI795" i="11"/>
  <c r="AI796" i="11"/>
  <c r="AI797" i="11"/>
  <c r="AI798" i="11"/>
  <c r="AI799" i="11"/>
  <c r="AI800" i="11"/>
  <c r="AI801" i="11"/>
  <c r="AI802" i="11"/>
  <c r="AI803" i="11"/>
  <c r="AI804" i="11"/>
  <c r="AI805" i="11"/>
  <c r="AI806" i="11"/>
  <c r="AI807" i="11"/>
  <c r="AI808" i="11"/>
  <c r="AI809" i="11"/>
  <c r="AI810" i="11"/>
  <c r="AI811" i="11"/>
  <c r="AI812" i="11"/>
  <c r="AI813" i="11"/>
  <c r="AI814" i="11"/>
  <c r="AI815" i="11"/>
  <c r="AI816" i="11"/>
  <c r="AI817" i="11"/>
  <c r="AI818" i="11"/>
  <c r="AI819" i="11"/>
  <c r="AI820" i="11"/>
  <c r="AI821" i="11"/>
  <c r="AI822" i="11"/>
  <c r="AI823" i="11"/>
  <c r="AI824" i="11"/>
  <c r="AI825" i="11"/>
  <c r="AI826" i="11"/>
  <c r="AI827" i="11"/>
  <c r="AI828" i="11"/>
  <c r="AI829" i="11"/>
  <c r="AI830" i="11"/>
  <c r="AI831" i="11"/>
  <c r="AI832" i="11"/>
  <c r="AI833" i="11"/>
  <c r="AI834" i="11"/>
  <c r="AI835" i="11"/>
  <c r="AI836" i="11"/>
  <c r="AI837" i="11"/>
  <c r="AI838" i="11"/>
  <c r="AI839" i="11"/>
  <c r="AI840" i="11"/>
  <c r="AI841" i="11"/>
  <c r="AI842" i="11"/>
  <c r="AI843" i="11"/>
  <c r="AI844" i="11"/>
  <c r="AI845" i="11"/>
  <c r="AI846" i="11"/>
  <c r="AI847" i="11"/>
  <c r="AI848" i="11"/>
  <c r="AI849" i="11"/>
  <c r="AI850" i="11"/>
  <c r="AI851" i="11"/>
  <c r="AI852" i="11"/>
  <c r="AI853" i="11"/>
  <c r="AI854" i="11"/>
  <c r="AI855" i="11"/>
  <c r="AI856" i="11"/>
  <c r="AI857" i="11"/>
  <c r="AI858" i="11"/>
  <c r="AI859" i="11"/>
  <c r="AI860" i="11"/>
  <c r="AI861" i="11"/>
  <c r="AI862" i="11"/>
  <c r="AI863" i="11"/>
  <c r="AI864" i="11"/>
  <c r="AI865" i="11"/>
  <c r="AI866" i="11"/>
  <c r="AI867" i="11"/>
  <c r="AI868" i="11"/>
  <c r="AI869" i="11"/>
  <c r="AI870" i="11"/>
  <c r="AI871" i="11"/>
  <c r="AI872" i="11"/>
  <c r="AI873" i="11"/>
  <c r="AI874" i="11"/>
  <c r="AI875" i="11"/>
  <c r="AI876" i="11"/>
  <c r="AI877" i="11"/>
  <c r="AI878" i="11"/>
  <c r="AI879" i="11"/>
  <c r="AI880" i="11"/>
  <c r="AI881" i="11"/>
  <c r="AI882" i="11"/>
  <c r="AI883" i="11"/>
  <c r="AI884" i="11"/>
  <c r="AI885" i="11"/>
  <c r="AI886" i="11"/>
  <c r="AI887" i="11"/>
  <c r="AI888" i="11"/>
  <c r="AI889" i="11"/>
  <c r="AI890" i="11"/>
  <c r="AI891" i="11"/>
  <c r="AI892" i="11"/>
  <c r="AI893" i="11"/>
  <c r="AI894" i="11"/>
  <c r="AI895" i="11"/>
  <c r="AI896" i="11"/>
  <c r="AI897" i="11"/>
  <c r="AI898" i="11"/>
  <c r="AI899" i="11"/>
  <c r="AI900" i="11"/>
  <c r="AI901" i="11"/>
  <c r="AI902" i="11"/>
  <c r="AI903" i="11"/>
  <c r="AI904" i="11"/>
  <c r="AI905" i="11"/>
  <c r="AI906" i="11"/>
  <c r="AI907" i="11"/>
  <c r="AI908" i="11"/>
  <c r="AI909" i="11"/>
  <c r="AI910" i="11"/>
  <c r="AI911" i="11"/>
  <c r="AI912" i="11"/>
  <c r="AI913" i="11"/>
  <c r="AI914" i="11"/>
  <c r="AI915" i="11"/>
  <c r="AI2" i="11"/>
  <c r="AD3" i="8"/>
  <c r="AD4" i="8"/>
  <c r="AD5" i="8"/>
  <c r="AD6" i="8"/>
  <c r="AD7" i="8"/>
  <c r="AD8" i="8"/>
  <c r="AD9" i="8"/>
  <c r="AD10" i="8"/>
  <c r="AD11" i="8"/>
  <c r="AD12" i="8"/>
  <c r="AD13" i="8"/>
  <c r="AD14" i="8"/>
  <c r="AD15" i="8"/>
  <c r="AD16" i="8"/>
  <c r="AD17" i="8"/>
  <c r="AD18" i="8"/>
  <c r="AD19" i="8"/>
  <c r="AD20" i="8"/>
  <c r="AD21" i="8"/>
  <c r="AD22" i="8"/>
  <c r="AD23" i="8"/>
  <c r="AD24" i="8"/>
  <c r="AD25" i="8"/>
  <c r="AD26" i="8"/>
  <c r="AD27" i="8"/>
  <c r="AD28" i="8"/>
  <c r="AD29" i="8"/>
  <c r="AD30" i="8"/>
  <c r="AD31" i="8"/>
  <c r="AD32" i="8"/>
  <c r="AD33" i="8"/>
  <c r="AD34" i="8"/>
  <c r="AD35" i="8"/>
  <c r="AD36" i="8"/>
  <c r="AD37" i="8"/>
  <c r="AD38" i="8"/>
  <c r="AD39" i="8"/>
  <c r="AD40" i="8"/>
  <c r="AD41" i="8"/>
  <c r="AD42" i="8"/>
  <c r="AD43" i="8"/>
  <c r="AD44" i="8"/>
  <c r="AD45" i="8"/>
  <c r="AD46" i="8"/>
  <c r="AD47" i="8"/>
  <c r="AD48" i="8"/>
  <c r="AD49" i="8"/>
  <c r="AD50" i="8"/>
  <c r="AD51" i="8"/>
  <c r="AD52" i="8"/>
  <c r="AD53" i="8"/>
  <c r="AD54" i="8"/>
  <c r="AD55" i="8"/>
  <c r="AD56" i="8"/>
  <c r="AD57" i="8"/>
  <c r="AD58" i="8"/>
  <c r="AD59" i="8"/>
  <c r="AD60" i="8"/>
  <c r="AD61" i="8"/>
  <c r="AD62" i="8"/>
  <c r="AD63" i="8"/>
  <c r="AD64" i="8"/>
  <c r="AD65" i="8"/>
  <c r="AD66" i="8"/>
  <c r="AD67" i="8"/>
  <c r="AD68" i="8"/>
  <c r="AD69" i="8"/>
  <c r="AD70" i="8"/>
  <c r="AD71" i="8"/>
  <c r="AD72" i="8"/>
  <c r="AD73" i="8"/>
  <c r="AD74" i="8"/>
  <c r="AD75" i="8"/>
  <c r="AD76" i="8"/>
  <c r="AD77" i="8"/>
  <c r="AD78" i="8"/>
  <c r="AD79" i="8"/>
  <c r="AD80" i="8"/>
  <c r="AD81" i="8"/>
  <c r="AD82" i="8"/>
  <c r="AD83" i="8"/>
  <c r="AD84" i="8"/>
  <c r="AD85" i="8"/>
  <c r="AD86" i="8"/>
  <c r="AD87" i="8"/>
  <c r="AD88" i="8"/>
  <c r="AD89" i="8"/>
  <c r="AD90" i="8"/>
  <c r="AD91" i="8"/>
  <c r="AD92" i="8"/>
  <c r="AD93" i="8"/>
  <c r="AD94" i="8"/>
  <c r="AD95" i="8"/>
  <c r="AD96" i="8"/>
  <c r="AD97" i="8"/>
  <c r="AD98" i="8"/>
  <c r="AD99" i="8"/>
  <c r="AD100" i="8"/>
  <c r="AD101" i="8"/>
  <c r="AD102" i="8"/>
  <c r="AD103" i="8"/>
  <c r="AD104" i="8"/>
  <c r="AD105" i="8"/>
  <c r="AD106" i="8"/>
  <c r="AD107" i="8"/>
  <c r="AD108" i="8"/>
  <c r="AD109" i="8"/>
  <c r="AD110" i="8"/>
  <c r="AD111" i="8"/>
  <c r="AD112" i="8"/>
  <c r="AD113" i="8"/>
  <c r="AD114" i="8"/>
  <c r="AD115" i="8"/>
  <c r="AD116" i="8"/>
  <c r="AD117" i="8"/>
  <c r="AD118" i="8"/>
  <c r="AD119" i="8"/>
  <c r="AD121" i="8"/>
  <c r="AD122" i="8"/>
  <c r="AD123" i="8"/>
  <c r="AD124" i="8"/>
  <c r="AD125" i="8"/>
  <c r="AD126" i="8"/>
  <c r="AD127" i="8"/>
  <c r="AD128" i="8"/>
  <c r="AD129" i="8"/>
  <c r="AD130" i="8"/>
  <c r="AD131" i="8"/>
  <c r="AD132" i="8"/>
  <c r="AD133" i="8"/>
  <c r="AD134" i="8"/>
  <c r="AD135" i="8"/>
  <c r="AD136" i="8"/>
  <c r="AD137" i="8"/>
  <c r="AD138" i="8"/>
  <c r="AD139" i="8"/>
  <c r="AD140" i="8"/>
  <c r="AD141" i="8"/>
  <c r="AD142" i="8"/>
  <c r="AD143" i="8"/>
  <c r="AD144" i="8"/>
  <c r="AD145" i="8"/>
  <c r="AD146" i="8"/>
  <c r="AD147" i="8"/>
  <c r="AD148" i="8"/>
  <c r="AD149" i="8"/>
  <c r="AD150" i="8"/>
  <c r="AD151" i="8"/>
  <c r="AD152" i="8"/>
  <c r="AD153" i="8"/>
  <c r="AD154" i="8"/>
  <c r="AD155" i="8"/>
  <c r="AD156" i="8"/>
  <c r="AD157" i="8"/>
  <c r="AD158" i="8"/>
  <c r="AD159" i="8"/>
  <c r="AD160" i="8"/>
  <c r="AD161" i="8"/>
  <c r="AD162" i="8"/>
  <c r="AD163" i="8"/>
  <c r="AD164" i="8"/>
  <c r="AD165" i="8"/>
  <c r="AD166" i="8"/>
  <c r="AD167" i="8"/>
  <c r="AD168" i="8"/>
  <c r="AD169" i="8"/>
  <c r="AD170" i="8"/>
  <c r="AD171" i="8"/>
  <c r="AD172" i="8"/>
  <c r="AD173" i="8"/>
  <c r="AD174" i="8"/>
  <c r="AD175" i="8"/>
  <c r="AD176" i="8"/>
  <c r="AD177" i="8"/>
  <c r="AD178" i="8"/>
  <c r="AD179" i="8"/>
  <c r="AD180" i="8"/>
  <c r="AD181" i="8"/>
  <c r="AD182" i="8"/>
  <c r="AD183" i="8"/>
  <c r="AD184" i="8"/>
  <c r="AD185" i="8"/>
  <c r="AD186" i="8"/>
  <c r="AD187" i="8"/>
  <c r="AD188" i="8"/>
  <c r="AD189" i="8"/>
  <c r="AD190" i="8"/>
  <c r="AD191" i="8"/>
  <c r="AD192" i="8"/>
  <c r="AD193" i="8"/>
  <c r="AD194" i="8"/>
  <c r="AD195" i="8"/>
  <c r="AD196" i="8"/>
  <c r="AD197" i="8"/>
  <c r="AD198" i="8"/>
  <c r="AD199" i="8"/>
  <c r="AD200" i="8"/>
  <c r="AD201" i="8"/>
  <c r="AD202" i="8"/>
  <c r="AD203" i="8"/>
  <c r="AD204" i="8"/>
  <c r="AD205" i="8"/>
  <c r="AD206" i="8"/>
  <c r="AD207" i="8"/>
  <c r="AD208" i="8"/>
  <c r="AD209" i="8"/>
  <c r="AD210" i="8"/>
  <c r="AD211" i="8"/>
  <c r="AD212" i="8"/>
  <c r="AD213" i="8"/>
  <c r="AD214" i="8"/>
  <c r="AD215" i="8"/>
  <c r="AD216" i="8"/>
  <c r="AD217" i="8"/>
  <c r="AD218" i="8"/>
  <c r="AD219" i="8"/>
  <c r="AD220" i="8"/>
  <c r="AD221" i="8"/>
  <c r="AD222" i="8"/>
  <c r="AD223" i="8"/>
  <c r="AD224" i="8"/>
  <c r="AD225" i="8"/>
  <c r="AD226" i="8"/>
  <c r="AD227" i="8"/>
  <c r="AD228" i="8"/>
  <c r="AD229" i="8"/>
  <c r="AD230" i="8"/>
  <c r="AD231" i="8"/>
  <c r="AD232" i="8"/>
  <c r="AD233" i="8"/>
  <c r="AD234" i="8"/>
  <c r="AD235" i="8"/>
  <c r="AD236" i="8"/>
  <c r="AD237" i="8"/>
  <c r="AD238" i="8"/>
  <c r="AD239" i="8"/>
  <c r="AD240" i="8"/>
  <c r="AD241" i="8"/>
  <c r="AD242" i="8"/>
  <c r="AD243" i="8"/>
  <c r="AD244" i="8"/>
  <c r="AD245" i="8"/>
  <c r="AD246" i="8"/>
  <c r="AD247" i="8"/>
  <c r="AD248" i="8"/>
  <c r="AD249" i="8"/>
  <c r="AD250" i="8"/>
  <c r="AD251" i="8"/>
  <c r="AD252" i="8"/>
  <c r="AD253" i="8"/>
  <c r="AD254" i="8"/>
  <c r="AD255" i="8"/>
  <c r="AD256" i="8"/>
  <c r="AD257" i="8"/>
  <c r="AD258" i="8"/>
  <c r="AD259" i="8"/>
  <c r="AD260" i="8"/>
  <c r="AD261" i="8"/>
  <c r="AD262" i="8"/>
  <c r="AD263" i="8"/>
  <c r="AD264" i="8"/>
  <c r="AD265" i="8"/>
  <c r="AD266" i="8"/>
  <c r="AD267" i="8"/>
  <c r="AD268" i="8"/>
  <c r="AD269" i="8"/>
  <c r="AD270" i="8"/>
  <c r="AD271" i="8"/>
  <c r="AD272" i="8"/>
  <c r="AD273" i="8"/>
  <c r="AD274" i="8"/>
  <c r="AD275" i="8"/>
  <c r="AD276" i="8"/>
  <c r="AD277" i="8"/>
  <c r="AD278" i="8"/>
  <c r="AD279" i="8"/>
  <c r="AD280" i="8"/>
  <c r="AD281" i="8"/>
  <c r="AD282" i="8"/>
  <c r="AD283" i="8"/>
  <c r="AD284" i="8"/>
  <c r="AD285" i="8"/>
  <c r="AD286" i="8"/>
  <c r="AD287" i="8"/>
  <c r="AD288" i="8"/>
  <c r="AD289" i="8"/>
  <c r="AD290" i="8"/>
  <c r="AD291" i="8"/>
  <c r="AD292" i="8"/>
  <c r="AD293" i="8"/>
  <c r="AD294" i="8"/>
  <c r="AD295" i="8"/>
  <c r="AD296" i="8"/>
  <c r="AD297" i="8"/>
  <c r="AD298" i="8"/>
  <c r="AD299" i="8"/>
  <c r="AD300" i="8"/>
  <c r="AD301" i="8"/>
  <c r="AD302" i="8"/>
  <c r="AD303" i="8"/>
  <c r="AD304" i="8"/>
  <c r="AD305" i="8"/>
  <c r="AD306" i="8"/>
  <c r="AD307" i="8"/>
  <c r="AD308" i="8"/>
  <c r="AD309" i="8"/>
  <c r="AD310" i="8"/>
  <c r="AD311" i="8"/>
  <c r="AD312" i="8"/>
  <c r="AD313" i="8"/>
  <c r="AD314" i="8"/>
  <c r="AD315" i="8"/>
  <c r="AD316" i="8"/>
  <c r="AD317" i="8"/>
  <c r="AD318" i="8"/>
  <c r="AD319" i="8"/>
  <c r="AD320" i="8"/>
  <c r="AD321" i="8"/>
  <c r="AD322" i="8"/>
  <c r="AD323" i="8"/>
  <c r="AD324" i="8"/>
  <c r="AD325" i="8"/>
  <c r="AD326" i="8"/>
  <c r="AD327" i="8"/>
  <c r="AD328" i="8"/>
  <c r="AD329" i="8"/>
  <c r="AD330" i="8"/>
  <c r="AD331" i="8"/>
  <c r="AD332" i="8"/>
  <c r="AD333" i="8"/>
  <c r="AD334" i="8"/>
  <c r="AD335" i="8"/>
  <c r="AD336" i="8"/>
  <c r="AD337" i="8"/>
  <c r="AD338" i="8"/>
  <c r="AD339" i="8"/>
  <c r="AD340" i="8"/>
  <c r="AD341" i="8"/>
  <c r="AD342" i="8"/>
  <c r="AD343" i="8"/>
  <c r="AD344" i="8"/>
  <c r="AD345" i="8"/>
  <c r="AD346" i="8"/>
  <c r="AD347" i="8"/>
  <c r="AD348" i="8"/>
  <c r="AD349" i="8"/>
  <c r="AD350" i="8"/>
  <c r="AD351" i="8"/>
  <c r="AD352" i="8"/>
  <c r="AD353" i="8"/>
  <c r="AD354" i="8"/>
  <c r="AD355" i="8"/>
  <c r="AD356" i="8"/>
  <c r="AD357" i="8"/>
  <c r="AD358" i="8"/>
  <c r="AD359" i="8"/>
  <c r="AD360" i="8"/>
  <c r="AD361" i="8"/>
  <c r="AD362" i="8"/>
  <c r="AD363" i="8"/>
  <c r="AD364" i="8"/>
  <c r="AD365" i="8"/>
  <c r="AD366" i="8"/>
  <c r="AD367" i="8"/>
  <c r="AD368" i="8"/>
  <c r="AD369" i="8"/>
  <c r="AD370" i="8"/>
  <c r="AD371" i="8"/>
  <c r="AD372" i="8"/>
  <c r="AD373" i="8"/>
  <c r="AD374" i="8"/>
  <c r="AD375" i="8"/>
  <c r="AD376" i="8"/>
  <c r="AD377" i="8"/>
  <c r="AD378" i="8"/>
  <c r="AD379" i="8"/>
  <c r="AD380" i="8"/>
  <c r="AD381" i="8"/>
  <c r="AD382" i="8"/>
  <c r="AD383" i="8"/>
  <c r="AD384" i="8"/>
  <c r="AD385" i="8"/>
  <c r="AD386" i="8"/>
  <c r="AD387" i="8"/>
  <c r="AD388" i="8"/>
  <c r="AD389" i="8"/>
  <c r="AD390" i="8"/>
  <c r="AD391" i="8"/>
  <c r="AD392" i="8"/>
  <c r="AD393" i="8"/>
  <c r="AD394" i="8"/>
  <c r="AD395" i="8"/>
  <c r="AD396" i="8"/>
  <c r="AD397" i="8"/>
  <c r="AD398" i="8"/>
  <c r="AD399" i="8"/>
  <c r="AD400" i="8"/>
  <c r="AD401" i="8"/>
  <c r="AD402" i="8"/>
  <c r="AD403" i="8"/>
  <c r="AD404" i="8"/>
  <c r="AD405" i="8"/>
  <c r="AD406" i="8"/>
  <c r="AD407" i="8"/>
  <c r="AD408" i="8"/>
  <c r="AD409" i="8"/>
  <c r="AD410" i="8"/>
  <c r="AD411" i="8"/>
  <c r="AD412" i="8"/>
  <c r="AD413" i="8"/>
  <c r="AD414" i="8"/>
  <c r="AD415" i="8"/>
  <c r="AD416" i="8"/>
  <c r="AD417" i="8"/>
  <c r="AD418" i="8"/>
  <c r="AD419" i="8"/>
  <c r="AD420" i="8"/>
  <c r="AD421" i="8"/>
  <c r="AD422" i="8"/>
  <c r="AD423" i="8"/>
  <c r="AD424" i="8"/>
  <c r="AD425" i="8"/>
  <c r="AD426" i="8"/>
  <c r="AD427" i="8"/>
  <c r="AD428" i="8"/>
  <c r="AD429" i="8"/>
  <c r="AD430" i="8"/>
  <c r="AD431" i="8"/>
  <c r="AD432" i="8"/>
  <c r="AD433" i="8"/>
  <c r="AD434" i="8"/>
  <c r="AD435" i="8"/>
  <c r="AD436" i="8"/>
  <c r="AD437" i="8"/>
  <c r="AD438" i="8"/>
  <c r="AD439" i="8"/>
  <c r="AD440" i="8"/>
  <c r="AD441" i="8"/>
  <c r="AD442" i="8"/>
  <c r="AD443" i="8"/>
  <c r="AD444" i="8"/>
  <c r="AD445" i="8"/>
  <c r="AD446" i="8"/>
  <c r="AD447" i="8"/>
  <c r="AD448" i="8"/>
  <c r="AD449" i="8"/>
  <c r="AD450" i="8"/>
  <c r="AD451" i="8"/>
  <c r="AD452" i="8"/>
  <c r="AD453" i="8"/>
  <c r="AD454" i="8"/>
  <c r="AD455" i="8"/>
  <c r="AD456" i="8"/>
  <c r="AD457" i="8"/>
  <c r="AD458" i="8"/>
  <c r="AD459" i="8"/>
  <c r="AD460" i="8"/>
  <c r="AD461" i="8"/>
  <c r="AD462" i="8"/>
  <c r="AD463" i="8"/>
  <c r="AD464" i="8"/>
  <c r="AD465" i="8"/>
  <c r="AD466" i="8"/>
  <c r="AD467" i="8"/>
  <c r="AD468" i="8"/>
  <c r="AD469" i="8"/>
  <c r="AD470" i="8"/>
  <c r="AD471" i="8"/>
  <c r="AD472" i="8"/>
  <c r="AD473" i="8"/>
  <c r="AD474" i="8"/>
  <c r="AD475" i="8"/>
  <c r="AD476" i="8"/>
  <c r="AD477" i="8"/>
  <c r="AD478" i="8"/>
  <c r="AD479" i="8"/>
  <c r="AD480" i="8"/>
  <c r="AD481" i="8"/>
  <c r="AD482" i="8"/>
  <c r="AD483" i="8"/>
  <c r="AD484" i="8"/>
  <c r="AD485" i="8"/>
  <c r="AD486" i="8"/>
  <c r="AD487" i="8"/>
  <c r="AD488" i="8"/>
  <c r="AD489" i="8"/>
  <c r="AD490" i="8"/>
  <c r="AD491" i="8"/>
  <c r="AD492" i="8"/>
  <c r="AD493" i="8"/>
  <c r="AD494" i="8"/>
  <c r="AD495" i="8"/>
  <c r="AD496" i="8"/>
  <c r="AD497" i="8"/>
  <c r="AD498" i="8"/>
  <c r="AD499" i="8"/>
  <c r="AD500" i="8"/>
  <c r="AD501" i="8"/>
  <c r="AD502" i="8"/>
  <c r="AD503" i="8"/>
  <c r="AD504" i="8"/>
  <c r="AD505" i="8"/>
  <c r="AD506" i="8"/>
  <c r="AD507" i="8"/>
  <c r="AD508" i="8"/>
  <c r="AD509" i="8"/>
  <c r="AD510" i="8"/>
  <c r="AD511" i="8"/>
  <c r="AD512" i="8"/>
  <c r="AD513" i="8"/>
  <c r="AD514" i="8"/>
  <c r="AD515" i="8"/>
  <c r="AD516" i="8"/>
  <c r="AD517" i="8"/>
  <c r="AD518" i="8"/>
  <c r="AD519" i="8"/>
  <c r="AD520" i="8"/>
  <c r="AD521" i="8"/>
  <c r="AD522" i="8"/>
  <c r="AD523" i="8"/>
  <c r="AD524" i="8"/>
  <c r="AD525" i="8"/>
  <c r="AD582" i="8"/>
  <c r="AD583" i="8"/>
  <c r="AD584" i="8"/>
  <c r="AD585" i="8"/>
  <c r="AD586" i="8"/>
  <c r="AD587" i="8"/>
  <c r="AD588" i="8"/>
  <c r="AD589" i="8"/>
  <c r="AD590" i="8"/>
  <c r="AD591" i="8"/>
  <c r="AD592" i="8"/>
  <c r="AD593" i="8"/>
  <c r="AD594" i="8"/>
  <c r="AD595" i="8"/>
  <c r="AD596" i="8"/>
  <c r="AD597" i="8"/>
  <c r="AD598" i="8"/>
  <c r="AD599" i="8"/>
  <c r="AD600" i="8"/>
  <c r="AD601" i="8"/>
  <c r="AD602" i="8"/>
  <c r="AD603" i="8"/>
  <c r="AD604" i="8"/>
  <c r="AD605" i="8"/>
  <c r="AD606" i="8"/>
  <c r="AD607" i="8"/>
  <c r="AD608" i="8"/>
  <c r="AD609" i="8"/>
  <c r="AD610" i="8"/>
  <c r="AD611" i="8"/>
  <c r="AD612" i="8"/>
  <c r="AD613" i="8"/>
  <c r="AD614" i="8"/>
  <c r="AD615" i="8"/>
  <c r="AD616" i="8"/>
  <c r="AD617" i="8"/>
  <c r="AD618" i="8"/>
  <c r="AD619" i="8"/>
  <c r="AD620" i="8"/>
  <c r="AD621" i="8"/>
  <c r="AD622" i="8"/>
  <c r="AD623" i="8"/>
  <c r="AD624" i="8"/>
  <c r="AD625" i="8"/>
  <c r="AD626" i="8"/>
  <c r="AD627" i="8"/>
  <c r="AD628" i="8"/>
  <c r="AD629" i="8"/>
  <c r="AD630" i="8"/>
  <c r="AD631" i="8"/>
  <c r="AD632" i="8"/>
  <c r="AD633" i="8"/>
  <c r="AD634" i="8"/>
  <c r="AD635" i="8"/>
  <c r="AD636" i="8"/>
  <c r="AD637" i="8"/>
  <c r="AD638" i="8"/>
  <c r="AD639" i="8"/>
  <c r="AD640" i="8"/>
  <c r="AD641" i="8"/>
  <c r="AD642" i="8"/>
  <c r="AD643" i="8"/>
  <c r="AD644" i="8"/>
  <c r="AD645" i="8"/>
  <c r="AD646" i="8"/>
  <c r="AD647" i="8"/>
  <c r="AD648" i="8"/>
  <c r="AD649" i="8"/>
  <c r="AD650" i="8"/>
  <c r="AD651" i="8"/>
  <c r="AD652" i="8"/>
  <c r="AD653" i="8"/>
  <c r="AD654" i="8"/>
  <c r="AD655" i="8"/>
  <c r="AD656" i="8"/>
  <c r="AD657" i="8"/>
  <c r="AD658" i="8"/>
  <c r="AD659" i="8"/>
  <c r="AD660" i="8"/>
  <c r="AD661" i="8"/>
  <c r="AD662" i="8"/>
  <c r="AD663" i="8"/>
  <c r="AD664" i="8"/>
  <c r="AD665" i="8"/>
  <c r="AD666" i="8"/>
  <c r="AD667" i="8"/>
  <c r="AD668" i="8"/>
  <c r="AD669" i="8"/>
  <c r="AD670" i="8"/>
  <c r="AD671" i="8"/>
  <c r="AD672" i="8"/>
  <c r="AD673" i="8"/>
  <c r="AD674" i="8"/>
  <c r="AD675" i="8"/>
  <c r="AD676" i="8"/>
  <c r="AD677" i="8"/>
  <c r="AD678" i="8"/>
  <c r="AD679" i="8"/>
  <c r="AD680" i="8"/>
  <c r="AD681" i="8"/>
  <c r="AD682" i="8"/>
  <c r="AD683" i="8"/>
  <c r="AD684" i="8"/>
  <c r="AD685" i="8"/>
  <c r="AD686" i="8"/>
  <c r="AD687" i="8"/>
  <c r="AD688" i="8"/>
  <c r="AD689" i="8"/>
  <c r="AD690" i="8"/>
  <c r="AD691" i="8"/>
  <c r="AD692" i="8"/>
  <c r="AD693" i="8"/>
  <c r="AD694" i="8"/>
  <c r="AD695" i="8"/>
  <c r="AD696" i="8"/>
  <c r="AD697" i="8"/>
  <c r="AD698" i="8"/>
  <c r="AD699" i="8"/>
  <c r="AD700" i="8"/>
  <c r="AD701" i="8"/>
  <c r="AD702" i="8"/>
  <c r="AD703" i="8"/>
  <c r="AD704" i="8"/>
  <c r="AD705" i="8"/>
  <c r="AD706" i="8"/>
  <c r="AD707" i="8"/>
  <c r="AD708" i="8"/>
  <c r="AD709" i="8"/>
  <c r="AD710" i="8"/>
  <c r="AD711" i="8"/>
  <c r="AD712" i="8"/>
  <c r="AD713" i="8"/>
  <c r="AD714" i="8"/>
  <c r="AD715" i="8"/>
  <c r="AD716" i="8"/>
  <c r="AD717" i="8"/>
  <c r="AD718" i="8"/>
  <c r="AD719" i="8"/>
  <c r="AD720" i="8"/>
  <c r="AD721" i="8"/>
  <c r="AD722" i="8"/>
  <c r="AD723" i="8"/>
  <c r="AD724" i="8"/>
  <c r="AD725" i="8"/>
  <c r="AD726" i="8"/>
  <c r="AD727" i="8"/>
  <c r="AD728" i="8"/>
  <c r="AD729" i="8"/>
  <c r="AD730" i="8"/>
  <c r="AD731" i="8"/>
  <c r="AD732" i="8"/>
  <c r="AD733" i="8"/>
  <c r="AD734" i="8"/>
  <c r="AD735" i="8"/>
  <c r="AD736" i="8"/>
  <c r="AD737" i="8"/>
  <c r="AD738" i="8"/>
  <c r="AD739" i="8"/>
  <c r="AD740" i="8"/>
  <c r="AD741" i="8"/>
  <c r="AD742" i="8"/>
  <c r="AD743" i="8"/>
  <c r="AD744" i="8"/>
  <c r="AD745" i="8"/>
  <c r="AD746" i="8"/>
  <c r="AD747" i="8"/>
  <c r="AD748" i="8"/>
  <c r="AD749" i="8"/>
  <c r="AD750" i="8"/>
  <c r="AD751" i="8"/>
  <c r="AD752" i="8"/>
  <c r="AD753" i="8"/>
  <c r="AD754" i="8"/>
  <c r="AD755" i="8"/>
  <c r="AD756" i="8"/>
  <c r="AD757" i="8"/>
  <c r="AD758" i="8"/>
  <c r="AD759" i="8"/>
  <c r="AD760" i="8"/>
  <c r="AD761" i="8"/>
  <c r="AD762" i="8"/>
  <c r="AD763" i="8"/>
  <c r="AD764" i="8"/>
  <c r="AD765" i="8"/>
  <c r="AD766" i="8"/>
  <c r="AD767" i="8"/>
  <c r="AD768" i="8"/>
  <c r="AD769" i="8"/>
  <c r="AD770" i="8"/>
  <c r="AD771" i="8"/>
  <c r="AD772" i="8"/>
  <c r="AD773" i="8"/>
  <c r="AD774" i="8"/>
  <c r="AD775" i="8"/>
  <c r="AD776" i="8"/>
  <c r="AD777" i="8"/>
  <c r="AD778" i="8"/>
  <c r="AD779" i="8"/>
  <c r="AD780" i="8"/>
  <c r="AD781" i="8"/>
  <c r="AD782" i="8"/>
  <c r="AD783" i="8"/>
  <c r="AD784" i="8"/>
  <c r="AD785" i="8"/>
  <c r="AD786" i="8"/>
  <c r="AD787" i="8"/>
  <c r="AD788" i="8"/>
  <c r="AD789" i="8"/>
  <c r="AD790" i="8"/>
  <c r="AD791" i="8"/>
  <c r="AD792" i="8"/>
  <c r="AD793" i="8"/>
  <c r="AD794" i="8"/>
  <c r="AD795" i="8"/>
  <c r="AD796" i="8"/>
  <c r="AD797" i="8"/>
  <c r="AD798" i="8"/>
  <c r="AD799" i="8"/>
  <c r="AD800" i="8"/>
  <c r="AD801" i="8"/>
  <c r="AD802" i="8"/>
  <c r="AD803" i="8"/>
  <c r="AD804" i="8"/>
  <c r="AD805" i="8"/>
  <c r="AD806" i="8"/>
  <c r="AD807" i="8"/>
  <c r="AD808" i="8"/>
  <c r="AD809" i="8"/>
  <c r="AD810" i="8"/>
  <c r="AD811" i="8"/>
  <c r="AD812" i="8"/>
  <c r="AD813" i="8"/>
  <c r="AD814" i="8"/>
  <c r="AD815" i="8"/>
  <c r="AD816" i="8"/>
  <c r="AD817" i="8"/>
  <c r="AD818" i="8"/>
  <c r="AD819" i="8"/>
  <c r="AD820" i="8"/>
  <c r="AD821" i="8"/>
  <c r="AD822" i="8"/>
  <c r="AD823" i="8"/>
  <c r="AD824" i="8"/>
  <c r="AD825" i="8"/>
  <c r="AD826" i="8"/>
  <c r="AD827" i="8"/>
  <c r="AD828" i="8"/>
  <c r="AD829" i="8"/>
  <c r="AD830" i="8"/>
  <c r="AD831" i="8"/>
  <c r="AD832" i="8"/>
  <c r="AD833" i="8"/>
  <c r="AD834" i="8"/>
  <c r="AD835" i="8"/>
  <c r="AD836" i="8"/>
  <c r="AD837" i="8"/>
  <c r="AD838" i="8"/>
  <c r="AD839" i="8"/>
  <c r="AD840" i="8"/>
  <c r="AD841" i="8"/>
  <c r="AD842" i="8"/>
  <c r="AD843" i="8"/>
  <c r="AD844" i="8"/>
  <c r="AD845" i="8"/>
  <c r="AD846" i="8"/>
  <c r="AD847" i="8"/>
  <c r="AD848" i="8"/>
  <c r="AD2" i="8"/>
  <c r="Z2" i="8"/>
  <c r="AF2" i="9"/>
  <c r="K161" i="2" s="1"/>
  <c r="J161" i="2" s="1"/>
  <c r="AF2" i="10"/>
  <c r="AF2" i="11"/>
  <c r="E560" i="2" l="1"/>
  <c r="D560" i="2"/>
  <c r="C560" i="2" s="1"/>
  <c r="E557" i="2"/>
  <c r="D557" i="2"/>
  <c r="C557" i="2" s="1"/>
  <c r="E546" i="2"/>
  <c r="D546" i="2"/>
  <c r="C546" i="2" s="1"/>
  <c r="E541" i="2"/>
  <c r="D541" i="2"/>
  <c r="C541" i="2" s="1"/>
  <c r="D447" i="2"/>
  <c r="E479" i="2"/>
  <c r="E476" i="2"/>
  <c r="E473" i="2"/>
  <c r="E470" i="2"/>
  <c r="E467" i="2"/>
  <c r="E464" i="2"/>
  <c r="E461" i="2"/>
  <c r="E458" i="2"/>
  <c r="E455" i="2"/>
  <c r="E452" i="2"/>
  <c r="E449" i="2"/>
  <c r="D479" i="2"/>
  <c r="C479" i="2" s="1"/>
  <c r="F479" i="2" s="1"/>
  <c r="G479" i="2" s="1"/>
  <c r="D476" i="2"/>
  <c r="C476" i="2" s="1"/>
  <c r="F476" i="2" s="1"/>
  <c r="G476" i="2" s="1"/>
  <c r="D473" i="2"/>
  <c r="C473" i="2" s="1"/>
  <c r="F473" i="2" s="1"/>
  <c r="G473" i="2" s="1"/>
  <c r="D470" i="2"/>
  <c r="C470" i="2" s="1"/>
  <c r="F470" i="2" s="1"/>
  <c r="G470" i="2" s="1"/>
  <c r="D467" i="2"/>
  <c r="C467" i="2" s="1"/>
  <c r="F467" i="2" s="1"/>
  <c r="G467" i="2" s="1"/>
  <c r="D464" i="2"/>
  <c r="C464" i="2" s="1"/>
  <c r="F464" i="2" s="1"/>
  <c r="G464" i="2" s="1"/>
  <c r="D461" i="2"/>
  <c r="C461" i="2" s="1"/>
  <c r="F461" i="2" s="1"/>
  <c r="G461" i="2" s="1"/>
  <c r="D458" i="2"/>
  <c r="C458" i="2" s="1"/>
  <c r="F458" i="2" s="1"/>
  <c r="G458" i="2" s="1"/>
  <c r="D455" i="2"/>
  <c r="C455" i="2" s="1"/>
  <c r="F455" i="2" s="1"/>
  <c r="G455" i="2" s="1"/>
  <c r="D452" i="2"/>
  <c r="C452" i="2" s="1"/>
  <c r="F452" i="2" s="1"/>
  <c r="G452" i="2" s="1"/>
  <c r="D449" i="2"/>
  <c r="C449" i="2" s="1"/>
  <c r="F449" i="2" s="1"/>
  <c r="G449" i="2" s="1"/>
  <c r="E481" i="2"/>
  <c r="E478" i="2"/>
  <c r="E475" i="2"/>
  <c r="E472" i="2"/>
  <c r="E469" i="2"/>
  <c r="E466" i="2"/>
  <c r="E463" i="2"/>
  <c r="E460" i="2"/>
  <c r="E457" i="2"/>
  <c r="E454" i="2"/>
  <c r="E451" i="2"/>
  <c r="E448" i="2"/>
  <c r="D481" i="2"/>
  <c r="C481" i="2" s="1"/>
  <c r="F481" i="2" s="1"/>
  <c r="G481" i="2" s="1"/>
  <c r="D478" i="2"/>
  <c r="C478" i="2" s="1"/>
  <c r="F478" i="2" s="1"/>
  <c r="G478" i="2" s="1"/>
  <c r="D475" i="2"/>
  <c r="C475" i="2" s="1"/>
  <c r="F475" i="2" s="1"/>
  <c r="G475" i="2" s="1"/>
  <c r="D472" i="2"/>
  <c r="C472" i="2" s="1"/>
  <c r="F472" i="2" s="1"/>
  <c r="G472" i="2" s="1"/>
  <c r="D469" i="2"/>
  <c r="C469" i="2" s="1"/>
  <c r="F469" i="2" s="1"/>
  <c r="G469" i="2" s="1"/>
  <c r="D466" i="2"/>
  <c r="C466" i="2" s="1"/>
  <c r="F466" i="2" s="1"/>
  <c r="G466" i="2" s="1"/>
  <c r="D463" i="2"/>
  <c r="C463" i="2" s="1"/>
  <c r="F463" i="2" s="1"/>
  <c r="G463" i="2" s="1"/>
  <c r="D460" i="2"/>
  <c r="C460" i="2" s="1"/>
  <c r="F460" i="2" s="1"/>
  <c r="G460" i="2" s="1"/>
  <c r="D457" i="2"/>
  <c r="C457" i="2" s="1"/>
  <c r="F457" i="2" s="1"/>
  <c r="G457" i="2" s="1"/>
  <c r="D454" i="2"/>
  <c r="C454" i="2" s="1"/>
  <c r="F454" i="2" s="1"/>
  <c r="G454" i="2" s="1"/>
  <c r="D451" i="2"/>
  <c r="C451" i="2" s="1"/>
  <c r="F451" i="2" s="1"/>
  <c r="G451" i="2" s="1"/>
  <c r="D448" i="2"/>
  <c r="C448" i="2" s="1"/>
  <c r="F448" i="2" s="1"/>
  <c r="G448" i="2" s="1"/>
  <c r="E480" i="2"/>
  <c r="E477" i="2"/>
  <c r="E474" i="2"/>
  <c r="E471" i="2"/>
  <c r="E468" i="2"/>
  <c r="E465" i="2"/>
  <c r="E462" i="2"/>
  <c r="E459" i="2"/>
  <c r="E456" i="2"/>
  <c r="E453" i="2"/>
  <c r="E450" i="2"/>
  <c r="E447" i="2"/>
  <c r="C447" i="2" s="1"/>
  <c r="F447" i="2" s="1"/>
  <c r="G447" i="2" s="1"/>
  <c r="D480" i="2"/>
  <c r="C480" i="2" s="1"/>
  <c r="F480" i="2" s="1"/>
  <c r="G480" i="2" s="1"/>
  <c r="D477" i="2"/>
  <c r="D474" i="2"/>
  <c r="C474" i="2" s="1"/>
  <c r="F474" i="2" s="1"/>
  <c r="G474" i="2" s="1"/>
  <c r="D471" i="2"/>
  <c r="D468" i="2"/>
  <c r="C468" i="2" s="1"/>
  <c r="F468" i="2" s="1"/>
  <c r="G468" i="2" s="1"/>
  <c r="D465" i="2"/>
  <c r="D462" i="2"/>
  <c r="C462" i="2" s="1"/>
  <c r="F462" i="2" s="1"/>
  <c r="G462" i="2" s="1"/>
  <c r="D459" i="2"/>
  <c r="D456" i="2"/>
  <c r="C456" i="2" s="1"/>
  <c r="F456" i="2" s="1"/>
  <c r="G456" i="2" s="1"/>
  <c r="D453" i="2"/>
  <c r="D450" i="2"/>
  <c r="C450" i="2" s="1"/>
  <c r="F450" i="2" s="1"/>
  <c r="G450" i="2" s="1"/>
  <c r="D119" i="2"/>
  <c r="E148" i="2"/>
  <c r="E145" i="2"/>
  <c r="E142" i="2"/>
  <c r="E139" i="2"/>
  <c r="E136" i="2"/>
  <c r="E133" i="2"/>
  <c r="E130" i="2"/>
  <c r="E127" i="2"/>
  <c r="E124" i="2"/>
  <c r="E121" i="2"/>
  <c r="D148" i="2"/>
  <c r="C148" i="2" s="1"/>
  <c r="F148" i="2" s="1"/>
  <c r="G148" i="2" s="1"/>
  <c r="D145" i="2"/>
  <c r="C145" i="2" s="1"/>
  <c r="F145" i="2" s="1"/>
  <c r="G145" i="2" s="1"/>
  <c r="D142" i="2"/>
  <c r="C142" i="2" s="1"/>
  <c r="F142" i="2" s="1"/>
  <c r="G142" i="2" s="1"/>
  <c r="D139" i="2"/>
  <c r="C139" i="2" s="1"/>
  <c r="F139" i="2" s="1"/>
  <c r="G139" i="2" s="1"/>
  <c r="D136" i="2"/>
  <c r="C136" i="2" s="1"/>
  <c r="F136" i="2" s="1"/>
  <c r="G136" i="2" s="1"/>
  <c r="D133" i="2"/>
  <c r="C133" i="2" s="1"/>
  <c r="F133" i="2" s="1"/>
  <c r="G133" i="2" s="1"/>
  <c r="D130" i="2"/>
  <c r="C130" i="2" s="1"/>
  <c r="F130" i="2" s="1"/>
  <c r="G130" i="2" s="1"/>
  <c r="D127" i="2"/>
  <c r="C127" i="2" s="1"/>
  <c r="F127" i="2" s="1"/>
  <c r="G127" i="2" s="1"/>
  <c r="D124" i="2"/>
  <c r="C124" i="2" s="1"/>
  <c r="F124" i="2" s="1"/>
  <c r="G124" i="2" s="1"/>
  <c r="D121" i="2"/>
  <c r="C121" i="2" s="1"/>
  <c r="F121" i="2" s="1"/>
  <c r="G121" i="2" s="1"/>
  <c r="E147" i="2"/>
  <c r="E144" i="2"/>
  <c r="E141" i="2"/>
  <c r="E138" i="2"/>
  <c r="E135" i="2"/>
  <c r="E132" i="2"/>
  <c r="E129" i="2"/>
  <c r="E126" i="2"/>
  <c r="E123" i="2"/>
  <c r="E120" i="2"/>
  <c r="D147" i="2"/>
  <c r="C147" i="2" s="1"/>
  <c r="F147" i="2" s="1"/>
  <c r="G147" i="2" s="1"/>
  <c r="D144" i="2"/>
  <c r="C144" i="2" s="1"/>
  <c r="F144" i="2" s="1"/>
  <c r="G144" i="2" s="1"/>
  <c r="D141" i="2"/>
  <c r="C141" i="2" s="1"/>
  <c r="F141" i="2" s="1"/>
  <c r="G141" i="2" s="1"/>
  <c r="D138" i="2"/>
  <c r="C138" i="2" s="1"/>
  <c r="F138" i="2" s="1"/>
  <c r="G138" i="2" s="1"/>
  <c r="D135" i="2"/>
  <c r="C135" i="2" s="1"/>
  <c r="F135" i="2" s="1"/>
  <c r="G135" i="2" s="1"/>
  <c r="D132" i="2"/>
  <c r="C132" i="2" s="1"/>
  <c r="F132" i="2" s="1"/>
  <c r="G132" i="2" s="1"/>
  <c r="D129" i="2"/>
  <c r="C129" i="2" s="1"/>
  <c r="F129" i="2" s="1"/>
  <c r="G129" i="2" s="1"/>
  <c r="D126" i="2"/>
  <c r="C126" i="2" s="1"/>
  <c r="F126" i="2" s="1"/>
  <c r="G126" i="2" s="1"/>
  <c r="D123" i="2"/>
  <c r="C123" i="2" s="1"/>
  <c r="F123" i="2" s="1"/>
  <c r="G123" i="2" s="1"/>
  <c r="D120" i="2"/>
  <c r="C120" i="2" s="1"/>
  <c r="F120" i="2" s="1"/>
  <c r="G120" i="2" s="1"/>
  <c r="E149" i="2"/>
  <c r="E146" i="2"/>
  <c r="E143" i="2"/>
  <c r="E140" i="2"/>
  <c r="E137" i="2"/>
  <c r="E134" i="2"/>
  <c r="E131" i="2"/>
  <c r="E128" i="2"/>
  <c r="E125" i="2"/>
  <c r="E122" i="2"/>
  <c r="E119" i="2"/>
  <c r="D149" i="2"/>
  <c r="C149" i="2" s="1"/>
  <c r="F149" i="2" s="1"/>
  <c r="G149" i="2" s="1"/>
  <c r="D146" i="2"/>
  <c r="C146" i="2" s="1"/>
  <c r="F146" i="2" s="1"/>
  <c r="G146" i="2" s="1"/>
  <c r="D143" i="2"/>
  <c r="C143" i="2" s="1"/>
  <c r="F143" i="2" s="1"/>
  <c r="G143" i="2" s="1"/>
  <c r="D140" i="2"/>
  <c r="C140" i="2" s="1"/>
  <c r="F140" i="2" s="1"/>
  <c r="G140" i="2" s="1"/>
  <c r="D137" i="2"/>
  <c r="C137" i="2" s="1"/>
  <c r="F137" i="2" s="1"/>
  <c r="G137" i="2" s="1"/>
  <c r="D134" i="2"/>
  <c r="C134" i="2" s="1"/>
  <c r="F134" i="2" s="1"/>
  <c r="G134" i="2" s="1"/>
  <c r="D131" i="2"/>
  <c r="C131" i="2" s="1"/>
  <c r="F131" i="2" s="1"/>
  <c r="G131" i="2" s="1"/>
  <c r="D128" i="2"/>
  <c r="C128" i="2" s="1"/>
  <c r="F128" i="2" s="1"/>
  <c r="G128" i="2" s="1"/>
  <c r="D125" i="2"/>
  <c r="C125" i="2" s="1"/>
  <c r="F125" i="2" s="1"/>
  <c r="G125" i="2" s="1"/>
  <c r="D122" i="2"/>
  <c r="C122" i="2" s="1"/>
  <c r="F122" i="2" s="1"/>
  <c r="G122" i="2" s="1"/>
  <c r="E263" i="2"/>
  <c r="E260" i="2"/>
  <c r="E257" i="2"/>
  <c r="E254" i="2"/>
  <c r="E251" i="2"/>
  <c r="E248" i="2"/>
  <c r="E244" i="2"/>
  <c r="E241" i="2"/>
  <c r="E238" i="2"/>
  <c r="E235" i="2"/>
  <c r="E232" i="2"/>
  <c r="E229" i="2"/>
  <c r="D263" i="2"/>
  <c r="C263" i="2" s="1"/>
  <c r="F263" i="2" s="1"/>
  <c r="G263" i="2" s="1"/>
  <c r="D260" i="2"/>
  <c r="C260" i="2" s="1"/>
  <c r="F260" i="2" s="1"/>
  <c r="G260" i="2" s="1"/>
  <c r="D257" i="2"/>
  <c r="C257" i="2" s="1"/>
  <c r="F257" i="2" s="1"/>
  <c r="G257" i="2" s="1"/>
  <c r="D254" i="2"/>
  <c r="C254" i="2" s="1"/>
  <c r="F254" i="2" s="1"/>
  <c r="G254" i="2" s="1"/>
  <c r="D251" i="2"/>
  <c r="C251" i="2" s="1"/>
  <c r="F251" i="2" s="1"/>
  <c r="G251" i="2" s="1"/>
  <c r="D248" i="2"/>
  <c r="C248" i="2" s="1"/>
  <c r="F248" i="2" s="1"/>
  <c r="G248" i="2" s="1"/>
  <c r="D244" i="2"/>
  <c r="C244" i="2" s="1"/>
  <c r="F244" i="2" s="1"/>
  <c r="G244" i="2" s="1"/>
  <c r="D241" i="2"/>
  <c r="C241" i="2" s="1"/>
  <c r="F241" i="2" s="1"/>
  <c r="G241" i="2" s="1"/>
  <c r="D238" i="2"/>
  <c r="C238" i="2" s="1"/>
  <c r="F238" i="2" s="1"/>
  <c r="G238" i="2" s="1"/>
  <c r="D235" i="2"/>
  <c r="C235" i="2" s="1"/>
  <c r="F235" i="2" s="1"/>
  <c r="G235" i="2" s="1"/>
  <c r="D232" i="2"/>
  <c r="C232" i="2" s="1"/>
  <c r="F232" i="2" s="1"/>
  <c r="G232" i="2" s="1"/>
  <c r="D229" i="2"/>
  <c r="C229" i="2" s="1"/>
  <c r="F229" i="2" s="1"/>
  <c r="G229" i="2" s="1"/>
  <c r="E262" i="2"/>
  <c r="E259" i="2"/>
  <c r="E256" i="2"/>
  <c r="E253" i="2"/>
  <c r="E250" i="2"/>
  <c r="E247" i="2"/>
  <c r="E243" i="2"/>
  <c r="E240" i="2"/>
  <c r="E237" i="2"/>
  <c r="E234" i="2"/>
  <c r="E231" i="2"/>
  <c r="E246" i="2"/>
  <c r="D262" i="2"/>
  <c r="C262" i="2" s="1"/>
  <c r="F262" i="2" s="1"/>
  <c r="G262" i="2" s="1"/>
  <c r="D259" i="2"/>
  <c r="C259" i="2" s="1"/>
  <c r="F259" i="2" s="1"/>
  <c r="G259" i="2" s="1"/>
  <c r="D256" i="2"/>
  <c r="C256" i="2" s="1"/>
  <c r="F256" i="2" s="1"/>
  <c r="G256" i="2" s="1"/>
  <c r="D253" i="2"/>
  <c r="C253" i="2" s="1"/>
  <c r="F253" i="2" s="1"/>
  <c r="G253" i="2" s="1"/>
  <c r="D250" i="2"/>
  <c r="C250" i="2" s="1"/>
  <c r="F250" i="2" s="1"/>
  <c r="G250" i="2" s="1"/>
  <c r="D247" i="2"/>
  <c r="C247" i="2" s="1"/>
  <c r="F247" i="2" s="1"/>
  <c r="G247" i="2" s="1"/>
  <c r="D243" i="2"/>
  <c r="C243" i="2" s="1"/>
  <c r="F243" i="2" s="1"/>
  <c r="G243" i="2" s="1"/>
  <c r="D240" i="2"/>
  <c r="C240" i="2" s="1"/>
  <c r="F240" i="2" s="1"/>
  <c r="G240" i="2" s="1"/>
  <c r="D237" i="2"/>
  <c r="C237" i="2" s="1"/>
  <c r="F237" i="2" s="1"/>
  <c r="G237" i="2" s="1"/>
  <c r="D234" i="2"/>
  <c r="C234" i="2" s="1"/>
  <c r="F234" i="2" s="1"/>
  <c r="G234" i="2" s="1"/>
  <c r="D231" i="2"/>
  <c r="C231" i="2" s="1"/>
  <c r="F231" i="2" s="1"/>
  <c r="G231" i="2" s="1"/>
  <c r="D246" i="2"/>
  <c r="C246" i="2" s="1"/>
  <c r="F246" i="2" s="1"/>
  <c r="G246" i="2" s="1"/>
  <c r="E264" i="2"/>
  <c r="E261" i="2"/>
  <c r="E258" i="2"/>
  <c r="E255" i="2"/>
  <c r="E252" i="2"/>
  <c r="E249" i="2"/>
  <c r="E245" i="2"/>
  <c r="E242" i="2"/>
  <c r="E239" i="2"/>
  <c r="E236" i="2"/>
  <c r="E233" i="2"/>
  <c r="E230" i="2"/>
  <c r="D264" i="2"/>
  <c r="C264" i="2" s="1"/>
  <c r="F264" i="2" s="1"/>
  <c r="G264" i="2" s="1"/>
  <c r="D261" i="2"/>
  <c r="C261" i="2" s="1"/>
  <c r="F261" i="2" s="1"/>
  <c r="G261" i="2" s="1"/>
  <c r="D258" i="2"/>
  <c r="C258" i="2" s="1"/>
  <c r="F258" i="2" s="1"/>
  <c r="G258" i="2" s="1"/>
  <c r="D255" i="2"/>
  <c r="C255" i="2" s="1"/>
  <c r="F255" i="2" s="1"/>
  <c r="G255" i="2" s="1"/>
  <c r="D252" i="2"/>
  <c r="C252" i="2" s="1"/>
  <c r="F252" i="2" s="1"/>
  <c r="G252" i="2" s="1"/>
  <c r="D249" i="2"/>
  <c r="C249" i="2" s="1"/>
  <c r="F249" i="2" s="1"/>
  <c r="G249" i="2" s="1"/>
  <c r="D245" i="2"/>
  <c r="C245" i="2" s="1"/>
  <c r="F245" i="2" s="1"/>
  <c r="G245" i="2" s="1"/>
  <c r="D242" i="2"/>
  <c r="C242" i="2" s="1"/>
  <c r="F242" i="2" s="1"/>
  <c r="G242" i="2" s="1"/>
  <c r="D239" i="2"/>
  <c r="C239" i="2" s="1"/>
  <c r="F239" i="2" s="1"/>
  <c r="G239" i="2" s="1"/>
  <c r="D236" i="2"/>
  <c r="C236" i="2" s="1"/>
  <c r="F236" i="2" s="1"/>
  <c r="G236" i="2" s="1"/>
  <c r="D233" i="2"/>
  <c r="C233" i="2" s="1"/>
  <c r="F233" i="2" s="1"/>
  <c r="G233" i="2" s="1"/>
  <c r="D230" i="2"/>
  <c r="C230" i="2" s="1"/>
  <c r="F230" i="2" s="1"/>
  <c r="G230" i="2" s="1"/>
  <c r="D341" i="2"/>
  <c r="D344" i="2"/>
  <c r="D347" i="2"/>
  <c r="D350" i="2"/>
  <c r="D353" i="2"/>
  <c r="D356" i="2"/>
  <c r="D359" i="2"/>
  <c r="D362" i="2"/>
  <c r="E341" i="2"/>
  <c r="E344" i="2"/>
  <c r="E347" i="2"/>
  <c r="E350" i="2"/>
  <c r="E353" i="2"/>
  <c r="E356" i="2"/>
  <c r="E359" i="2"/>
  <c r="E362" i="2"/>
  <c r="D339" i="2"/>
  <c r="D342" i="2"/>
  <c r="D345" i="2"/>
  <c r="D348" i="2"/>
  <c r="D351" i="2"/>
  <c r="D354" i="2"/>
  <c r="D357" i="2"/>
  <c r="D360" i="2"/>
  <c r="D363" i="2"/>
  <c r="E339" i="2"/>
  <c r="E342" i="2"/>
  <c r="E345" i="2"/>
  <c r="E348" i="2"/>
  <c r="E351" i="2"/>
  <c r="E354" i="2"/>
  <c r="E357" i="2"/>
  <c r="E360" i="2"/>
  <c r="E363" i="2"/>
  <c r="D340" i="2"/>
  <c r="D343" i="2"/>
  <c r="D346" i="2"/>
  <c r="D349" i="2"/>
  <c r="D352" i="2"/>
  <c r="D355" i="2"/>
  <c r="D358" i="2"/>
  <c r="D361" i="2"/>
  <c r="D364" i="2"/>
  <c r="E340" i="2"/>
  <c r="E343" i="2"/>
  <c r="E346" i="2"/>
  <c r="E349" i="2"/>
  <c r="E352" i="2"/>
  <c r="E355" i="2"/>
  <c r="E358" i="2"/>
  <c r="E361" i="2"/>
  <c r="E364" i="2"/>
  <c r="D28" i="2"/>
  <c r="E28" i="2"/>
  <c r="D29" i="2"/>
  <c r="E29" i="2"/>
  <c r="E509" i="2"/>
  <c r="D509" i="2"/>
  <c r="E488" i="2"/>
  <c r="D488" i="2"/>
  <c r="E515" i="2"/>
  <c r="D515" i="2"/>
  <c r="D519" i="2"/>
  <c r="E519" i="2"/>
  <c r="E511" i="2"/>
  <c r="D511" i="2"/>
  <c r="E496" i="2"/>
  <c r="D496" i="2"/>
  <c r="D516" i="2"/>
  <c r="E516" i="2"/>
  <c r="D498" i="2"/>
  <c r="E498" i="2"/>
  <c r="D501" i="2"/>
  <c r="E501" i="2"/>
  <c r="E518" i="2"/>
  <c r="D518" i="2"/>
  <c r="E502" i="2"/>
  <c r="D502" i="2"/>
  <c r="D513" i="2"/>
  <c r="D490" i="2"/>
  <c r="E490" i="2"/>
  <c r="E513" i="2"/>
  <c r="E508" i="2"/>
  <c r="D508" i="2"/>
  <c r="E517" i="2"/>
  <c r="D517" i="2"/>
  <c r="E497" i="2"/>
  <c r="D497" i="2"/>
  <c r="D507" i="2"/>
  <c r="E507" i="2"/>
  <c r="E500" i="2"/>
  <c r="D500" i="2"/>
  <c r="D495" i="2"/>
  <c r="E495" i="2"/>
  <c r="D504" i="2"/>
  <c r="E504" i="2"/>
  <c r="E499" i="2"/>
  <c r="E491" i="2"/>
  <c r="D499" i="2"/>
  <c r="D491" i="2"/>
  <c r="E503" i="2"/>
  <c r="D503" i="2"/>
  <c r="E506" i="2"/>
  <c r="D506" i="2"/>
  <c r="E514" i="2"/>
  <c r="D514" i="2"/>
  <c r="E489" i="2"/>
  <c r="D489" i="2"/>
  <c r="E505" i="2"/>
  <c r="D505" i="2"/>
  <c r="E512" i="2"/>
  <c r="E492" i="2"/>
  <c r="D512" i="2"/>
  <c r="D492" i="2"/>
  <c r="D26" i="2"/>
  <c r="E26" i="2"/>
  <c r="D510" i="2"/>
  <c r="E510" i="2"/>
  <c r="E530" i="2"/>
  <c r="D530" i="2"/>
  <c r="D529" i="2"/>
  <c r="E529" i="2"/>
  <c r="E534" i="2"/>
  <c r="D534" i="2"/>
  <c r="E532" i="2"/>
  <c r="D532" i="2"/>
  <c r="E531" i="2"/>
  <c r="D531" i="2"/>
  <c r="E525" i="2"/>
  <c r="E535" i="2"/>
  <c r="D525" i="2"/>
  <c r="D535" i="2"/>
  <c r="D523" i="2"/>
  <c r="E533" i="2"/>
  <c r="D533" i="2"/>
  <c r="E523" i="2"/>
  <c r="E27" i="2"/>
  <c r="D27" i="2"/>
  <c r="E536" i="2"/>
  <c r="E524" i="2"/>
  <c r="D524" i="2"/>
  <c r="D536" i="2"/>
  <c r="E522" i="2"/>
  <c r="E537" i="2"/>
  <c r="D522" i="2"/>
  <c r="D537" i="2"/>
  <c r="E526" i="2"/>
  <c r="D526" i="2"/>
  <c r="F557" i="2" l="1"/>
  <c r="F560" i="2"/>
  <c r="F541" i="2"/>
  <c r="F546" i="2"/>
  <c r="C119" i="2"/>
  <c r="F119" i="2" s="1"/>
  <c r="G119" i="2" s="1"/>
  <c r="C453" i="2"/>
  <c r="F453" i="2"/>
  <c r="G453" i="2" s="1"/>
  <c r="C459" i="2"/>
  <c r="F459" i="2"/>
  <c r="G459" i="2" s="1"/>
  <c r="C465" i="2"/>
  <c r="F465" i="2"/>
  <c r="G465" i="2" s="1"/>
  <c r="C471" i="2"/>
  <c r="F471" i="2"/>
  <c r="G471" i="2" s="1"/>
  <c r="C477" i="2"/>
  <c r="F477" i="2"/>
  <c r="G477" i="2" s="1"/>
  <c r="C361" i="2"/>
  <c r="F361" i="2" s="1"/>
  <c r="G361" i="2" s="1"/>
  <c r="C343" i="2"/>
  <c r="F343" i="2" s="1"/>
  <c r="G343" i="2" s="1"/>
  <c r="C360" i="2"/>
  <c r="F360" i="2" s="1"/>
  <c r="G360" i="2" s="1"/>
  <c r="C342" i="2"/>
  <c r="F342" i="2" s="1"/>
  <c r="G342" i="2" s="1"/>
  <c r="C356" i="2"/>
  <c r="F356" i="2" s="1"/>
  <c r="G356" i="2" s="1"/>
  <c r="C358" i="2"/>
  <c r="F358" i="2" s="1"/>
  <c r="G358" i="2" s="1"/>
  <c r="C340" i="2"/>
  <c r="F340" i="2" s="1"/>
  <c r="G340" i="2" s="1"/>
  <c r="C357" i="2"/>
  <c r="F357" i="2" s="1"/>
  <c r="G357" i="2" s="1"/>
  <c r="C339" i="2"/>
  <c r="F339" i="2" s="1"/>
  <c r="G339" i="2" s="1"/>
  <c r="C353" i="2"/>
  <c r="F353" i="2" s="1"/>
  <c r="G353" i="2" s="1"/>
  <c r="C355" i="2"/>
  <c r="F355" i="2" s="1"/>
  <c r="G355" i="2" s="1"/>
  <c r="C354" i="2"/>
  <c r="F354" i="2" s="1"/>
  <c r="G354" i="2" s="1"/>
  <c r="C350" i="2"/>
  <c r="F350" i="2" s="1"/>
  <c r="G350" i="2" s="1"/>
  <c r="C352" i="2"/>
  <c r="F352" i="2" s="1"/>
  <c r="G352" i="2" s="1"/>
  <c r="C351" i="2"/>
  <c r="F351" i="2" s="1"/>
  <c r="G351" i="2" s="1"/>
  <c r="C347" i="2"/>
  <c r="F347" i="2" s="1"/>
  <c r="G347" i="2" s="1"/>
  <c r="C349" i="2"/>
  <c r="F349" i="2" s="1"/>
  <c r="G349" i="2" s="1"/>
  <c r="C348" i="2"/>
  <c r="F348" i="2" s="1"/>
  <c r="G348" i="2" s="1"/>
  <c r="C362" i="2"/>
  <c r="F362" i="2" s="1"/>
  <c r="G362" i="2" s="1"/>
  <c r="C344" i="2"/>
  <c r="F344" i="2" s="1"/>
  <c r="G344" i="2" s="1"/>
  <c r="C364" i="2"/>
  <c r="F364" i="2" s="1"/>
  <c r="G364" i="2" s="1"/>
  <c r="C346" i="2"/>
  <c r="F346" i="2" s="1"/>
  <c r="G346" i="2" s="1"/>
  <c r="C363" i="2"/>
  <c r="F363" i="2" s="1"/>
  <c r="G363" i="2" s="1"/>
  <c r="C345" i="2"/>
  <c r="F345" i="2" s="1"/>
  <c r="G345" i="2" s="1"/>
  <c r="C359" i="2"/>
  <c r="F359" i="2" s="1"/>
  <c r="G359" i="2" s="1"/>
  <c r="C341" i="2"/>
  <c r="F341" i="2" s="1"/>
  <c r="G341" i="2" s="1"/>
  <c r="C537" i="2"/>
  <c r="C522" i="2"/>
  <c r="F524" i="2"/>
  <c r="C499" i="2"/>
  <c r="C506" i="2"/>
  <c r="C500" i="2"/>
  <c r="C517" i="2"/>
  <c r="F501" i="2"/>
  <c r="C496" i="2"/>
  <c r="C515" i="2"/>
  <c r="C526" i="2"/>
  <c r="C534" i="2"/>
  <c r="F529" i="2"/>
  <c r="C536" i="2"/>
  <c r="F523" i="2"/>
  <c r="F526" i="2"/>
  <c r="F525" i="2"/>
  <c r="F522" i="2"/>
  <c r="C28" i="2"/>
  <c r="F28" i="2" s="1"/>
  <c r="G28" i="2" s="1"/>
  <c r="C29" i="2"/>
  <c r="F29" i="2" s="1"/>
  <c r="G29" i="2" s="1"/>
  <c r="C505" i="2"/>
  <c r="F498" i="2"/>
  <c r="C511" i="2"/>
  <c r="C488" i="2"/>
  <c r="F491" i="2"/>
  <c r="C490" i="2"/>
  <c r="F512" i="2"/>
  <c r="F489" i="2"/>
  <c r="F503" i="2"/>
  <c r="C504" i="2"/>
  <c r="C507" i="2"/>
  <c r="F508" i="2"/>
  <c r="F502" i="2"/>
  <c r="F518" i="2"/>
  <c r="C516" i="2"/>
  <c r="C519" i="2"/>
  <c r="F509" i="2"/>
  <c r="C510" i="2"/>
  <c r="F492" i="2"/>
  <c r="C514" i="2"/>
  <c r="F495" i="2"/>
  <c r="C497" i="2"/>
  <c r="F513" i="2"/>
  <c r="F505" i="2"/>
  <c r="F506" i="2"/>
  <c r="F499" i="2"/>
  <c r="F500" i="2"/>
  <c r="F517" i="2"/>
  <c r="C513" i="2"/>
  <c r="C501" i="2"/>
  <c r="F496" i="2"/>
  <c r="F515" i="2"/>
  <c r="C26" i="2"/>
  <c r="F26" i="2" s="1"/>
  <c r="G26" i="2" s="1"/>
  <c r="E30" i="2"/>
  <c r="C492" i="2"/>
  <c r="C489" i="2"/>
  <c r="C503" i="2"/>
  <c r="F504" i="2"/>
  <c r="F507" i="2"/>
  <c r="C508" i="2"/>
  <c r="C502" i="2"/>
  <c r="F510" i="2"/>
  <c r="C512" i="2"/>
  <c r="C498" i="2"/>
  <c r="F511" i="2"/>
  <c r="F488" i="2"/>
  <c r="C491" i="2"/>
  <c r="C518" i="2"/>
  <c r="F516" i="2"/>
  <c r="F519" i="2"/>
  <c r="C509" i="2"/>
  <c r="F514" i="2"/>
  <c r="C495" i="2"/>
  <c r="F497" i="2"/>
  <c r="F490" i="2"/>
  <c r="F535" i="2"/>
  <c r="C524" i="2"/>
  <c r="C533" i="2"/>
  <c r="C531" i="2"/>
  <c r="C525" i="2"/>
  <c r="F532" i="2"/>
  <c r="C530" i="2"/>
  <c r="F534" i="2"/>
  <c r="F533" i="2"/>
  <c r="F536" i="2"/>
  <c r="C523" i="2"/>
  <c r="F531" i="2"/>
  <c r="C529" i="2"/>
  <c r="F537" i="2"/>
  <c r="D30" i="2"/>
  <c r="C27" i="2"/>
  <c r="C535" i="2"/>
  <c r="C532" i="2"/>
  <c r="F530" i="2"/>
  <c r="E13" i="15"/>
  <c r="E14" i="15"/>
  <c r="E179" i="2"/>
  <c r="D179" i="2"/>
  <c r="E178" i="2"/>
  <c r="D178" i="2"/>
  <c r="E177" i="2"/>
  <c r="D177" i="2"/>
  <c r="C177" i="2"/>
  <c r="C178" i="2"/>
  <c r="F27" i="2" l="1"/>
  <c r="C30" i="2"/>
  <c r="F178" i="2"/>
  <c r="G178" i="2" s="1"/>
  <c r="F177" i="2"/>
  <c r="G177" i="2" s="1"/>
  <c r="G27" i="2" l="1"/>
  <c r="G30" i="2" s="1"/>
  <c r="F30" i="2"/>
  <c r="G14" i="14"/>
  <c r="G11" i="13"/>
  <c r="B5" i="16"/>
  <c r="F13" i="16" s="1"/>
  <c r="G13" i="16" l="1"/>
  <c r="G9" i="16"/>
  <c r="E14" i="16"/>
  <c r="E10" i="16"/>
  <c r="F10" i="16"/>
  <c r="F14" i="16"/>
  <c r="E8" i="16"/>
  <c r="E12" i="16"/>
  <c r="G7" i="16"/>
  <c r="G11" i="16"/>
  <c r="F8" i="16"/>
  <c r="F12" i="16"/>
  <c r="G8" i="16"/>
  <c r="G10" i="16"/>
  <c r="G12" i="16"/>
  <c r="G14" i="16"/>
  <c r="E7" i="16"/>
  <c r="E9" i="16"/>
  <c r="E11" i="16"/>
  <c r="E13" i="16"/>
  <c r="F7" i="16"/>
  <c r="F9" i="16"/>
  <c r="F11" i="16"/>
  <c r="E7" i="14"/>
  <c r="E13" i="14"/>
  <c r="G13" i="14"/>
  <c r="E9" i="14"/>
  <c r="E11" i="14"/>
  <c r="F9" i="14"/>
  <c r="F11" i="14"/>
  <c r="G7" i="14"/>
  <c r="G11" i="14"/>
  <c r="E10" i="14"/>
  <c r="E14" i="14"/>
  <c r="F8" i="14"/>
  <c r="F10" i="14"/>
  <c r="F12" i="14"/>
  <c r="F14" i="14"/>
  <c r="F7" i="14"/>
  <c r="F13" i="14"/>
  <c r="G9" i="14"/>
  <c r="E8" i="14"/>
  <c r="E12" i="14"/>
  <c r="G8" i="14"/>
  <c r="G10" i="14"/>
  <c r="G12" i="14"/>
  <c r="E8" i="13"/>
  <c r="E10" i="13"/>
  <c r="G10" i="13"/>
  <c r="F8" i="13"/>
  <c r="F10" i="13"/>
  <c r="G8" i="13"/>
  <c r="E7" i="13"/>
  <c r="E9" i="13"/>
  <c r="E11" i="13"/>
  <c r="F7" i="13"/>
  <c r="F9" i="13"/>
  <c r="F11" i="13"/>
  <c r="G7" i="13"/>
  <c r="G9" i="13"/>
  <c r="D8" i="5"/>
  <c r="D6" i="5"/>
  <c r="D13" i="14" l="1"/>
  <c r="D12" i="16"/>
  <c r="D13" i="16"/>
  <c r="D10" i="16"/>
  <c r="D14" i="16"/>
  <c r="D9" i="16"/>
  <c r="D7" i="14"/>
  <c r="D7" i="16"/>
  <c r="D11" i="13"/>
  <c r="D11" i="16"/>
  <c r="D8" i="16"/>
  <c r="D14" i="14"/>
  <c r="D7" i="13"/>
  <c r="D8" i="13"/>
  <c r="D11" i="14"/>
  <c r="D8" i="14"/>
  <c r="D9" i="14"/>
  <c r="D12" i="14"/>
  <c r="D10" i="14"/>
  <c r="D9" i="13"/>
  <c r="D10" i="13"/>
  <c r="D8" i="7" l="1"/>
  <c r="D6" i="7"/>
  <c r="E395" i="2"/>
  <c r="D395" i="2"/>
  <c r="C395" i="2"/>
  <c r="D6" i="6"/>
  <c r="D8" i="6"/>
  <c r="C394" i="2"/>
  <c r="D394" i="2"/>
  <c r="E394" i="2"/>
  <c r="C69" i="2"/>
  <c r="D69" i="2"/>
  <c r="E69" i="2"/>
  <c r="E68" i="2"/>
  <c r="D68" i="2"/>
  <c r="C68" i="2"/>
  <c r="E67" i="2"/>
  <c r="D67" i="2"/>
  <c r="C67" i="2"/>
  <c r="E66" i="2"/>
  <c r="D66" i="2"/>
  <c r="C66" i="2"/>
  <c r="E65" i="2"/>
  <c r="D65" i="2"/>
  <c r="C65" i="2"/>
  <c r="F394" i="2" l="1"/>
  <c r="G394" i="2" s="1"/>
  <c r="F69" i="2"/>
  <c r="G69" i="2" s="1"/>
  <c r="F65" i="2"/>
  <c r="G65" i="2" s="1"/>
  <c r="AG2" i="10" l="1"/>
  <c r="AG2" i="9" l="1"/>
  <c r="AA2" i="8"/>
  <c r="D446" i="2" l="1"/>
  <c r="E446" i="2"/>
  <c r="D482" i="2"/>
  <c r="E482" i="2"/>
  <c r="C446" i="2" l="1"/>
  <c r="F446" i="2" s="1"/>
  <c r="G446" i="2" s="1"/>
  <c r="C482" i="2"/>
  <c r="F482" i="2" s="1"/>
  <c r="G482" i="2" s="1"/>
  <c r="D445" i="2" l="1"/>
  <c r="E445" i="2"/>
  <c r="D483" i="2"/>
  <c r="E483" i="2"/>
  <c r="D401" i="2"/>
  <c r="E401" i="2"/>
  <c r="D380" i="2"/>
  <c r="C445" i="2" l="1"/>
  <c r="F445" i="2" s="1"/>
  <c r="G445" i="2" s="1"/>
  <c r="C483" i="2"/>
  <c r="F483" i="2" s="1"/>
  <c r="G483" i="2" s="1"/>
  <c r="C401" i="2"/>
  <c r="F401" i="2" s="1"/>
  <c r="G401" i="2" s="1"/>
  <c r="D368" i="2" l="1"/>
  <c r="E368" i="2"/>
  <c r="D297" i="2"/>
  <c r="E297" i="2"/>
  <c r="D324" i="2"/>
  <c r="E324" i="2"/>
  <c r="D325" i="2"/>
  <c r="E325" i="2"/>
  <c r="D265" i="2"/>
  <c r="E265" i="2"/>
  <c r="D222" i="2"/>
  <c r="E222" i="2"/>
  <c r="D223" i="2"/>
  <c r="E223" i="2"/>
  <c r="D152" i="2"/>
  <c r="E152" i="2"/>
  <c r="D155" i="2"/>
  <c r="E155" i="2"/>
  <c r="D154" i="2"/>
  <c r="E154" i="2"/>
  <c r="D118" i="2"/>
  <c r="E118" i="2"/>
  <c r="D150" i="2"/>
  <c r="E150" i="2"/>
  <c r="D151" i="2"/>
  <c r="E151" i="2"/>
  <c r="D153" i="2"/>
  <c r="E153" i="2"/>
  <c r="D75" i="2"/>
  <c r="E75" i="2"/>
  <c r="D107" i="2"/>
  <c r="E107" i="2"/>
  <c r="D108" i="2"/>
  <c r="E108" i="2"/>
  <c r="D109" i="2"/>
  <c r="E109" i="2"/>
  <c r="D110" i="2"/>
  <c r="E110" i="2"/>
  <c r="C324" i="2" l="1"/>
  <c r="F324" i="2" s="1"/>
  <c r="G324" i="2" s="1"/>
  <c r="C368" i="2"/>
  <c r="F368" i="2" s="1"/>
  <c r="G368" i="2" s="1"/>
  <c r="C325" i="2"/>
  <c r="F325" i="2" s="1"/>
  <c r="G325" i="2" s="1"/>
  <c r="C297" i="2"/>
  <c r="F297" i="2" s="1"/>
  <c r="G297" i="2" s="1"/>
  <c r="C265" i="2"/>
  <c r="F265" i="2" s="1"/>
  <c r="G265" i="2" s="1"/>
  <c r="C222" i="2"/>
  <c r="F222" i="2" s="1"/>
  <c r="G222" i="2" s="1"/>
  <c r="C223" i="2"/>
  <c r="F223" i="2" s="1"/>
  <c r="G223" i="2" s="1"/>
  <c r="C152" i="2"/>
  <c r="F152" i="2" s="1"/>
  <c r="G152" i="2" s="1"/>
  <c r="C155" i="2"/>
  <c r="F155" i="2" s="1"/>
  <c r="G155" i="2" s="1"/>
  <c r="C154" i="2"/>
  <c r="F154" i="2" s="1"/>
  <c r="G154" i="2" s="1"/>
  <c r="C151" i="2"/>
  <c r="F151" i="2" s="1"/>
  <c r="G151" i="2" s="1"/>
  <c r="C153" i="2"/>
  <c r="F153" i="2" s="1"/>
  <c r="G153" i="2" s="1"/>
  <c r="C118" i="2"/>
  <c r="F118" i="2" s="1"/>
  <c r="G118" i="2" s="1"/>
  <c r="C150" i="2"/>
  <c r="F150" i="2" s="1"/>
  <c r="G150" i="2" s="1"/>
  <c r="C108" i="2"/>
  <c r="F108" i="2" s="1"/>
  <c r="G108" i="2" s="1"/>
  <c r="C109" i="2"/>
  <c r="F109" i="2" s="1"/>
  <c r="G109" i="2" s="1"/>
  <c r="C110" i="2"/>
  <c r="F110" i="2" s="1"/>
  <c r="G110" i="2" s="1"/>
  <c r="C107" i="2"/>
  <c r="F107" i="2" s="1"/>
  <c r="G107" i="2" s="1"/>
  <c r="C75" i="2"/>
  <c r="F75" i="2" s="1"/>
  <c r="G75" i="2" s="1"/>
  <c r="D111" i="2" l="1"/>
  <c r="E111" i="2"/>
  <c r="D336" i="2"/>
  <c r="E336" i="2"/>
  <c r="D337" i="2"/>
  <c r="E337" i="2"/>
  <c r="D338" i="2"/>
  <c r="E338" i="2"/>
  <c r="D365" i="2"/>
  <c r="E365" i="2"/>
  <c r="D366" i="2"/>
  <c r="E366" i="2"/>
  <c r="D367" i="2"/>
  <c r="E367" i="2"/>
  <c r="D369" i="2"/>
  <c r="E369" i="2"/>
  <c r="D370" i="2"/>
  <c r="E370" i="2"/>
  <c r="D371" i="2"/>
  <c r="E371" i="2"/>
  <c r="D372" i="2"/>
  <c r="E372" i="2"/>
  <c r="D373" i="2"/>
  <c r="E373" i="2"/>
  <c r="D374" i="2"/>
  <c r="E374" i="2"/>
  <c r="D293" i="2"/>
  <c r="E293" i="2"/>
  <c r="D294" i="2"/>
  <c r="E294" i="2"/>
  <c r="D295" i="2"/>
  <c r="E295" i="2"/>
  <c r="D296" i="2"/>
  <c r="E296" i="2"/>
  <c r="D326" i="2"/>
  <c r="E326" i="2"/>
  <c r="D327" i="2"/>
  <c r="E327" i="2"/>
  <c r="D328" i="2"/>
  <c r="E328" i="2"/>
  <c r="D329" i="2"/>
  <c r="E329" i="2"/>
  <c r="D330" i="2"/>
  <c r="E330" i="2"/>
  <c r="D331" i="2"/>
  <c r="E331" i="2"/>
  <c r="C329" i="2" l="1"/>
  <c r="F329" i="2" s="1"/>
  <c r="G329" i="2" s="1"/>
  <c r="C336" i="2"/>
  <c r="F336" i="2" s="1"/>
  <c r="G336" i="2" s="1"/>
  <c r="C111" i="2"/>
  <c r="F111" i="2" s="1"/>
  <c r="G111" i="2" s="1"/>
  <c r="C366" i="2"/>
  <c r="F366" i="2" s="1"/>
  <c r="G366" i="2" s="1"/>
  <c r="C337" i="2"/>
  <c r="F337" i="2" s="1"/>
  <c r="G337" i="2" s="1"/>
  <c r="C330" i="2"/>
  <c r="F330" i="2" s="1"/>
  <c r="G330" i="2" s="1"/>
  <c r="C327" i="2"/>
  <c r="F327" i="2" s="1"/>
  <c r="G327" i="2" s="1"/>
  <c r="C294" i="2"/>
  <c r="F294" i="2" s="1"/>
  <c r="G294" i="2" s="1"/>
  <c r="C293" i="2"/>
  <c r="F293" i="2" s="1"/>
  <c r="G293" i="2" s="1"/>
  <c r="C373" i="2"/>
  <c r="F373" i="2" s="1"/>
  <c r="G373" i="2" s="1"/>
  <c r="C370" i="2"/>
  <c r="F370" i="2" s="1"/>
  <c r="G370" i="2" s="1"/>
  <c r="C374" i="2"/>
  <c r="F374" i="2" s="1"/>
  <c r="G374" i="2" s="1"/>
  <c r="C367" i="2"/>
  <c r="F367" i="2" s="1"/>
  <c r="G367" i="2" s="1"/>
  <c r="C372" i="2"/>
  <c r="F372" i="2" s="1"/>
  <c r="G372" i="2" s="1"/>
  <c r="C369" i="2"/>
  <c r="F369" i="2" s="1"/>
  <c r="G369" i="2" s="1"/>
  <c r="C365" i="2"/>
  <c r="F365" i="2" s="1"/>
  <c r="G365" i="2" s="1"/>
  <c r="C371" i="2"/>
  <c r="F371" i="2" s="1"/>
  <c r="G371" i="2" s="1"/>
  <c r="C338" i="2"/>
  <c r="F338" i="2" s="1"/>
  <c r="G338" i="2" s="1"/>
  <c r="C331" i="2"/>
  <c r="F331" i="2" s="1"/>
  <c r="G331" i="2" s="1"/>
  <c r="C296" i="2"/>
  <c r="F296" i="2" s="1"/>
  <c r="G296" i="2" s="1"/>
  <c r="C328" i="2"/>
  <c r="F328" i="2" s="1"/>
  <c r="G328" i="2" s="1"/>
  <c r="C295" i="2"/>
  <c r="F295" i="2" s="1"/>
  <c r="G295" i="2" s="1"/>
  <c r="C326" i="2"/>
  <c r="F326" i="2" s="1"/>
  <c r="G326" i="2" s="1"/>
  <c r="D74" i="2"/>
  <c r="E74" i="2"/>
  <c r="D112" i="2"/>
  <c r="E112" i="2"/>
  <c r="D266" i="2"/>
  <c r="E266" i="2"/>
  <c r="D58" i="2"/>
  <c r="E58" i="2"/>
  <c r="D54" i="2"/>
  <c r="D50" i="2"/>
  <c r="E54" i="2"/>
  <c r="E50" i="2"/>
  <c r="D280" i="2"/>
  <c r="E280" i="2"/>
  <c r="C112" i="2" l="1"/>
  <c r="F112" i="2" s="1"/>
  <c r="G112" i="2" s="1"/>
  <c r="C74" i="2"/>
  <c r="F74" i="2" s="1"/>
  <c r="G74" i="2" s="1"/>
  <c r="C266" i="2"/>
  <c r="F266" i="2" s="1"/>
  <c r="G266" i="2" s="1"/>
  <c r="C50" i="2"/>
  <c r="G50" i="2" s="1"/>
  <c r="C58" i="2"/>
  <c r="F58" i="2" s="1"/>
  <c r="C54" i="2"/>
  <c r="F54" i="2" s="1"/>
  <c r="G54" i="2" s="1"/>
  <c r="B5" i="15"/>
  <c r="D184" i="2"/>
  <c r="E184" i="2"/>
  <c r="D185" i="2"/>
  <c r="E185" i="2"/>
  <c r="G14" i="15" l="1"/>
  <c r="G13" i="15"/>
  <c r="F14" i="15"/>
  <c r="D14" i="15" s="1"/>
  <c r="F13" i="15"/>
  <c r="D13" i="15" s="1"/>
  <c r="G12" i="15"/>
  <c r="F12" i="15"/>
  <c r="E12" i="15"/>
  <c r="G8" i="15"/>
  <c r="G11" i="15"/>
  <c r="G10" i="15"/>
  <c r="G9" i="15"/>
  <c r="F50" i="2"/>
  <c r="G58" i="2"/>
  <c r="G7" i="15"/>
  <c r="F7" i="15"/>
  <c r="C184" i="2"/>
  <c r="F184" i="2" s="1"/>
  <c r="G184" i="2" s="1"/>
  <c r="C185" i="2"/>
  <c r="F185" i="2" s="1"/>
  <c r="G185" i="2" s="1"/>
  <c r="D444" i="2" l="1"/>
  <c r="E444" i="2"/>
  <c r="D400" i="2"/>
  <c r="E400" i="2"/>
  <c r="C444" i="2" l="1"/>
  <c r="F444" i="2" s="1"/>
  <c r="G444" i="2" s="1"/>
  <c r="C400" i="2"/>
  <c r="F400" i="2" s="1"/>
  <c r="G400" i="2" s="1"/>
  <c r="E380" i="2" l="1"/>
  <c r="E6" i="5" l="1"/>
  <c r="E6" i="6" l="1"/>
  <c r="D272" i="2"/>
  <c r="E272" i="2"/>
  <c r="E276" i="2"/>
  <c r="D276" i="2"/>
  <c r="E6" i="7"/>
  <c r="E169" i="2"/>
  <c r="D169" i="2"/>
  <c r="E165" i="2"/>
  <c r="D165" i="2"/>
  <c r="D161" i="2"/>
  <c r="E161" i="2"/>
  <c r="D6" i="4"/>
  <c r="E6" i="4" s="1"/>
  <c r="E8" i="5"/>
  <c r="E35" i="2"/>
  <c r="C280" i="2" l="1"/>
  <c r="C272" i="2"/>
  <c r="F272" i="2" s="1"/>
  <c r="C276" i="2"/>
  <c r="F276" i="2" s="1"/>
  <c r="G276" i="2" s="1"/>
  <c r="C380" i="2"/>
  <c r="C169" i="2"/>
  <c r="F169" i="2" s="1"/>
  <c r="C165" i="2"/>
  <c r="F165" i="2" s="1"/>
  <c r="G165" i="2" s="1"/>
  <c r="C161" i="2"/>
  <c r="G161" i="2" s="1"/>
  <c r="D117" i="2"/>
  <c r="E117" i="2"/>
  <c r="D73" i="2"/>
  <c r="E73" i="2"/>
  <c r="A5" i="1"/>
  <c r="E38" i="2"/>
  <c r="D38" i="2"/>
  <c r="F161" i="2" l="1"/>
  <c r="G169" i="2"/>
  <c r="G272" i="2"/>
  <c r="G280" i="2"/>
  <c r="F280" i="2"/>
  <c r="G380" i="2"/>
  <c r="F380" i="2"/>
  <c r="F10" i="15"/>
  <c r="E11" i="15"/>
  <c r="E8" i="15"/>
  <c r="E10" i="15"/>
  <c r="F9" i="15"/>
  <c r="E7" i="15"/>
  <c r="F11" i="15"/>
  <c r="E9" i="15"/>
  <c r="F8" i="15"/>
  <c r="C117" i="2"/>
  <c r="F117" i="2" s="1"/>
  <c r="G117" i="2" s="1"/>
  <c r="C73" i="2"/>
  <c r="F73" i="2" s="1"/>
  <c r="G73" i="2" s="1"/>
  <c r="C21" i="12"/>
  <c r="E288" i="2"/>
  <c r="E287" i="2"/>
  <c r="E286" i="2"/>
  <c r="E285" i="2"/>
  <c r="E284" i="2"/>
  <c r="E393" i="2"/>
  <c r="E392" i="2"/>
  <c r="E391" i="2"/>
  <c r="E390" i="2"/>
  <c r="E389" i="2"/>
  <c r="E388" i="2"/>
  <c r="E64" i="2"/>
  <c r="E63" i="2"/>
  <c r="E62" i="2"/>
  <c r="E180" i="2"/>
  <c r="E176" i="2"/>
  <c r="E175" i="2"/>
  <c r="E174" i="2"/>
  <c r="E173" i="2"/>
  <c r="D7" i="15" l="1"/>
  <c r="D8" i="15"/>
  <c r="D10" i="15"/>
  <c r="D11" i="15"/>
  <c r="D9" i="15"/>
  <c r="D12" i="15"/>
  <c r="A85" i="1"/>
  <c r="E43" i="2" l="1"/>
  <c r="E44" i="2"/>
  <c r="D44" i="2"/>
  <c r="D43" i="2"/>
  <c r="E42" i="2"/>
  <c r="D42" i="2"/>
  <c r="E8" i="6"/>
  <c r="C44" i="2" l="1"/>
  <c r="F44" i="2" s="1"/>
  <c r="C43" i="2"/>
  <c r="F43" i="2" s="1"/>
  <c r="C42" i="2"/>
  <c r="G42" i="2" s="1"/>
  <c r="G44" i="2" l="1"/>
  <c r="F42" i="2"/>
  <c r="G43" i="2"/>
  <c r="D335" i="2"/>
  <c r="E335" i="2"/>
  <c r="D292" i="2"/>
  <c r="E292" i="2"/>
  <c r="C292" i="2" l="1"/>
  <c r="F292" i="2" s="1"/>
  <c r="G292" i="2" s="1"/>
  <c r="C335" i="2"/>
  <c r="F335" i="2" s="1"/>
  <c r="G335" i="2" s="1"/>
  <c r="D228" i="2" l="1"/>
  <c r="E228" i="2"/>
  <c r="C228" i="2" l="1"/>
  <c r="F228" i="2" s="1"/>
  <c r="G228" i="2" s="1"/>
  <c r="C62" i="2" l="1"/>
  <c r="D62" i="2"/>
  <c r="F68" i="2"/>
  <c r="F62" i="2" l="1"/>
  <c r="E105" i="1"/>
  <c r="D105" i="1"/>
  <c r="E104" i="1"/>
  <c r="D104" i="1"/>
  <c r="E103" i="1"/>
  <c r="D103" i="1"/>
  <c r="C105" i="1" l="1"/>
  <c r="F105" i="1" s="1"/>
  <c r="G105" i="1" s="1"/>
  <c r="C104" i="1"/>
  <c r="F104" i="1" s="1"/>
  <c r="G104" i="1" s="1"/>
  <c r="C103" i="1"/>
  <c r="F103" i="1" s="1"/>
  <c r="G103" i="1" s="1"/>
  <c r="D393" i="2"/>
  <c r="D392" i="2"/>
  <c r="D391" i="2"/>
  <c r="D390" i="2"/>
  <c r="D389" i="2"/>
  <c r="F395" i="2"/>
  <c r="G395" i="2" s="1"/>
  <c r="C393" i="2"/>
  <c r="F393" i="2" s="1"/>
  <c r="G393" i="2" s="1"/>
  <c r="C392" i="2"/>
  <c r="C391" i="2"/>
  <c r="C390" i="2"/>
  <c r="C389" i="2"/>
  <c r="D388" i="2"/>
  <c r="C388" i="2"/>
  <c r="D116" i="2"/>
  <c r="E116" i="2"/>
  <c r="D64" i="2"/>
  <c r="D63" i="2"/>
  <c r="F67" i="2"/>
  <c r="C64" i="2"/>
  <c r="C63" i="2"/>
  <c r="D35" i="2"/>
  <c r="F391" i="2" l="1"/>
  <c r="G391" i="2" s="1"/>
  <c r="F389" i="2"/>
  <c r="G389" i="2" s="1"/>
  <c r="F388" i="2"/>
  <c r="G388" i="2" s="1"/>
  <c r="F392" i="2"/>
  <c r="G392" i="2" s="1"/>
  <c r="F390" i="2"/>
  <c r="G390" i="2" s="1"/>
  <c r="F64" i="2"/>
  <c r="F66" i="2"/>
  <c r="F63" i="2"/>
  <c r="C116" i="2"/>
  <c r="F116" i="2" s="1"/>
  <c r="G116" i="2" s="1"/>
  <c r="C35" i="2"/>
  <c r="G35" i="2" s="1"/>
  <c r="C38" i="2"/>
  <c r="G68" i="2" l="1"/>
  <c r="G62" i="2"/>
  <c r="G63" i="2"/>
  <c r="G67" i="2"/>
  <c r="G64" i="2"/>
  <c r="G66" i="2"/>
  <c r="G38" i="2"/>
  <c r="F38" i="2"/>
  <c r="F35" i="2"/>
  <c r="D4" i="5"/>
  <c r="B6" i="5"/>
  <c r="C6" i="5" s="1"/>
  <c r="B8" i="5" l="1"/>
  <c r="C8" i="5" s="1"/>
  <c r="D8" i="4"/>
  <c r="E8" i="4" s="1"/>
  <c r="E227" i="2"/>
  <c r="D227" i="2"/>
  <c r="D180" i="2"/>
  <c r="D176" i="2"/>
  <c r="D175" i="2"/>
  <c r="D174" i="2"/>
  <c r="C180" i="2"/>
  <c r="C179" i="2"/>
  <c r="C176" i="2"/>
  <c r="C175" i="2"/>
  <c r="C174" i="2"/>
  <c r="D173" i="2"/>
  <c r="C173" i="2"/>
  <c r="E36" i="2"/>
  <c r="D36" i="2"/>
  <c r="F180" i="2" l="1"/>
  <c r="F173" i="2"/>
  <c r="F176" i="2"/>
  <c r="F175" i="2"/>
  <c r="F179" i="2"/>
  <c r="F174" i="2"/>
  <c r="B6" i="4"/>
  <c r="C6" i="4" s="1"/>
  <c r="C36" i="2"/>
  <c r="G36" i="2" s="1"/>
  <c r="C227" i="2"/>
  <c r="F227" i="2" s="1"/>
  <c r="G227" i="2" s="1"/>
  <c r="G174" i="2" l="1"/>
  <c r="G175" i="2"/>
  <c r="G179" i="2"/>
  <c r="G176" i="2"/>
  <c r="G173" i="2"/>
  <c r="G180" i="2"/>
  <c r="F36" i="2"/>
  <c r="B8" i="4"/>
  <c r="D4" i="4"/>
  <c r="C8" i="4" l="1"/>
  <c r="E8" i="7"/>
  <c r="D288" i="2"/>
  <c r="C288" i="2"/>
  <c r="D287" i="2"/>
  <c r="C287" i="2"/>
  <c r="D286" i="2"/>
  <c r="C286" i="2"/>
  <c r="D285" i="2"/>
  <c r="C285" i="2"/>
  <c r="D284" i="2"/>
  <c r="C284" i="2"/>
  <c r="D37" i="2"/>
  <c r="E37" i="2"/>
  <c r="F288" i="2" l="1"/>
  <c r="F284" i="2"/>
  <c r="F286" i="2"/>
  <c r="F285" i="2"/>
  <c r="F287" i="2"/>
  <c r="C37" i="2"/>
  <c r="F37" i="2" s="1"/>
  <c r="G284" i="2" l="1"/>
  <c r="G288" i="2"/>
  <c r="G286" i="2"/>
  <c r="G287" i="2"/>
  <c r="G285" i="2"/>
  <c r="G37" i="2"/>
  <c r="B6" i="7"/>
  <c r="C6" i="7" s="1"/>
  <c r="D4" i="7"/>
  <c r="B8" i="7" l="1"/>
  <c r="C8" i="7" l="1"/>
  <c r="E384" i="2"/>
  <c r="E106" i="1"/>
  <c r="D384" i="2"/>
  <c r="D106" i="1"/>
  <c r="AG2" i="11"/>
  <c r="C384" i="2" l="1"/>
  <c r="F384" i="2" s="1"/>
  <c r="G384" i="2" s="1"/>
  <c r="C106" i="1"/>
  <c r="F106" i="1" s="1"/>
  <c r="G106" i="1" s="1"/>
  <c r="G107" i="1" s="1"/>
  <c r="B6" i="6" l="1"/>
  <c r="C6" i="6" s="1"/>
  <c r="D4" i="6"/>
  <c r="B8" i="6" l="1"/>
  <c r="C8" i="6" l="1"/>
  <c r="F15" i="2"/>
</calcChain>
</file>

<file path=xl/sharedStrings.xml><?xml version="1.0" encoding="utf-8"?>
<sst xmlns="http://schemas.openxmlformats.org/spreadsheetml/2006/main" count="36832" uniqueCount="2864">
  <si>
    <t>RELATÓRIO PARCIAL</t>
  </si>
  <si>
    <t>CONTROLE TECNOLÓGICO</t>
  </si>
  <si>
    <t>POLO FREGUESIA DO Ó</t>
  </si>
  <si>
    <t>CONTRATADA AUDITADA: Consórcio Nova Norte X</t>
  </si>
  <si>
    <t>CONTRATO: 11522428</t>
  </si>
  <si>
    <t>SÃO PAULO</t>
  </si>
  <si>
    <t>FREGUESIA DO Ó</t>
  </si>
  <si>
    <t>ACOMPANHAMENTO EM CAMPO</t>
  </si>
  <si>
    <t>Período: 01/03/2026 à 31/03/2026</t>
  </si>
  <si>
    <t>ÍNDICE TECNOLÓGICO (%)</t>
  </si>
  <si>
    <t>IT (%)</t>
  </si>
  <si>
    <t>ÍNDICE DE CONFORMIDADE (%)</t>
  </si>
  <si>
    <t>Tipo de Serviço</t>
  </si>
  <si>
    <t>IC (%)</t>
  </si>
  <si>
    <t>Quantidade de LVs</t>
  </si>
  <si>
    <t>Água</t>
  </si>
  <si>
    <t>Esgoto</t>
  </si>
  <si>
    <t>Reposição</t>
  </si>
  <si>
    <t>FALTAM</t>
  </si>
  <si>
    <t>QUALIDADE</t>
  </si>
  <si>
    <t>PRAZO</t>
  </si>
  <si>
    <t>SEGURANÇA</t>
  </si>
  <si>
    <t>ORGANIZAÇÃO</t>
  </si>
  <si>
    <t>OLHAR DIGITAL</t>
  </si>
  <si>
    <t>ÍNDICE DE QUALIDADE SABESP - IQS (%)</t>
  </si>
  <si>
    <t>Fotos Avaliadas</t>
  </si>
  <si>
    <t>Fotos NC</t>
  </si>
  <si>
    <t>Fotos Conforme</t>
  </si>
  <si>
    <t>Não Conforme (%)</t>
  </si>
  <si>
    <t>Conforme (%)</t>
  </si>
  <si>
    <t>Cavalete</t>
  </si>
  <si>
    <t>Total</t>
  </si>
  <si>
    <t>IQS Não Conforme (%):</t>
  </si>
  <si>
    <t>IQS (%):</t>
  </si>
  <si>
    <t>TEMPO DE EXECUÇÃO</t>
  </si>
  <si>
    <t>Avaliados</t>
  </si>
  <si>
    <t>Não Conforme</t>
  </si>
  <si>
    <t>Conforme</t>
  </si>
  <si>
    <t>BAIXA DE MATERIAIS</t>
  </si>
  <si>
    <t>ÁGUA</t>
  </si>
  <si>
    <t>ETAPAS - CONFORMIDADE</t>
  </si>
  <si>
    <t>CONFORME</t>
  </si>
  <si>
    <t>NÃO CONFORME</t>
  </si>
  <si>
    <t>SEM FOTO</t>
  </si>
  <si>
    <t>CONFORME (%)</t>
  </si>
  <si>
    <t>NÃO CONFORME(%)</t>
  </si>
  <si>
    <t>FACHADA</t>
  </si>
  <si>
    <t>SINALIZAÇÃO</t>
  </si>
  <si>
    <t>ENCERADO</t>
  </si>
  <si>
    <t>GEOMETRIA</t>
  </si>
  <si>
    <t>BERÇO DE AREIA</t>
  </si>
  <si>
    <t>ESTANQUEIDADE</t>
  </si>
  <si>
    <t>COMPACTAÇÃO</t>
  </si>
  <si>
    <t>FINALIZAÇÃO</t>
  </si>
  <si>
    <t>EQUIPES - CONFORMIDADE - TEMPO DE EXECUÇÃO</t>
  </si>
  <si>
    <t>EQUIPE</t>
  </si>
  <si>
    <t>AVALIADOS</t>
  </si>
  <si>
    <t>NÃO CONFORME (%)</t>
  </si>
  <si>
    <t>TESTE</t>
  </si>
  <si>
    <t>EQUIPES - CONFORMIDADE - SEQUÊNCIA DE FOTOS</t>
  </si>
  <si>
    <t>ESGOTO</t>
  </si>
  <si>
    <t>PI,PV e TL</t>
  </si>
  <si>
    <t>NA</t>
  </si>
  <si>
    <t>ESCORAMENTO</t>
  </si>
  <si>
    <t>CAVALETE</t>
  </si>
  <si>
    <t>ANTES</t>
  </si>
  <si>
    <t>HIDRÔMETRO</t>
  </si>
  <si>
    <t>LEITURA</t>
  </si>
  <si>
    <t>REPOSIÇÃO</t>
  </si>
  <si>
    <t>IMPRIMAÇÃO</t>
  </si>
  <si>
    <t>TERMÔMETRO</t>
  </si>
  <si>
    <t>RASTELO</t>
  </si>
  <si>
    <t>COMPAC. MASSA ASF.</t>
  </si>
  <si>
    <t>PLACA VIBRATÓRIA</t>
  </si>
  <si>
    <t>Tipos de Serviços conformes e não conformes</t>
  </si>
  <si>
    <t>Familia dos Serviços - Água</t>
  </si>
  <si>
    <t>Porcentagem de NC</t>
  </si>
  <si>
    <t>LIGAÇÃO DE ÁGUA</t>
  </si>
  <si>
    <t>OUTROS SERVIÇOS DE ÁGUA</t>
  </si>
  <si>
    <t>RAMAL DE ÁGUA</t>
  </si>
  <si>
    <t>REDE DE ÁGUA</t>
  </si>
  <si>
    <t>VAZAMENTO DE ÁGUA</t>
  </si>
  <si>
    <t>Descrição TSS - Água</t>
  </si>
  <si>
    <t>ARREBENTADO DE REDE DE ÁGUA</t>
  </si>
  <si>
    <t>INCLUIR LIG DE ÁGUA EM CAV MÚLTIPLO S/V</t>
  </si>
  <si>
    <t>INTERLIGAR REDE DE ÁGUA</t>
  </si>
  <si>
    <t>LIGAÇÃO DE ÁGUA S/V</t>
  </si>
  <si>
    <t>NIVELAR CAIXA DE PARADA</t>
  </si>
  <si>
    <t>PROLONGAR REDE DE ÁGUA</t>
  </si>
  <si>
    <t>SONDAR RAMAL DE ÁGUA</t>
  </si>
  <si>
    <t>SONDAR REDE DE ÁGUA</t>
  </si>
  <si>
    <t>SUBSTITUIR LIG AGUA SIMPLES PARA DIMENS</t>
  </si>
  <si>
    <t>SUBSTITUIR LIGAÇÃO DE AGUA</t>
  </si>
  <si>
    <t>SUBSTITUIR TAMPA DE CAIXA UMA</t>
  </si>
  <si>
    <t>TRANSFORMAÇÃO LIG EXIST COM APROV RAMAL</t>
  </si>
  <si>
    <t>TRANSFORMAÇÃO LIG EXIST SEM APROV RAMAL</t>
  </si>
  <si>
    <t>TRANSFORMAÇÃO LIG NOVA COM APROV RAMAL</t>
  </si>
  <si>
    <t>TRANSFORMAÇÃO LIG NOVA SEM APROV RAMAL</t>
  </si>
  <si>
    <t>TROCAR CONEXÃO DE LIGAÇÃO DE ÁGUA</t>
  </si>
  <si>
    <t>TROCAR RAMAL DE ÁGUA</t>
  </si>
  <si>
    <t>TROCAR RAMAL DE ÁGUA - VAZ NÃO VISIVEL</t>
  </si>
  <si>
    <t>TROCAR RAMAL DE ÁGUA PREVENTIVA</t>
  </si>
  <si>
    <t>VAZAMENTO DE ÁGUA COM INFILTRAÇÃO</t>
  </si>
  <si>
    <t>VAZAMENTO DE ÁGUA LEITO PAVIMENTADO</t>
  </si>
  <si>
    <t>VAZAMENTO DE ÁGUA LEITO TERRA</t>
  </si>
  <si>
    <t>VAZAMENTO DE ÁGUA NÃO VISÍVEL RAMAL</t>
  </si>
  <si>
    <t>VAZAMENTO DE ÁGUA NÃO VISÍVEL REDE</t>
  </si>
  <si>
    <t>VAZAMENTO DE ÁGUA NO PASSEIO</t>
  </si>
  <si>
    <t>Familia dos Serviços - Esgoto</t>
  </si>
  <si>
    <t>CONSERTO DE ESGOTO</t>
  </si>
  <si>
    <t>LIGAÇÃO DE ESGOTO</t>
  </si>
  <si>
    <t>OUTROS SERVIÇOS DE ESGOTO</t>
  </si>
  <si>
    <t>PI, PV, TL</t>
  </si>
  <si>
    <t>REDE DE ESGOTO</t>
  </si>
  <si>
    <t>Descrição TSS - Esgoto</t>
  </si>
  <si>
    <t>CONSERTAR POÇO DE INSPEÇÃO/VISITA</t>
  </si>
  <si>
    <t>CONSERTAR REDE DE ESGOTO</t>
  </si>
  <si>
    <t>CONSTRUIR POÇO DE VISITA</t>
  </si>
  <si>
    <t>LIGAÇÃO DE ESGOTO ADICIONAL</t>
  </si>
  <si>
    <t>LIGAÇÃO DE ESGOTO AVULSA S/V</t>
  </si>
  <si>
    <t>LIGAÇÃO DE ESGOTO S/V</t>
  </si>
  <si>
    <t>NIVELAR POÇO DE INSPEÇÃO/VISITA</t>
  </si>
  <si>
    <t>SONDAR REDE DE ESGOTO</t>
  </si>
  <si>
    <t>TROCAR RAMAL DE ESGOTO</t>
  </si>
  <si>
    <t>Familia dos Serviços - Cavalete</t>
  </si>
  <si>
    <t>OUTROS SERVIÇOS DE CAVALETE</t>
  </si>
  <si>
    <t>Descrição TSS - Cavalete</t>
  </si>
  <si>
    <t>CAVALETE QUEBRADO</t>
  </si>
  <si>
    <t>CAVALETE VAZANDO</t>
  </si>
  <si>
    <t>INSTALAR LACRE DIVERSOS</t>
  </si>
  <si>
    <t>READEQUAR CAVALETE</t>
  </si>
  <si>
    <t>REGISTRO DO CAVALETE QUEBRADO</t>
  </si>
  <si>
    <t>REGISTRO DO CAVALETE VAZANDO</t>
  </si>
  <si>
    <t>REGULARIZAR CAVALETE</t>
  </si>
  <si>
    <t>TROCAR CAVALETE (KIT)</t>
  </si>
  <si>
    <t>TROCAR CAVALETE POR UMA</t>
  </si>
  <si>
    <t>TROCAR PE DE CAVALETE PREVENTIVO</t>
  </si>
  <si>
    <t>Familia dos Serviços - Reposição</t>
  </si>
  <si>
    <t>Descrição TSS - Reposição</t>
  </si>
  <si>
    <t>REPOR ASFALTO</t>
  </si>
  <si>
    <t>REPOR ASFALTO INV</t>
  </si>
  <si>
    <t>REPOR CAPA ASFALTICA</t>
  </si>
  <si>
    <t>REPOR CAPA ASFALTICA INV</t>
  </si>
  <si>
    <t>ÍNDICE TECNOLÓGICO</t>
  </si>
  <si>
    <t>O Índice Tecnológico pode ser obtido através da fórmula:</t>
  </si>
  <si>
    <t>IT = {[97 + 3 (Kc/100)] x Ks/100}</t>
  </si>
  <si>
    <t xml:space="preserve">Onde: </t>
  </si>
  <si>
    <t>IT = Índice Tecnológico</t>
  </si>
  <si>
    <t>Kc = Fator do Canteiro</t>
  </si>
  <si>
    <t>Ks = Média de Notas das LVs</t>
  </si>
  <si>
    <t>Estando acima de 80% o IT é considerado satisfatório.</t>
  </si>
  <si>
    <t>Nota: O Índice Tecnológico não foi calculado, pois a avaliação de Canteiro ainda não foi realizada.</t>
  </si>
  <si>
    <t>ACOMPANHAMENTO DE LISTAS DE VERIFICAÇÃO - LVS</t>
  </si>
  <si>
    <t>Índice de Conformidade (%)</t>
  </si>
  <si>
    <t>TIPO DE SERVIÇO</t>
  </si>
  <si>
    <t>QUANTIDADE DE LVS ACIMA DE 80%</t>
  </si>
  <si>
    <t>CONFORMIDADE POR CRITÉRIO DE AVALIAÇÃO</t>
  </si>
  <si>
    <t>ÍNDICE DE QUALIDADE SABESP - IQS (%) - MARÇO</t>
  </si>
  <si>
    <t>AMOSTRA</t>
  </si>
  <si>
    <t>EXECUTADOS</t>
  </si>
  <si>
    <t>VERIFICADOS</t>
  </si>
  <si>
    <t>(%)</t>
  </si>
  <si>
    <t>SEM EVIDÊNCIAS</t>
  </si>
  <si>
    <t>NÃO VERIFICADOS</t>
  </si>
  <si>
    <t>NÃO SINCRONIZADOS</t>
  </si>
  <si>
    <t>RESULTADO</t>
  </si>
  <si>
    <t>AVALIAÇÃO DE MATERIAIS</t>
  </si>
  <si>
    <t>CONFORMIDADE POR ETAPAS DE SERVIÇO</t>
  </si>
  <si>
    <t>EQUIPES - CONFORMIDADES</t>
  </si>
  <si>
    <t>Unidade Executante</t>
  </si>
  <si>
    <t>Número OS</t>
  </si>
  <si>
    <t>Descrição TSS</t>
  </si>
  <si>
    <t>Família</t>
  </si>
  <si>
    <t>Município</t>
  </si>
  <si>
    <t>Endereço</t>
  </si>
  <si>
    <t>Número</t>
  </si>
  <si>
    <t>Complemento</t>
  </si>
  <si>
    <t>Bairro</t>
  </si>
  <si>
    <t>Resultado</t>
  </si>
  <si>
    <t>Nota Execução/Não Execução</t>
  </si>
  <si>
    <t>Data Início Execução</t>
  </si>
  <si>
    <t>Data Fim Execução</t>
  </si>
  <si>
    <t>Observação Fachada</t>
  </si>
  <si>
    <t>Observação Sinalização</t>
  </si>
  <si>
    <t>Observação encerado</t>
  </si>
  <si>
    <t>Observação Geometria</t>
  </si>
  <si>
    <t>Observação Berço de Areia</t>
  </si>
  <si>
    <t>Observaçao Estanqueidade</t>
  </si>
  <si>
    <t>.COMPACTAÇÃO</t>
  </si>
  <si>
    <t>Observação Compactação</t>
  </si>
  <si>
    <t>Observação Finalização</t>
  </si>
  <si>
    <t>Tempo de execução</t>
  </si>
  <si>
    <t>Sequência de Fotos</t>
  </si>
  <si>
    <t>Observações</t>
  </si>
  <si>
    <t>Baixa de materias</t>
  </si>
  <si>
    <t>POLO</t>
  </si>
  <si>
    <t>MUNICÍPIO</t>
  </si>
  <si>
    <t>CARACTERÍSTICA DO SERVIÇO</t>
  </si>
  <si>
    <t>ONMF - DIV MANUT SERV OPE FREGUESIA</t>
  </si>
  <si>
    <t xml:space="preserve"> RUA CAROLINA SOARES</t>
  </si>
  <si>
    <t> </t>
  </si>
  <si>
    <t>V DIVA</t>
  </si>
  <si>
    <t>INTERLIGAÇÃO DE REDE DE AGUA</t>
  </si>
  <si>
    <t>Rede 225</t>
  </si>
  <si>
    <t>ROMERO FRANCISCO DOS SANTOS</t>
  </si>
  <si>
    <t>C</t>
  </si>
  <si>
    <t>SF</t>
  </si>
  <si>
    <t>INSTALAR VÁLVULA DE REDE DE ÁGUA</t>
  </si>
  <si>
    <t xml:space="preserve"> RUA ROCHA LIMA</t>
  </si>
  <si>
    <t>SITIO DO MORRO</t>
  </si>
  <si>
    <t>INSTALADA VALVULA DE REDE DE AGUA</t>
  </si>
  <si>
    <t xml:space="preserve">sem requadramento da vala rua  paralelepípedo </t>
  </si>
  <si>
    <t>RAIMUNDO DA EXALTACAO</t>
  </si>
  <si>
    <t xml:space="preserve"> RUA DOUTOR SALLES MALHEIROS</t>
  </si>
  <si>
    <t>A C/1</t>
  </si>
  <si>
    <t>JD PERI</t>
  </si>
  <si>
    <t>NIVELADA CAIXA DE PARADA</t>
  </si>
  <si>
    <t>LUIZ CARLOS DA SILVA</t>
  </si>
  <si>
    <t xml:space="preserve"> RUA EDUARDO LUIS TRINDADE</t>
  </si>
  <si>
    <t>VL ESPANHOLA</t>
  </si>
  <si>
    <t>SUPRIMIDO RAMAL DE AGUA ABANDONADO</t>
  </si>
  <si>
    <t>LUIZ FERNANDO DIAS BARBOSA DE ALMEIDA</t>
  </si>
  <si>
    <t xml:space="preserve"> RUA NATIVIDADE DA SERRA</t>
  </si>
  <si>
    <t>VL NOVA CACHOEIRINHA</t>
  </si>
  <si>
    <t xml:space="preserve">suprimido no cavalete imóvel abandonado </t>
  </si>
  <si>
    <t xml:space="preserve"> RUA VELOSO DA FONSECA</t>
  </si>
  <si>
    <t>C/1</t>
  </si>
  <si>
    <t>V ALBERTINA</t>
  </si>
  <si>
    <t>SUPRIMIDO RAMAL AGUA ABAND NÃO VISIVEL</t>
  </si>
  <si>
    <t xml:space="preserve">sem reposição </t>
  </si>
  <si>
    <t>GENILSON MARTINS FERNANDES</t>
  </si>
  <si>
    <t xml:space="preserve"> RUA ATAQUE</t>
  </si>
  <si>
    <t>VL ESMERALDA</t>
  </si>
  <si>
    <t>TROCA DE RAMAL DE AGUA PREVENTIVA</t>
  </si>
  <si>
    <t xml:space="preserve">fotos estão nessa OS 2617309333 reposição em obra </t>
  </si>
  <si>
    <t>IZAQUEU FERREIRA DE SOUSA</t>
  </si>
  <si>
    <t xml:space="preserve"> RUA QUARTIM BARBOSA</t>
  </si>
  <si>
    <t>V STA MARIA</t>
  </si>
  <si>
    <t>SONDAGEM DE RAMAL DE AGUA</t>
  </si>
  <si>
    <t>NC</t>
  </si>
  <si>
    <t>AUSÊNCIA DE RÉGUA, TRENA E CARIMBO</t>
  </si>
  <si>
    <t xml:space="preserve"> RUA MANUEL MADRUGA</t>
  </si>
  <si>
    <t>VL MANOEL LOPES</t>
  </si>
  <si>
    <t>TROCA DE RAMAL DE AGUA NÃO VISIVEL</t>
  </si>
  <si>
    <t xml:space="preserve">as fotos tá na o.s 2617950354, mais ccv </t>
  </si>
  <si>
    <t xml:space="preserve"> RUA ESTADO DE RONDONIA</t>
  </si>
  <si>
    <t>JD CIDADE PIRITUBA</t>
  </si>
  <si>
    <t>fotos na os 2691986722</t>
  </si>
  <si>
    <t>FRANCISCO CARLOS LEITE DA SILVA</t>
  </si>
  <si>
    <t xml:space="preserve"> RUA CACHOEIRA DOS ANTUNES</t>
  </si>
  <si>
    <t>C/5</t>
  </si>
  <si>
    <t>VL DIONISIA</t>
  </si>
  <si>
    <t>INCLUSÃO DE LIG DE AGUA EM CAV MULT S/V</t>
  </si>
  <si>
    <t xml:space="preserve">feita uma ligação ária de risco viela viela em obras criete vai fazer </t>
  </si>
  <si>
    <t>ADECARLOS DE SOUSA SANTOS</t>
  </si>
  <si>
    <t xml:space="preserve"> AVENIDA SANTA INES</t>
  </si>
  <si>
    <t>POCO LEIT.</t>
  </si>
  <si>
    <t>MANDAQUI</t>
  </si>
  <si>
    <t>FOTOS E REPOSIÇÃO NA OS 2617563355
REDE 225</t>
  </si>
  <si>
    <t xml:space="preserve"> RUA SANTA AUTA</t>
  </si>
  <si>
    <t>FREGUESIA DO O</t>
  </si>
  <si>
    <t>SONDAGEM DE REDE DE AGUA</t>
  </si>
  <si>
    <t>S observação as foto está na os 2617628445</t>
  </si>
  <si>
    <t xml:space="preserve"> RUA BENEDITO GUEDES DE OLIVEIRA</t>
  </si>
  <si>
    <t>VL PALMEIRAS</t>
  </si>
  <si>
    <t>What's the observação as fotos está na oes2617628663</t>
  </si>
  <si>
    <t xml:space="preserve"> RUA SANTA ROMANA</t>
  </si>
  <si>
    <t>V PEREIRA CERCA</t>
  </si>
  <si>
    <t>TROCA DE RAMAL DE AGUA</t>
  </si>
  <si>
    <t>SERVIÇO EXECUTADO NO NUMERO 288.</t>
  </si>
  <si>
    <t xml:space="preserve"> RUA GUMERCINDO DE PAULA</t>
  </si>
  <si>
    <t>JD MONTE ALEGRE</t>
  </si>
  <si>
    <t xml:space="preserve"> RUA GRACIANO ALTIERI</t>
  </si>
  <si>
    <t>C/9</t>
  </si>
  <si>
    <t>CASA VERDE ALTA</t>
  </si>
  <si>
    <t xml:space="preserve">Sei sinalização devido detro de uma viela </t>
  </si>
  <si>
    <t xml:space="preserve"> RUA NICOLA NICODEMO</t>
  </si>
  <si>
    <t>SITIO DO MANDAQUI</t>
  </si>
  <si>
    <t>sem Reposição passeio terra imóvel abandonado</t>
  </si>
  <si>
    <t xml:space="preserve"> RUA VICENTE IORIO</t>
  </si>
  <si>
    <t>VL IORIO</t>
  </si>
  <si>
    <t>SONDAGEM DE REDE DE AGUA NÃO VISIVEL</t>
  </si>
  <si>
    <t xml:space="preserve"> RUA NOSSA SENHORA DA NATIVIDADE</t>
  </si>
  <si>
    <t>PIQUERI</t>
  </si>
  <si>
    <t xml:space="preserve"> RUA JOSE PEDRO D ORO</t>
  </si>
  <si>
    <t>V SOUZA</t>
  </si>
  <si>
    <t xml:space="preserve">VALA NÃO FOI ATERRADA, POIS O IMOVEL ESTA EM OBRA. </t>
  </si>
  <si>
    <t>VAZAMENTO DE ÁGUA NÃO VISÍVEL CAVALETE</t>
  </si>
  <si>
    <t xml:space="preserve"> RUA LUZIM</t>
  </si>
  <si>
    <t>IMIRIM</t>
  </si>
  <si>
    <t>TROCA DE PE DE CAVALETE NÃO VISIVEL</t>
  </si>
  <si>
    <t>fotos na os 2618314686</t>
  </si>
  <si>
    <t xml:space="preserve"> AVENIDA NOSSA SENHORA DO O</t>
  </si>
  <si>
    <t>BAIRRO DO LIMAO</t>
  </si>
  <si>
    <t>fotos 2618380502</t>
  </si>
  <si>
    <t xml:space="preserve"> RUA MORATO DE OLIVEIRA</t>
  </si>
  <si>
    <t>JD CACHOEIRA</t>
  </si>
  <si>
    <t>FLAVIO CARVALHO DOS SANTOS</t>
  </si>
  <si>
    <t xml:space="preserve"> RUA NORDESTE</t>
  </si>
  <si>
    <t>CASA VERDE MEDIA</t>
  </si>
  <si>
    <t xml:space="preserve">as fotos tá na o.s 2618314642, mais adicional de eletrofusão </t>
  </si>
  <si>
    <t xml:space="preserve"> RUA PROFESSOR RIVADAVIA DE CAMPOS</t>
  </si>
  <si>
    <t>FDS C/1</t>
  </si>
  <si>
    <t>FOTO DA FOTO</t>
  </si>
  <si>
    <t xml:space="preserve"> RUA COMENDADOR ARMANDO PEREIRA</t>
  </si>
  <si>
    <t>JD STA MARCELINA</t>
  </si>
  <si>
    <t>Passeio estendido</t>
  </si>
  <si>
    <t xml:space="preserve"> RUA JOSE CARLOS RODRIGUES</t>
  </si>
  <si>
    <t>V CONTINENTAL</t>
  </si>
  <si>
    <t>foi feito um ligação
sem reposição de passeio AD é obra</t>
  </si>
  <si>
    <t>GILTON APARECIDO GUIMARAES BARBOSA</t>
  </si>
  <si>
    <t xml:space="preserve"> RUA RIO VERDE</t>
  </si>
  <si>
    <t>MOINHO VELHO</t>
  </si>
  <si>
    <t xml:space="preserve">sem reposição de passeio AD é obra </t>
  </si>
  <si>
    <t>LIGAÇÃO DE ÁGUA EM CAVALETE MULTIPLO</t>
  </si>
  <si>
    <t xml:space="preserve"> RUA SAO URBANO</t>
  </si>
  <si>
    <t>VL IARA</t>
  </si>
  <si>
    <t>LIGAÇÃO DE AGUA EM CAVALETE MÚLTIPLO</t>
  </si>
  <si>
    <t>C/2</t>
  </si>
  <si>
    <t xml:space="preserve"> RUA MIGUEL GUSTAVO</t>
  </si>
  <si>
    <t>JD PRIMAVERA</t>
  </si>
  <si>
    <t xml:space="preserve"> RUA ANTONIO PINTO VIEIRA</t>
  </si>
  <si>
    <t>REPARO DE REDE DE AGUA</t>
  </si>
  <si>
    <t xml:space="preserve"> TRAVESSA FRANCISCO RENZO</t>
  </si>
  <si>
    <t>VL CELESTE</t>
  </si>
  <si>
    <t xml:space="preserve">obs suprimido ramal abandonado com uma união capeada verificado todo mundo com água normal. </t>
  </si>
  <si>
    <t>CLEITON JOSE DOS SANTOS</t>
  </si>
  <si>
    <t xml:space="preserve"> RUA REVERENDO ERODICE PONTES DE QUEIROZ</t>
  </si>
  <si>
    <t>PQ MANDI</t>
  </si>
  <si>
    <t>SUBSTITUIDA LIGAÇÃO DE AGUA</t>
  </si>
  <si>
    <t>mas fotos os 2618061052 mesma vala casa 01</t>
  </si>
  <si>
    <t>PASSAR RAMAL DE ÁGUA PARA NOVA REDE</t>
  </si>
  <si>
    <t xml:space="preserve"> RUA CELSO VIEIRA</t>
  </si>
  <si>
    <t>VL PEREIRA BARRETO</t>
  </si>
  <si>
    <t>PASSADO RAMAL DE AGUA PARA NOVA REDE</t>
  </si>
  <si>
    <t>fotos estão nesta OS  2618451224</t>
  </si>
  <si>
    <t>fotos estão nesta OS 2618451224</t>
  </si>
  <si>
    <t>sem Reposição de asfalto pois o serviço foi executado na mesma vala do n 308</t>
  </si>
  <si>
    <t>fotos estão nesta OS 2618451222 .sem Reposição de asfalto pois o serviço foi executado na mesma vala do n 278</t>
  </si>
  <si>
    <t xml:space="preserve"> RUA IRINEO VARONI</t>
  </si>
  <si>
    <t>JD DA FONTE</t>
  </si>
  <si>
    <t>ISMAEL NOGUEIRA DOS SANTOS FILHO</t>
  </si>
  <si>
    <t xml:space="preserve"> RUA VAUD</t>
  </si>
  <si>
    <t>LAUZANE PAULISTA</t>
  </si>
  <si>
    <t xml:space="preserve">obs feito cvv </t>
  </si>
  <si>
    <t xml:space="preserve"> RUA JOAQUIM RIBEIRO</t>
  </si>
  <si>
    <t>VL MORRO GRANDE</t>
  </si>
  <si>
    <t>Rede 90</t>
  </si>
  <si>
    <t xml:space="preserve"> RUA ALGAROBEIRA</t>
  </si>
  <si>
    <t>JD NOEMIA</t>
  </si>
  <si>
    <t>REPARO DE REDE DE AGUA NÃO VISIVEL</t>
  </si>
  <si>
    <t xml:space="preserve">não foi possível fazer todas as fotos devido ser obra e vala ficou sinalizada obra da prefeitura vários dias de obra </t>
  </si>
  <si>
    <t xml:space="preserve"> RUA CARAMBEI</t>
  </si>
  <si>
    <t>obs feito o cvv.</t>
  </si>
  <si>
    <t xml:space="preserve"> RUA EDSON PEREGRINI</t>
  </si>
  <si>
    <t>VL MARISBELA</t>
  </si>
  <si>
    <t>as fotos dece serviço tá os  2618424557</t>
  </si>
  <si>
    <t>SEVERINO RAMOS COSTA DE PAULA</t>
  </si>
  <si>
    <t xml:space="preserve"> RUA ALTO DE MONTALEGRE</t>
  </si>
  <si>
    <t>MOISES ANICACIO DE JESUS</t>
  </si>
  <si>
    <t xml:space="preserve"> AVENIDA SENADOR JOSE ERMIRIO DE MORAES</t>
  </si>
  <si>
    <t xml:space="preserve"> RUA DOM MEINRADO</t>
  </si>
  <si>
    <t xml:space="preserve"> ESTRADA DO SABAO</t>
  </si>
  <si>
    <t>C/4</t>
  </si>
  <si>
    <t>VL BRASILANDIA</t>
  </si>
  <si>
    <t xml:space="preserve">foi executado a inclusão de ligação de água </t>
  </si>
  <si>
    <t>VL CRUZ DAS ALMAS</t>
  </si>
  <si>
    <t xml:space="preserve">eixo , reposição.pa em obra </t>
  </si>
  <si>
    <t xml:space="preserve"> AVENIDA DEPUTADO CANTIDIO SAMPAIO</t>
  </si>
  <si>
    <t>BRASILANDIA</t>
  </si>
  <si>
    <t xml:space="preserve">não  tirado foto do iserado devido  foi feito uma sondagem na caixinha  que  coloca relógio da sabesp </t>
  </si>
  <si>
    <t xml:space="preserve"> RUA DOUTOR MIGUEL DORGAN</t>
  </si>
  <si>
    <t>HORTO FLORESTAL</t>
  </si>
  <si>
    <t xml:space="preserve">obs em obra do esgoto. </t>
  </si>
  <si>
    <t xml:space="preserve"> RUA ANTONIO CORREIA</t>
  </si>
  <si>
    <t>V BONILHA</t>
  </si>
  <si>
    <t>fotos estão nessa OS 2618460485</t>
  </si>
  <si>
    <t>fotos estão nesta OS 2618629469</t>
  </si>
  <si>
    <t>fotos estão nesta OS sem Reposição de asfalto pois o serviço foi executado na mesma vala do n 252.</t>
  </si>
  <si>
    <t>FDS</t>
  </si>
  <si>
    <t>fotos estão nesta OS 2618629469 sem Reposição de asfalto pois o serviço foi executado na mesma vala do n 272</t>
  </si>
  <si>
    <t xml:space="preserve"> RUA MARIA LOPES</t>
  </si>
  <si>
    <t>V ROSA</t>
  </si>
  <si>
    <t>Observação nas fotos tá.os..2618432027</t>
  </si>
  <si>
    <t xml:space="preserve"> RUA LUIS DA SILVA BRANDAO</t>
  </si>
  <si>
    <t xml:space="preserve">as fotos dece serviço tá os  2618540708 passeio em obras no local </t>
  </si>
  <si>
    <t>NÃO FOI POSSÍVEL FAZER LEITURA</t>
  </si>
  <si>
    <t>A</t>
  </si>
  <si>
    <t xml:space="preserve">supressão no ferrolho </t>
  </si>
  <si>
    <t xml:space="preserve"> AVENIDA DOUTOR FRANCISCO RANIERI</t>
  </si>
  <si>
    <t>AUSÊNCIA DE CARIMBO</t>
  </si>
  <si>
    <t>VL BONILHA</t>
  </si>
  <si>
    <t>fotos da troca do ramal está na os 2618613317</t>
  </si>
  <si>
    <t xml:space="preserve"> RUA DESDEMONA GRECHI LOSCHIAVO</t>
  </si>
  <si>
    <t>VL ELIAS NIGRI</t>
  </si>
  <si>
    <t xml:space="preserve">as fotos tá na o.s 2618416126 mais ccv </t>
  </si>
  <si>
    <t xml:space="preserve"> RUA DALVA BARBOSA VILAS VERDES</t>
  </si>
  <si>
    <t>JD VISTA ALEGRE</t>
  </si>
  <si>
    <t>as fotos da troca está na os 2618613317</t>
  </si>
  <si>
    <t xml:space="preserve">passeio em obras </t>
  </si>
  <si>
    <t xml:space="preserve"> RUA DOM JOAO BATISTA LOBAO</t>
  </si>
  <si>
    <t>B C/1</t>
  </si>
  <si>
    <t>V ZAT</t>
  </si>
  <si>
    <t xml:space="preserve">não foi tirado foto do iserado porque o buraco já tava feito não foi feito compaquitacao manual porque o cliente vai fechar o buraco </t>
  </si>
  <si>
    <t xml:space="preserve"> RUA ITATIBA DO SUL</t>
  </si>
  <si>
    <t xml:space="preserve">obs ária de risco
obs mesmo trocando o ramal o vazamento não parou devido se interno. </t>
  </si>
  <si>
    <t>Observação as fotos tá na os 2618-4320 e 27</t>
  </si>
  <si>
    <t xml:space="preserve"> RUA ANTONIA FELICIA</t>
  </si>
  <si>
    <t xml:space="preserve"> RUA DEIA DE CAMPOS LEMOS</t>
  </si>
  <si>
    <t>B</t>
  </si>
  <si>
    <t>JD ONDINA</t>
  </si>
  <si>
    <t xml:space="preserve"> RUA DOMINGOS SOUTO MAIOR</t>
  </si>
  <si>
    <t>VL NSA SRA DO RETIRO</t>
  </si>
  <si>
    <t>AUSÊNCIA DE FECHAMENTO DA CAIXA UMA E LACRE</t>
  </si>
  <si>
    <t xml:space="preserve"> RUA CALIXTO DE ALMEIDA</t>
  </si>
  <si>
    <t>JD MONJOLO</t>
  </si>
  <si>
    <t xml:space="preserve">sem reposição de passeio AD não foi preciso crebra o passeio sem fotos da lona não tem terra </t>
  </si>
  <si>
    <t>A C/2</t>
  </si>
  <si>
    <t xml:space="preserve"> RUA JOSE ANTONIOLI</t>
  </si>
  <si>
    <t>VL CARDOSO</t>
  </si>
  <si>
    <t>fotos estão nessa OS 2618875889 obra de recapeamento reposição por conta da empresa jofege</t>
  </si>
  <si>
    <t>as fotos tá na o.s 2618877190</t>
  </si>
  <si>
    <t>as fotos tá na o.s 2618877190 tá na mesma Vala do número 192</t>
  </si>
  <si>
    <t xml:space="preserve"> RUA JOSE ANTONIO DE BRITO</t>
  </si>
  <si>
    <t xml:space="preserve">FOTOS REF OS 2618884369.
SEM TESTE IMOVEL FECHADO. </t>
  </si>
  <si>
    <t xml:space="preserve"> RUA PEDRO CUBAS</t>
  </si>
  <si>
    <t>VL HERMINIA LOPES</t>
  </si>
  <si>
    <t>JD CID PIRITUBA</t>
  </si>
  <si>
    <t>FOTOS REF 2618693225.</t>
  </si>
  <si>
    <t xml:space="preserve"> RUA CAPITAO JOAO NORONHA</t>
  </si>
  <si>
    <t>JD VIEIRA CARVALHO</t>
  </si>
  <si>
    <t xml:space="preserve"> RUA GUIOMAR DA ROCHA</t>
  </si>
  <si>
    <t>JD DAS LARANJEIRAS</t>
  </si>
  <si>
    <t>Todas as fotos estão localizada e disponível na Os 2618736878</t>
  </si>
  <si>
    <t>TV 40</t>
  </si>
  <si>
    <t>JD TREMEMBE</t>
  </si>
  <si>
    <t xml:space="preserve">sem foto da sinalizacao devido ser viela </t>
  </si>
  <si>
    <t xml:space="preserve"> RUA VEIGA DO MONTE</t>
  </si>
  <si>
    <t>VL BASILEIA</t>
  </si>
  <si>
    <t>fotos da troca está na os 2618867921</t>
  </si>
  <si>
    <t xml:space="preserve"> RUA JOAQUIM AFONSO DE SOUZA</t>
  </si>
  <si>
    <t xml:space="preserve"> AVENIDA RAIMUNDO PEREIRA DE MAGALHAES</t>
  </si>
  <si>
    <t>PIRITUBA</t>
  </si>
  <si>
    <t>obs leito terra .</t>
  </si>
  <si>
    <t>DESCOBRIR VÁLVULA DE REDE DE ÁGUA</t>
  </si>
  <si>
    <t>DESCOBERTA VALVULA DE REDE DE AGUA</t>
  </si>
  <si>
    <t>Observação está sem foto Autorizado pelo .Rafael Passeio terra Rafael</t>
  </si>
  <si>
    <t xml:space="preserve"> RUA PROFESSORA NICIA DE PAULA</t>
  </si>
  <si>
    <t>CASA VERDE</t>
  </si>
  <si>
    <t xml:space="preserve">Passeio adjacente em obra </t>
  </si>
  <si>
    <t>passeio adjacente em obras</t>
  </si>
  <si>
    <t xml:space="preserve"> RUA ANDREA DEL CASTAGNO</t>
  </si>
  <si>
    <t xml:space="preserve"> RUA INDIO PERI</t>
  </si>
  <si>
    <t xml:space="preserve">trata se de cano de esgoto arriado </t>
  </si>
  <si>
    <t xml:space="preserve"> RUA PROFESSOR ALDO LOCATELLI</t>
  </si>
  <si>
    <t xml:space="preserve"> AVENIDA JOSE DE BRITO DE FREITAS</t>
  </si>
  <si>
    <t xml:space="preserve">não foi tirado foto do iserado e da compaquitacao manual  obras no local </t>
  </si>
  <si>
    <t>OBRA NO LOCAL TERRA</t>
  </si>
  <si>
    <t xml:space="preserve"> RUA CESAR PENNA RAMOS</t>
  </si>
  <si>
    <t>REBATIDO CHUMBO NA JUNTA NÃO VISIVEL</t>
  </si>
  <si>
    <t xml:space="preserve"> RUA DANIEL DE TOLEDO</t>
  </si>
  <si>
    <t>VL NIVEA</t>
  </si>
  <si>
    <t xml:space="preserve"> RUA RIO IROI</t>
  </si>
  <si>
    <t>as fotos tá na o.s 2618863416</t>
  </si>
  <si>
    <t xml:space="preserve"> RUA BALTAZAR DA SILVEIRA</t>
  </si>
  <si>
    <t>VL PEREIRA CERCA</t>
  </si>
  <si>
    <t>as fotos dece serviço tá os  2618459598</t>
  </si>
  <si>
    <t xml:space="preserve"> RUA DANCA DOS SETE VEUS</t>
  </si>
  <si>
    <t>Todas as fotos estão localizada e disponível na Os 2692539379</t>
  </si>
  <si>
    <t xml:space="preserve"> RUA BARAO DE SANTO ANGELO</t>
  </si>
  <si>
    <t>PQ S LUIS</t>
  </si>
  <si>
    <t>Supressão no ferrolho as fotos estão localizada no devido lugar na Os 2619166440</t>
  </si>
  <si>
    <t xml:space="preserve"> RUA DOUTOR ARAUJO CASTRO III</t>
  </si>
  <si>
    <t xml:space="preserve">sem reposição de passeio AD </t>
  </si>
  <si>
    <t xml:space="preserve"> RUA JATEI</t>
  </si>
  <si>
    <t>Observação As foto está na oes.2619157833</t>
  </si>
  <si>
    <t xml:space="preserve"> RUA MONJOLO</t>
  </si>
  <si>
    <t xml:space="preserve"> RUA PROFESSOR SAUL LINTZ</t>
  </si>
  <si>
    <t xml:space="preserve"> RUA FLOR DA SERRA</t>
  </si>
  <si>
    <t xml:space="preserve">sem reposição é obra </t>
  </si>
  <si>
    <t xml:space="preserve"> RUA PADRE PASCOAL ROCHEDREUX</t>
  </si>
  <si>
    <t>C/3</t>
  </si>
  <si>
    <t xml:space="preserve"> RUA SERGIO TADEU CORTICEIRO</t>
  </si>
  <si>
    <t xml:space="preserve"> RUA RODOLFO AUGUSTO RODRIGUES</t>
  </si>
  <si>
    <t>JD ADELIA</t>
  </si>
  <si>
    <t xml:space="preserve"> RUA SALVADOR TOLEZANO</t>
  </si>
  <si>
    <t>CJ RES STO ANTONIO</t>
  </si>
  <si>
    <t xml:space="preserve">na esquina da   rua padre Corino  sani, </t>
  </si>
  <si>
    <t xml:space="preserve"> RUA HERMINIA FIDELIS</t>
  </si>
  <si>
    <t>mas fotos os 2619135146</t>
  </si>
  <si>
    <t xml:space="preserve"> VIA DE PEDESTRE ERVA-DA-VIDA</t>
  </si>
  <si>
    <t>PEDRA BRANCA</t>
  </si>
  <si>
    <t>SEM FOTOS, DEVIDO SER EXECUTADO POR EQUIPE NOTURNA - ENC THIAGO CIENTE</t>
  </si>
  <si>
    <t xml:space="preserve">reposição em obra </t>
  </si>
  <si>
    <t>passeio estendido reposição de PA em obra</t>
  </si>
  <si>
    <t xml:space="preserve"> PRACA VINTE E CINCO DE NOVEMBRO</t>
  </si>
  <si>
    <t xml:space="preserve">  C/1</t>
  </si>
  <si>
    <t>VL ZAT</t>
  </si>
  <si>
    <t xml:space="preserve">  C/7</t>
  </si>
  <si>
    <t>mas fotos os 2618776484</t>
  </si>
  <si>
    <t xml:space="preserve">  C/3</t>
  </si>
  <si>
    <t xml:space="preserve">  C/9</t>
  </si>
  <si>
    <t>mas fotos os 2618776484 mesma vala casa 01</t>
  </si>
  <si>
    <t xml:space="preserve">  C/6</t>
  </si>
  <si>
    <t xml:space="preserve">  C/2</t>
  </si>
  <si>
    <t xml:space="preserve">  C/4</t>
  </si>
  <si>
    <t xml:space="preserve">  C/10</t>
  </si>
  <si>
    <t xml:space="preserve">  C/8</t>
  </si>
  <si>
    <t xml:space="preserve">  C/5</t>
  </si>
  <si>
    <t xml:space="preserve"> RUA CARLOS EDUARDO</t>
  </si>
  <si>
    <t>VILA STO ANTONIO</t>
  </si>
  <si>
    <t xml:space="preserve"> RUA FULVIO MORGANTI</t>
  </si>
  <si>
    <t>CHAC DO ENCOSTO</t>
  </si>
  <si>
    <t xml:space="preserve"> AVENIDA GENERAL PENHA BRASIL</t>
  </si>
  <si>
    <t>D</t>
  </si>
  <si>
    <t>JD CECI</t>
  </si>
  <si>
    <t>as foto está nessa os 2618470228</t>
  </si>
  <si>
    <t xml:space="preserve"> RUA FRANCISCO XAVIER DE BRITO</t>
  </si>
  <si>
    <t>as fotos dece serviço tá os  2619337664</t>
  </si>
  <si>
    <t>NÃO FOI POSSÍVEL VISUALIZAR</t>
  </si>
  <si>
    <t xml:space="preserve"> RUA EXPRESSIONISMO</t>
  </si>
  <si>
    <t>PQ HOLLYWOOD</t>
  </si>
  <si>
    <t xml:space="preserve"> VIELA PAULO DO VALE JUNIOR</t>
  </si>
  <si>
    <t>VL BANCARIA MUNHOZ</t>
  </si>
  <si>
    <t>ons não teve sinalização devido se uma viela muito apertado área de risco.</t>
  </si>
  <si>
    <t>ÁREA DE RISCO</t>
  </si>
  <si>
    <t xml:space="preserve"> RUA CONSELHEIRO MOREIRA DE BARROS</t>
  </si>
  <si>
    <t xml:space="preserve">passeio adjacente em obra </t>
  </si>
  <si>
    <t xml:space="preserve"> RUA PAULO GARCIA AQUILINE</t>
  </si>
  <si>
    <t>V ITABERABA</t>
  </si>
  <si>
    <t>obs foi rebatido chumbo na rede.</t>
  </si>
  <si>
    <t>SANTANA</t>
  </si>
  <si>
    <t>fotos estão nessa OS 2618896099</t>
  </si>
  <si>
    <t xml:space="preserve"> RUA MANDIBA</t>
  </si>
  <si>
    <t xml:space="preserve"> RUA MANUEL DE CARVALHO</t>
  </si>
  <si>
    <t>VL URSULINA</t>
  </si>
  <si>
    <t>SONDAGEM DE RAMAL DE AGUA NÃO VISIVEL</t>
  </si>
  <si>
    <t xml:space="preserve"> RUA MANUEL ARAUJO ARAGAO</t>
  </si>
  <si>
    <t>sem fotos devido serviço ser executado, pela equipe noturna, enc Arlindo ciente.</t>
  </si>
  <si>
    <t xml:space="preserve"> AVENIDA DEPUTADO EMILIO CARLOS</t>
  </si>
  <si>
    <t>V BARBOSA</t>
  </si>
  <si>
    <t>as fotos dece serviço tá os  2619463592</t>
  </si>
  <si>
    <t>as fotos dece serviço tá os 2619463592</t>
  </si>
  <si>
    <t xml:space="preserve"> RUA ARTUR CERQUEIRA MENDES</t>
  </si>
  <si>
    <t>fizemos uma sondagem e nao tem vazamento no ramal</t>
  </si>
  <si>
    <t xml:space="preserve"> PASSAGEM ROMULO</t>
  </si>
  <si>
    <t>JD ELISA MARIA</t>
  </si>
  <si>
    <t xml:space="preserve">obs feito sondagem em rede de 63 onde estava marcado e não localizado o vazamento.
obs ária de risco. </t>
  </si>
  <si>
    <t xml:space="preserve"> VIELA TRES DA COM ARMANDO PEREIRA</t>
  </si>
  <si>
    <t>JD DAYSY</t>
  </si>
  <si>
    <t>SEM FOTOS DEVIDO SERVIÇO SER EXECUTADO POR EQUIPE NOTURNA, ENC ARLINDO CIENTE.</t>
  </si>
  <si>
    <t xml:space="preserve"> RUA MORRO ALTO</t>
  </si>
  <si>
    <t>CHACARA MORRO ALTO</t>
  </si>
  <si>
    <t>as fotos dece serviço tá os. 2619300704</t>
  </si>
  <si>
    <t xml:space="preserve"> RUA BARRA DO PARAOPEBA</t>
  </si>
  <si>
    <t>Troca de ramal até o pé as fotos estão localizada e disponível no devido lugar na Os 2619371409</t>
  </si>
  <si>
    <t xml:space="preserve"> AVENIDA PAULA FERREIRA</t>
  </si>
  <si>
    <t>as fotos da troca do ramal está na os 2619468355</t>
  </si>
  <si>
    <t>as fotos dece serviço tá os  2619136305</t>
  </si>
  <si>
    <t xml:space="preserve"> RUA DAS MENINAS</t>
  </si>
  <si>
    <t xml:space="preserve">não foi possível tirar fotos área de risco encarregado ciente </t>
  </si>
  <si>
    <t xml:space="preserve"> AVENIDA PARADA PINTO</t>
  </si>
  <si>
    <t>V AMALIA ZNORTE</t>
  </si>
  <si>
    <t xml:space="preserve"> RUA ROMULO NALDI</t>
  </si>
  <si>
    <t xml:space="preserve"> RUA R MOTEIRO</t>
  </si>
  <si>
    <t>JD PARANA</t>
  </si>
  <si>
    <t xml:space="preserve">obs pead exposto.
ária de risco. </t>
  </si>
  <si>
    <t>V PEREIRA BARRETO</t>
  </si>
  <si>
    <t xml:space="preserve">não foi possível tirar fotos adequadas devido muita chuva no local </t>
  </si>
  <si>
    <t xml:space="preserve"> TRAVESSA DAS ORQUIDEAS</t>
  </si>
  <si>
    <t>obs suprimido ramal
obs ária de risco or isso ué no foi tirado foto dentro ds viela .
suprimido com um ob.</t>
  </si>
  <si>
    <t xml:space="preserve"> RUA JOAO DIAS DA SILVA</t>
  </si>
  <si>
    <t>V MINOZZI</t>
  </si>
  <si>
    <t>fotos da sondagem está na os 2619477724.
trata se de vazamento de esgoto</t>
  </si>
  <si>
    <t xml:space="preserve"> VIELA DOIS DA AMALIA MATARAZZO</t>
  </si>
  <si>
    <t>SEM FOTOS DEVIDO AREA DE RISCO, ENC ARLINDO CIENTE.</t>
  </si>
  <si>
    <t xml:space="preserve"> RUA CLAUDIO GONZAGA DE SOUZA</t>
  </si>
  <si>
    <t>JD STA CRUZ</t>
  </si>
  <si>
    <t>fotos sa troca está na os 2692916238
acimentado é leito terra</t>
  </si>
  <si>
    <t>A FDS C/1</t>
  </si>
  <si>
    <t xml:space="preserve">Troca de ramal até o pé devido chuvas no local não foi possível tirar todas as fotos
Encarregado Arlindo ciente do ocorrido </t>
  </si>
  <si>
    <t xml:space="preserve">Com chuvas no local não foi possível tirar todas as fotos
Encarregado Arlindo ciente do ocorrido </t>
  </si>
  <si>
    <t>sem fotos devido area de risco, reposiçao na mesma vala da os  2619467301.</t>
  </si>
  <si>
    <t xml:space="preserve"> RUA ELZA GUIMARAES</t>
  </si>
  <si>
    <t>REMANEJAR REDE DE ÁGUA</t>
  </si>
  <si>
    <t xml:space="preserve"> RUA ALFARROBEIRAS</t>
  </si>
  <si>
    <t>REMANEJADA REDE DE AGUA</t>
  </si>
  <si>
    <t>188,00 Remanejamento de rede PEAD de água MND Dn 90MM- Rede TA - Profundidade 1,0 – 3 valas de emboque/desemboque – 3 valas de base 2X1,50 Mapeamento –Equipe Raimundo da exaltação</t>
  </si>
  <si>
    <t xml:space="preserve"> AVENIDA MARIA ANTONIA MARTINS</t>
  </si>
  <si>
    <t>PQ TIETE</t>
  </si>
  <si>
    <t>RAPHAEL ALVES PREZOTTI</t>
  </si>
  <si>
    <t xml:space="preserve"> RUA MARTINS JUNIOR</t>
  </si>
  <si>
    <t>CH NSA SRA APARECIDA</t>
  </si>
  <si>
    <t>V NSA SRA DO RETIRO</t>
  </si>
  <si>
    <t>não foi tirado foto da compaquitacao  devido muita chuva no local   as fotos dece serviço tá os 2619778499</t>
  </si>
  <si>
    <t xml:space="preserve"> VIA DE PEDESTRE JOSE JOAQUIM VIRUES</t>
  </si>
  <si>
    <t>as foto está nessa os 2619797662</t>
  </si>
  <si>
    <t>serviço baixado sem foto área de risco encarregado ciente</t>
  </si>
  <si>
    <t xml:space="preserve"> AVENIDA ITABERABA</t>
  </si>
  <si>
    <t xml:space="preserve"> RUA AGENOR MANTOVANI</t>
  </si>
  <si>
    <t xml:space="preserve"> VIA DE PEDESTRE JUAN DE SANTIAGO</t>
  </si>
  <si>
    <t>F</t>
  </si>
  <si>
    <t xml:space="preserve"> RUA JOSE BENTO SOARES</t>
  </si>
  <si>
    <t xml:space="preserve"> VIELA JEFFERSON</t>
  </si>
  <si>
    <t>SEM FOTOS DEVIDO SER EXECUTADO POR EQUIPE NOTURNA - ENC THIAGO CIENTE</t>
  </si>
  <si>
    <t xml:space="preserve"> ALAMEDA CANTO DAS AGUAS</t>
  </si>
  <si>
    <t>C/37</t>
  </si>
  <si>
    <t>CACHOEIRINHA</t>
  </si>
  <si>
    <t xml:space="preserve">sem fotos devido ser executado por equipe noturna </t>
  </si>
  <si>
    <t xml:space="preserve"> RUA DIOGO DE SILVES</t>
  </si>
  <si>
    <t xml:space="preserve"> AVENIDA GASPAR VAZ DA CUNHA</t>
  </si>
  <si>
    <t>UTILIZOU O PDA CORRETAMENTE. NÃO HÁ FOTOS DE TODAS AS ETAPAS</t>
  </si>
  <si>
    <t xml:space="preserve"> RUA DOS SITIANTES</t>
  </si>
  <si>
    <t>PQ MONTEIRO SOARES</t>
  </si>
  <si>
    <t xml:space="preserve"> RUA MIGUEL MAIA</t>
  </si>
  <si>
    <t>obs suprimido ramal na rede</t>
  </si>
  <si>
    <t xml:space="preserve"> RUA SILVIO CASSIANO</t>
  </si>
  <si>
    <t xml:space="preserve"> RUA DOUTOR MOACIR CESTARI</t>
  </si>
  <si>
    <t>foi executado um  arrebentado de rede de água 75 mm</t>
  </si>
  <si>
    <t xml:space="preserve">mais adicional de eletrofusão </t>
  </si>
  <si>
    <t>JD PERI NOVO</t>
  </si>
  <si>
    <t xml:space="preserve">as fotos tá na o.s 2619831939 mais adicional de eletrofusão,  </t>
  </si>
  <si>
    <t xml:space="preserve"> RUA ALBERTO COSTA</t>
  </si>
  <si>
    <t xml:space="preserve"> RUA DOS PIRILAMPOS</t>
  </si>
  <si>
    <t>JD RECANTO</t>
  </si>
  <si>
    <t xml:space="preserve"> RUA JOAO RUDGE</t>
  </si>
  <si>
    <t>CASA VERDE BAIXA</t>
  </si>
  <si>
    <t xml:space="preserve">passeio estendido </t>
  </si>
  <si>
    <t xml:space="preserve"> RUA ANTONIO JOAQUIM DE OLIVEIRA</t>
  </si>
  <si>
    <t xml:space="preserve"> RUA MESTRE SIMEAO JOSE DE NAZARE</t>
  </si>
  <si>
    <t>Todas as fotos estão localizada no devido lugar na Os 2619944940</t>
  </si>
  <si>
    <t xml:space="preserve"> RUA FIRMINOPOLIS</t>
  </si>
  <si>
    <t>SEM FOTOS DEVIDO SER EXECUTADO POR EQUIPE NOTURNA - ENC THIAGO CIENTE
REPOSIÇÃO 2692974467</t>
  </si>
  <si>
    <t xml:space="preserve"> RUA BRASILUSO LOPES</t>
  </si>
  <si>
    <t>as fotos dece serviço tá os  2619868266</t>
  </si>
  <si>
    <t>as fotos dece serviço tá os 2619868266</t>
  </si>
  <si>
    <t xml:space="preserve">FOTOS REF OS 2619866028.
SEM TESTE ESTANQUIEDADE IMOVEL VAGO. </t>
  </si>
  <si>
    <t xml:space="preserve">não foi tirado foto do serviço devido areia de riscos  obras no local  demolição de imóveis </t>
  </si>
  <si>
    <t>as fotos tá na o.s 2619831939 mais adicional de eletrofusão,  tá na mesma Vala do número 17</t>
  </si>
  <si>
    <t xml:space="preserve"> RUA PRECILIA RODRIGUES</t>
  </si>
  <si>
    <t>V URSULINA</t>
  </si>
  <si>
    <t>as fotos dece serviço tá os  2619869727</t>
  </si>
  <si>
    <t xml:space="preserve"> RUA IPUPIARA</t>
  </si>
  <si>
    <t>V CARBONE</t>
  </si>
  <si>
    <t xml:space="preserve"> RUA PEDRO DE VELASCO</t>
  </si>
  <si>
    <t>SEM TESTE ESTANQUIEDADE CLIENTE AUSENTE</t>
  </si>
  <si>
    <t>CLIENTE AUSENTE</t>
  </si>
  <si>
    <t xml:space="preserve"> RUA ROZO LAGOA</t>
  </si>
  <si>
    <t xml:space="preserve"> RUA BENTO DA ROCHA</t>
  </si>
  <si>
    <t>JARDIM DAYSY</t>
  </si>
  <si>
    <t xml:space="preserve">obs foi trocado o ramal mais foi deixado suprimido devido o fornecimento está cortado. </t>
  </si>
  <si>
    <t xml:space="preserve"> RUA PARAPUA</t>
  </si>
  <si>
    <t>C/7</t>
  </si>
  <si>
    <t xml:space="preserve">sem reposição não foi preciso crebra o passeio AD sem fotos da lona </t>
  </si>
  <si>
    <t>13/05/2026 08:24</t>
  </si>
  <si>
    <t>13/05/2026 08:43</t>
  </si>
  <si>
    <t xml:space="preserve"> TRAVESSA CIDADE GAUCHA</t>
  </si>
  <si>
    <t>JD VITORIA</t>
  </si>
  <si>
    <t>13/05/2026 09:42</t>
  </si>
  <si>
    <t>13/05/2026 09:46</t>
  </si>
  <si>
    <t xml:space="preserve"> RUA RICARDO PIMPAO</t>
  </si>
  <si>
    <t>V GOUVEIA</t>
  </si>
  <si>
    <t>13/05/2026 12:09</t>
  </si>
  <si>
    <t>13/05/2026 12:38</t>
  </si>
  <si>
    <t>13/05/2026 10:21</t>
  </si>
  <si>
    <t>13/05/2026 11:48</t>
  </si>
  <si>
    <t>13/05/2026 12:08</t>
  </si>
  <si>
    <t>AUSÊNCIA DE PLACAS DE SINALIZAÇÃO</t>
  </si>
  <si>
    <t xml:space="preserve"> RUA TAIJACICA</t>
  </si>
  <si>
    <t>A C/8</t>
  </si>
  <si>
    <t>fotos na os 2619212047</t>
  </si>
  <si>
    <t>13/05/2026 13:05</t>
  </si>
  <si>
    <t>13/05/2026 13:07</t>
  </si>
  <si>
    <t>A C/3</t>
  </si>
  <si>
    <t>13/05/2026 12:51</t>
  </si>
  <si>
    <t>13/05/2026 12:53</t>
  </si>
  <si>
    <t>A C/4</t>
  </si>
  <si>
    <t>13/05/2026 12:54</t>
  </si>
  <si>
    <t>13/05/2026 12:55</t>
  </si>
  <si>
    <t xml:space="preserve">passeio em obras mesma vala do esgoto </t>
  </si>
  <si>
    <t>13/05/2026 13:17</t>
  </si>
  <si>
    <t>13/05/2026 13:22</t>
  </si>
  <si>
    <t>13/05/2026 12:47</t>
  </si>
  <si>
    <t>13/05/2026 12:50</t>
  </si>
  <si>
    <t>A C/7</t>
  </si>
  <si>
    <t>13/05/2026 13:02</t>
  </si>
  <si>
    <t>13/05/2026 13:04</t>
  </si>
  <si>
    <t>A C/6</t>
  </si>
  <si>
    <t>13/05/2026 13:00</t>
  </si>
  <si>
    <t>A C/5</t>
  </si>
  <si>
    <t>fotos na os 2619212047 mesma vala casa 01</t>
  </si>
  <si>
    <t>13/05/2026 12:56</t>
  </si>
  <si>
    <t xml:space="preserve">obs feito sondagem em rede e identificado que é consumo do prédio. </t>
  </si>
  <si>
    <t>13/05/2026 08:52</t>
  </si>
  <si>
    <t>13/05/2026 10:10</t>
  </si>
  <si>
    <t xml:space="preserve"> RUA ZILDA</t>
  </si>
  <si>
    <t>13/05/2026 09:08</t>
  </si>
  <si>
    <t>13/05/2026 11:41</t>
  </si>
  <si>
    <t xml:space="preserve"> RUA MINEIROS DO TIETE</t>
  </si>
  <si>
    <t>13/05/2026 12:12</t>
  </si>
  <si>
    <t>13/05/2026 12:16</t>
  </si>
  <si>
    <t>13/05/2026 12:02</t>
  </si>
  <si>
    <t>13/05/2026 12:04</t>
  </si>
  <si>
    <t xml:space="preserve">PA em obras </t>
  </si>
  <si>
    <t>13/05/2026 12:21</t>
  </si>
  <si>
    <t>13/05/2026 12:34</t>
  </si>
  <si>
    <t>13/05/2026 11:58</t>
  </si>
  <si>
    <t>13/05/2026 12:01</t>
  </si>
  <si>
    <t>C/6</t>
  </si>
  <si>
    <t xml:space="preserve"> RUA DOM TOMAS DE NORONHA</t>
  </si>
  <si>
    <t>sem sinalização transformação feito já em caixa uma</t>
  </si>
  <si>
    <t>13/05/2026 14:21</t>
  </si>
  <si>
    <t>13/05/2026 14:23</t>
  </si>
  <si>
    <t>13/05/2026 15:23</t>
  </si>
  <si>
    <t>13/05/2026 15:25</t>
  </si>
  <si>
    <t>13/05/2026 14:24</t>
  </si>
  <si>
    <t>13/05/2026 14:31</t>
  </si>
  <si>
    <t>13/05/2026 15:17</t>
  </si>
  <si>
    <t>13/05/2026 15:22</t>
  </si>
  <si>
    <t>13/05/2026 15:32</t>
  </si>
  <si>
    <t>13/05/2026 15:35</t>
  </si>
  <si>
    <t xml:space="preserve"> RUA GERVASIO LEITE REBELO</t>
  </si>
  <si>
    <t xml:space="preserve">cliente pediu pra deixa pra ele fazer a calçada escada </t>
  </si>
  <si>
    <t>13/05/2026 09:05</t>
  </si>
  <si>
    <t>13/05/2026 09:14</t>
  </si>
  <si>
    <t xml:space="preserve">fotos estão nesta OS 2619819993 adicional de eletrofusao </t>
  </si>
  <si>
    <t>13/05/2026 12:30</t>
  </si>
  <si>
    <t>13/05/2026 12:33</t>
  </si>
  <si>
    <t>as fotos tá na o.s 2619831939 mais adicional de eletrofusão tá na mesma Vala do número q7</t>
  </si>
  <si>
    <t>13/05/2026 14:12</t>
  </si>
  <si>
    <t>13/05/2026 14:15</t>
  </si>
  <si>
    <t xml:space="preserve"> RUA ACIOLI</t>
  </si>
  <si>
    <t>JD ELISIO</t>
  </si>
  <si>
    <t>412.23 Remanejamento de rede PEAD de água de 90 MM  Rede TO -
Profundidade 1,5 – 5 valas de emboque/desemboque –
5 valas de base 1,50X1,30 Mapeamento –Equipe Raimundo.</t>
  </si>
  <si>
    <t>13/05/2026 08:25</t>
  </si>
  <si>
    <t>13/05/2026 08:35</t>
  </si>
  <si>
    <t xml:space="preserve"> RUA PRAIA DO TUMIARU</t>
  </si>
  <si>
    <t>VL S FRANCISCO</t>
  </si>
  <si>
    <t>PROLONGAMENTO DE REDE DE AGUA</t>
  </si>
  <si>
    <t>257 ,90 Remanejamento de rede PEAD de água de 315 MM  Rede EIXO-
Profundidade 1,25 – 6 valas de emboque/desemboque –
6 valas de base 3X1,30 Mapeamento –Equipe Raimundo.</t>
  </si>
  <si>
    <t>FOTOS REF OS 2619979318.</t>
  </si>
  <si>
    <t>13/05/2026 11:46</t>
  </si>
  <si>
    <t>13/05/2026 11:53</t>
  </si>
  <si>
    <t>13/05/2026 12:35</t>
  </si>
  <si>
    <t>13/05/2026 12:36</t>
  </si>
  <si>
    <t>HOSPITAL</t>
  </si>
  <si>
    <t>fotos estão nesta OS 2619819993 sem Reposição de asfalto pois o serviço foi executado na mesma vala do n 231 casa</t>
  </si>
  <si>
    <t>13/05/2026 12:25</t>
  </si>
  <si>
    <t>13/05/2026 12:29</t>
  </si>
  <si>
    <t xml:space="preserve"> RUA BAIA DE SAO JOSE</t>
  </si>
  <si>
    <t>13/05/2026 06:01</t>
  </si>
  <si>
    <t>13/05/2026 06:02</t>
  </si>
  <si>
    <t xml:space="preserve"> RUA CASCATA ALEGRE</t>
  </si>
  <si>
    <t>13/05/2026 06:05</t>
  </si>
  <si>
    <t>13/05/2026 06:08</t>
  </si>
  <si>
    <t xml:space="preserve"> RUA LAURINDO AUGUSTO DE SOUZA</t>
  </si>
  <si>
    <t>VL ICARAI</t>
  </si>
  <si>
    <t>13/05/2026 06:00</t>
  </si>
  <si>
    <t xml:space="preserve"> RUA DOUTOR JULIAO VAQUERO RODRIGUES</t>
  </si>
  <si>
    <t>VL LIDERANCA</t>
  </si>
  <si>
    <t xml:space="preserve">as fotos tá na o.s 2619876865 </t>
  </si>
  <si>
    <t>13/05/2026 12:17</t>
  </si>
  <si>
    <t>13/05/2026 12:20</t>
  </si>
  <si>
    <t xml:space="preserve">local em construção eles vão fazer a reposição </t>
  </si>
  <si>
    <t>13/05/2026 15:39</t>
  </si>
  <si>
    <t xml:space="preserve"> RUA CRISTINA FIDELIS</t>
  </si>
  <si>
    <t>Todas as fotos estão localizada e disponível no devido lugar na Os 2693123582</t>
  </si>
  <si>
    <t>13/05/2026 14:38</t>
  </si>
  <si>
    <t>13/05/2026 14:51</t>
  </si>
  <si>
    <t xml:space="preserve"> RUA ANTONIO FERNANDES PINHEIRO</t>
  </si>
  <si>
    <t>13/05/2026 16:13</t>
  </si>
  <si>
    <t>13/05/2026 19:08</t>
  </si>
  <si>
    <t>13/05/2026 06:06</t>
  </si>
  <si>
    <t xml:space="preserve"> RUA ENGENHEIRO ENRICO BATTIOLI</t>
  </si>
  <si>
    <t>fotos da troca do ramal está na os 2693148088</t>
  </si>
  <si>
    <t>13/05/2026 16:23</t>
  </si>
  <si>
    <t>13/05/2026 16:25</t>
  </si>
  <si>
    <t xml:space="preserve"> RUA MARGARIDA RAMALHO</t>
  </si>
  <si>
    <t>fotos na OS 2619795542</t>
  </si>
  <si>
    <t>13/05/2026 10:00</t>
  </si>
  <si>
    <t>13/05/2026 10:01</t>
  </si>
  <si>
    <t xml:space="preserve"> RUA LUIS PINHEIRO DE SOUZA</t>
  </si>
  <si>
    <t xml:space="preserve">as fotos tá na OS 2620197690 </t>
  </si>
  <si>
    <t>13/05/2026 19:14</t>
  </si>
  <si>
    <t>13/05/2026 19:20</t>
  </si>
  <si>
    <t xml:space="preserve"> RUA CAPITAO FERNANDO MACHADO</t>
  </si>
  <si>
    <t>13/05/2026 06:03</t>
  </si>
  <si>
    <t>FOTOS NA OS 2619475761</t>
  </si>
  <si>
    <t xml:space="preserve"> RUA EDUARDO ADENIS</t>
  </si>
  <si>
    <t>VL SANTISTA</t>
  </si>
  <si>
    <t>14/05/2026 06:00</t>
  </si>
  <si>
    <t>14/05/2026 06:01</t>
  </si>
  <si>
    <t>14/05/2026 14:25</t>
  </si>
  <si>
    <t>14/05/2026 14:41</t>
  </si>
  <si>
    <t>JOSE CICERO BELTRAO DA SILVA</t>
  </si>
  <si>
    <t xml:space="preserve"> RUA JERONIMO FELIX TEIXEIRA</t>
  </si>
  <si>
    <t>V RAMOS</t>
  </si>
  <si>
    <t>14/05/2026 12:01</t>
  </si>
  <si>
    <t>14/05/2026 12:34</t>
  </si>
  <si>
    <t>DIEGO FERNANDES DE OLIVEIRA</t>
  </si>
  <si>
    <t xml:space="preserve"> RUA ATLANTICO MERIDIONAL</t>
  </si>
  <si>
    <t>VL ROQUE</t>
  </si>
  <si>
    <t>Foi usada mesmo at 5 Observação a rua Vai Ser Frisada</t>
  </si>
  <si>
    <t>14/05/2026 10:54</t>
  </si>
  <si>
    <t>14/05/2026 11:00</t>
  </si>
  <si>
    <t xml:space="preserve"> RUA JOAO CORDEIRO</t>
  </si>
  <si>
    <t>Todas as fotos estão localizada no devido lugar na Os 2693269656</t>
  </si>
  <si>
    <t>14/05/2026 11:42</t>
  </si>
  <si>
    <t>14/05/2026 13:10</t>
  </si>
  <si>
    <t xml:space="preserve"> RUA PARTICULAR DO JD IBIRA</t>
  </si>
  <si>
    <t>TREMEMBE</t>
  </si>
  <si>
    <t>14/05/2026 10:53</t>
  </si>
  <si>
    <t>14/05/2026 11:44</t>
  </si>
  <si>
    <t xml:space="preserve"> RUA FRIBURGO</t>
  </si>
  <si>
    <t>14/05/2026 09:10</t>
  </si>
  <si>
    <t>14/05/2026 10:32</t>
  </si>
  <si>
    <t xml:space="preserve"> RUA ANTONIO PAIS DE SANDE</t>
  </si>
  <si>
    <t>VL MIRANTE</t>
  </si>
  <si>
    <t>14/05/2026 12:08</t>
  </si>
  <si>
    <t>14/05/2026 12:11</t>
  </si>
  <si>
    <t>fotos da troca do ramal está na os 2693263082</t>
  </si>
  <si>
    <t>14/05/2026 11:45</t>
  </si>
  <si>
    <t>14/05/2026 12:30</t>
  </si>
  <si>
    <t>Troca de ramal até a corrida as fotos estão localizada e disponível na Os 2693269656</t>
  </si>
  <si>
    <t>14/05/2026 13:15</t>
  </si>
  <si>
    <t>14/05/2026 13:18</t>
  </si>
  <si>
    <t xml:space="preserve"> RUA AUGUSTO GIL</t>
  </si>
  <si>
    <t>calçada de barro ,imóvel em obras ,não necessário encerado</t>
  </si>
  <si>
    <t>14/05/2026 14:00</t>
  </si>
  <si>
    <t xml:space="preserve"> RUA JOSE FRANCISCO PARRA</t>
  </si>
  <si>
    <t>VL STO ANTONIO</t>
  </si>
  <si>
    <t>passeio em obras fotos na os 2618861684</t>
  </si>
  <si>
    <t>14/05/2026 16:50</t>
  </si>
  <si>
    <t>14/05/2026 16:59</t>
  </si>
  <si>
    <t>14/05/2026 16:41</t>
  </si>
  <si>
    <t>14/05/2026 16:54</t>
  </si>
  <si>
    <t>14/05/2026 06:02</t>
  </si>
  <si>
    <t xml:space="preserve"> RUA BENEDETTO BONFIGLI</t>
  </si>
  <si>
    <t>14/05/2026 15:28</t>
  </si>
  <si>
    <t>14/05/2026 15:51</t>
  </si>
  <si>
    <t>SEM REPOSIÇÃO DEVIDO OBRA
NECESSARIO GEOFONAR</t>
  </si>
  <si>
    <t>TROCAR VÁLVULA DE REDE DE ÁGUA</t>
  </si>
  <si>
    <t>TROCA DE VALVULA DE REDE DE AGUA</t>
  </si>
  <si>
    <t>15/05/2026 06:00</t>
  </si>
  <si>
    <t>15/05/2026 06:01</t>
  </si>
  <si>
    <t>15/05/2026 10:30</t>
  </si>
  <si>
    <t>15/05/2026 10:54</t>
  </si>
  <si>
    <t>15/05/2026 10:58</t>
  </si>
  <si>
    <t xml:space="preserve"> TRAVESSA AMENOFIS</t>
  </si>
  <si>
    <t>V PENTEADO</t>
  </si>
  <si>
    <t>16/05/2026 10:15</t>
  </si>
  <si>
    <t>16/05/2026 10:36</t>
  </si>
  <si>
    <t>ROGERIO OLIVEIRA SANTOS</t>
  </si>
  <si>
    <t>SUBSTITUIDA LIG AGUA SIMPLES PARA DIMENS</t>
  </si>
  <si>
    <t>passeio adjacente em obra pela empresa Plano e Plano</t>
  </si>
  <si>
    <t>15/05/2026 10:44</t>
  </si>
  <si>
    <t>15/05/2026 10:55</t>
  </si>
  <si>
    <t xml:space="preserve"> RUA OLIMPIO TOMAS FERNANDES</t>
  </si>
  <si>
    <t>não foi quebrado em baixo devido se uma laje do banheiro se quebra cai em baixou.</t>
  </si>
  <si>
    <t>15/05/2026 09:05</t>
  </si>
  <si>
    <t>15/05/2026 09:23</t>
  </si>
  <si>
    <t xml:space="preserve"> RUA JOAO MELO DA CAMARA</t>
  </si>
  <si>
    <t>C/16</t>
  </si>
  <si>
    <t>V PROGRESSO</t>
  </si>
  <si>
    <t xml:space="preserve">CHUVA NO LOCAL - SEM TODAS AS FOTOS </t>
  </si>
  <si>
    <t>AUSÊNCIA DE RÉGUA E TRENA</t>
  </si>
  <si>
    <t xml:space="preserve"> TRAVESSA FRANCISCO ADRIANI</t>
  </si>
  <si>
    <t>VL PAULO RAVELI</t>
  </si>
  <si>
    <t xml:space="preserve">adicional de eletrofusao </t>
  </si>
  <si>
    <t>15/05/2026 15:09</t>
  </si>
  <si>
    <t>15/05/2026 15:13</t>
  </si>
  <si>
    <t xml:space="preserve"> RUA HORACIO COIMBRA</t>
  </si>
  <si>
    <t>lote D quadra 10</t>
  </si>
  <si>
    <t xml:space="preserve">passeio de área verde sem reposição grama </t>
  </si>
  <si>
    <t>15/05/2026 09:10</t>
  </si>
  <si>
    <t>15/05/2026 10:25</t>
  </si>
  <si>
    <t xml:space="preserve"> RUA ROSA IANOVALE LEITE</t>
  </si>
  <si>
    <t xml:space="preserve">tá faltando fotos devido a chuva </t>
  </si>
  <si>
    <t>15/05/2026 09:00</t>
  </si>
  <si>
    <t>15/05/2026 14:31</t>
  </si>
  <si>
    <t xml:space="preserve"> RUA DOS RODRIGUES</t>
  </si>
  <si>
    <t>V CAROLINA</t>
  </si>
  <si>
    <t>15/05/2026 11:06</t>
  </si>
  <si>
    <t>15/05/2026 15:28</t>
  </si>
  <si>
    <t>Q 2040</t>
  </si>
  <si>
    <t xml:space="preserve">fotos estão nesta OS 2620381139 adicional de eletrofusao </t>
  </si>
  <si>
    <t>15/05/2026 15:05</t>
  </si>
  <si>
    <t>15/05/2026 15:08</t>
  </si>
  <si>
    <t xml:space="preserve"> RUA LUIZ MACARIO DE CASTRO</t>
  </si>
  <si>
    <t>15/05/2026 11:57</t>
  </si>
  <si>
    <t>15/05/2026 12:02</t>
  </si>
  <si>
    <t xml:space="preserve"> RUA FRANCISCO DE ABREU</t>
  </si>
  <si>
    <t>15/05/2026 15:06</t>
  </si>
  <si>
    <t>15/05/2026 17:14</t>
  </si>
  <si>
    <t>as fotos da troca está na os 2620539888</t>
  </si>
  <si>
    <t>15/05/2026 17:09</t>
  </si>
  <si>
    <t>15/05/2026 17:12</t>
  </si>
  <si>
    <t xml:space="preserve"> RUA FERNANDO PESSOA</t>
  </si>
  <si>
    <t>16/05/2026 08:50</t>
  </si>
  <si>
    <t>16/05/2026 09:02</t>
  </si>
  <si>
    <t>GERONIMO DA ROCHA LIMA</t>
  </si>
  <si>
    <t xml:space="preserve"> RUA BRIGADEIRO VILELA JUNIOR</t>
  </si>
  <si>
    <t xml:space="preserve"> C/3</t>
  </si>
  <si>
    <t>16/05/2026 10:59</t>
  </si>
  <si>
    <t>16/05/2026 11:01</t>
  </si>
  <si>
    <t>fotos na os 2620529710</t>
  </si>
  <si>
    <t>16/05/2026 10:56</t>
  </si>
  <si>
    <t>16/05/2026 12:06</t>
  </si>
  <si>
    <t>16/05/2026 14:31</t>
  </si>
  <si>
    <t xml:space="preserve"> RUA CORRUIRACU</t>
  </si>
  <si>
    <t>sem canalização viela</t>
  </si>
  <si>
    <t>16/05/2026 11:31</t>
  </si>
  <si>
    <t>16/05/2026 13:00</t>
  </si>
  <si>
    <t xml:space="preserve"> RUA DOUTOR EDUARDO VICTOR DE LAMARE</t>
  </si>
  <si>
    <t>JD S JOSE</t>
  </si>
  <si>
    <t>16/05/2026 09:03</t>
  </si>
  <si>
    <t>16/05/2026 13:50</t>
  </si>
  <si>
    <t xml:space="preserve"> AVENIDA CRISTO REI</t>
  </si>
  <si>
    <t xml:space="preserve">supressão no ferrolho
sem reposição de passeio AD é obra </t>
  </si>
  <si>
    <t>16/05/2026 15:13</t>
  </si>
  <si>
    <t>16/05/2026 15:58</t>
  </si>
  <si>
    <t xml:space="preserve"> RUA MARCELINO DE CAMARGO</t>
  </si>
  <si>
    <t>as fotos tá na o.s 2620567883</t>
  </si>
  <si>
    <t>16/05/2026 15:06</t>
  </si>
  <si>
    <t>16/05/2026 15:07</t>
  </si>
  <si>
    <t xml:space="preserve"> AVENIDA DO GUACA</t>
  </si>
  <si>
    <t>ALT</t>
  </si>
  <si>
    <t>16/05/2026 09:25</t>
  </si>
  <si>
    <t>16/05/2026 09:35</t>
  </si>
  <si>
    <t>C/1 TV 159</t>
  </si>
  <si>
    <t xml:space="preserve">sem sinalização! viela </t>
  </si>
  <si>
    <t>16/05/2026 16:08</t>
  </si>
  <si>
    <t>16/05/2026 17:14</t>
  </si>
  <si>
    <t xml:space="preserve">sem reposição de passeio AD obra da inel </t>
  </si>
  <si>
    <t>16/05/2026 16:35</t>
  </si>
  <si>
    <t>16/05/2026 20:30</t>
  </si>
  <si>
    <t xml:space="preserve"> RUA PEDRO VAZ REGO</t>
  </si>
  <si>
    <t>sem Reposição cliente ira fazer a Reposição. está reformando só degrau da viela</t>
  </si>
  <si>
    <t>17/05/2026 11:07</t>
  </si>
  <si>
    <t>17/05/2026 11:16</t>
  </si>
  <si>
    <t xml:space="preserve"> AVENIDA IMIRIM</t>
  </si>
  <si>
    <t>as fotos tá na OS 262071179
sem reposição é obra da lona</t>
  </si>
  <si>
    <t>17/05/2026 09:00</t>
  </si>
  <si>
    <t>17/05/2026 09:16</t>
  </si>
  <si>
    <t>NÃO LOCALIZEI OS 262071179 INDICADA</t>
  </si>
  <si>
    <t xml:space="preserve"> RUA BALTAZAR ABADAL</t>
  </si>
  <si>
    <t xml:space="preserve">SEM FOTO AREIA DE RISCO EN CIENTE </t>
  </si>
  <si>
    <t>17/05/2026 08:25</t>
  </si>
  <si>
    <t>17/05/2026 08:35</t>
  </si>
  <si>
    <t xml:space="preserve"> RUA JOSE ROVIRA</t>
  </si>
  <si>
    <t>17/05/2026 05:25</t>
  </si>
  <si>
    <t>17/05/2026 05:35</t>
  </si>
  <si>
    <t xml:space="preserve"> RUA JERÔNYMO DE BRITO</t>
  </si>
  <si>
    <t>17/05/2026 10:55</t>
  </si>
  <si>
    <t>17/05/2026 10:57</t>
  </si>
  <si>
    <t xml:space="preserve"> RUA PROFESSOR JOAO LEOCADIO</t>
  </si>
  <si>
    <t>17/05/2026 12:51</t>
  </si>
  <si>
    <t xml:space="preserve"> RUA AMARO RODRIGUES</t>
  </si>
  <si>
    <t>PQ HORTO FLORESTAL</t>
  </si>
  <si>
    <t>as fotos tá na o.s 2620721421</t>
  </si>
  <si>
    <t>17/05/2026 17:49</t>
  </si>
  <si>
    <t>17/05/2026 17:51</t>
  </si>
  <si>
    <t xml:space="preserve"> TRAVESSA ISABELA GREGORY</t>
  </si>
  <si>
    <t xml:space="preserve">Sei fotos devido chuvas </t>
  </si>
  <si>
    <t>18/05/2026 15:06</t>
  </si>
  <si>
    <t>18/05/2026 15:09</t>
  </si>
  <si>
    <t>ALTOS</t>
  </si>
  <si>
    <t>18/05/2026 15:02</t>
  </si>
  <si>
    <t>18/05/2026 15:04</t>
  </si>
  <si>
    <t xml:space="preserve"> TRAVESSA GERALDO FERRAZ</t>
  </si>
  <si>
    <t xml:space="preserve">passeio em obras Sei fotos devido chuvas </t>
  </si>
  <si>
    <t>18/05/2026 14:54</t>
  </si>
  <si>
    <t>18/05/2026 15:01</t>
  </si>
  <si>
    <t xml:space="preserve">sei  fotos devido chuvas </t>
  </si>
  <si>
    <t>18/05/2026 14:47</t>
  </si>
  <si>
    <t>18/05/2026 15:00</t>
  </si>
  <si>
    <t xml:space="preserve"> RUA MARQUES DE RECIFE</t>
  </si>
  <si>
    <t>Observação as fotos está na Oeste 26 Observação foi usado o mesmo tubo 20711369</t>
  </si>
  <si>
    <t>18/05/2026 16:34</t>
  </si>
  <si>
    <t>18/05/2026 16:36</t>
  </si>
  <si>
    <t>Como observação as fotos tá na Oeste 26 Observação foi observação foi usado o mesmo tubo 2071-1369</t>
  </si>
  <si>
    <t>18/05/2026 16:28</t>
  </si>
  <si>
    <t>18/05/2026 16:30</t>
  </si>
  <si>
    <t>18/05/2026 12:21</t>
  </si>
  <si>
    <t>18/05/2026 12:23</t>
  </si>
  <si>
    <t>What is observação as foto está na Vou observação foi usado o mesmo tubo oes 2620711369</t>
  </si>
  <si>
    <t>18/05/2026 16:24</t>
  </si>
  <si>
    <t>18/05/2026 16:33</t>
  </si>
  <si>
    <t xml:space="preserve"> RUA MANUEL RIBEIRO ROSA</t>
  </si>
  <si>
    <t>passeio adjacente em obra</t>
  </si>
  <si>
    <t>18/05/2026 08:42</t>
  </si>
  <si>
    <t>18/05/2026 10:04</t>
  </si>
  <si>
    <t xml:space="preserve"> RUA EDITOR ARNALDO MAGALHAES DE GIACOMO</t>
  </si>
  <si>
    <t>MORRO GRANDE</t>
  </si>
  <si>
    <t>18/05/2026 14:14</t>
  </si>
  <si>
    <t>18/05/2026 15:54</t>
  </si>
  <si>
    <t xml:space="preserve"> RUA SAO FRANCISCO DO HUMAITA</t>
  </si>
  <si>
    <t>18/05/2026 08:32</t>
  </si>
  <si>
    <t>18/05/2026 10:25</t>
  </si>
  <si>
    <t xml:space="preserve"> RUA DOUTOR GEORGINO PAULINO DOS SANTOS</t>
  </si>
  <si>
    <t>V MARINA</t>
  </si>
  <si>
    <t>18/05/2026 16:58</t>
  </si>
  <si>
    <t>18/05/2026 17:01</t>
  </si>
  <si>
    <t>18/05/2026 17:02</t>
  </si>
  <si>
    <t>18/05/2026 17:06</t>
  </si>
  <si>
    <t xml:space="preserve">as fotos da capacitação tá na OS 1620561761
foi executado na mesma vala </t>
  </si>
  <si>
    <t>18/05/2026 17:52</t>
  </si>
  <si>
    <t>18/05/2026 18:16</t>
  </si>
  <si>
    <t>18/05/2026 17:13</t>
  </si>
  <si>
    <t>18/05/2026 17:20</t>
  </si>
  <si>
    <t>18/05/2026 17:26</t>
  </si>
  <si>
    <t>18/05/2026 17:46</t>
  </si>
  <si>
    <t xml:space="preserve"> RUA GEORGE PILLI</t>
  </si>
  <si>
    <t>18/05/2026 09:37</t>
  </si>
  <si>
    <t>18/05/2026 13:33</t>
  </si>
  <si>
    <t xml:space="preserve"> RUA OSCAR ROSAS RIBEIRO</t>
  </si>
  <si>
    <t>JD ALMANARA</t>
  </si>
  <si>
    <t>18/05/2026 09:01</t>
  </si>
  <si>
    <t>18/05/2026 10:47</t>
  </si>
  <si>
    <t xml:space="preserve"> RUA AUGUSTO CESAR SANDINO</t>
  </si>
  <si>
    <t>final de rua</t>
  </si>
  <si>
    <t>18/05/2026 09:28</t>
  </si>
  <si>
    <t>18/05/2026 09:30</t>
  </si>
  <si>
    <t xml:space="preserve"> RUA MAUES</t>
  </si>
  <si>
    <t>VL CRISTO REI</t>
  </si>
  <si>
    <t>as fotos tá na o.s 2620791780</t>
  </si>
  <si>
    <t>18/05/2026 10:55</t>
  </si>
  <si>
    <t>18/05/2026 10:58</t>
  </si>
  <si>
    <t>18/05/2026 11:04</t>
  </si>
  <si>
    <t>18/05/2026 16:56</t>
  </si>
  <si>
    <t xml:space="preserve">aa fotos tá na o.s 2620816804 mais adicional de eletrofusão </t>
  </si>
  <si>
    <t>18/05/2026 17:09</t>
  </si>
  <si>
    <t>18/05/2026 17:12</t>
  </si>
  <si>
    <t>as fotos tá na o.s 2620816804 mais adicional de eletrofusão,  tá na mesma Vala do número 115</t>
  </si>
  <si>
    <t xml:space="preserve">as fotos tá na o.s 2620816804 mais adicional de eletrofusão </t>
  </si>
  <si>
    <t>18/05/2026 17:04</t>
  </si>
  <si>
    <t>18/05/2026 17:07</t>
  </si>
  <si>
    <t xml:space="preserve"> RUA SETE CACHOEIRAS</t>
  </si>
  <si>
    <t>JD ANTARTICA</t>
  </si>
  <si>
    <t xml:space="preserve">imóvel em obras ,não necessário encerado ou compactação,cliente fazendo calçada </t>
  </si>
  <si>
    <t>18/05/2026 11:16</t>
  </si>
  <si>
    <t>18/05/2026 11:18</t>
  </si>
  <si>
    <t xml:space="preserve"> RUA LUIS SERGIO PERSON</t>
  </si>
  <si>
    <t>obs ramal de baixou da árvore.</t>
  </si>
  <si>
    <t>18/05/2026 11:33</t>
  </si>
  <si>
    <t>18/05/2026 11:41</t>
  </si>
  <si>
    <t>fotos da troca está na os 2693528443</t>
  </si>
  <si>
    <t>18/05/2026 13:36</t>
  </si>
  <si>
    <t xml:space="preserve"> RUA ALBERTO CAPELLANI</t>
  </si>
  <si>
    <t>PQ BELEM</t>
  </si>
  <si>
    <t xml:space="preserve">Não teve teste devido imovel fechado </t>
  </si>
  <si>
    <t>18/05/2026 11:00</t>
  </si>
  <si>
    <t>18/05/2026 11:01</t>
  </si>
  <si>
    <t xml:space="preserve"> RUA RAULINO GALDINO DA SILVA</t>
  </si>
  <si>
    <t>as  fotos dece serviço tá os  2620710944</t>
  </si>
  <si>
    <t>18/05/2026 15:18</t>
  </si>
  <si>
    <t>18/05/2026 15:20</t>
  </si>
  <si>
    <t xml:space="preserve"> RUA RENDEIRA</t>
  </si>
  <si>
    <t>18/05/2026 16:12</t>
  </si>
  <si>
    <t>18/05/2026 16:14</t>
  </si>
  <si>
    <t xml:space="preserve"> RUA JOAO ANDRADE</t>
  </si>
  <si>
    <t>VL BARRETO</t>
  </si>
  <si>
    <t>Troca de ramal até o pé todas as fotos estão localizada e disponível no devido lugar
na Os 2620824741</t>
  </si>
  <si>
    <t>18/05/2026 15:34</t>
  </si>
  <si>
    <t>18/05/2026 15:39</t>
  </si>
  <si>
    <t>as fotos dece serviço tá os  2620711133</t>
  </si>
  <si>
    <t>18/05/2026 16:51</t>
  </si>
  <si>
    <t>18/05/2026 16:54</t>
  </si>
  <si>
    <t>NÃO FOI POSSÍVEL FAZER A LEITURA</t>
  </si>
  <si>
    <t>19/05/2026 16:44</t>
  </si>
  <si>
    <t>19/05/2026 16:50</t>
  </si>
  <si>
    <t xml:space="preserve"> RUA SARGENTO JOAO JOAQUIM DIAS</t>
  </si>
  <si>
    <t>JD STA INES</t>
  </si>
  <si>
    <t>19/05/2026 09:35</t>
  </si>
  <si>
    <t>19/05/2026 10:06</t>
  </si>
  <si>
    <t xml:space="preserve"> RUA JOAQUIM SIMOES</t>
  </si>
  <si>
    <t>19/05/2026 11:49</t>
  </si>
  <si>
    <t>19/05/2026 13:19</t>
  </si>
  <si>
    <t>SEM REPOSIÇÃO DEVIDO OBRA DA PREFEITURA</t>
  </si>
  <si>
    <t>19/05/2026 06:00</t>
  </si>
  <si>
    <t>19/05/2026 06:01</t>
  </si>
  <si>
    <t xml:space="preserve"> RUA NELSON FRANCISCO</t>
  </si>
  <si>
    <t>LIMAO</t>
  </si>
  <si>
    <t xml:space="preserve">SEM FOTOS DEVIDO SER EXECUTADO POR EQUIPE NOTURNA E SEM REPOSIÇÃO DEVIDO SER OBRA EMERGENCIAL </t>
  </si>
  <si>
    <t>19/05/2026 09:56</t>
  </si>
  <si>
    <t>19/05/2026 12:09</t>
  </si>
  <si>
    <t xml:space="preserve"> RUA RUIVA</t>
  </si>
  <si>
    <t>Sem reposição, devido ser leito terra</t>
  </si>
  <si>
    <t>19/05/2026 12:29</t>
  </si>
  <si>
    <t>19/05/2026 15:35</t>
  </si>
  <si>
    <t>SEM REPOSIÇÃO, DEVIDO SER LEITO TERRA.
FOTOS NA OS 2615270189</t>
  </si>
  <si>
    <t xml:space="preserve"> RUA MENDONCA JUNIOR</t>
  </si>
  <si>
    <t>V DOS ANDRADES</t>
  </si>
  <si>
    <t>SF NA OS 2616333890 INDICADA</t>
  </si>
  <si>
    <t>FOTOS E REPOSIÇÃO NA OS 2616333890</t>
  </si>
  <si>
    <t xml:space="preserve"> RUA ITABIRA</t>
  </si>
  <si>
    <t>VL SANTOS</t>
  </si>
  <si>
    <t>REFERENTE INSTALAÇÃO DE VENTOSA</t>
  </si>
  <si>
    <t xml:space="preserve"> RUA BRITO PEIXOTO</t>
  </si>
  <si>
    <t>V PRIMAVERA</t>
  </si>
  <si>
    <t xml:space="preserve">EXECUTADO SONDAGEM E TRATA SE DE VAZAMENTO DE ESGOTO. </t>
  </si>
  <si>
    <t>19/05/2026 10:19</t>
  </si>
  <si>
    <t>19/05/2026 10:35</t>
  </si>
  <si>
    <t>AUSÊNCIA DE PLACAS DE INTERDIÇÃO</t>
  </si>
  <si>
    <t>REDE 225</t>
  </si>
  <si>
    <t xml:space="preserve"> TRAVESSA LUIS SA</t>
  </si>
  <si>
    <t>adicional de eletrofusao fotos estão nesta OS 2620810499  sem Reposição de asfalto pois o serviço foi executado na mesma vala do n 211</t>
  </si>
  <si>
    <t>19/05/2026 16:12</t>
  </si>
  <si>
    <t>19/05/2026 16:16</t>
  </si>
  <si>
    <t xml:space="preserve">fotos estão nesta OS 2620810499 adicional de eletrofusao </t>
  </si>
  <si>
    <t>19/05/2026 16:17</t>
  </si>
  <si>
    <t>19/05/2026 16:20</t>
  </si>
  <si>
    <t>40 Remanejamento de rede PEAD de água MND Dn 63MM- Rede PA - Profundidade 1 Mapeamento –Equipe ROMERO.
FOTOS NA OS 2615270189
REPOSIÇÃO LEITO TERRA</t>
  </si>
  <si>
    <t>obs feito cvv.</t>
  </si>
  <si>
    <t>19/05/2026 10:59</t>
  </si>
  <si>
    <t>19/05/2026 12:50</t>
  </si>
  <si>
    <t>FOTOS NA OS 2618416392</t>
  </si>
  <si>
    <t xml:space="preserve"> RUA ERATOSTENES AZEVEDO</t>
  </si>
  <si>
    <t>As fotos estão localizada e disponível no devido lugar na Os 2693592253</t>
  </si>
  <si>
    <t>19/05/2026 17:03</t>
  </si>
  <si>
    <t>19/05/2026 17:10</t>
  </si>
  <si>
    <t xml:space="preserve"> RUA MUNIZ FREIRE</t>
  </si>
  <si>
    <t>VL S JORGE</t>
  </si>
  <si>
    <t xml:space="preserve">o resto das foto está na os do esgoto. </t>
  </si>
  <si>
    <t>19/05/2026 15:21</t>
  </si>
  <si>
    <t>19/05/2026 15:30</t>
  </si>
  <si>
    <t xml:space="preserve">adicional de eletrofusao fotos estão nesta OS 2620810499 sem Reposição de asfalto pois o serviço foi executado na mesma vala do n 5 </t>
  </si>
  <si>
    <t>19/05/2026 16:40</t>
  </si>
  <si>
    <t>19/05/2026 16:42</t>
  </si>
  <si>
    <t>adicional de eletrofusao fotos estão nesta OS 2620810499</t>
  </si>
  <si>
    <t>19/05/2026 16:28</t>
  </si>
  <si>
    <t>19/05/2026 16:31</t>
  </si>
  <si>
    <t>adicional de eletrofusao fotos estão nesta OS  2620810499 sem Reposição de asfalto pois o serviço foi executado na mesma vala do n 5</t>
  </si>
  <si>
    <t>19/05/2026 16:33</t>
  </si>
  <si>
    <t>19/05/2026 16:37</t>
  </si>
  <si>
    <t xml:space="preserve"> TRAVESSA DA PAZ</t>
  </si>
  <si>
    <t>SEM FOTOS DEVIDO AREA DE RISCO - ENC THIAGO CIENTE</t>
  </si>
  <si>
    <t>19/05/2026 06:02</t>
  </si>
  <si>
    <t>19/05/2026 06:03</t>
  </si>
  <si>
    <t xml:space="preserve"> RUA ANTONIO NOBRE</t>
  </si>
  <si>
    <t xml:space="preserve"> RUA ADRIANO LUALDI</t>
  </si>
  <si>
    <t>19/05/2026 18:22</t>
  </si>
  <si>
    <t>19/05/2026 18:27</t>
  </si>
  <si>
    <t xml:space="preserve"> RUA CARLOS SCHUMACKER</t>
  </si>
  <si>
    <t>JD DOS FRANCOS</t>
  </si>
  <si>
    <t xml:space="preserve">PASSEIO OBRA </t>
  </si>
  <si>
    <t>20/05/2026 06:15</t>
  </si>
  <si>
    <t>20/05/2026 06:25</t>
  </si>
  <si>
    <t xml:space="preserve">já tinha quitiuma na caixinha </t>
  </si>
  <si>
    <t>20/05/2026 14:39</t>
  </si>
  <si>
    <t>20/05/2026 14:41</t>
  </si>
  <si>
    <t>as fotos dece serviço tá os  2621074846</t>
  </si>
  <si>
    <t>20/05/2026 14:33</t>
  </si>
  <si>
    <t>as foto do serviço está nessa os 2621060344
foi tira as foto na os da rua rendeira.</t>
  </si>
  <si>
    <t>20/05/2026 11:13</t>
  </si>
  <si>
    <t>20/05/2026 11:20</t>
  </si>
  <si>
    <t>Supressão no ferrolho as fotos estão localizada e disponível no devido lugar na Os 2621086134</t>
  </si>
  <si>
    <t>20/05/2026 08:34</t>
  </si>
  <si>
    <t>20/05/2026 10:50</t>
  </si>
  <si>
    <t xml:space="preserve"> RUA ANTONIO MEDUSA</t>
  </si>
  <si>
    <t>serviço executado no número 9A</t>
  </si>
  <si>
    <t>20/05/2026 08:48</t>
  </si>
  <si>
    <t>20/05/2026 11:12</t>
  </si>
  <si>
    <t xml:space="preserve"> RUA ANTONIO CASTELAR DE FRANCESCHI</t>
  </si>
  <si>
    <t>JD SAO MANOEL</t>
  </si>
  <si>
    <t>serviço foi feito no numero 183</t>
  </si>
  <si>
    <t>20/05/2026 06:00</t>
  </si>
  <si>
    <t>20/05/2026 06:01</t>
  </si>
  <si>
    <t>20/05/2026 17:04</t>
  </si>
  <si>
    <t>20/05/2026 17:08</t>
  </si>
  <si>
    <t xml:space="preserve">sem fotos da lona não presiszo crebra o passeio AD </t>
  </si>
  <si>
    <t>20/05/2026 17:09</t>
  </si>
  <si>
    <t>20/05/2026 17:25</t>
  </si>
  <si>
    <t>CHORA MENINO</t>
  </si>
  <si>
    <t>sem reposição devido obra da prefeitura</t>
  </si>
  <si>
    <t>SEM REPOSIÇÃO DEVIDO LEITO TERRA</t>
  </si>
  <si>
    <t xml:space="preserve"> RUA JERONIMO CAMARGO</t>
  </si>
  <si>
    <t>VL IRMAOS ARNONI</t>
  </si>
  <si>
    <t xml:space="preserve">obs feito o cvv
obs rua sem saída. </t>
  </si>
  <si>
    <t>20/05/2026 08:32</t>
  </si>
  <si>
    <t>20/05/2026 08:56</t>
  </si>
  <si>
    <t xml:space="preserve">as fotos tá na o.s 2621263684 mais adicional de eletrofusão </t>
  </si>
  <si>
    <t>20/05/2026 14:13</t>
  </si>
  <si>
    <t>20/05/2026 14:17</t>
  </si>
  <si>
    <t xml:space="preserve">mais adicional de eletrofusão  tá na mesma Vala do número 157 </t>
  </si>
  <si>
    <t>20/05/2026 10:49</t>
  </si>
  <si>
    <t>20/05/2026 14:12</t>
  </si>
  <si>
    <t xml:space="preserve"> as fotos tá na o.s 2621263684 mais adicional de eletrofusão </t>
  </si>
  <si>
    <t>20/05/2026 14:19</t>
  </si>
  <si>
    <t>20/05/2026 14:22</t>
  </si>
  <si>
    <t>serviço executado no número 9 A</t>
  </si>
  <si>
    <t>20/05/2026 11:16</t>
  </si>
  <si>
    <t xml:space="preserve"> VIELA NOSSA SENHORA DO BONFIM</t>
  </si>
  <si>
    <t xml:space="preserve">sem fotos devido area de risco - viela
necessario teste de corante </t>
  </si>
  <si>
    <t>20/05/2026 06:02</t>
  </si>
  <si>
    <t>20/05/2026 06:03</t>
  </si>
  <si>
    <t>SEM FOTOS ÁREA DE RISCO</t>
  </si>
  <si>
    <t xml:space="preserve"> RUA LIDERLANDIA</t>
  </si>
  <si>
    <t xml:space="preserve"> RUA APEREMA</t>
  </si>
  <si>
    <t>VL AMELIA</t>
  </si>
  <si>
    <t xml:space="preserve">SEM REPOSIÇÃO DEVIDO SER LEITO TERRA </t>
  </si>
  <si>
    <t>20/05/2026 06:05</t>
  </si>
  <si>
    <t>20/05/2026 06:10</t>
  </si>
  <si>
    <t xml:space="preserve"> RUA SAO ROMUALDO</t>
  </si>
  <si>
    <t>20/05/2026 16:58</t>
  </si>
  <si>
    <t>20/05/2026 17:00</t>
  </si>
  <si>
    <t xml:space="preserve"> RUA JAGUARURAMA</t>
  </si>
  <si>
    <t>VL BRUNA</t>
  </si>
  <si>
    <t>as fotos dece serviço tá os 2693774750</t>
  </si>
  <si>
    <t>20/05/2026 17:02</t>
  </si>
  <si>
    <t>20/05/2026 17:05</t>
  </si>
  <si>
    <t xml:space="preserve"> RUA MARIA FRANCISCA</t>
  </si>
  <si>
    <t>cliente André pediu pra quando antes de vir fazer a reposição do piso interno liga antes
11949580919</t>
  </si>
  <si>
    <t>20/05/2026 17:22</t>
  </si>
  <si>
    <t>LEITURA 0</t>
  </si>
  <si>
    <t xml:space="preserve"> RUA LUIS CARLOS GENTILE DE LAET</t>
  </si>
  <si>
    <t xml:space="preserve"> RUA SERRA DA VELHA</t>
  </si>
  <si>
    <t>as foto está nessa os 2620778645</t>
  </si>
  <si>
    <t>OS INDICADA  2620778645 NÃO POSSUÍ FOTOS</t>
  </si>
  <si>
    <t xml:space="preserve"> RUA TEREZINHA MARIA MATILDES LEAO</t>
  </si>
  <si>
    <t xml:space="preserve">obs feito sondagem onde estava marcado não localizado o vazamento nesserio geofona. </t>
  </si>
  <si>
    <t xml:space="preserve"> RUA FRANCISCO NARCIZO</t>
  </si>
  <si>
    <t xml:space="preserve"> RUA JOTACA</t>
  </si>
  <si>
    <t>CONF_SPEC</t>
  </si>
  <si>
    <t>VL BRACAIA</t>
  </si>
  <si>
    <t xml:space="preserve">Na frente do Numero 208 </t>
  </si>
  <si>
    <t xml:space="preserve"> TRAVESSA WALTER GEORGE DURST</t>
  </si>
  <si>
    <t>V SIQUEIRA ZNORTE</t>
  </si>
  <si>
    <t xml:space="preserve">Passeio em obra por conta do cliente </t>
  </si>
  <si>
    <t xml:space="preserve"> RUA ANGELO CAPRICHO</t>
  </si>
  <si>
    <t>sem sinalização transformação feita já em caixa uma</t>
  </si>
  <si>
    <t>transformação feita já em caixa uma</t>
  </si>
  <si>
    <t xml:space="preserve"> AVENIDA JOAO DOS SANTOS ABREU</t>
  </si>
  <si>
    <t>C/12</t>
  </si>
  <si>
    <t>fotos na os 2621282423</t>
  </si>
  <si>
    <t>C/8</t>
  </si>
  <si>
    <t>C/11</t>
  </si>
  <si>
    <t xml:space="preserve">fotos na os 2621282423 mesma vala casa 01 mmd passeio passeio estendido </t>
  </si>
  <si>
    <t xml:space="preserve">fotos na os 2621282423 mesma vala casa 01 mmd passeio estendido </t>
  </si>
  <si>
    <t xml:space="preserve">mmd passeio estendido par obras usado mesmo ferrolho </t>
  </si>
  <si>
    <t>C/10</t>
  </si>
  <si>
    <t xml:space="preserve"> RUA SEBASTIAO DA ROCHA PITA</t>
  </si>
  <si>
    <t>VL ISABEL</t>
  </si>
  <si>
    <t xml:space="preserve"> RUA ROQUE DE MORAIS</t>
  </si>
  <si>
    <t>as fotos dece serviço tá os  2621249249</t>
  </si>
  <si>
    <t xml:space="preserve"> RUA ISOLINA</t>
  </si>
  <si>
    <t>JD CARLU</t>
  </si>
  <si>
    <t xml:space="preserve"> RUA HILARIO CORREIA</t>
  </si>
  <si>
    <t xml:space="preserve">obs foi lançado duas conexões metálica que foi usada dia 20.05.2026 na viela pra cola um registro na rede. </t>
  </si>
  <si>
    <t>FOTOS REF OS 2693878969.
SEM TESTE DE ESTANQUIEDADE IMOVEL FECHADO.</t>
  </si>
  <si>
    <t>E</t>
  </si>
  <si>
    <t xml:space="preserve">área de risco ,prefeitura está no local ,foi recapiado a rua ,não necessário atender o decreto,vai ser colocado outra camada de asfalto </t>
  </si>
  <si>
    <t xml:space="preserve"> RUA BARAO DE SAO LUIS</t>
  </si>
  <si>
    <t xml:space="preserve"> RUA JOAO BATISTA FIGUEIREDO</t>
  </si>
  <si>
    <t xml:space="preserve"> RUA PRESIDENTE BERNARDES</t>
  </si>
  <si>
    <t>FOTOS REF OS 2621510818</t>
  </si>
  <si>
    <t>SUPRIMIDO RAMAL ABANDONADO</t>
  </si>
  <si>
    <t xml:space="preserve">as fotos tá na o.s 2621647633 mais adicional de eletrofusão </t>
  </si>
  <si>
    <t>OS INDICADA DIVERGE DO ENDEREÇO</t>
  </si>
  <si>
    <t xml:space="preserve"> RUA NICOLINO STOFFA</t>
  </si>
  <si>
    <t xml:space="preserve"> RUA ALMIRANTE MATOSO MAIA</t>
  </si>
  <si>
    <t xml:space="preserve">em obras </t>
  </si>
  <si>
    <t>VAZAMENTO DE ÁGUA EM RAMAL ABANDONADO</t>
  </si>
  <si>
    <t xml:space="preserve"> RUA MANUEL NOGUEIRA DA GAMA</t>
  </si>
  <si>
    <t>PIA</t>
  </si>
  <si>
    <t xml:space="preserve"> RUA PIAPARA</t>
  </si>
  <si>
    <t>Observação foi usada mesmo at5 Rua Em Pavimentação</t>
  </si>
  <si>
    <t>FOTO ILEGÍVEL</t>
  </si>
  <si>
    <t>AREA DE RISCO
SEM REPOSIÇÃO DEVIDO OBRA DA PREFEITURA.
FOTOS NA OS 2621429238</t>
  </si>
  <si>
    <t xml:space="preserve">mais adicional de </t>
  </si>
  <si>
    <t xml:space="preserve"> PASSAGEM OLIVIA SERRES</t>
  </si>
  <si>
    <t xml:space="preserve"> RUA LUIS DE ANDRADE</t>
  </si>
  <si>
    <t xml:space="preserve"> RUA DO PERDAO</t>
  </si>
  <si>
    <t>B C/2</t>
  </si>
  <si>
    <t>B C/3</t>
  </si>
  <si>
    <t xml:space="preserve"> RUA CUNHANREQUARO</t>
  </si>
  <si>
    <t xml:space="preserve"> RUA SILVERIO GONCALVES</t>
  </si>
  <si>
    <t xml:space="preserve">NAO TEVE TODAS FOTOS DE REPOSIÇÃO DEVIDO OBRA SER NA VALA DE PROLONGAMENTO DE ESGOTO. </t>
  </si>
  <si>
    <t xml:space="preserve"> RUA BONIFACIO CUBAS</t>
  </si>
  <si>
    <t>não foi possível tirar todas fotos devido muita chuva no local</t>
  </si>
  <si>
    <t xml:space="preserve"> RUA MAESTRO OTTO WEY</t>
  </si>
  <si>
    <t>JD ITATINGA</t>
  </si>
  <si>
    <t>leito de terra ,não necessário compactação e encerado imóvel em obras</t>
  </si>
  <si>
    <t xml:space="preserve"> RUA VIEIRA DE MELO</t>
  </si>
  <si>
    <t xml:space="preserve"> RUA JOSE CARLOS MONTEIRO</t>
  </si>
  <si>
    <t>CASA 1</t>
  </si>
  <si>
    <t>JD MARISTELA</t>
  </si>
  <si>
    <t>Não a Reposição devido obras no local
Não a fotos no local devido ser obras da sabesp</t>
  </si>
  <si>
    <t>ITABERABA</t>
  </si>
  <si>
    <t xml:space="preserve"> RUA BALSA</t>
  </si>
  <si>
    <t>não deu pra tirar todas fotos noite e chuva</t>
  </si>
  <si>
    <t xml:space="preserve"> RUA EUGENE DELACROIX</t>
  </si>
  <si>
    <t xml:space="preserve"> RUA DOUTOR OSCAR DRUMOND COSTA</t>
  </si>
  <si>
    <t xml:space="preserve"> AVENIDA BRASILINA VIEIRA SIMOES</t>
  </si>
  <si>
    <t>VL REGINA</t>
  </si>
  <si>
    <t xml:space="preserve">não foi tirado todas as fotos devido muita chuva no local obras no local </t>
  </si>
  <si>
    <t xml:space="preserve"> RUA QUINTILIANO DE MESQUITA</t>
  </si>
  <si>
    <t>PQ LEO</t>
  </si>
  <si>
    <t>A FDS C/4</t>
  </si>
  <si>
    <t>As fotos estão localizada e disponível na Os 2621445190</t>
  </si>
  <si>
    <t>obras da prefeitura no local ,recapiamento ,não necessário encerado,rede de água passa em baixo da sarjeta</t>
  </si>
  <si>
    <t xml:space="preserve"> RUA HOMERO FRANCISCO TERRA</t>
  </si>
  <si>
    <t xml:space="preserve">SEM REPOSIÇÃO DEVIDO OBRA </t>
  </si>
  <si>
    <t xml:space="preserve"> AVENIDA ELISIO TEIXEIRA LEITE</t>
  </si>
  <si>
    <t>Troca de ramal até o pé todas as fotos estão localizada e disponível na Os 2621648106</t>
  </si>
  <si>
    <t>FOTOS E REPOSIÇÃO NA OS 2621458391</t>
  </si>
  <si>
    <t xml:space="preserve"> AVENIDA NOVA CANTAREIRA</t>
  </si>
  <si>
    <t>AGUA FRIA</t>
  </si>
  <si>
    <t>SERVIÇO EXECUTADO NA ALTURA DO NUMERO 7007.</t>
  </si>
  <si>
    <t xml:space="preserve"> RUA FRAUENFELD</t>
  </si>
  <si>
    <t xml:space="preserve"> RUA DOS PATIS</t>
  </si>
  <si>
    <t xml:space="preserve"> RUA ELVIRA BARBOSA</t>
  </si>
  <si>
    <t xml:space="preserve"> RUA MARCOS ANTONIO</t>
  </si>
  <si>
    <t>VL HERMINIA</t>
  </si>
  <si>
    <t xml:space="preserve"> RUA DO GUERRA</t>
  </si>
  <si>
    <t xml:space="preserve">foi feito uma sondagem  não foi encontrado rede  e Nei ramal  suspeita de água de esgoto necessár análise de água </t>
  </si>
  <si>
    <t xml:space="preserve"> RUA ENGENHEIRO DARIO MACHADO DE CAMPOS</t>
  </si>
  <si>
    <t>VL SERRALHEIRO</t>
  </si>
  <si>
    <t xml:space="preserve">em obras não foi necessário copaquita devido esgoto vazando criete vai fazer </t>
  </si>
  <si>
    <t xml:space="preserve"> VIELA MARIA CANDIDA</t>
  </si>
  <si>
    <t>V REGINA</t>
  </si>
  <si>
    <t xml:space="preserve">as fotos dece serviço tá os 2621445082 não foi tirado todas as fotos devido muita chuva no local </t>
  </si>
  <si>
    <t>não foi tirado todas as fotos do serviço devido uma  chuva no local  os 2621445082</t>
  </si>
  <si>
    <t xml:space="preserve"> RUA DANIEL CERRI</t>
  </si>
  <si>
    <t xml:space="preserve"> RUA PROFESSOR ANDRIOLI</t>
  </si>
  <si>
    <t>Todas as fotos estão localizada e disponível no devido lugar na Os 2621773339</t>
  </si>
  <si>
    <t xml:space="preserve"> RUA DOUTOR ARNALDO DE CAMPOS</t>
  </si>
  <si>
    <t xml:space="preserve"> RUA SILVANO DE ALMEIDA</t>
  </si>
  <si>
    <t>o restante da foto está nessa os 2694066443.</t>
  </si>
  <si>
    <t>JD DAS GRACAS</t>
  </si>
  <si>
    <t>NAO TEVE TODAS AS FOTOS DEVIDO OBRA NO LOCAL.</t>
  </si>
  <si>
    <t xml:space="preserve"> RUA JOAO PEREIRA PORTO</t>
  </si>
  <si>
    <t>COHAB PRESTES MAIA</t>
  </si>
  <si>
    <t>as fotos tá na o.s 26w1831622</t>
  </si>
  <si>
    <t>OS INDICADA NÚMERO NÃO CONFERE</t>
  </si>
  <si>
    <t>2621458391 fotos e reposiçao nessa os</t>
  </si>
  <si>
    <t xml:space="preserve"> RUA VISCONDE GERAZ DO LIMA</t>
  </si>
  <si>
    <t>LUIS PAULO BELTRAO DA SILVA</t>
  </si>
  <si>
    <t>as foto está nessa os 2621648213</t>
  </si>
  <si>
    <t>obs suprimido ramal de abandonado com uma união capeada verificado todo con água normal.
obs cliente também reclama de uma obra ué j faz mais de mês e não terminada.
obs suprimido ramal abandonado com uma união capeada verificado todo mundo com água normal.
obs vala já estava aberta.</t>
  </si>
  <si>
    <t xml:space="preserve"> RUA ILICINIA</t>
  </si>
  <si>
    <t>PQ PETROPOLIS</t>
  </si>
  <si>
    <t xml:space="preserve"> VIELA CINCO DA VL ESMERALDA</t>
  </si>
  <si>
    <t>SEM FOTOS DEVIDO AREA DE RISCO</t>
  </si>
  <si>
    <t xml:space="preserve"> RUA FRANCISCO DE PAULA BONILHA</t>
  </si>
  <si>
    <t xml:space="preserve">sem reposição é obra
sem fotos da lona não foi preciso crebra a calçada </t>
  </si>
  <si>
    <t xml:space="preserve"> RUA ABURA</t>
  </si>
  <si>
    <t xml:space="preserve">sem Reposição. obra da comgas </t>
  </si>
  <si>
    <t xml:space="preserve"> RUA SAO MIGUEL DO TAPUIO</t>
  </si>
  <si>
    <t>44Aexc</t>
  </si>
  <si>
    <t xml:space="preserve"> RUA PROFESSOR HENRIQUE JOSE DE SOUZA</t>
  </si>
  <si>
    <t xml:space="preserve"> RUA MANUEL MORAIS PONTES</t>
  </si>
  <si>
    <t>SEM FOTOS DEVIDO SER EXECUTADO POR EQUIPE NOTURNA</t>
  </si>
  <si>
    <t xml:space="preserve"> RUA DOUTOR ALCIDES CINTRA BUENO FILHO</t>
  </si>
  <si>
    <t>STA TEREZINHA</t>
  </si>
  <si>
    <t xml:space="preserve">não foi tirado foto da compaquitacao manual porque o cliente vai fechar o buraco obras no local </t>
  </si>
  <si>
    <t xml:space="preserve"> RUA ALFREDO MARGARIA</t>
  </si>
  <si>
    <t>as fotos tá na o.s 2621781563 mais ccv</t>
  </si>
  <si>
    <t xml:space="preserve"> RUA ANTONIO JOAO</t>
  </si>
  <si>
    <t xml:space="preserve">obs em obra da prefeitura por isso que não teve compaquetacao no asfalto. </t>
  </si>
  <si>
    <t xml:space="preserve"> RUA JOAO ROBERTO THUT</t>
  </si>
  <si>
    <t xml:space="preserve"> RUA CASTRINOPOLIS</t>
  </si>
  <si>
    <t>SEM FOTOS DEVIDO SER EXECUTADO POR EQUIPE NORTURNA</t>
  </si>
  <si>
    <t xml:space="preserve"> RUA BITENCOURT DA SILVA</t>
  </si>
  <si>
    <t xml:space="preserve">peças usadas T5 </t>
  </si>
  <si>
    <t>SEM REPOSIÇÃO DEVIDO OBRA DE RECAPEAMENTO DA PREFEITURA.</t>
  </si>
  <si>
    <t>RAMAL ESTICADO PARA PONTO DE MEDIÇÃO - ENC DENIS E THIAGO CIENTE.</t>
  </si>
  <si>
    <t xml:space="preserve">as fotos tá na o.s 2621832454 , mais ccv </t>
  </si>
  <si>
    <t xml:space="preserve"> RUA JULIAO FERREIRA DA SILVA</t>
  </si>
  <si>
    <t>JD CENTENARIO</t>
  </si>
  <si>
    <t xml:space="preserve"> RUA MATHILDE CARLOS MONTESANTI</t>
  </si>
  <si>
    <t xml:space="preserve"> RUA PORTO DE DOM RODRIGO</t>
  </si>
  <si>
    <t>Pé de cavalete</t>
  </si>
  <si>
    <t xml:space="preserve"> RUA ENEIAS LUIS CARLOS BARBANTI</t>
  </si>
  <si>
    <t xml:space="preserve"> RUA FORTUNATO MINOZZI</t>
  </si>
  <si>
    <t>P MANDAQUI</t>
  </si>
  <si>
    <t>OS REFERÊNCIA 2621883720</t>
  </si>
  <si>
    <t xml:space="preserve">foi executado uma ligação de água, rede no teço oposto
infelizmente de rede de gás
reposição de asfalto
sem reposição de passeio AD é obra </t>
  </si>
  <si>
    <t>fotos na os 2621674717</t>
  </si>
  <si>
    <t xml:space="preserve">fotos na os 2621674717 mesma vala casa 01 </t>
  </si>
  <si>
    <t xml:space="preserve"> AVENIDA FUAD LUTFALLA</t>
  </si>
  <si>
    <t>Executado no numero 1559</t>
  </si>
  <si>
    <t xml:space="preserve"> PASSAGEM FAUSTINO JOLI</t>
  </si>
  <si>
    <t>sem fotos devido ser executado por equipe noturna</t>
  </si>
  <si>
    <t>SEM FOTOS DEVIDO SER EXECUTADO POR EQUIPE</t>
  </si>
  <si>
    <t xml:space="preserve"> RUA BERNARDO FONSECA LOBO</t>
  </si>
  <si>
    <t xml:space="preserve"> RUA MANOEL DE SANTANA</t>
  </si>
  <si>
    <t>REBATIDO CHUMBO NA JUNTA</t>
  </si>
  <si>
    <t>Rede DN 75  Profundidade 1 M
Vala 1x1    T.A</t>
  </si>
  <si>
    <t xml:space="preserve"> RUA ANTONIO PEREIRA SANTOS</t>
  </si>
  <si>
    <t xml:space="preserve">SEM REPOSIÇÃO DEVIDO OBRA DE RECAPEAMENTO DA PREFEITURA. </t>
  </si>
  <si>
    <t xml:space="preserve"> RUA EMBAIXADOR CAMARA CANTO</t>
  </si>
  <si>
    <t>SEM REPOSIÇÃO DEVIDO OBRA DE RECAPEAMENTO DA PREFEITURA.
FOTOS REF OS 2622198152.</t>
  </si>
  <si>
    <t xml:space="preserve"> RUA OUVIDIO JOSE ANTONIO SANTANA</t>
  </si>
  <si>
    <t>V RICA</t>
  </si>
  <si>
    <t xml:space="preserve">NAO TEVE TODAS AS FOTOS DEVIDO SER OBRA NO LOCAL.
SEM REPOSIÇÃO. </t>
  </si>
  <si>
    <t xml:space="preserve"> RUA MAIRIPOTABA</t>
  </si>
  <si>
    <t>ETAPAS DE SERVIÇO - EQUIPES</t>
  </si>
  <si>
    <t>ETAPAS</t>
  </si>
  <si>
    <t xml:space="preserve">SEM FOTO </t>
  </si>
  <si>
    <t>Equipe</t>
  </si>
  <si>
    <t>Observação Escoramento</t>
  </si>
  <si>
    <t>FINALIZADO</t>
  </si>
  <si>
    <t xml:space="preserve">Observação Finalizado </t>
  </si>
  <si>
    <t>SEQUÊNCIA DE FOTOS</t>
  </si>
  <si>
    <t xml:space="preserve"> RUA DIOGO BERNARDES</t>
  </si>
  <si>
    <t>NIVELADO POÇO DE VISITA</t>
  </si>
  <si>
    <t>Observação foi usado mesmo tampão</t>
  </si>
  <si>
    <t>TRENA ACIMA DO PADRÃO</t>
  </si>
  <si>
    <t>TROCA DE RAMAL DE ESGOTO</t>
  </si>
  <si>
    <t>REDET.O PROF 1,20</t>
  </si>
  <si>
    <t>NIVALDO RODRIGUES DE LIMA</t>
  </si>
  <si>
    <t xml:space="preserve"> RUA ITAMBU</t>
  </si>
  <si>
    <t xml:space="preserve">ligação de esgoto Rede terço oposto profundidade 1.40
não tem reposição de PA </t>
  </si>
  <si>
    <t>ELINALDO DE ARAUJO SOARES</t>
  </si>
  <si>
    <t>REMANEJAR REDE DE ESGOTO</t>
  </si>
  <si>
    <t xml:space="preserve"> RUA BARROCO</t>
  </si>
  <si>
    <t>REMANEJADA REDE DE ESGOTO</t>
  </si>
  <si>
    <t>executado remanejamento de rede de  esgoto,194,66 de Tubo PVC de esgoto 200MM ,Rede no eixo,Profundidade 2,12,Reposição asfalto binder 194,66X1,40 ok.
Equipe elinaldo</t>
  </si>
  <si>
    <t>AUSÊNCIA DE RÉGUA, CARIMBO E TRENA</t>
  </si>
  <si>
    <t xml:space="preserve"> RUA LUCINDO PASSOS FILHO</t>
  </si>
  <si>
    <t>executado remanejamento 218,15 metros de tubo PVC de 200MM
Rede no terço
Profundidade 2,10
Reposição asfalto binder 218,15X1,30 ok
Equipe nivaldo</t>
  </si>
  <si>
    <t>AUSÊNCIA DE CARIMBO E TRENA ACIMA DO PADRÃO</t>
  </si>
  <si>
    <t>PROLONGAR REDE DE ESGOTO</t>
  </si>
  <si>
    <t>PROLONGAMENTO DE REDE DE ESGOTO</t>
  </si>
  <si>
    <t>execudo prolongamento,140 metros de tubo PVC de de 400MM
Rede no eixo
Profundidade 2,85
Reposição térrea
Equipe José Ademilson</t>
  </si>
  <si>
    <t>JOSE ADMILSON DE LIMA</t>
  </si>
  <si>
    <t xml:space="preserve"> RUA XAVIER DA SILVA FERRAO</t>
  </si>
  <si>
    <t>executado remanejamento 311,72 metros de tubo PVC de de 300MM
57,36 metros de tubo PVC de 200MM
Reposição asfalto binder 369,8X1,25
Profundidade 2,06
Equipe joel</t>
  </si>
  <si>
    <t>JOEL RODRIGUES PEREIRA</t>
  </si>
  <si>
    <t xml:space="preserve">AUSÊNCIA  DE TRENA E RÉGUA </t>
  </si>
  <si>
    <t xml:space="preserve">prof.2.10
rede ta
passeio em reforma será feita pelo cliente </t>
  </si>
  <si>
    <t xml:space="preserve"> RUA PROFESSOR MANUEL NOGUEIRA P SOBRINHO</t>
  </si>
  <si>
    <t>prof.3.80
rede ta</t>
  </si>
  <si>
    <t xml:space="preserve"> RUA SANTA MARGARIDA</t>
  </si>
  <si>
    <t>Foi usado no mês no tampão</t>
  </si>
  <si>
    <t>prof.2.10
rede tô
foto na o.s2618310500</t>
  </si>
  <si>
    <t xml:space="preserve"> AVENIDA INAJAR DE SOUZA</t>
  </si>
  <si>
    <t>Como observação foi usado mesmo tampão .as.foto.esta.os
2618314566</t>
  </si>
  <si>
    <t xml:space="preserve"> RUA CAROLINA ROQUE</t>
  </si>
  <si>
    <t>prof 1.00
rede ta
foto na o.s 2618311038</t>
  </si>
  <si>
    <t xml:space="preserve">Ei prf 3.2 </t>
  </si>
  <si>
    <t>CLOVIS RODRIGUES FERREIRA</t>
  </si>
  <si>
    <t>RECONSTRUIR POÇO DE VISITA</t>
  </si>
  <si>
    <t xml:space="preserve"> RUA DOUTOR FLORIANO PAULO DE ALMEIDA</t>
  </si>
  <si>
    <t>RECONSTRUIDO POÇO DE VISITA</t>
  </si>
  <si>
    <t>Reconstrução d PV
Material usado
4 aduela d 1000
1 aduela d 600
1 laje inferior
1 laje superior
1 tampão
Profundidade 3,10
Posição eixo
Reposição feita no prolongamento 2610890911</t>
  </si>
  <si>
    <t xml:space="preserve">TA prf 3.2 0b feito a troca devido ramal cheio de gordura </t>
  </si>
  <si>
    <t>REPARO DE REDE DE ESGOTO</t>
  </si>
  <si>
    <t>prof.2.10
rede ta</t>
  </si>
  <si>
    <t xml:space="preserve"> RUA PORTEIRA DO PINHAL</t>
  </si>
  <si>
    <t>SONDAGEM DE REDE DE ESGOTO</t>
  </si>
  <si>
    <t>SONDAR RAMAL DE ESGOTO</t>
  </si>
  <si>
    <t xml:space="preserve"> RUA RODOLFO MACHADO</t>
  </si>
  <si>
    <t>SONDAGEM DE RAMAL DE ESGOTO</t>
  </si>
  <si>
    <t xml:space="preserve">realizamos a sondagem e nada consta </t>
  </si>
  <si>
    <t xml:space="preserve"> RUA MARIA ELISA SIQUEIRA</t>
  </si>
  <si>
    <t>JD S LUIS</t>
  </si>
  <si>
    <t>realizamos a sondagem e nada consta rede eixo Profundidade 6m</t>
  </si>
  <si>
    <t xml:space="preserve">Reconstrução d pi
Material usado
3 aduela d 600
1,40 de Profundidade
Posição eixo    sem fotos,  autorizado pelo Rafael  </t>
  </si>
  <si>
    <t>RECONSTRUIR POÇO DE INSPEÇÃO</t>
  </si>
  <si>
    <t>RECONSTRUIDO POÇO DE INSPEÇÃO</t>
  </si>
  <si>
    <t xml:space="preserve">1 aduela d 600
1 laje superior
1 tampão
Profundidade 1,00
Reposição cimentado 1x1 ok   sem fotos,  autorizado pelo Rafael  </t>
  </si>
  <si>
    <t xml:space="preserve">Reconstrução d pi
Material usado
1 aduela d 600
1 laje superior
Profundidade 1,00
Posição terço   sem fotos,  autorizado pelo Rafael  </t>
  </si>
  <si>
    <t xml:space="preserve"> sem fotos,  autorizado pelo Rafael
Material usado
1 aduela d 600
1laje superior
Profundidade 1,00 </t>
  </si>
  <si>
    <t xml:space="preserve"> RUA DOUTOR ARAUJO CASTRO</t>
  </si>
  <si>
    <t>Foi usado mesmo tampão</t>
  </si>
  <si>
    <t xml:space="preserve"> RUA ALBERTINA</t>
  </si>
  <si>
    <t xml:space="preserve"> AVENIDA ADOLFO COELHO</t>
  </si>
  <si>
    <t>profundidade 3 m
rede no eixo</t>
  </si>
  <si>
    <t xml:space="preserve"> RUA FRANCISCO BERNARDINO</t>
  </si>
  <si>
    <t>VL PORTUGAL</t>
  </si>
  <si>
    <t>TA prf 2.2 as fotos estão nessa os 2618426471</t>
  </si>
  <si>
    <t>TA prf 2.2 vala da troca as fotos estão nessa os 2618426471</t>
  </si>
  <si>
    <t xml:space="preserve"> RUA PRISCILIANO DA SILVA</t>
  </si>
  <si>
    <t>VL GENIOLI</t>
  </si>
  <si>
    <t xml:space="preserve">TO prf 2.2 </t>
  </si>
  <si>
    <t>CONSERTAR RAMAL DE ESGOTO</t>
  </si>
  <si>
    <t xml:space="preserve"> RUA PADRE MARIANO RONCHI</t>
  </si>
  <si>
    <t>REPARO DE RAMAL DE ESGOTO</t>
  </si>
  <si>
    <t>PA prf 1.2 as fotos estão nessa os 2618440708</t>
  </si>
  <si>
    <t>rede no eixo
profundidade 2 m
fotos na OS 2618480379</t>
  </si>
  <si>
    <t>AUSÊNCIA DE PLACA 50 METROS</t>
  </si>
  <si>
    <t xml:space="preserve"> RUA DIRCEU DA CONCEICAO PINTO</t>
  </si>
  <si>
    <t xml:space="preserve"> RUA VALADARES</t>
  </si>
  <si>
    <t>VL SCHMIDT</t>
  </si>
  <si>
    <t>DESCOBRIR POÇO INSPEÇÃO/VISITA</t>
  </si>
  <si>
    <t>DESCOBERTO E NIVELADO POÇO DE INSPEÇÃO</t>
  </si>
  <si>
    <t xml:space="preserve">TA prf 1.2. serviço executado na viela </t>
  </si>
  <si>
    <t>profundidade 2,10
rede no T-A</t>
  </si>
  <si>
    <t>PASSAR RAMAL DE ESGOTO PARA NOVA REDE</t>
  </si>
  <si>
    <t>PASSADO RAMAL DE ESGOTO PARA NOVA REDE</t>
  </si>
  <si>
    <t>Fotos na OS 2614487675
rede no eixo
profundidade 2,5 m</t>
  </si>
  <si>
    <t xml:space="preserve">OS 2614487675 INDICADA JÁ ESTÁ FINALIZADA, NÃO ABRE </t>
  </si>
  <si>
    <t>Fotos na OS 2614487675
rede no eixo
profundidade 2,50 m</t>
  </si>
  <si>
    <t>Fotos na OS 2614487675
rede no eixo
profundidade 2,50</t>
  </si>
  <si>
    <t xml:space="preserve">ei prf 1.2  executado sondagem rede normal </t>
  </si>
  <si>
    <t xml:space="preserve"> RUA GONCALVES DE BARROS</t>
  </si>
  <si>
    <t>peças usadas tampão de 600</t>
  </si>
  <si>
    <t xml:space="preserve">AUSÊNCIA  DE RÉGUA E CARIMBO </t>
  </si>
  <si>
    <t xml:space="preserve"> AVENIDA VICENTE JOSE DE CARVALHO</t>
  </si>
  <si>
    <t>Profundidade 1,20
Posição eixo</t>
  </si>
  <si>
    <t xml:space="preserve"> RUA ANTONIO TRAJANO</t>
  </si>
  <si>
    <t xml:space="preserve">PA prf 2.2 PA obra </t>
  </si>
  <si>
    <t xml:space="preserve"> RUA BELMIRA VAZ</t>
  </si>
  <si>
    <t>VL ROMERO</t>
  </si>
  <si>
    <t xml:space="preserve">Ei prf 3.2 ob 0 passei esta aberto 0 cliente quer abriu u mesmo vai fazer uma caixa </t>
  </si>
  <si>
    <t xml:space="preserve">Posição terço
Profundidade 1,20 </t>
  </si>
  <si>
    <t>prof.2.10
rede ta
material  3 aduelas de 100
1 de 600
1 laje superior
1 laje inferior
1 tampão 600
foto na o.s 2618603424
reposição na o.s do 2618603424</t>
  </si>
  <si>
    <t xml:space="preserve"> RUA MONTREAL</t>
  </si>
  <si>
    <t>JD IRACEMA</t>
  </si>
  <si>
    <t>NIVELADO POÇO DE INSPEÇÃO</t>
  </si>
  <si>
    <t>FTE C/1</t>
  </si>
  <si>
    <t xml:space="preserve">urgência avenida </t>
  </si>
  <si>
    <t>EIXO
PROF: 1 METRO
FOTOS OS 2618862799</t>
  </si>
  <si>
    <t xml:space="preserve"> RUA MARCOS RAMALHO</t>
  </si>
  <si>
    <t>VL MIRIAM</t>
  </si>
  <si>
    <t xml:space="preserve"> TA PROF 2,5</t>
  </si>
  <si>
    <t xml:space="preserve"> RUA VALDEMAR MARTINS</t>
  </si>
  <si>
    <t>PQ PERUCHE</t>
  </si>
  <si>
    <t xml:space="preserve">TA prf 3.2 </t>
  </si>
  <si>
    <t xml:space="preserve">rede Terço adjacente profundidade 1.30
passeio adjacente reposição asfalto </t>
  </si>
  <si>
    <t xml:space="preserve"> RUA NOVE DE NOVEMBRO</t>
  </si>
  <si>
    <t xml:space="preserve"> RUA TITO NICOLAU</t>
  </si>
  <si>
    <t>You foi usado mesmo tampão</t>
  </si>
  <si>
    <t>What observação foi usado mesmo tampão Observação foi tirado sem foto autorizado pelo Rafael</t>
  </si>
  <si>
    <t>CONSTRUIR POÇO DE INSPEÇÃO</t>
  </si>
  <si>
    <t>CONSTRUIDO POÇO DE INSPEÇÃO</t>
  </si>
  <si>
    <t>5 aduela d 600
1 laje superior
1 laje inferior
1 tampao
Profundidade 1,30
EIXO
fotos e reposição 2615526310</t>
  </si>
  <si>
    <t>CONSTRUIDO POÇO DE VISITA</t>
  </si>
  <si>
    <t>Reconstrução d pi
Material usado
3 aduela d 600
1 laje superior
1 laje inferior
1 tampao
Profundidade 2,50
EIXO
fotos e reposição 2615526310</t>
  </si>
  <si>
    <t>TA prf 2.2 vala da troca as fotos estão nessa 2618889610</t>
  </si>
  <si>
    <t>Fotos na OS 2614487675
rede no eixo
profundidade 2,80</t>
  </si>
  <si>
    <t>Fotos na OS 2614487675
rede no eixo
profundidade 2,80 m</t>
  </si>
  <si>
    <t>Fotos na OS 2614487675
rede no eixo
profundidade 2,70 m</t>
  </si>
  <si>
    <t>Fotos na OS 2614487675
rede no eixo
rede Profundidade 2,70 m</t>
  </si>
  <si>
    <t>Fotos na OS 2614487675
rede no eixo
profundidade 2,70</t>
  </si>
  <si>
    <t>2619341441 FOTOS Profundidade 1,00
Posição da rede terço</t>
  </si>
  <si>
    <t>prof.2.10
rede ta
foto na o.s 2629135524</t>
  </si>
  <si>
    <t xml:space="preserve"> RUA CARLOS DA ROCHA</t>
  </si>
  <si>
    <t xml:space="preserve">executado sondagem ramal normal </t>
  </si>
  <si>
    <t xml:space="preserve">rede Terço adjacente profundidade 2.10 </t>
  </si>
  <si>
    <t xml:space="preserve">TA prf 2.2 pa obra </t>
  </si>
  <si>
    <t xml:space="preserve">PA prf 1.    executado sondagem a um vazamento de água limpa </t>
  </si>
  <si>
    <t xml:space="preserve">rede Terço adjacente profundidade 2.10 PA obra </t>
  </si>
  <si>
    <t>rede Terço adjacente profundidade 3.10
foto e reposição desse Serviço esta nessa os 2612208407</t>
  </si>
  <si>
    <t xml:space="preserve">OS 2612208407 INDICADA JÁ ESTÁ FINALIZADA, NÃO ABRE </t>
  </si>
  <si>
    <t>rede Terço adjacente profundidade 3.8</t>
  </si>
  <si>
    <t xml:space="preserve"> RUA JUSTINO DE ANDRADE</t>
  </si>
  <si>
    <t xml:space="preserve">ei prf 2.2. vala do CCE </t>
  </si>
  <si>
    <t xml:space="preserve">Ei prf 2.3 as fotos estão nessa os 2619779302 </t>
  </si>
  <si>
    <t xml:space="preserve"> RUA CARLOS MAINARDI TORTORELLI</t>
  </si>
  <si>
    <t>Reconstrução d PV
Material usado
1 aduela d 600
1 tampão
Profundidade  1,20
Posição  PASSEIO
Reposição e fotos feita  2618450676</t>
  </si>
  <si>
    <t>Reconstrução d PV
Material usado
4 aduela d 1000
1 aduela d 600
1 laje inferior
1 laje superior
1 tampão
Profundidade  2,50
Posição  TA
Reposição E FOTO 2618603424</t>
  </si>
  <si>
    <t xml:space="preserve">PA prf 1.2 </t>
  </si>
  <si>
    <t xml:space="preserve"> RUA FREDERICO ESTEBAN JUNIOR</t>
  </si>
  <si>
    <t>Observação tampa quebrada pelo ônibus</t>
  </si>
  <si>
    <t xml:space="preserve"> RUA MARIO DE SA CARNEIRO</t>
  </si>
  <si>
    <t>VL ANGELICA</t>
  </si>
  <si>
    <t>T0 PRF 2.3</t>
  </si>
  <si>
    <t xml:space="preserve"> RUA BARNABE COUTINHO</t>
  </si>
  <si>
    <t>VILA ALBERTINA</t>
  </si>
  <si>
    <t>peças usadas tampão de esgoto de 600</t>
  </si>
  <si>
    <t>AUSÊNCIA DE TRENA E CARIMBO</t>
  </si>
  <si>
    <t xml:space="preserve"> RUA MATIMPERERE</t>
  </si>
  <si>
    <t xml:space="preserve">prof.2.10
rede to
passeio em obra </t>
  </si>
  <si>
    <t xml:space="preserve"> RUA ANTENOR DE OLIVEIRA E SILVA</t>
  </si>
  <si>
    <t>prof.2.10
rede to</t>
  </si>
  <si>
    <t xml:space="preserve">2,50 m profundidade
rede no terço </t>
  </si>
  <si>
    <t>D C/1</t>
  </si>
  <si>
    <t xml:space="preserve">Profundidade 2,50
rede no terço oposto </t>
  </si>
  <si>
    <t>DESCOBERTO E NIVELADO POÇO DE VISITA</t>
  </si>
  <si>
    <t xml:space="preserve"> RUA ARMANDO COELHO SILVA</t>
  </si>
  <si>
    <t xml:space="preserve">foi lidado no p.v .nao precisou qu
ebrar o asfalto
rede ta
prof.2.10 </t>
  </si>
  <si>
    <t xml:space="preserve"> RUA CAMOATIM</t>
  </si>
  <si>
    <t>JD S MARCOS</t>
  </si>
  <si>
    <t>esquina rua bruno bertucci</t>
  </si>
  <si>
    <t xml:space="preserve"> RUA PINHAL ALTO</t>
  </si>
  <si>
    <t xml:space="preserve">prof.2.10
rede ta
foi nesse rio troca o ramal mau uso pelo cliente </t>
  </si>
  <si>
    <t>13/05/2026 10:19</t>
  </si>
  <si>
    <t>13/05/2026 11:00</t>
  </si>
  <si>
    <t xml:space="preserve"> RUA RICARDO PEREIRA LEMOS</t>
  </si>
  <si>
    <t xml:space="preserve">rede no eixo
prof.3.80 </t>
  </si>
  <si>
    <t>13/05/2026 16:47</t>
  </si>
  <si>
    <t>13/05/2026 16:52</t>
  </si>
  <si>
    <t xml:space="preserve">rede ta prof.3.80
passeio em obra </t>
  </si>
  <si>
    <t>13/05/2026 13:43</t>
  </si>
  <si>
    <t>13/05/2026 14:49</t>
  </si>
  <si>
    <t>13/05/2026 10:14</t>
  </si>
  <si>
    <t>13/05/2026 10:29</t>
  </si>
  <si>
    <t>SUBSTITUIR LIGAÇÃO DE ESGOTO</t>
  </si>
  <si>
    <t xml:space="preserve"> RUA JOAO ALVES PIMENTA</t>
  </si>
  <si>
    <t>SUBSTITUIDA LIGAÇÃO DE ESGOTO</t>
  </si>
  <si>
    <t xml:space="preserve">PA prf 2.2 </t>
  </si>
  <si>
    <t>13/05/2026 15:42</t>
  </si>
  <si>
    <t>13/05/2026 15:52</t>
  </si>
  <si>
    <t xml:space="preserve"> RUA ANTONIO BENEDITO M FLORENCE</t>
  </si>
  <si>
    <t>13/05/2026 16:08</t>
  </si>
  <si>
    <t>13/05/2026 16:09</t>
  </si>
  <si>
    <t xml:space="preserve"> AVENIDA OTAVIANO ALVES DE LIMA</t>
  </si>
  <si>
    <t>Observação foi executado em frente a San til</t>
  </si>
  <si>
    <t>13/05/2026 10:38</t>
  </si>
  <si>
    <t>13/05/2026 10:40</t>
  </si>
  <si>
    <t xml:space="preserve"> RUA SILVIO BONILHA</t>
  </si>
  <si>
    <t>13/05/2026 12:13</t>
  </si>
  <si>
    <t xml:space="preserve"> RUA INDIAPORA</t>
  </si>
  <si>
    <t>VL MORRO VERDE</t>
  </si>
  <si>
    <t>PA prf 1.2 0b serviço executado no número 277</t>
  </si>
  <si>
    <t>13/05/2026 15:58</t>
  </si>
  <si>
    <t>13/05/2026 16:00</t>
  </si>
  <si>
    <t>.</t>
  </si>
  <si>
    <t>Material usado
3 aduela d 1000
1 laje inferior
1 laje superior
1 tampão
Posição EIXO
Profundidade 1,30
FOTOS E RESP  2615526310</t>
  </si>
  <si>
    <t>Material usado
5 aduela d 1000
1 laje inferior
1 laje superior
1 tampão
Posição EIXO
Profundidade 2,50
FOTOS E RESP  2615526310</t>
  </si>
  <si>
    <t>13/05/2026 08:15</t>
  </si>
  <si>
    <t>Material usado
3 aduela d 1000
1 laje inferior
1 laje superior
1 tampão
Posição EIXO
Profundidade 1,30
FOTOS E REP  2615526310</t>
  </si>
  <si>
    <t>13/05/2026 16:18</t>
  </si>
  <si>
    <t>13/05/2026 16:20</t>
  </si>
  <si>
    <t>13/05/2026 16:06</t>
  </si>
  <si>
    <t>Fotos na OS 2614487675
rede no eixo
profundidade 2, 80</t>
  </si>
  <si>
    <t>13/05/2026 16:22</t>
  </si>
  <si>
    <t>13/05/2026 16:12</t>
  </si>
  <si>
    <t>13/05/2026 16:15</t>
  </si>
  <si>
    <t>13/05/2026 16:17</t>
  </si>
  <si>
    <t>13/05/2026 16:03</t>
  </si>
  <si>
    <t>13/05/2026 16:05</t>
  </si>
  <si>
    <t xml:space="preserve"> AVENIDA DIREITOS HUMANOS</t>
  </si>
  <si>
    <t xml:space="preserve">mesmo pv </t>
  </si>
  <si>
    <t>13/05/2026 22:48</t>
  </si>
  <si>
    <t>13/05/2026 23:19</t>
  </si>
  <si>
    <t xml:space="preserve"> AVENIDA CASA VERDE</t>
  </si>
  <si>
    <t>14/05/2026 00:00</t>
  </si>
  <si>
    <t>14/05/2026 00:24</t>
  </si>
  <si>
    <t xml:space="preserve"> RUA AMERICO MACHADO</t>
  </si>
  <si>
    <t>VL BONILHA NOVA</t>
  </si>
  <si>
    <t xml:space="preserve">TA prf 2.2 </t>
  </si>
  <si>
    <t>14/05/2026 12:09</t>
  </si>
  <si>
    <t>14/05/2026 14:48</t>
  </si>
  <si>
    <t xml:space="preserve">prof.3.80
rede ta
passeio em obra </t>
  </si>
  <si>
    <t>14/05/2026 11:53</t>
  </si>
  <si>
    <t>14/05/2026 12:13</t>
  </si>
  <si>
    <t>14/05/2026 12:14</t>
  </si>
  <si>
    <t>14/05/2026 12:17</t>
  </si>
  <si>
    <t>JD S PAULO</t>
  </si>
  <si>
    <t>prof.2.10
rede ta
serviço feito de frente ao imóvel 6699</t>
  </si>
  <si>
    <t>14/05/2026 15:26</t>
  </si>
  <si>
    <t>14/05/2026 16:25</t>
  </si>
  <si>
    <t xml:space="preserve">Fotos na OS 2614487675
rede no eixo
profundidade 2,80 </t>
  </si>
  <si>
    <t>14/05/2026 16:38</t>
  </si>
  <si>
    <t>14/05/2026 16:40</t>
  </si>
  <si>
    <t>14/05/2026 17:24</t>
  </si>
  <si>
    <t>14/05/2026 17:27</t>
  </si>
  <si>
    <t>14/05/2026 17:28</t>
  </si>
  <si>
    <t>14/05/2026 17:31</t>
  </si>
  <si>
    <t>Fotos na OS 2614487675
rede no eixo
profundidade 2,60</t>
  </si>
  <si>
    <t>14/05/2026 17:16</t>
  </si>
  <si>
    <t>14/05/2026 17:23</t>
  </si>
  <si>
    <t>14/05/2026 17:10</t>
  </si>
  <si>
    <t>14/05/2026 17:15</t>
  </si>
  <si>
    <t>Fotos na OS 2614487675
rede no eixo
profundidade 2,78</t>
  </si>
  <si>
    <t>14/05/2026 16:55</t>
  </si>
  <si>
    <t>14/05/2026 16:57</t>
  </si>
  <si>
    <t>14/05/2026 16:51</t>
  </si>
  <si>
    <t>14/05/2026 17:05</t>
  </si>
  <si>
    <t>14/05/2026 16:48</t>
  </si>
  <si>
    <t>14/05/2026 08:32</t>
  </si>
  <si>
    <t>14/05/2026 08:34</t>
  </si>
  <si>
    <t>14/05/2026 16:45</t>
  </si>
  <si>
    <t>14/05/2026 16:47</t>
  </si>
  <si>
    <t xml:space="preserve">peças usadas tampão de 600 pv obra no local não deu para tirar fotos da sinalização </t>
  </si>
  <si>
    <t>14/05/2026 21:16</t>
  </si>
  <si>
    <t>14/05/2026 22:30</t>
  </si>
  <si>
    <t xml:space="preserve">obra  no local não deu para tirar fotos da sinalização  o mesmo pv  foi usado </t>
  </si>
  <si>
    <t>14/05/2026 22:31</t>
  </si>
  <si>
    <t>14/05/2026 22:52</t>
  </si>
  <si>
    <t>S 305</t>
  </si>
  <si>
    <t>Observação as foto está na oes 26 1981-5896</t>
  </si>
  <si>
    <t>14/05/2026 16:13</t>
  </si>
  <si>
    <t>14/05/2026 16:16</t>
  </si>
  <si>
    <t>SUBSTITUIR LIG ESGOTO SIMPLES P/DIMENS</t>
  </si>
  <si>
    <t>SUBSTITUIDA LIG ESGOTO SIMPLES P/DIMENS</t>
  </si>
  <si>
    <t xml:space="preserve">  TA PROF 1,25   feito pela RUA CORONEL MARIO DE AZEVEDO </t>
  </si>
  <si>
    <t>15/05/2026 00:45</t>
  </si>
  <si>
    <t>15/05/2026 00:55</t>
  </si>
  <si>
    <t xml:space="preserve">prof 1.00
rede to
passeio em obra </t>
  </si>
  <si>
    <t>15/05/2026 11:18</t>
  </si>
  <si>
    <t>15/05/2026 11:27</t>
  </si>
  <si>
    <t>15/05/2026 14:34</t>
  </si>
  <si>
    <t>15/05/2026 14:42</t>
  </si>
  <si>
    <t>Rede no terço
Profundidade 2,50
Rede 200/ manilha</t>
  </si>
  <si>
    <t>15/05/2026 06:25</t>
  </si>
  <si>
    <t>15/05/2026 06:35</t>
  </si>
  <si>
    <t>Observação foi usada mesmo tampão</t>
  </si>
  <si>
    <t>15/05/2026 09:30</t>
  </si>
  <si>
    <t>15/05/2026 09:31</t>
  </si>
  <si>
    <t xml:space="preserve"> RUA CORONEL MARIO DE AZEVEDO</t>
  </si>
  <si>
    <t>JD PEREIRA LEITE</t>
  </si>
  <si>
    <t xml:space="preserve">TA prf 1.2 as fotos estão nessa os 2619787478  vala da ligação </t>
  </si>
  <si>
    <t xml:space="preserve"> AVENIDA JOAO PAULO I</t>
  </si>
  <si>
    <t>JD MARACANA</t>
  </si>
  <si>
    <t>Obvia foi usado mesmo tampão Observação foi autorizado pelo carregado Rafael Não foi escrito asfalto provisório porque estava chovendo As foto está na os 26 2036-8547</t>
  </si>
  <si>
    <t>15/05/2026 12:24</t>
  </si>
  <si>
    <t>15/05/2026 12:28</t>
  </si>
  <si>
    <t>LOTE 1</t>
  </si>
  <si>
    <t xml:space="preserve">TA prf 1.2 vala da ligação às fotos estão nessa os 2619787478 </t>
  </si>
  <si>
    <t>15/05/2026 15:10</t>
  </si>
  <si>
    <t xml:space="preserve"> RUA DEZ DE MAIO</t>
  </si>
  <si>
    <t>VL BELA VISTA</t>
  </si>
  <si>
    <t xml:space="preserve">área de risco não deu para tirar fotos </t>
  </si>
  <si>
    <t>15/05/2026 21:50</t>
  </si>
  <si>
    <t>15/05/2026 21:51</t>
  </si>
  <si>
    <t xml:space="preserve"> RUA VINTE E OITO DE JANEIRO</t>
  </si>
  <si>
    <t>Observação foi usado o mesmo tampão as fotos está na oes 22 20532273</t>
  </si>
  <si>
    <t>15/05/2026 15:32</t>
  </si>
  <si>
    <t>15/05/2026 15:33</t>
  </si>
  <si>
    <t xml:space="preserve"> RUA LUIS DE OLIVEIRA BULHOES</t>
  </si>
  <si>
    <t>rede no terço
profundidade 1,70</t>
  </si>
  <si>
    <t>16/05/2026 10:47</t>
  </si>
  <si>
    <t>16/05/2026 12:15</t>
  </si>
  <si>
    <t>AUSÊNCIA DE ESCORAMENTO</t>
  </si>
  <si>
    <t xml:space="preserve"> RUA JULIO PINHEIRO</t>
  </si>
  <si>
    <t>rede no terço
profundidade 1,20</t>
  </si>
  <si>
    <t>16/05/2026 14:30</t>
  </si>
  <si>
    <t>16/05/2026 16:31</t>
  </si>
  <si>
    <t xml:space="preserve"> AVENIDA CORONEL MANUEL PY</t>
  </si>
  <si>
    <t>16/05/2026 08:45</t>
  </si>
  <si>
    <t>16/05/2026 09:53</t>
  </si>
  <si>
    <t>Posição terço
Profundidade 4,10</t>
  </si>
  <si>
    <t>17/05/2026 06:15</t>
  </si>
  <si>
    <t>17/05/2026 06:25</t>
  </si>
  <si>
    <t xml:space="preserve"> RUA DOUTOR HEITOR NASCIMENTO</t>
  </si>
  <si>
    <t>3 aduela d 1000
1 aduela d 600
1 laje superior
1 tampão
1 laje superior d pi
Fotos na OS do prolongamento 2619789781</t>
  </si>
  <si>
    <t>16/05/2026 08:25</t>
  </si>
  <si>
    <t>16/05/2026 08:35</t>
  </si>
  <si>
    <t>OS 2619789781 NÃO ACESSÍVEL</t>
  </si>
  <si>
    <t>fotos na OS 2620548250
rede no terço
profundidade 1,20</t>
  </si>
  <si>
    <t>16/05/2026 16:38</t>
  </si>
  <si>
    <t>16/05/2026 16:40</t>
  </si>
  <si>
    <t xml:space="preserve"> RUA HERBERT ARRUDA PEREIRA</t>
  </si>
  <si>
    <t>rede no eixo
profundidade 2 m</t>
  </si>
  <si>
    <t>17/05/2026 08:38</t>
  </si>
  <si>
    <t>17/05/2026 10:54</t>
  </si>
  <si>
    <t xml:space="preserve"> RUA GENERAL MEIRA VASCONCELOS</t>
  </si>
  <si>
    <t>rede no terço
profundidade 2 m</t>
  </si>
  <si>
    <t>17/05/2026 13:30</t>
  </si>
  <si>
    <t>17/05/2026 15:05</t>
  </si>
  <si>
    <t xml:space="preserve"> AVENIDA SEBASTIAO HENRIQUES</t>
  </si>
  <si>
    <t>Sondagem ramal d esgoto
Nada consta
4 sacos d asfalto frio
Posição terço
Reposição 2x1 asfalto</t>
  </si>
  <si>
    <t>17/05/2026 09:35</t>
  </si>
  <si>
    <t>17/05/2026 09:45</t>
  </si>
  <si>
    <t xml:space="preserve"> RUA DOUTOR JOSE MARIO TEIXEIRA DE LEAO</t>
  </si>
  <si>
    <t xml:space="preserve">Como você versão foi usado tampao Não for carimbada as faltas provisório devido Chuva </t>
  </si>
  <si>
    <t>17/05/2026 12:05</t>
  </si>
  <si>
    <t>17/05/2026 12:07</t>
  </si>
  <si>
    <t xml:space="preserve"> RUA AMADOR DE BARROS JUNIOR</t>
  </si>
  <si>
    <t xml:space="preserve">FOTOS  2620778684
Profundidade 1,20
Posição terço </t>
  </si>
  <si>
    <t>17/05/2026 13:02</t>
  </si>
  <si>
    <t>17/05/2026 13:15</t>
  </si>
  <si>
    <t xml:space="preserve"> TRAVESSA SANTA CRUZ</t>
  </si>
  <si>
    <t xml:space="preserve">serviço executado na viela ara de risco baixado sem fotos </t>
  </si>
  <si>
    <t>18/05/2026 09:26</t>
  </si>
  <si>
    <t xml:space="preserve">serviço executado na viela area de risco baixado sem fotos </t>
  </si>
  <si>
    <t>18/05/2026 12:36</t>
  </si>
  <si>
    <t>18/05/2026 14:41</t>
  </si>
  <si>
    <t xml:space="preserve">rede no eixo prof.3.80
feito apenas o reparo  no passeio </t>
  </si>
  <si>
    <t>18/05/2026 10:17</t>
  </si>
  <si>
    <t>18/05/2026 10:21</t>
  </si>
  <si>
    <t xml:space="preserve"> RUA CABITUTU</t>
  </si>
  <si>
    <t xml:space="preserve">sondagem no ramal..nada encontrado </t>
  </si>
  <si>
    <t>18/05/2026 11:45</t>
  </si>
  <si>
    <t>18/05/2026 11:54</t>
  </si>
  <si>
    <t>Fotos na OS 2614487675
rede no eixo
profundidade 2,56</t>
  </si>
  <si>
    <t>18/05/2026 16:09</t>
  </si>
  <si>
    <t>18/05/2026 16:11</t>
  </si>
  <si>
    <t>Fotos na OS 2614487675
rede no eixo
profundidade 2,5</t>
  </si>
  <si>
    <t>18/05/2026 16:06</t>
  </si>
  <si>
    <t>18/05/2026 16:02</t>
  </si>
  <si>
    <t>18/05/2026 16:03</t>
  </si>
  <si>
    <t>18/05/2026 16:04</t>
  </si>
  <si>
    <t>Fotos na OS 2614487675
rede no terço
profundidade 2,50</t>
  </si>
  <si>
    <t>18/05/2026 15:59</t>
  </si>
  <si>
    <t>18/05/2026 16:01</t>
  </si>
  <si>
    <t xml:space="preserve"> RUA DOM BENTO PICKEL</t>
  </si>
  <si>
    <t>rede ta
prof.3.10</t>
  </si>
  <si>
    <t>18/05/2026 16:42</t>
  </si>
  <si>
    <t>18/05/2026 16:52</t>
  </si>
  <si>
    <t xml:space="preserve"> RUA TAPENDI</t>
  </si>
  <si>
    <t>VL CATUPIA</t>
  </si>
  <si>
    <t xml:space="preserve">TA prf 1.2 </t>
  </si>
  <si>
    <t>18/05/2026 16:37</t>
  </si>
  <si>
    <t>18/05/2026 16:44</t>
  </si>
  <si>
    <t xml:space="preserve"> RUA GENERAL PIRAGIBE</t>
  </si>
  <si>
    <t xml:space="preserve">sondagem na vala do ramal </t>
  </si>
  <si>
    <t>19/05/2026 11:01</t>
  </si>
  <si>
    <t>19/05/2026 11:04</t>
  </si>
  <si>
    <t>feito a sondagem nao encontro defeito</t>
  </si>
  <si>
    <t>19/05/2026 12:10</t>
  </si>
  <si>
    <t>19/05/2026 12:32</t>
  </si>
  <si>
    <t>sondagem no local nada consta</t>
  </si>
  <si>
    <t>19/05/2026 12:51</t>
  </si>
  <si>
    <t xml:space="preserve">Ei prf 3.2 pa terra </t>
  </si>
  <si>
    <t>19/05/2026 16:03</t>
  </si>
  <si>
    <t>19/05/2026 17:18</t>
  </si>
  <si>
    <t xml:space="preserve"> RUA EVIAN</t>
  </si>
  <si>
    <t>19/05/2026 16:32</t>
  </si>
  <si>
    <t>19/05/2026 16:39</t>
  </si>
  <si>
    <t xml:space="preserve"> RUA NICOLAU TOLENTINO DE ALMEIDA</t>
  </si>
  <si>
    <t>prof.3.10
rede ta</t>
  </si>
  <si>
    <t>19/05/2026 16:21</t>
  </si>
  <si>
    <t>20/05/2026 10:30</t>
  </si>
  <si>
    <t>20/05/2026 10:46</t>
  </si>
  <si>
    <t xml:space="preserve"> RUA SOLAR</t>
  </si>
  <si>
    <t>20/05/2026 13:22</t>
  </si>
  <si>
    <t>20/05/2026 13:30</t>
  </si>
  <si>
    <t>BL/6</t>
  </si>
  <si>
    <t>20/05/2026 12:02</t>
  </si>
  <si>
    <t>20/05/2026 12:07</t>
  </si>
  <si>
    <t xml:space="preserve"> RUA MIRANGAOBA</t>
  </si>
  <si>
    <t>20/05/2026 10:11</t>
  </si>
  <si>
    <t>20/05/2026 17:43</t>
  </si>
  <si>
    <t xml:space="preserve"> TRAVESSA SANTA ANGELA</t>
  </si>
  <si>
    <t xml:space="preserve">PA prf 1.2 as fotos estão nessa os 2620847440 </t>
  </si>
  <si>
    <t>20/05/2026 14:15</t>
  </si>
  <si>
    <t>20/05/2026 14:18</t>
  </si>
  <si>
    <t>TA prf 2.3</t>
  </si>
  <si>
    <t>20/05/2026 18:58</t>
  </si>
  <si>
    <t>20/05/2026 19:06</t>
  </si>
  <si>
    <t xml:space="preserve">TA prf 2.3 as fotos estão nessa os 2621284991 vala da troca </t>
  </si>
  <si>
    <t>fotos estão nesta OS 2620806518</t>
  </si>
  <si>
    <t>20/05/2026 17:45</t>
  </si>
  <si>
    <t>OS 2620806518 INDICADA ESTÁ COM ENDEREÇO DIVERGENTE</t>
  </si>
  <si>
    <t xml:space="preserve"> AVENIDA OLAVO FONTOURA</t>
  </si>
  <si>
    <t>PQ ANHEMBI</t>
  </si>
  <si>
    <t>20/05/2026 22:05</t>
  </si>
  <si>
    <t>20/05/2026 23:03</t>
  </si>
  <si>
    <t>20/05/2026 17:46</t>
  </si>
  <si>
    <t>20/05/2026 17:47</t>
  </si>
  <si>
    <t xml:space="preserve"> RUA SPENCER VAMPRE</t>
  </si>
  <si>
    <t xml:space="preserve">nivelados mais  sarjeta quebrada o outro buracos com  a prefeitura </t>
  </si>
  <si>
    <t>20/05/2026 20:05</t>
  </si>
  <si>
    <t>20/05/2026 20:27</t>
  </si>
  <si>
    <t>20/05/2026 21:05</t>
  </si>
  <si>
    <t>20/05/2026 21:06</t>
  </si>
  <si>
    <t xml:space="preserve"> ligação dimensionada d 200 Posição da rede terço </t>
  </si>
  <si>
    <t xml:space="preserve"> RUA ANFITRIAO</t>
  </si>
  <si>
    <t>Reconstrução d PV
Material usado
2 aduela d 1000
1 laje superior
1 tampão
Profundidade 1 ,25
Posição terço
10 sacos asfalto frio
Reposição 2x2 asfalto</t>
  </si>
  <si>
    <t xml:space="preserve"> RUA PADRE JOAO GUALBERTO</t>
  </si>
  <si>
    <t>Fotos na OS 2614487675
rede no eixo
profundidade 2,6</t>
  </si>
  <si>
    <t>ALTS</t>
  </si>
  <si>
    <t xml:space="preserve">prof..4.20
rede no eixo </t>
  </si>
  <si>
    <t xml:space="preserve">Material usado
6 aduela d 1000
1 laje inferior
1 laje superior
1 tampão
2 laje superior d pi
Profundidade 3,50
Posição terço </t>
  </si>
  <si>
    <t>aterial usado
3 aduela d 1000
1 laje inferior
1 laje superior
1 tampão
Posição EIXO
Profundidade 1,30
FOTOS E REP  2615526310</t>
  </si>
  <si>
    <t>SEM FOTOS OS INDICADA</t>
  </si>
  <si>
    <t xml:space="preserve"> RUA DESEMBARGADOR EUCLIDES DA SILVEIRA</t>
  </si>
  <si>
    <t xml:space="preserve">Ei prf 1.2 </t>
  </si>
  <si>
    <t xml:space="preserve">prof.3.80
rede eixo </t>
  </si>
  <si>
    <t>Foi usado no mesmo tampão</t>
  </si>
  <si>
    <t xml:space="preserve"> RUA BENVINDA CATARINA DE JESUS</t>
  </si>
  <si>
    <t>JD IMIRIM</t>
  </si>
  <si>
    <t>prof.3.80
rede eixo
serviço feito na vala do conserto de coleto
foto na o.s 2621248848</t>
  </si>
  <si>
    <t xml:space="preserve"> RUA JOAO RIOS</t>
  </si>
  <si>
    <t>Passeio Adj.
Prof.2.10</t>
  </si>
  <si>
    <t xml:space="preserve"> RUA CAPITAO JOSE AMARAL</t>
  </si>
  <si>
    <t>V PORTUGUESA</t>
  </si>
  <si>
    <t xml:space="preserve">prof.4.10
rede eixo </t>
  </si>
  <si>
    <t xml:space="preserve"> RUA DOUTOR AGUIAR WHITAKER</t>
  </si>
  <si>
    <t>V HERMINIA</t>
  </si>
  <si>
    <t xml:space="preserve">executado sondagem rede normal serviço executado na viela </t>
  </si>
  <si>
    <t xml:space="preserve"> RUA FRITZ MULLER</t>
  </si>
  <si>
    <t xml:space="preserve"> RUA SAO CLETO</t>
  </si>
  <si>
    <t>FOTO DESFOCADA</t>
  </si>
  <si>
    <t xml:space="preserve"> RUA SAO CONRADO</t>
  </si>
  <si>
    <t>JD S DOMINGOS</t>
  </si>
  <si>
    <t xml:space="preserve"> RUA ALMIR RODRIGUES</t>
  </si>
  <si>
    <t xml:space="preserve"> RUA HERISON</t>
  </si>
  <si>
    <t>You foi usado mesmo tampão continuar.</t>
  </si>
  <si>
    <t xml:space="preserve"> AVENIDA ULTRAMARINO</t>
  </si>
  <si>
    <t>PQ MANDAQUI</t>
  </si>
  <si>
    <t>VL CACHOEIRINHA</t>
  </si>
  <si>
    <t xml:space="preserve">prof.2.10
rede no eixo </t>
  </si>
  <si>
    <t>VL AUREA</t>
  </si>
  <si>
    <t>usado o mesmo tampao</t>
  </si>
  <si>
    <t xml:space="preserve"> RUA CARIOBA</t>
  </si>
  <si>
    <t>J CARLU</t>
  </si>
  <si>
    <t>prof.2.10
passeio será feito pelo cliente
rede ta</t>
  </si>
  <si>
    <t xml:space="preserve"> RUA COMENDADOR CESAR ALFIERI</t>
  </si>
  <si>
    <t xml:space="preserve"> AVENIDA JOAO PESSOA</t>
  </si>
  <si>
    <t xml:space="preserve"> RUA JOAQUIM REZENDE</t>
  </si>
  <si>
    <t>V MARILIZA</t>
  </si>
  <si>
    <t xml:space="preserve"> RUA ANDRE MARTINS</t>
  </si>
  <si>
    <t>fotos estão nesta OS 2621653734</t>
  </si>
  <si>
    <t>OS 2621653734 INDICADA DIVERGE DO ENDEREÇO</t>
  </si>
  <si>
    <t>Observação fachada</t>
  </si>
  <si>
    <t>Observação antes</t>
  </si>
  <si>
    <t>Observação Hidrômetro</t>
  </si>
  <si>
    <t>Observação leitura</t>
  </si>
  <si>
    <t>Observação finalização</t>
  </si>
  <si>
    <t>PÓLO</t>
  </si>
  <si>
    <t xml:space="preserve"> RUA ALBERTO ANDALO</t>
  </si>
  <si>
    <t>REPARO DE CAVALETE</t>
  </si>
  <si>
    <t xml:space="preserve"> RUA BARREIRO</t>
  </si>
  <si>
    <t>TROCA DE CAVALETE (KIT)</t>
  </si>
  <si>
    <t xml:space="preserve"> RUA PAULO DO VALE JUNIOR</t>
  </si>
  <si>
    <t xml:space="preserve"> RUA MARECHAL MELLO ARARIGBOIA</t>
  </si>
  <si>
    <t>INSTALADO LACRE DIVERSOS</t>
  </si>
  <si>
    <t xml:space="preserve"> RUA OTELO ZELONI</t>
  </si>
  <si>
    <t>JD ISMENIA</t>
  </si>
  <si>
    <t xml:space="preserve">numeração do HD ilegivel </t>
  </si>
  <si>
    <t xml:space="preserve"> RUA ELVAN MOSARELI</t>
  </si>
  <si>
    <t>TROCA DE REGISTRO DE CAVALETE</t>
  </si>
  <si>
    <t>TROCA DE CAVALETE POR UMA</t>
  </si>
  <si>
    <t>reposição em obra por conta do pedreiro Dernivaldo</t>
  </si>
  <si>
    <t xml:space="preserve"> RUA SANTA LUCRECIA DE AGUIAR</t>
  </si>
  <si>
    <t xml:space="preserve"> LARGO DA MATRIZ VELHA</t>
  </si>
  <si>
    <t xml:space="preserve">fito per enteno em obras </t>
  </si>
  <si>
    <t xml:space="preserve"> RUA CECILIA MARIA</t>
  </si>
  <si>
    <t xml:space="preserve"> TRAVESSA DORA LOPES</t>
  </si>
  <si>
    <t>fotos na os 2718108165</t>
  </si>
  <si>
    <t>OS INDICADA NÃO LOCALIZADA</t>
  </si>
  <si>
    <t xml:space="preserve">tubete não suporta a pressão porém cliente </t>
  </si>
  <si>
    <t>UILA LIMA SALOMAO</t>
  </si>
  <si>
    <t xml:space="preserve"> RUA ODASSI NAZZALI</t>
  </si>
  <si>
    <t xml:space="preserve"> RUA OLINTO FRAGA MOREIRA</t>
  </si>
  <si>
    <t xml:space="preserve">fts na OS do hidro vazando </t>
  </si>
  <si>
    <t xml:space="preserve"> RUA SEBASTIAO ALVES DE SOUSA</t>
  </si>
  <si>
    <t>Fotos na os: 2692132826</t>
  </si>
  <si>
    <t xml:space="preserve"> RUA INACIO XAVIER DE CARVALHO</t>
  </si>
  <si>
    <t xml:space="preserve"> RUA DOUTOR GORDIANO GAUDENCIO ROSSI</t>
  </si>
  <si>
    <t>mas fotos os 2618061052</t>
  </si>
  <si>
    <t xml:space="preserve"> RUA BONANCA</t>
  </si>
  <si>
    <t>VL S VICENTE</t>
  </si>
  <si>
    <t xml:space="preserve"> RUA VICENTE CORSI</t>
  </si>
  <si>
    <t>PQ PEDROSO</t>
  </si>
  <si>
    <t xml:space="preserve"> RUA JOSE CARLOS MACEDO MIRANDA</t>
  </si>
  <si>
    <t xml:space="preserve"> RUA JANIOPOLIS</t>
  </si>
  <si>
    <t>READEQUADO CAVALETE</t>
  </si>
  <si>
    <t xml:space="preserve"> RUA PROFESSOR SYLVIO MARCONDES MACHADO</t>
  </si>
  <si>
    <t xml:space="preserve"> RUA ANTONIO GOMES DE OLIVEIRA</t>
  </si>
  <si>
    <t>Sem foto devido a chuvas</t>
  </si>
  <si>
    <t xml:space="preserve"> RUA ANTONIO MONTEIRO DENTINHO</t>
  </si>
  <si>
    <t xml:space="preserve"> RUA ANTONIO RIBEIRO DE MORAIS</t>
  </si>
  <si>
    <t>C/44</t>
  </si>
  <si>
    <t>JD TABOR</t>
  </si>
  <si>
    <t xml:space="preserve"> RUA EPAMINONDAS MELO DO AMARAL</t>
  </si>
  <si>
    <t xml:space="preserve"> RUA CAIENA</t>
  </si>
  <si>
    <t xml:space="preserve"> RUA DOM LOURENCO LUMINI</t>
  </si>
  <si>
    <t>OBRA NO LOCAL</t>
  </si>
  <si>
    <t>Reaperto no registro que estava vazando</t>
  </si>
  <si>
    <t>RONALDO RIBEIRO DOMINGUES</t>
  </si>
  <si>
    <t xml:space="preserve"> RUA NOSSA SENHORA DO LIVRAMENTO</t>
  </si>
  <si>
    <t xml:space="preserve"> RUA SONETO DE FLORENCA</t>
  </si>
  <si>
    <t>DAMIAO ALVES DA SILVA</t>
  </si>
  <si>
    <t xml:space="preserve"> RUA ANTONIO VERA CRUZ</t>
  </si>
  <si>
    <t xml:space="preserve">passeio em obras no local </t>
  </si>
  <si>
    <t xml:space="preserve"> RUA BRUNO BERTUCCI</t>
  </si>
  <si>
    <t xml:space="preserve"> TRAVESSA CINQUENTINHA</t>
  </si>
  <si>
    <t>REPARO DE REGISTRO DE CAVALETE</t>
  </si>
  <si>
    <t>RICARDO RIBEIRO DOMINGUES</t>
  </si>
  <si>
    <t xml:space="preserve"> RUA AGOSTINHO DE BARROS</t>
  </si>
  <si>
    <t xml:space="preserve"> RUA JOHN NICHOLAS WHYTE</t>
  </si>
  <si>
    <t>JARDIM SONIA</t>
  </si>
  <si>
    <t xml:space="preserve"> RUA JULIETA NOTARI REIS</t>
  </si>
  <si>
    <t>FDS C/3</t>
  </si>
  <si>
    <t xml:space="preserve"> RUA PARATEI</t>
  </si>
  <si>
    <t xml:space="preserve"> RUA OUCHI</t>
  </si>
  <si>
    <t xml:space="preserve"> RUA RODOLFO MARCOS TEOFILO</t>
  </si>
  <si>
    <t xml:space="preserve"> RUA AMILCAR MARCHESINI</t>
  </si>
  <si>
    <t xml:space="preserve"> RUA ANTONIO LOPES DE BARROS</t>
  </si>
  <si>
    <t xml:space="preserve"> RUA AUGUSTO JOSE PEREIRA</t>
  </si>
  <si>
    <t>CRUZ DAS ALMAS</t>
  </si>
  <si>
    <t>FOTOS NA OS 2618471128</t>
  </si>
  <si>
    <t xml:space="preserve"> RUA DAVINOPOLIS</t>
  </si>
  <si>
    <t>JD PAQUETA ZNORTE</t>
  </si>
  <si>
    <t>As fotos estão localizada na Os 2692283367</t>
  </si>
  <si>
    <t xml:space="preserve"> RUA JULIA TREVISANI GANNAM</t>
  </si>
  <si>
    <t>V BANDEIRANTES</t>
  </si>
  <si>
    <t>As fotos estão disponível na Os 2692288050</t>
  </si>
  <si>
    <t xml:space="preserve"> RUA VINTE E DOIS DE AGOSTO</t>
  </si>
  <si>
    <t xml:space="preserve"> RUA ARATANJI</t>
  </si>
  <si>
    <t xml:space="preserve"> RUA ANTONIO ANTUNES MACIEL</t>
  </si>
  <si>
    <t xml:space="preserve"> AVENIDA BENEDITO ANDRADE</t>
  </si>
  <si>
    <t xml:space="preserve"> RUA ROQUE JOSE FERNANDES</t>
  </si>
  <si>
    <t>V STA DELFINA</t>
  </si>
  <si>
    <t>fotos na os 2692319114</t>
  </si>
  <si>
    <t xml:space="preserve"> RUA CAMBAUBA</t>
  </si>
  <si>
    <t xml:space="preserve"> RUA AGENOR ALVES MEIRA</t>
  </si>
  <si>
    <t xml:space="preserve">número hidro apagado </t>
  </si>
  <si>
    <t xml:space="preserve"> RUA LAVINIO SALLES ARCURI</t>
  </si>
  <si>
    <t xml:space="preserve"> RUA POAIA</t>
  </si>
  <si>
    <t xml:space="preserve"> TRAVESSA POMBA DO SERTAO</t>
  </si>
  <si>
    <t xml:space="preserve">não foi possível trocar o kit por que não da nutamanho do nosso kit </t>
  </si>
  <si>
    <t xml:space="preserve"> RUA ARAUJO GUIMARAES</t>
  </si>
  <si>
    <t xml:space="preserve"> RUA PARTICULAR LAUZANE PAULISTA</t>
  </si>
  <si>
    <t>as fotos tá na os 2692355079</t>
  </si>
  <si>
    <t xml:space="preserve"> RUA FRANCISCO ALVES PEREIRA</t>
  </si>
  <si>
    <t xml:space="preserve"> RUA SOBRADINHO</t>
  </si>
  <si>
    <t>após conclusão do serviço água permanece cortada</t>
  </si>
  <si>
    <t>as fotos dece serviço tá os  2618602697</t>
  </si>
  <si>
    <t xml:space="preserve"> RUA DOUTOR DOMINGOS GUEDES CABRAL</t>
  </si>
  <si>
    <t xml:space="preserve"> RUA PEDRO GOMES</t>
  </si>
  <si>
    <t xml:space="preserve"> RUA PEDRO OSORIO FILHO</t>
  </si>
  <si>
    <t xml:space="preserve"> RUA TERESA PENOY</t>
  </si>
  <si>
    <t xml:space="preserve"> RUA ARACOO</t>
  </si>
  <si>
    <t xml:space="preserve"> RUA ANTONIO CAVAZZAM</t>
  </si>
  <si>
    <t xml:space="preserve"> RUA SAO LADISLAU</t>
  </si>
  <si>
    <t>V PRADO</t>
  </si>
  <si>
    <t xml:space="preserve"> RUA ORLANDO MARCHETTI</t>
  </si>
  <si>
    <t>/71</t>
  </si>
  <si>
    <t xml:space="preserve"> RUA AURORA PAULISTANA</t>
  </si>
  <si>
    <t xml:space="preserve"> RUA VICENTE ANTONIO DE OLIVEIRA</t>
  </si>
  <si>
    <t xml:space="preserve"> RUA BARTOLOMEU BERMEJO</t>
  </si>
  <si>
    <t xml:space="preserve"> RUA VENTURA RANGEL</t>
  </si>
  <si>
    <t xml:space="preserve"> RUA EVARISTO ROQUE</t>
  </si>
  <si>
    <t xml:space="preserve"> RUA ROSA DOS VENTOS</t>
  </si>
  <si>
    <t xml:space="preserve"> RUA PLINIO ROCHA PINTO</t>
  </si>
  <si>
    <t xml:space="preserve"> RUA BETIS</t>
  </si>
  <si>
    <t>fotos estão na os 2692218433</t>
  </si>
  <si>
    <t>OS INDICADA NÃO ABRE</t>
  </si>
  <si>
    <t xml:space="preserve"> RUA SERNAMBI</t>
  </si>
  <si>
    <t>fotos na o.s 2618882114</t>
  </si>
  <si>
    <t xml:space="preserve"> RUA SANTA CRUZ DO MONTE CASTELO</t>
  </si>
  <si>
    <t>-</t>
  </si>
  <si>
    <t xml:space="preserve"> RUA EUGENIO DA SILVA</t>
  </si>
  <si>
    <t xml:space="preserve">porém trocamos o tubete mas per do cavalete ta todo enfrentando do lado da sabesp </t>
  </si>
  <si>
    <t xml:space="preserve"> RUA MEROPE DANTAS MAGALHAES</t>
  </si>
  <si>
    <t xml:space="preserve">trocamos o registro q não vedava porém cliente reclama que conta esta alta pede vistoria predial </t>
  </si>
  <si>
    <t xml:space="preserve"> RUA CONCEICAO DE JACAREI</t>
  </si>
  <si>
    <t xml:space="preserve"> RUA OLIVEIRA MARTINS</t>
  </si>
  <si>
    <t xml:space="preserve"> RUA FRANKLIN DO AMARAL</t>
  </si>
  <si>
    <t>A C/10</t>
  </si>
  <si>
    <t xml:space="preserve"> RUA BARRA ACARAI</t>
  </si>
  <si>
    <t xml:space="preserve"> RUA TACOATIVA</t>
  </si>
  <si>
    <t xml:space="preserve"> RUA SAO GONCALO DO ABAETE</t>
  </si>
  <si>
    <t xml:space="preserve"> RUA DOUTOR JOY ARRUDA</t>
  </si>
  <si>
    <t xml:space="preserve"> RUA PEDRO BONILHA</t>
  </si>
  <si>
    <t xml:space="preserve"> RUA IZABEL DE OLIVEIRA</t>
  </si>
  <si>
    <t>C/18</t>
  </si>
  <si>
    <t xml:space="preserve"> RUA CAETANO NOGUEIRA DA COSTA</t>
  </si>
  <si>
    <t xml:space="preserve"> RUA ENOCH BARREIRA DE MACEDO</t>
  </si>
  <si>
    <t xml:space="preserve"> RUA DUPLO CEU</t>
  </si>
  <si>
    <t xml:space="preserve"> RUA DONA MARIA BRAULIO</t>
  </si>
  <si>
    <t xml:space="preserve"> RUA MENDONCA UCHOA</t>
  </si>
  <si>
    <t xml:space="preserve"> RUA JUAN DE BADAJOZ</t>
  </si>
  <si>
    <t>VL ZULMIRA MARIA</t>
  </si>
  <si>
    <t xml:space="preserve"> RUA JOSE DA COSTA GAVIAO</t>
  </si>
  <si>
    <t>foto na os 2619138438</t>
  </si>
  <si>
    <t>NÚMERO DA OS INDICADA ENDEREÇO NÃO CONFERE. CONSULTA MAPS</t>
  </si>
  <si>
    <t xml:space="preserve"> VIELA SEIS MIL CENTO E DEZESSEIS</t>
  </si>
  <si>
    <t>AUSÊNCIA DE LACRE NA CAIXA UMA</t>
  </si>
  <si>
    <t xml:space="preserve"> RUA PROFESSORA ROMILDE NOGUEIRA DE SA</t>
  </si>
  <si>
    <t xml:space="preserve"> RUA CRIMEIA</t>
  </si>
  <si>
    <t xml:space="preserve">fotos do nr do hidro ilegível </t>
  </si>
  <si>
    <t xml:space="preserve"> TRAVESSA CHARLES BARKLA</t>
  </si>
  <si>
    <t xml:space="preserve"> RUA MANOEL DE SOUSA AZEVEDO</t>
  </si>
  <si>
    <t xml:space="preserve"> RUA JERONIMO DOS SANTOS</t>
  </si>
  <si>
    <t xml:space="preserve"> AVENIDA MARIA RIBEIRO DE JESUS</t>
  </si>
  <si>
    <t>V SANTOS</t>
  </si>
  <si>
    <t xml:space="preserve"> RUA MARIA NAZARO DA SILVA</t>
  </si>
  <si>
    <t xml:space="preserve"> RUA ACUTUMA</t>
  </si>
  <si>
    <t xml:space="preserve"> RUA GONCALVES FIGUEIRA</t>
  </si>
  <si>
    <t>C C/2</t>
  </si>
  <si>
    <t>INSTALAR LACRE NUMERADO</t>
  </si>
  <si>
    <t xml:space="preserve"> RUA EDGAR DOS REIS SAMPAIO</t>
  </si>
  <si>
    <t>JD MARINA</t>
  </si>
  <si>
    <t>INSTALADO LACRE NUMERADO</t>
  </si>
  <si>
    <t xml:space="preserve"> RUA ADELE ZARZUR</t>
  </si>
  <si>
    <t xml:space="preserve"> RUA LEANDRO BASSANO</t>
  </si>
  <si>
    <t xml:space="preserve"> AVENIDA PROFESSORA IDA KOLB</t>
  </si>
  <si>
    <t>BL-10</t>
  </si>
  <si>
    <t>PQ SOUZA ARANHA</t>
  </si>
  <si>
    <t xml:space="preserve"> FOTOS NA OS 2619345219</t>
  </si>
  <si>
    <t xml:space="preserve"> RUA ARRUDA DA CAMARA</t>
  </si>
  <si>
    <t>fotos na os 2692718451</t>
  </si>
  <si>
    <t xml:space="preserve"> RUA YVORNE</t>
  </si>
  <si>
    <t>BRUNO SANTOS ARAUJO</t>
  </si>
  <si>
    <t xml:space="preserve"> AVENIDA COMENDADOR FEIZ ZARZUR</t>
  </si>
  <si>
    <t xml:space="preserve">serviço executado anteriormente </t>
  </si>
  <si>
    <t xml:space="preserve"> RUA TAQUARACU DE MINAS</t>
  </si>
  <si>
    <t xml:space="preserve"> RUA DA DIVISA</t>
  </si>
  <si>
    <t>JD S MIGUEL</t>
  </si>
  <si>
    <t xml:space="preserve"> RUA DOM JOSE DOS SANTOS</t>
  </si>
  <si>
    <t xml:space="preserve"> RUA BOTAFOGO</t>
  </si>
  <si>
    <t xml:space="preserve"> RUA PADRE JOAO GUEDES</t>
  </si>
  <si>
    <t xml:space="preserve"> RUA PROFESSORA MARIA RODRIGUES LIMA</t>
  </si>
  <si>
    <t>JD ANA MARIA</t>
  </si>
  <si>
    <t>fotos na os 2619403726</t>
  </si>
  <si>
    <t xml:space="preserve"> RUA CARLOS ALBERTO MORETTI</t>
  </si>
  <si>
    <t xml:space="preserve"> RUA MORAIS MADUREIRA</t>
  </si>
  <si>
    <t xml:space="preserve">sem fotos devido chuvas </t>
  </si>
  <si>
    <t xml:space="preserve"> RUA AIDA GOMES TOLEDO</t>
  </si>
  <si>
    <t>JD NSRA DA CONSOLATA</t>
  </si>
  <si>
    <t xml:space="preserve"> RUA BRENO CARVALHAES</t>
  </si>
  <si>
    <t xml:space="preserve"> RUA PROFESSOR LINS E SILVA</t>
  </si>
  <si>
    <t xml:space="preserve"> RUA COLUMBIA</t>
  </si>
  <si>
    <t>JD DO TIRO</t>
  </si>
  <si>
    <t xml:space="preserve"> RUA PARTICULAR DA DOM BENTO PICKEL</t>
  </si>
  <si>
    <t>D C/18</t>
  </si>
  <si>
    <t xml:space="preserve">trata se de cavalete caixa uma vazando </t>
  </si>
  <si>
    <t xml:space="preserve"> RUA CAVATTON</t>
  </si>
  <si>
    <t>VL CAVATTON</t>
  </si>
  <si>
    <t xml:space="preserve"> RUA DOMINGOS GIGLIO</t>
  </si>
  <si>
    <t>LD/</t>
  </si>
  <si>
    <t xml:space="preserve">cx uma sem tampa </t>
  </si>
  <si>
    <t xml:space="preserve">Devido chuvas no local não foi possível tirar todas as fotos
Encarregado Arlindo ciente do ocorrido </t>
  </si>
  <si>
    <t xml:space="preserve"> RUA PEDRO DE ABREU</t>
  </si>
  <si>
    <t>PQ RAMOS DE FREITAS</t>
  </si>
  <si>
    <t xml:space="preserve">sem reposição de passeio AD é obra sem fotos da lona não foi preciso crebra a calçada </t>
  </si>
  <si>
    <t xml:space="preserve"> RUA DURVAL MOREIRA DO AMARAL</t>
  </si>
  <si>
    <t xml:space="preserve"> RUA SONIA MARIA C ALVES</t>
  </si>
  <si>
    <t xml:space="preserve"> RUA SENADOR LAMEIRA BITENCOURT</t>
  </si>
  <si>
    <t xml:space="preserve"> RUA RIO DOS CEDROS</t>
  </si>
  <si>
    <t xml:space="preserve"> RUA JOAO DA SILVA MOURA</t>
  </si>
  <si>
    <t xml:space="preserve"> RUA DOLORES DURAN</t>
  </si>
  <si>
    <t xml:space="preserve"> RUA DO FAROL</t>
  </si>
  <si>
    <t xml:space="preserve">tampa da caixa uma foi danificada </t>
  </si>
  <si>
    <t xml:space="preserve"> PASSAGEM BARBOSA ROMEU</t>
  </si>
  <si>
    <t xml:space="preserve"> RUA DOUTOR MARIO PINTO SERVA</t>
  </si>
  <si>
    <t>foto na os 2618901739</t>
  </si>
  <si>
    <t xml:space="preserve"> PRACA DOUTOR POLICARPO DE MAGALHAES VIOTTI</t>
  </si>
  <si>
    <t xml:space="preserve"> RUA PROFESSOR LEOPOLDO DO AMARAL</t>
  </si>
  <si>
    <t xml:space="preserve"> RUA DELMAR SOARES</t>
  </si>
  <si>
    <t>local escuro célula não  foca no número do hidro</t>
  </si>
  <si>
    <t xml:space="preserve"> TRAVESSA DOS CANARIOS</t>
  </si>
  <si>
    <t xml:space="preserve"> RUA ANTONIO DA CUNHA COELHO</t>
  </si>
  <si>
    <t xml:space="preserve"> RUA BERNARDO VIEIRA RAVASCO</t>
  </si>
  <si>
    <t xml:space="preserve"> RUA ANDREAS BARTAY</t>
  </si>
  <si>
    <t>REGISTRO DO CAVALETE INVERTIDO</t>
  </si>
  <si>
    <t xml:space="preserve"> RUA LAGOA AZUL</t>
  </si>
  <si>
    <t xml:space="preserve"> RUA JOSE PEDRESCHI</t>
  </si>
  <si>
    <t xml:space="preserve"> RUA DOM JOSE MARCONDES</t>
  </si>
  <si>
    <t>JD IRENE</t>
  </si>
  <si>
    <t xml:space="preserve"> RUA DIOGO RIBEIRO</t>
  </si>
  <si>
    <t>JD VIRGINIA BIANCA</t>
  </si>
  <si>
    <t>fotos estão na os 2619972542</t>
  </si>
  <si>
    <t xml:space="preserve"> RUA PROFESSOR DARIO RIBEIRO</t>
  </si>
  <si>
    <t xml:space="preserve"> RUA ALBACORA</t>
  </si>
  <si>
    <t xml:space="preserve"> RUA FRANCISCO INGLES</t>
  </si>
  <si>
    <t xml:space="preserve"> RUA SAO FELICIANO</t>
  </si>
  <si>
    <t xml:space="preserve"> RUA FRUTAL</t>
  </si>
  <si>
    <t>13/05/2026 16:33</t>
  </si>
  <si>
    <t>13/05/2026 09:37</t>
  </si>
  <si>
    <t>13/05/2026 09:44</t>
  </si>
  <si>
    <t xml:space="preserve"> RUA FERNANDO PEDROSA</t>
  </si>
  <si>
    <t>13/05/2026 11:43</t>
  </si>
  <si>
    <t>13/05/2026 11:56</t>
  </si>
  <si>
    <t xml:space="preserve"> RUA DIOGO DE CASTILHO</t>
  </si>
  <si>
    <t>13/05/2026 11:19</t>
  </si>
  <si>
    <t xml:space="preserve"> RUA TAMBAU</t>
  </si>
  <si>
    <t>13/05/2026 09:23</t>
  </si>
  <si>
    <t>13/05/2026 09:28</t>
  </si>
  <si>
    <t>13/05/2026 13:27</t>
  </si>
  <si>
    <t>13/05/2026 13:29</t>
  </si>
  <si>
    <t>13/05/2026 08:41</t>
  </si>
  <si>
    <t>CASA 08</t>
  </si>
  <si>
    <t>VL ALBERTINA</t>
  </si>
  <si>
    <t>13/05/2026 13:24</t>
  </si>
  <si>
    <t>13/05/2026 13:37</t>
  </si>
  <si>
    <t xml:space="preserve"> RUA DOUTOR PAULINO AUGUSTO</t>
  </si>
  <si>
    <t>13/05/2026 11:52</t>
  </si>
  <si>
    <t>13/05/2026 12:06</t>
  </si>
  <si>
    <t xml:space="preserve"> VIELA PIRAPETINGA III</t>
  </si>
  <si>
    <t>13/05/2026 11:35</t>
  </si>
  <si>
    <t>13/05/2026 09:51</t>
  </si>
  <si>
    <t>13/05/2026 10:05</t>
  </si>
  <si>
    <t xml:space="preserve"> RUA DOUTOR JOAQUIM D'AQUINO FONSECA</t>
  </si>
  <si>
    <t>13/05/2026 10:37</t>
  </si>
  <si>
    <t>13/05/2026 10:54</t>
  </si>
  <si>
    <t xml:space="preserve"> RUA MOREIRA</t>
  </si>
  <si>
    <t>13/05/2026 09:34</t>
  </si>
  <si>
    <t xml:space="preserve"> AVENIDA MINISTRO PETRONIO PORTELA</t>
  </si>
  <si>
    <t>13/05/2026 11:51</t>
  </si>
  <si>
    <t xml:space="preserve"> RUA JAYME VON ROSENBURG</t>
  </si>
  <si>
    <t>13/05/2026 09:15</t>
  </si>
  <si>
    <t xml:space="preserve"> RUA ZELY DIAS DE FIGUEIREDO</t>
  </si>
  <si>
    <t>13/05/2026 11:32</t>
  </si>
  <si>
    <t>13/05/2026 11:36</t>
  </si>
  <si>
    <t xml:space="preserve"> TRAVESSA JOAQUIM PEDRO MOREIRA</t>
  </si>
  <si>
    <t>13/05/2026 15:31</t>
  </si>
  <si>
    <t xml:space="preserve"> RUA EMANUEL GUIMARAES</t>
  </si>
  <si>
    <t xml:space="preserve"> RUA DOUTOR SEBASTIAO DE LIMA</t>
  </si>
  <si>
    <t>C/14</t>
  </si>
  <si>
    <t>13/05/2026 15:33</t>
  </si>
  <si>
    <t>13/05/2026 15:37</t>
  </si>
  <si>
    <t xml:space="preserve"> RUA LUIS CAETANO MARTINS</t>
  </si>
  <si>
    <t>VL MARILU</t>
  </si>
  <si>
    <t>13/05/2026 15:18</t>
  </si>
  <si>
    <t>13/05/2026 15:28</t>
  </si>
  <si>
    <t xml:space="preserve"> RUA RAUL DIAS</t>
  </si>
  <si>
    <t>13/05/2026 15:29</t>
  </si>
  <si>
    <t xml:space="preserve"> RUA RODRIGUES ALVARENGA</t>
  </si>
  <si>
    <t>13/05/2026 14:27</t>
  </si>
  <si>
    <t>13/05/2026 14:30</t>
  </si>
  <si>
    <t>13/05/2026 15:38</t>
  </si>
  <si>
    <t xml:space="preserve">não tem número na casa </t>
  </si>
  <si>
    <t>13/05/2026 16:21</t>
  </si>
  <si>
    <t>13/05/2026 16:30</t>
  </si>
  <si>
    <t>V IARA</t>
  </si>
  <si>
    <t>13/05/2026 14:45</t>
  </si>
  <si>
    <t>13/05/2026 14:52</t>
  </si>
  <si>
    <t>13/05/2026 12:41</t>
  </si>
  <si>
    <t xml:space="preserve"> TRAVESSA CACU</t>
  </si>
  <si>
    <t>13/05/2026 16:41</t>
  </si>
  <si>
    <t>13/05/2026 15:30</t>
  </si>
  <si>
    <t>13/05/2026 11:10</t>
  </si>
  <si>
    <t>13/05/2026 11:12</t>
  </si>
  <si>
    <t>13/05/2026 06:12</t>
  </si>
  <si>
    <t>13/05/2026 06:13</t>
  </si>
  <si>
    <t xml:space="preserve"> VIELA TRES DA JOSE CARNEIRO SANTOS</t>
  </si>
  <si>
    <t>Foi deixado fornecimento suprimido, devido debitos.</t>
  </si>
  <si>
    <t>HIDROMETRO ROUBADO DO ENDEREÇO JORRANDO MUITA ÁGUA / Foi deixado fornecimento suprimido, devido debitos.</t>
  </si>
  <si>
    <t>14/05/2026 14:51</t>
  </si>
  <si>
    <t>14/05/2026 15:06</t>
  </si>
  <si>
    <t>14/05/2026 15:29</t>
  </si>
  <si>
    <t xml:space="preserve"> RUA JOAO CASSIMIRO M GLORIA</t>
  </si>
  <si>
    <t>14/05/2026 09:47</t>
  </si>
  <si>
    <t>14/05/2026 10:01</t>
  </si>
  <si>
    <t xml:space="preserve"> RUA ANTONIO PORTUGAL</t>
  </si>
  <si>
    <t>14/05/2026 09:00</t>
  </si>
  <si>
    <t>14/05/2026 09:05</t>
  </si>
  <si>
    <t>14/05/2026 11:29</t>
  </si>
  <si>
    <t>14/05/2026 11:41</t>
  </si>
  <si>
    <t xml:space="preserve"> RUA PADRE JOSE MATERNI</t>
  </si>
  <si>
    <t>14/05/2026 14:05</t>
  </si>
  <si>
    <t xml:space="preserve"> TRAVESSA JORGE BERMUDEZ</t>
  </si>
  <si>
    <t>14/05/2026 08:21</t>
  </si>
  <si>
    <t>14/05/2026 08:22</t>
  </si>
  <si>
    <t xml:space="preserve"> RUA TERRA RICA</t>
  </si>
  <si>
    <t>JD ALVORADA</t>
  </si>
  <si>
    <t xml:space="preserve">foto nao foca para tirar foto da numeração do hidro </t>
  </si>
  <si>
    <t>14/05/2026 09:07</t>
  </si>
  <si>
    <t xml:space="preserve"> RUA JUAN DE FLANDES</t>
  </si>
  <si>
    <t xml:space="preserve"> RUA DOUTORA ANNEYDE DA ROCHA ESTEVES</t>
  </si>
  <si>
    <t>14/05/2026 08:40</t>
  </si>
  <si>
    <t>14/05/2026 08:41</t>
  </si>
  <si>
    <t xml:space="preserve"> RUA JAMBLICO</t>
  </si>
  <si>
    <t>14/05/2026 09:51</t>
  </si>
  <si>
    <t>14/05/2026 10:02</t>
  </si>
  <si>
    <t>14/05/2026 09:02</t>
  </si>
  <si>
    <t xml:space="preserve"> RUA PEDRO DE SAO MARTINHO</t>
  </si>
  <si>
    <t>14/05/2026 09:54</t>
  </si>
  <si>
    <t>14/05/2026 09:56</t>
  </si>
  <si>
    <t xml:space="preserve"> TRAVESSA RAFAELE GALLO</t>
  </si>
  <si>
    <t>14/05/2026 10:06</t>
  </si>
  <si>
    <t>14/05/2026 10:14</t>
  </si>
  <si>
    <t xml:space="preserve"> RUA DONA ROSA IORIO</t>
  </si>
  <si>
    <t xml:space="preserve">aperto na graxeta </t>
  </si>
  <si>
    <t>14/05/2026 09:46</t>
  </si>
  <si>
    <t>14/05/2026 09:50</t>
  </si>
  <si>
    <t xml:space="preserve"> TRAVESSA TULIPA REAL</t>
  </si>
  <si>
    <t>14/05/2026 15:03</t>
  </si>
  <si>
    <t>14/05/2026 15:09</t>
  </si>
  <si>
    <t>14/05/2026 14:49</t>
  </si>
  <si>
    <t>14/05/2026 14:56</t>
  </si>
  <si>
    <t xml:space="preserve"> RUA JOSE DOS SANTOS CASTRO</t>
  </si>
  <si>
    <t>JD DENISE</t>
  </si>
  <si>
    <t>14/05/2026 11:49</t>
  </si>
  <si>
    <t>14/05/2026 12:06</t>
  </si>
  <si>
    <t xml:space="preserve"> RUA PEROLA DO OESTE</t>
  </si>
  <si>
    <t>14/05/2026 15:13</t>
  </si>
  <si>
    <t>14/05/2026 15:14</t>
  </si>
  <si>
    <t>14/05/2026 14:21</t>
  </si>
  <si>
    <t>14/05/2026 14:22</t>
  </si>
  <si>
    <t xml:space="preserve"> RUA CAIAPE</t>
  </si>
  <si>
    <t>14/05/2026 15:39</t>
  </si>
  <si>
    <t>14/05/2026 15:49</t>
  </si>
  <si>
    <t xml:space="preserve"> RUA DOUTOR JOAO TONIOLO</t>
  </si>
  <si>
    <t>14/05/2026 15:05</t>
  </si>
  <si>
    <t>14/05/2026 15:46</t>
  </si>
  <si>
    <t xml:space="preserve"> RUA ENGENHEIRO JOSE PAES ESTEVES</t>
  </si>
  <si>
    <t>SEM REPOSIÇÃO DEVIDO OBRA</t>
  </si>
  <si>
    <t>14/05/2026 06:03</t>
  </si>
  <si>
    <t xml:space="preserve"> RUA CAIMITO</t>
  </si>
  <si>
    <t xml:space="preserve"> RUA AMADEU DE QUEIROS</t>
  </si>
  <si>
    <t>V SIMOES</t>
  </si>
  <si>
    <t>14/05/2026 15:57</t>
  </si>
  <si>
    <t>14/05/2026 15:58</t>
  </si>
  <si>
    <t>14/05/2026 16:00</t>
  </si>
  <si>
    <t>14/05/2026 16:29</t>
  </si>
  <si>
    <t xml:space="preserve"> RUA DARIO VILARES BARBOSA</t>
  </si>
  <si>
    <t>14/05/2026 15:38</t>
  </si>
  <si>
    <t xml:space="preserve">FOTOS E REPOSIÇÃO NA OS 2619975323 </t>
  </si>
  <si>
    <t>14/05/2026 15:12</t>
  </si>
  <si>
    <t xml:space="preserve">estava embora </t>
  </si>
  <si>
    <t>14/05/2026 13:29</t>
  </si>
  <si>
    <t>14/05/2026 13:31</t>
  </si>
  <si>
    <t xml:space="preserve"> RUA FRANCISCO BRUNO</t>
  </si>
  <si>
    <t xml:space="preserve">trocamos o registro q não vedava porém cliente pede fiscal no local reclama que conta esta alta </t>
  </si>
  <si>
    <t>15/05/2026 08:34</t>
  </si>
  <si>
    <t>15/05/2026 08:47</t>
  </si>
  <si>
    <t xml:space="preserve"> RUA JENI KLABIN SEGALL</t>
  </si>
  <si>
    <t xml:space="preserve">sem fotos devido a chuva </t>
  </si>
  <si>
    <t>15/05/2026 11:58</t>
  </si>
  <si>
    <t xml:space="preserve"> RUA SAO LEONARDO</t>
  </si>
  <si>
    <t>15/05/2026 08:00</t>
  </si>
  <si>
    <t>15/05/2026 08:05</t>
  </si>
  <si>
    <t xml:space="preserve"> RUA CAETANO TEIXEIRA</t>
  </si>
  <si>
    <t xml:space="preserve">não foi possível tirar fotos devido a chuva intensa risco de molhar o celular </t>
  </si>
  <si>
    <t>15/05/2026 14:25</t>
  </si>
  <si>
    <t>15/05/2026 14:37</t>
  </si>
  <si>
    <t xml:space="preserve"> RUA LIESTAL</t>
  </si>
  <si>
    <t xml:space="preserve">cliente reclama que conta esta alta pede vistoria predial </t>
  </si>
  <si>
    <t>15/05/2026 10:06</t>
  </si>
  <si>
    <t>15/05/2026 10:20</t>
  </si>
  <si>
    <t xml:space="preserve">não foi possível tirar fotos devido a chuva intensa </t>
  </si>
  <si>
    <t>15/05/2026 15:03</t>
  </si>
  <si>
    <t>15/05/2026 15:04</t>
  </si>
  <si>
    <t xml:space="preserve"> TRAVESSA JOSE PEDRO GOMES</t>
  </si>
  <si>
    <t>15/05/2026 11:41</t>
  </si>
  <si>
    <t xml:space="preserve"> RUA OTTO BENDER</t>
  </si>
  <si>
    <t>JD PARAISO</t>
  </si>
  <si>
    <t>15/05/2026 11:14</t>
  </si>
  <si>
    <t>15/05/2026 11:29</t>
  </si>
  <si>
    <t xml:space="preserve"> RUA JOAQUIM FERREIRA DA ROCHA</t>
  </si>
  <si>
    <t xml:space="preserve">Sem foto devido a chuvas </t>
  </si>
  <si>
    <t>15/05/2026 09:34</t>
  </si>
  <si>
    <t>15/05/2026 09:35</t>
  </si>
  <si>
    <t>15/05/2026 10:35</t>
  </si>
  <si>
    <t>15/05/2026 10:51</t>
  </si>
  <si>
    <t xml:space="preserve"> VIELA DO INSPETOR</t>
  </si>
  <si>
    <t>15/05/2026 09:09</t>
  </si>
  <si>
    <t>15/05/2026 09:51</t>
  </si>
  <si>
    <t>15/05/2026 10:04</t>
  </si>
  <si>
    <t xml:space="preserve"> RUA FORTE DE SAO CAETANO</t>
  </si>
  <si>
    <t>15/05/2026 08:20</t>
  </si>
  <si>
    <t>15/05/2026 08:27</t>
  </si>
  <si>
    <t xml:space="preserve"> AVENIDA MARIANA CALIGIORI RONCHETTI</t>
  </si>
  <si>
    <t>C/6 LIG2</t>
  </si>
  <si>
    <t>15/05/2026 08:30</t>
  </si>
  <si>
    <t>15/05/2026 08:36</t>
  </si>
  <si>
    <t>15/05/2026 09:02</t>
  </si>
  <si>
    <t>15/05/2026 09:06</t>
  </si>
  <si>
    <t>15/05/2026 10:19</t>
  </si>
  <si>
    <t>15/05/2026 11:28</t>
  </si>
  <si>
    <t>15/05/2026 11:47</t>
  </si>
  <si>
    <t>sem fotos devido chuvas</t>
  </si>
  <si>
    <t>15/05/2026 08:10</t>
  </si>
  <si>
    <t xml:space="preserve">vazamento no registro do 776 mesmo proprietário </t>
  </si>
  <si>
    <t>15/05/2026 09:22</t>
  </si>
  <si>
    <t xml:space="preserve"> RUA EDGAR SALES</t>
  </si>
  <si>
    <t>PA em obras por conta do cliente</t>
  </si>
  <si>
    <t>15/05/2026 12:17</t>
  </si>
  <si>
    <t>15/05/2026 13:58</t>
  </si>
  <si>
    <t>15/05/2026 14:06</t>
  </si>
  <si>
    <t xml:space="preserve"> RUA LACERDA WERNECK</t>
  </si>
  <si>
    <t>15/05/2026 14:18</t>
  </si>
  <si>
    <t>15/05/2026 14:17</t>
  </si>
  <si>
    <t xml:space="preserve"> RUA VIRAJUBA</t>
  </si>
  <si>
    <t>15/05/2026 11:00</t>
  </si>
  <si>
    <t>15/05/2026 11:05</t>
  </si>
  <si>
    <t xml:space="preserve"> VIELA UM DA RUA VITORIA</t>
  </si>
  <si>
    <t>15/05/2026 15:00</t>
  </si>
  <si>
    <t>15/05/2026 15:34</t>
  </si>
  <si>
    <t>15/05/2026 15:52</t>
  </si>
  <si>
    <t>15/05/2026 14:45</t>
  </si>
  <si>
    <t xml:space="preserve"> RUA DOLORES BARRETO COELHO</t>
  </si>
  <si>
    <t>15/05/2026 15:31</t>
  </si>
  <si>
    <t>AUSÊNCIA DE FECHAMENTO CAIXA UMA E LACRE</t>
  </si>
  <si>
    <t xml:space="preserve"> RUA GASPAR SELVAGO</t>
  </si>
  <si>
    <t>15/05/2026 15:23</t>
  </si>
  <si>
    <t>15/05/2026 15:27</t>
  </si>
  <si>
    <t>15/05/2026 15:30</t>
  </si>
  <si>
    <t>16/05/2026 14:54</t>
  </si>
  <si>
    <t>16/05/2026 14:55</t>
  </si>
  <si>
    <t xml:space="preserve"> RUA JOAO DO AMARAL</t>
  </si>
  <si>
    <t>16/05/2026 09:22</t>
  </si>
  <si>
    <t>16/05/2026 09:30</t>
  </si>
  <si>
    <t>16/05/2026 09:14</t>
  </si>
  <si>
    <t>16/05/2026 09:20</t>
  </si>
  <si>
    <t>16/05/2026 09:51</t>
  </si>
  <si>
    <t>16/05/2026 10:08</t>
  </si>
  <si>
    <t>16/05/2026 10:01</t>
  </si>
  <si>
    <t>16/05/2026 10:07</t>
  </si>
  <si>
    <t xml:space="preserve"> RUA CARLOS BARBOSA</t>
  </si>
  <si>
    <t>16/05/2026 10:50</t>
  </si>
  <si>
    <t>16/05/2026 10:54</t>
  </si>
  <si>
    <t>16/05/2026 10:17</t>
  </si>
  <si>
    <t>16/05/2026 10:24</t>
  </si>
  <si>
    <t>16/05/2026 11:38</t>
  </si>
  <si>
    <t>16/05/2026 11:45</t>
  </si>
  <si>
    <t xml:space="preserve"> RUA FRANCISCO MASCARENHAS</t>
  </si>
  <si>
    <t>16/05/2026 07:00</t>
  </si>
  <si>
    <t>16/05/2026 07:05</t>
  </si>
  <si>
    <t xml:space="preserve"> RUA BOI PIGUA</t>
  </si>
  <si>
    <t xml:space="preserve">não foi possível tirar fotos devido serviço executado em ária de risco </t>
  </si>
  <si>
    <t>16/05/2026 12:02</t>
  </si>
  <si>
    <t>16/05/2026 12:03</t>
  </si>
  <si>
    <t>16/05/2026 11:10</t>
  </si>
  <si>
    <t>16/05/2026 11:21</t>
  </si>
  <si>
    <t>HUGO RODRIGUES DE LIMA FRANCO</t>
  </si>
  <si>
    <t xml:space="preserve"> RUA ALEXANDRE DE MIRANDA</t>
  </si>
  <si>
    <t>16/05/2026 14:00</t>
  </si>
  <si>
    <t>16/05/2026 14:05</t>
  </si>
  <si>
    <t xml:space="preserve"> RUA RICARDO FRANCO</t>
  </si>
  <si>
    <t>16/05/2026 09:50</t>
  </si>
  <si>
    <t xml:space="preserve"> RUA RAMAL DOS MENEZES</t>
  </si>
  <si>
    <t>JD MALBA</t>
  </si>
  <si>
    <t>16/05/2026 15:26</t>
  </si>
  <si>
    <t>16/05/2026 15:42</t>
  </si>
  <si>
    <t xml:space="preserve"> RUA DELFIM MARTINS DA CAMARA</t>
  </si>
  <si>
    <t>16/05/2026 14:59</t>
  </si>
  <si>
    <t>16/05/2026 15:09</t>
  </si>
  <si>
    <t xml:space="preserve"> RUA PARAMIRIM</t>
  </si>
  <si>
    <t>16/05/2026 15:54</t>
  </si>
  <si>
    <t>16/05/2026 15:55</t>
  </si>
  <si>
    <t>16/05/2026 14:23</t>
  </si>
  <si>
    <t>16/05/2026 14:41</t>
  </si>
  <si>
    <t>17/05/2026 11:28</t>
  </si>
  <si>
    <t>17/05/2026 11:36</t>
  </si>
  <si>
    <t>17/05/2026 08:20</t>
  </si>
  <si>
    <t>17/05/2026 08:28</t>
  </si>
  <si>
    <t>17/05/2026 08:40</t>
  </si>
  <si>
    <t>17/05/2026 08:50</t>
  </si>
  <si>
    <t xml:space="preserve"> RUA KIEL</t>
  </si>
  <si>
    <t>17/05/2026 10:32</t>
  </si>
  <si>
    <t>17/05/2026 10:59</t>
  </si>
  <si>
    <t xml:space="preserve"> RUA MINISTRO BARBOSA LIMA</t>
  </si>
  <si>
    <t>17/05/2026 08:58</t>
  </si>
  <si>
    <t>17/05/2026 09:02</t>
  </si>
  <si>
    <t>17/05/2026 11:14</t>
  </si>
  <si>
    <t>17/05/2026 11:22</t>
  </si>
  <si>
    <t>17/05/2026 09:15</t>
  </si>
  <si>
    <t>17/05/2026 09:53</t>
  </si>
  <si>
    <t xml:space="preserve"> RUA GUSTAVO BARROSO</t>
  </si>
  <si>
    <t>17/05/2026 11:33</t>
  </si>
  <si>
    <t>17/05/2026 11:41</t>
  </si>
  <si>
    <t>17/05/2026 14:16</t>
  </si>
  <si>
    <t>17/05/2026 14:17</t>
  </si>
  <si>
    <t>17/05/2026 14:06</t>
  </si>
  <si>
    <t>17/05/2026 07:25</t>
  </si>
  <si>
    <t>17/05/2026 07:35</t>
  </si>
  <si>
    <t>17/05/2026 07:45</t>
  </si>
  <si>
    <t xml:space="preserve">só trocamos as guarnições </t>
  </si>
  <si>
    <t>18/05/2026 09:32</t>
  </si>
  <si>
    <t>18/05/2026 09:39</t>
  </si>
  <si>
    <t xml:space="preserve"> RUA CHICO DE PAULA</t>
  </si>
  <si>
    <t>18/05/2026 14:35</t>
  </si>
  <si>
    <t>18/05/2026 14:43</t>
  </si>
  <si>
    <t xml:space="preserve"> PRACA SANTISSIMA TRINDADE</t>
  </si>
  <si>
    <t>C/32</t>
  </si>
  <si>
    <t>18/05/2026 09:52</t>
  </si>
  <si>
    <t>18/05/2026 10:08</t>
  </si>
  <si>
    <t xml:space="preserve"> RUA ORMINDA</t>
  </si>
  <si>
    <t xml:space="preserve"> RUA PROFESSOR JOAO MACHADO</t>
  </si>
  <si>
    <t>18/05/2026 14:26</t>
  </si>
  <si>
    <t>18/05/2026 14:28</t>
  </si>
  <si>
    <t>18/05/2026 13:10</t>
  </si>
  <si>
    <t>18/05/2026 13:19</t>
  </si>
  <si>
    <t xml:space="preserve"> RUA PADRE IORIO</t>
  </si>
  <si>
    <t>18/05/2026 15:15</t>
  </si>
  <si>
    <t>18/05/2026 15:26</t>
  </si>
  <si>
    <t>18/05/2026 15:42</t>
  </si>
  <si>
    <t>18/05/2026 15:50</t>
  </si>
  <si>
    <t xml:space="preserve"> RUA EDITE</t>
  </si>
  <si>
    <t>18/05/2026 15:10</t>
  </si>
  <si>
    <t>18/05/2026 15:16</t>
  </si>
  <si>
    <t xml:space="preserve"> RUA GINALDO WILLIS GALDINO</t>
  </si>
  <si>
    <t>18/05/2026 16:22</t>
  </si>
  <si>
    <t>18/05/2026 15:32</t>
  </si>
  <si>
    <t>18/05/2026 15:36</t>
  </si>
  <si>
    <t xml:space="preserve"> RUA RUI DE MORAIS APOCALIPSE</t>
  </si>
  <si>
    <t>18/05/2026 15:55</t>
  </si>
  <si>
    <t>18/05/2026 16:55</t>
  </si>
  <si>
    <t>18/05/2026 16:57</t>
  </si>
  <si>
    <t>18/05/2026 17:41</t>
  </si>
  <si>
    <t>18/05/2026 17:54</t>
  </si>
  <si>
    <t xml:space="preserve"> VIELA CENTO E QUATORZE ELISA MARIA</t>
  </si>
  <si>
    <t>C FDS C/3</t>
  </si>
  <si>
    <t>19/05/2026 10:52</t>
  </si>
  <si>
    <t xml:space="preserve"> RUA CONDE BARCA</t>
  </si>
  <si>
    <t>19/05/2026 12:55</t>
  </si>
  <si>
    <t>19/05/2026 12:56</t>
  </si>
  <si>
    <t xml:space="preserve"> RUA DOMICIANO RIBEIRO</t>
  </si>
  <si>
    <t>19/05/2026 11:09</t>
  </si>
  <si>
    <t>19/05/2026 11:31</t>
  </si>
  <si>
    <t>19/05/2026 09:00</t>
  </si>
  <si>
    <t>19/05/2026 09:05</t>
  </si>
  <si>
    <t xml:space="preserve"> RUA CAPITAO ULISSES SOARES DE CAMPO</t>
  </si>
  <si>
    <t>19/05/2026 12:01</t>
  </si>
  <si>
    <t>19/05/2026 12:08</t>
  </si>
  <si>
    <t xml:space="preserve"> RUA LUIS AFONSO</t>
  </si>
  <si>
    <t>VL MARIA TRINDADE</t>
  </si>
  <si>
    <t>19/05/2026 08:53</t>
  </si>
  <si>
    <t>19/05/2026 10:46</t>
  </si>
  <si>
    <t xml:space="preserve"> RUA CAPITAO JOSE AGUIRRE CAMARGO</t>
  </si>
  <si>
    <t>19/05/2026 13:53</t>
  </si>
  <si>
    <t>19/05/2026 14:11</t>
  </si>
  <si>
    <t xml:space="preserve"> RUA APOLONIO MEIRA</t>
  </si>
  <si>
    <t>19/05/2026 15:12</t>
  </si>
  <si>
    <t>19/05/2026 15:23</t>
  </si>
  <si>
    <t xml:space="preserve"> RUA RIBEIRAO DAS ALMAS</t>
  </si>
  <si>
    <t>necessário troca do kit casa 4
danificado no momento do aperto</t>
  </si>
  <si>
    <t>19/05/2026 15:38</t>
  </si>
  <si>
    <t>19/05/2026 16:07</t>
  </si>
  <si>
    <t>sem sinalização caixa uma vazamento em caixa uma só apertar</t>
  </si>
  <si>
    <t>19/05/2026 10:30</t>
  </si>
  <si>
    <t>19/05/2026 10:32</t>
  </si>
  <si>
    <t>fotos na os 2693585101</t>
  </si>
  <si>
    <t>19/05/2026 13:17</t>
  </si>
  <si>
    <t>sem fotos devido chuva</t>
  </si>
  <si>
    <t>19/05/2026 16:18</t>
  </si>
  <si>
    <t xml:space="preserve"> RUA CONDESSA AMALIA MATARAZZO</t>
  </si>
  <si>
    <t>19/05/2026 16:25</t>
  </si>
  <si>
    <t xml:space="preserve"> RUA GALEAO COUTINHO</t>
  </si>
  <si>
    <t>19/05/2026 15:53</t>
  </si>
  <si>
    <t>19/05/2026 15:58</t>
  </si>
  <si>
    <t xml:space="preserve"> RUA ENEIAS CARRILHO</t>
  </si>
  <si>
    <t>VL BRITO</t>
  </si>
  <si>
    <t xml:space="preserve"> RUA NATALINA ROQUE ESTEFANI</t>
  </si>
  <si>
    <t>V ROQUE</t>
  </si>
  <si>
    <t xml:space="preserve">as fotos tá na OS 2693611030 </t>
  </si>
  <si>
    <t>19/05/2026 13:59</t>
  </si>
  <si>
    <t>19/05/2026 14:02</t>
  </si>
  <si>
    <t xml:space="preserve"> RUA AFONSO LOPES VIEIRA</t>
  </si>
  <si>
    <t>19/05/2026 16:49</t>
  </si>
  <si>
    <t xml:space="preserve"> RUA GUARABIRA</t>
  </si>
  <si>
    <t>19/05/2026 15:32</t>
  </si>
  <si>
    <t>19/05/2026 15:33</t>
  </si>
  <si>
    <t>AUSÊNCIA DE FECHAMENTO DE CAIXA E LACRE</t>
  </si>
  <si>
    <t xml:space="preserve"> RUA ANGELO RAIMONDI</t>
  </si>
  <si>
    <t>19/05/2026 15:22</t>
  </si>
  <si>
    <t>19/05/2026 06:05</t>
  </si>
  <si>
    <t>19/05/2026 06:06</t>
  </si>
  <si>
    <t xml:space="preserve"> RUA CLARA FERNANDES</t>
  </si>
  <si>
    <t>20/05/2026 09:30</t>
  </si>
  <si>
    <t>20/05/2026 10:00</t>
  </si>
  <si>
    <t>20/05/2026 11:26</t>
  </si>
  <si>
    <t>20/05/2026 16:29</t>
  </si>
  <si>
    <t>20/05/2026 16:33</t>
  </si>
  <si>
    <t xml:space="preserve"> RUA PROFESSOR GIORGIO LEVI</t>
  </si>
  <si>
    <t>20/05/2026 11:22</t>
  </si>
  <si>
    <t>20/05/2026 11:32</t>
  </si>
  <si>
    <t>20/05/2026 15:14</t>
  </si>
  <si>
    <t>20/05/2026 15:18</t>
  </si>
  <si>
    <t xml:space="preserve"> RUA TTE CORONEL JOSE JOAQUIM CORREIA ARRUDA</t>
  </si>
  <si>
    <t>20/05/2026 09:14</t>
  </si>
  <si>
    <t>20/05/2026 09:15</t>
  </si>
  <si>
    <t xml:space="preserve"> RUA DOUTOR PAULO MEIRELLES</t>
  </si>
  <si>
    <t>20/05/2026 09:28</t>
  </si>
  <si>
    <t>20/05/2026 09:37</t>
  </si>
  <si>
    <t xml:space="preserve">estalamos o registro de gaveta </t>
  </si>
  <si>
    <t>20/05/2026 10:12</t>
  </si>
  <si>
    <t>20/05/2026 11:04</t>
  </si>
  <si>
    <t>20/05/2026 11:45</t>
  </si>
  <si>
    <t>20/05/2026 11:57</t>
  </si>
  <si>
    <t>20/05/2026 09:26</t>
  </si>
  <si>
    <t>20/05/2026 09:31</t>
  </si>
  <si>
    <t xml:space="preserve"> RUA JOSE LUIS DA SILVA GOMES</t>
  </si>
  <si>
    <t>Fotos na os 2693661183</t>
  </si>
  <si>
    <t>20/05/2026 09:00</t>
  </si>
  <si>
    <t>20/05/2026 09:05</t>
  </si>
  <si>
    <t xml:space="preserve"> RUA LUIS PINHEIRO</t>
  </si>
  <si>
    <t>20/05/2026 16:45</t>
  </si>
  <si>
    <t>20/05/2026 16:52</t>
  </si>
  <si>
    <t xml:space="preserve"> RUA NUNES FERREIRA FILHO</t>
  </si>
  <si>
    <t>20/05/2026 09:11</t>
  </si>
  <si>
    <t>20/05/2026 09:19</t>
  </si>
  <si>
    <t>20/05/2026 10:23</t>
  </si>
  <si>
    <t>20/05/2026 10:29</t>
  </si>
  <si>
    <t>20/05/2026 10:52</t>
  </si>
  <si>
    <t>20/05/2026 11:00</t>
  </si>
  <si>
    <t>20/05/2026 16:18</t>
  </si>
  <si>
    <t>20/05/2026 16:21</t>
  </si>
  <si>
    <t xml:space="preserve"> RUA JOSE ORTIZ DE CAMARGO</t>
  </si>
  <si>
    <t>20/05/2026 15:53</t>
  </si>
  <si>
    <t>20/05/2026 16:01</t>
  </si>
  <si>
    <t>20/05/2026 09:56</t>
  </si>
  <si>
    <t>20/05/2026 10:10</t>
  </si>
  <si>
    <t xml:space="preserve"> RUA DOUTOR OTAVIO LOBO</t>
  </si>
  <si>
    <t>NAO TEVE TODAS OS FOTOS DEVIDO OBRA NO LOCAL.</t>
  </si>
  <si>
    <t>20/05/2026 09:12</t>
  </si>
  <si>
    <t>20/05/2026 09:21</t>
  </si>
  <si>
    <t xml:space="preserve"> RUA MARACAIA</t>
  </si>
  <si>
    <t>20/05/2026 15:58</t>
  </si>
  <si>
    <t>20/05/2026 16:12</t>
  </si>
  <si>
    <t>20/05/2026 15:32</t>
  </si>
  <si>
    <t xml:space="preserve"> VIELA UM S CENTO E NOVE SANTANA</t>
  </si>
  <si>
    <t>20/05/2026 11:01</t>
  </si>
  <si>
    <t>20/05/2026 11:02</t>
  </si>
  <si>
    <t>20/05/2026 11:05</t>
  </si>
  <si>
    <t>20/05/2026 11:11</t>
  </si>
  <si>
    <t xml:space="preserve"> RUA CONGONHAS DO NORTE</t>
  </si>
  <si>
    <t>20/05/2026 15:38</t>
  </si>
  <si>
    <t>20/05/2026 15:45</t>
  </si>
  <si>
    <t>20/05/2026 14:43</t>
  </si>
  <si>
    <t>20/05/2026 14:55</t>
  </si>
  <si>
    <t xml:space="preserve">cliente com torneira com defeito o mesmo foi orientado porém fizemos reaperto das conexões do cavalete </t>
  </si>
  <si>
    <t xml:space="preserve">fotos ilegíveis </t>
  </si>
  <si>
    <t xml:space="preserve"> RUA REVERENDO JOSE CARLOS NOGUEIRA</t>
  </si>
  <si>
    <t xml:space="preserve"> AVENIDA FRANCISCO MACHADO DA SILVA</t>
  </si>
  <si>
    <t xml:space="preserve"> RUA EMILIO MONASSA</t>
  </si>
  <si>
    <t xml:space="preserve"> RUA AIRES BENTO DE OLIVEIRA</t>
  </si>
  <si>
    <t xml:space="preserve"> RUA SANTO ADRIANO</t>
  </si>
  <si>
    <t xml:space="preserve"> VIELA SERRANA FLUMINENSE</t>
  </si>
  <si>
    <t xml:space="preserve"> RUA PADRE JOAO FRANCO</t>
  </si>
  <si>
    <t>VL SA E SILVA</t>
  </si>
  <si>
    <t xml:space="preserve"> RUA DOUTOR JOSE SOARES BRANDAO</t>
  </si>
  <si>
    <t xml:space="preserve"> RUA FRANCISCO ANTONIO IORIO</t>
  </si>
  <si>
    <t>sem fotos devido chuva.</t>
  </si>
  <si>
    <t xml:space="preserve"> RUA FAUSTO LEX</t>
  </si>
  <si>
    <t xml:space="preserve"> RUA MATOS DUARTE</t>
  </si>
  <si>
    <t xml:space="preserve"> RUA DOS CRIXANAS</t>
  </si>
  <si>
    <t xml:space="preserve">não foi possível tirar as fotos devido a chave </t>
  </si>
  <si>
    <t xml:space="preserve"> RUA JARBAS NIELSEN BASTOS</t>
  </si>
  <si>
    <t xml:space="preserve"> AVENIDA ALFREDO ZUMKELLER</t>
  </si>
  <si>
    <t xml:space="preserve"> RUA SOLDADO BENTINHO</t>
  </si>
  <si>
    <t xml:space="preserve">fotos parcial devido cliente não ter a chave da grade de proteção das caixas uma </t>
  </si>
  <si>
    <t xml:space="preserve"> RUA MONSENHOR JANUARIO SANGIRARDI</t>
  </si>
  <si>
    <t xml:space="preserve"> RUA SINHA JUNQUEIRA</t>
  </si>
  <si>
    <t xml:space="preserve"> RUA JOSE FRANCISCO</t>
  </si>
  <si>
    <t>fotos na os 2693746892</t>
  </si>
  <si>
    <t xml:space="preserve"> AVENIDA BERNARDO MENDES DA SILVA</t>
  </si>
  <si>
    <t>VL RENATO</t>
  </si>
  <si>
    <t xml:space="preserve"> RUA TERESA VICTORIA</t>
  </si>
  <si>
    <t>V DONA AMERICA</t>
  </si>
  <si>
    <t>FOTOS NÃO BAIXAM</t>
  </si>
  <si>
    <t xml:space="preserve"> RUA DOUTOR ESTEVAO MONTEBELLO</t>
  </si>
  <si>
    <t xml:space="preserve"> RUA JAPIUBA</t>
  </si>
  <si>
    <t xml:space="preserve"> RUA MARCELINO SIMOES</t>
  </si>
  <si>
    <t xml:space="preserve"> RUA GUARATAIA</t>
  </si>
  <si>
    <t xml:space="preserve"> TRAVESSA SERRA DA GRACIOSA</t>
  </si>
  <si>
    <t xml:space="preserve"> RUA ISANGA</t>
  </si>
  <si>
    <t xml:space="preserve"> RUA JOAO LOPES DE AMORIM</t>
  </si>
  <si>
    <t xml:space="preserve"> RUA CONDE DE RESENDE</t>
  </si>
  <si>
    <t xml:space="preserve"> RUA MARIA FREITAS</t>
  </si>
  <si>
    <t>As fotos estão localizada e disponível na Os 2693905861</t>
  </si>
  <si>
    <t>TROCA DE PE DE CAVALETE PREVENTIVO</t>
  </si>
  <si>
    <t xml:space="preserve">FOI FEITO O CAVALETE DA CASA 2 E 3 TAMBÉM. </t>
  </si>
  <si>
    <t xml:space="preserve"> RUA MARIA RITA</t>
  </si>
  <si>
    <t xml:space="preserve"> RUA DANIEL VIEIRA</t>
  </si>
  <si>
    <t xml:space="preserve"> RUA MARILISA</t>
  </si>
  <si>
    <t xml:space="preserve"> RUA GIACOMO CRESPI</t>
  </si>
  <si>
    <t>Sem fotos devido a chuva</t>
  </si>
  <si>
    <t xml:space="preserve"> RUA ZANZIBAR</t>
  </si>
  <si>
    <t xml:space="preserve"> RUA ANTONIO DARE</t>
  </si>
  <si>
    <t xml:space="preserve"> RUA LUIZ SOARES</t>
  </si>
  <si>
    <t>JD MANINOS</t>
  </si>
  <si>
    <t xml:space="preserve"> RUA MONTES PIRINEUS</t>
  </si>
  <si>
    <t>FOTOS DA OS NÃO BAIXAM</t>
  </si>
  <si>
    <t xml:space="preserve"> RUA JOAO BURJAKIAN</t>
  </si>
  <si>
    <t xml:space="preserve"> RUA NORTELANDIA</t>
  </si>
  <si>
    <t xml:space="preserve"> RUA JOSE DA SILVA GUIMARAES</t>
  </si>
  <si>
    <t xml:space="preserve"> RUA MONTE SAO MARTINHO</t>
  </si>
  <si>
    <t>agua suprimida fraude no local casa 4</t>
  </si>
  <si>
    <t>Todas as fotos estão localizada e disponível na Os 2621648106</t>
  </si>
  <si>
    <t xml:space="preserve"> RUA ALBERTO LOHNHOFF</t>
  </si>
  <si>
    <t xml:space="preserve"> RUA LUCIO DE MENDONCA</t>
  </si>
  <si>
    <t xml:space="preserve"> RUA JOAO DA SILVA MONIZ</t>
  </si>
  <si>
    <t xml:space="preserve"> RUA DONATO</t>
  </si>
  <si>
    <t xml:space="preserve"> RUA NUTO SANT'ANNA</t>
  </si>
  <si>
    <t xml:space="preserve"> RUA CAPITAO ANTONIO DI PIETRO</t>
  </si>
  <si>
    <t xml:space="preserve">reapertamos a graxeta do registro d pressão não foi possível trocar devido cavalete de difícil acesso </t>
  </si>
  <si>
    <t xml:space="preserve"> TRAVESSA DAVID PACHECO</t>
  </si>
  <si>
    <t xml:space="preserve"> RUA DOUTOR FRANCISCO EUGENIO DO AMARAL</t>
  </si>
  <si>
    <t xml:space="preserve"> RUA AUGUSTO FRANCO DE SOUZA</t>
  </si>
  <si>
    <t>FDS C/7</t>
  </si>
  <si>
    <t xml:space="preserve"> RUA SEBASTIAO LEITE</t>
  </si>
  <si>
    <t xml:space="preserve"> RUA JOAO RODRIGUES CHAVES</t>
  </si>
  <si>
    <t xml:space="preserve"> RUA REGISTRO</t>
  </si>
  <si>
    <t xml:space="preserve"> RUA SAO JOAO DA SAPUCAIA</t>
  </si>
  <si>
    <t xml:space="preserve"> RUA MARILANDIA</t>
  </si>
  <si>
    <t>VL JULIO CESAR</t>
  </si>
  <si>
    <t>as fotos dece serviço tá os 2694103144</t>
  </si>
  <si>
    <t xml:space="preserve"> RUA CONCHITA</t>
  </si>
  <si>
    <t xml:space="preserve">trocamos o registro porém cliente com possível defeito interno </t>
  </si>
  <si>
    <t xml:space="preserve"> RUA CAMPOS DE GUARAPUAVA</t>
  </si>
  <si>
    <t xml:space="preserve"> VIA DE PEDESTRE ILHA DA CACHOEIRINHA</t>
  </si>
  <si>
    <t xml:space="preserve"> RUA EURIDICE BUENO</t>
  </si>
  <si>
    <t xml:space="preserve"> RUA DOUTOR ARTUR ZAPPONI</t>
  </si>
  <si>
    <t>C/17</t>
  </si>
  <si>
    <t xml:space="preserve"> RUA DOUTORA MARIA LUISA MARTINES</t>
  </si>
  <si>
    <t xml:space="preserve"> RUA MARINA ESTON</t>
  </si>
  <si>
    <t xml:space="preserve"> RUA LIDIANE</t>
  </si>
  <si>
    <t>fotos ilegíveis local escuro</t>
  </si>
  <si>
    <t xml:space="preserve"> VIELA DEZESSEIS</t>
  </si>
  <si>
    <t xml:space="preserve"> RUA JOAO LOURENCO DE ARAUJO</t>
  </si>
  <si>
    <t xml:space="preserve"> RUA JOSE TELLES DA CONCEICAO</t>
  </si>
  <si>
    <t xml:space="preserve"> RUA AGUA DA ROSA</t>
  </si>
  <si>
    <t xml:space="preserve"> RUA JORGE SARAIVA</t>
  </si>
  <si>
    <t xml:space="preserve"> RUA LUIS SIMOES</t>
  </si>
  <si>
    <t>VL TAIAU</t>
  </si>
  <si>
    <t xml:space="preserve">FOTOS DA OS NÃO BAIXAM </t>
  </si>
  <si>
    <t xml:space="preserve"> AVENIDA MIRANTE</t>
  </si>
  <si>
    <t xml:space="preserve"> RUA IBIRAIARAS</t>
  </si>
  <si>
    <t xml:space="preserve"> RUA PEDRO CAVATONI</t>
  </si>
  <si>
    <t xml:space="preserve"> TRAV PARTICULAR MARIA FELIX</t>
  </si>
  <si>
    <t>C C/1</t>
  </si>
  <si>
    <t xml:space="preserve"> RUA LEONOR BARBOSA RODRIGUES</t>
  </si>
  <si>
    <t xml:space="preserve"> RUA OSWALDO BARBOSA</t>
  </si>
  <si>
    <t>VL HEBE</t>
  </si>
  <si>
    <t xml:space="preserve"> RUA JACARANDIRA</t>
  </si>
  <si>
    <t>V BELA</t>
  </si>
  <si>
    <t xml:space="preserve"> RUA ARISTIDES JOFRE</t>
  </si>
  <si>
    <t xml:space="preserve"> RUA MATEUS NUNES DE SIQUEIRA</t>
  </si>
  <si>
    <t xml:space="preserve"> RUA MIGUEL GONCALVES DOS REIS</t>
  </si>
  <si>
    <t xml:space="preserve"> RUA JOSE NICCOLINI</t>
  </si>
  <si>
    <t xml:space="preserve"> RUA ANDRE MAIA</t>
  </si>
  <si>
    <t xml:space="preserve"> RUA MACEDONIA</t>
  </si>
  <si>
    <t>VL NINA</t>
  </si>
  <si>
    <t xml:space="preserve"> RUA PONTAL DA BARRA</t>
  </si>
  <si>
    <t xml:space="preserve"> RUA ALFREDO GARCIA AQUILINE</t>
  </si>
  <si>
    <t xml:space="preserve">o chamado e para casa 1 </t>
  </si>
  <si>
    <t xml:space="preserve"> RUA ANTONIO PEDRO FIGUEIREDO</t>
  </si>
  <si>
    <t xml:space="preserve"> VIELA SALMAO</t>
  </si>
  <si>
    <t xml:space="preserve"> RUA CIRIONOS</t>
  </si>
  <si>
    <t>FDS C/2</t>
  </si>
  <si>
    <t xml:space="preserve"> TRAVESSA CARMEN JONES</t>
  </si>
  <si>
    <t xml:space="preserve">Observação Sinalização </t>
  </si>
  <si>
    <t>Observação imprimação</t>
  </si>
  <si>
    <t>Observação Termômetro</t>
  </si>
  <si>
    <t>Observação Rastelo</t>
  </si>
  <si>
    <t>.COMPAC. MASSA ASF.</t>
  </si>
  <si>
    <t>Observação Compac. Da Massa ASF.</t>
  </si>
  <si>
    <t>Observação Placa Vibratória</t>
  </si>
  <si>
    <t xml:space="preserve"> RUA LUANDA</t>
  </si>
  <si>
    <t>REPOSIÇÃO DE CAPA ASFALTICA</t>
  </si>
  <si>
    <t>MAQUIPAV - 1,5x1</t>
  </si>
  <si>
    <t>ODAIR GONCALVES PEREIRA JUNIOR</t>
  </si>
  <si>
    <t xml:space="preserve"> RUA NOSSA SENHORA APARECIDA CANTAREIRA</t>
  </si>
  <si>
    <t>MAQUIPAV
2X2</t>
  </si>
  <si>
    <t>REPOSIÇÃO DE CAPA ASFALTICA INV</t>
  </si>
  <si>
    <t>MAQUIPAV
6X1,5</t>
  </si>
  <si>
    <t>MAQUIPAV
1,5x1,5</t>
  </si>
  <si>
    <t>MAQUIPAV
1,2x1,2</t>
  </si>
  <si>
    <t>BL/L</t>
  </si>
  <si>
    <t>IMPERIO
1,5x1</t>
  </si>
  <si>
    <t>IMPERIO - 1,5X1</t>
  </si>
  <si>
    <t>IMPERIO
2X2</t>
  </si>
  <si>
    <t>BL/A</t>
  </si>
  <si>
    <t>IMPERIO
1,5X1</t>
  </si>
  <si>
    <t>MAQUIPAV
1,2x1</t>
  </si>
  <si>
    <t>IMPERIO
2,5x1</t>
  </si>
  <si>
    <t>IMPERIO -  1x1</t>
  </si>
  <si>
    <t>IMPERIO
4x1,5</t>
  </si>
  <si>
    <t>IMPERIO
1X1</t>
  </si>
  <si>
    <t>IMPERIO - 2X1</t>
  </si>
  <si>
    <t xml:space="preserve"> RUA RAFAEL ARNONI</t>
  </si>
  <si>
    <t>MAQUIPAV
3X2</t>
  </si>
  <si>
    <t>IMPERIO
2,5X1,5</t>
  </si>
  <si>
    <t>IMPERIO - 1,5X1,5</t>
  </si>
  <si>
    <t>ARLINDO MIGUEL PEREIRA</t>
  </si>
  <si>
    <t>IMPERIO
3x1,5</t>
  </si>
  <si>
    <t xml:space="preserve"> RUA GUARAIRAS</t>
  </si>
  <si>
    <t>MAQUIPAV
1,2X1,2</t>
  </si>
  <si>
    <t>IMPERIO
4,4X2,2</t>
  </si>
  <si>
    <t>IMPERIO - 1X0,5=05</t>
  </si>
  <si>
    <t>MAQUIPAV
3X1</t>
  </si>
  <si>
    <t xml:space="preserve"> RUA SAO ROQUE DE MINAS</t>
  </si>
  <si>
    <t xml:space="preserve"> TRAVESSA GERVASIO LEITE REBELO</t>
  </si>
  <si>
    <t>MAQUIPAV
3,5x3</t>
  </si>
  <si>
    <t xml:space="preserve"> AVENIDA ARQUITETO ROBERTO AFLALO</t>
  </si>
  <si>
    <t>MAQUIPAV
4X2</t>
  </si>
  <si>
    <t>AUSÊNCIA DE PLACAS</t>
  </si>
  <si>
    <t>MAQUIPAV
1,5X1,5</t>
  </si>
  <si>
    <t xml:space="preserve"> RUA PROFESSOR ROBERTO CAVALHEIRO BRISOLLA</t>
  </si>
  <si>
    <t>MAQUIPAV
4X3</t>
  </si>
  <si>
    <t>MAQUIPAV
1X1</t>
  </si>
  <si>
    <t>IMPERIO
1,4x1,3</t>
  </si>
  <si>
    <t>IMPERIO
1,2x1</t>
  </si>
  <si>
    <t>IMPERIO
1,4x1</t>
  </si>
  <si>
    <t xml:space="preserve"> RUA GENERAL CANDIDO DE ALMEIDA SOUZA</t>
  </si>
  <si>
    <t>IMPERIO
1,7x1,1</t>
  </si>
  <si>
    <t>IMPERIO
1,4X1</t>
  </si>
  <si>
    <t>IMPERIO
6X2,5</t>
  </si>
  <si>
    <t>IMPERIO
3,7x2,8</t>
  </si>
  <si>
    <t xml:space="preserve"> RUA ALONSO BRASILIENSE</t>
  </si>
  <si>
    <t>IMPERIO
6X3</t>
  </si>
  <si>
    <t xml:space="preserve"> RUA CORONEL EUCLIDES MACHADO</t>
  </si>
  <si>
    <t>MAQUIPAV
4X1,2</t>
  </si>
  <si>
    <t>REPOSIÇÃO DE ASFALTO INV</t>
  </si>
  <si>
    <t xml:space="preserve">3 valas de base 2X1,50 </t>
  </si>
  <si>
    <t xml:space="preserve"> RUA AVELINO ZANETTI</t>
  </si>
  <si>
    <t>MAQUIPAV
2X1,15</t>
  </si>
  <si>
    <t xml:space="preserve"> RUA PROFESSOR JOSE LOURENCO</t>
  </si>
  <si>
    <t>MAQUIPAV
1,2X1</t>
  </si>
  <si>
    <t xml:space="preserve"> AVENIDA MIGUEL DE CASTRO</t>
  </si>
  <si>
    <t>EMPRESA CONSORCIO NOVA NORTE X/12272-272 SÃO PAULO</t>
  </si>
  <si>
    <t>IMPERIO
1,9X1,9</t>
  </si>
  <si>
    <t>IMPERIO
2,5X1</t>
  </si>
  <si>
    <t>IMPERIO
2,7X1,8</t>
  </si>
  <si>
    <t>IMPERIO
3,6X1,3</t>
  </si>
  <si>
    <t>13/05/2026 08:00</t>
  </si>
  <si>
    <t>13/05/2026 08:01</t>
  </si>
  <si>
    <t>IMPERIO
4,2X2,4</t>
  </si>
  <si>
    <t>5 valas de base 1,50X1,30</t>
  </si>
  <si>
    <t>13/05/2026 09:25</t>
  </si>
  <si>
    <t>13/05/2026 09:35</t>
  </si>
  <si>
    <t xml:space="preserve">6 valas de base 3X1,30 </t>
  </si>
  <si>
    <t>IMPERIO
1,5X1,5</t>
  </si>
  <si>
    <t>14/05/2026 08:00</t>
  </si>
  <si>
    <t>14/05/2026 08:01</t>
  </si>
  <si>
    <t>IMPERIO
5X1,6</t>
  </si>
  <si>
    <t>IMPERIO
1,3X1,3</t>
  </si>
  <si>
    <t>15/05/2026 08:01</t>
  </si>
  <si>
    <t>IMPERIO
1,2X3</t>
  </si>
  <si>
    <t>15/05/2026 14:30</t>
  </si>
  <si>
    <t xml:space="preserve"> AVENIDA DOUTOR FELIPE PINEL</t>
  </si>
  <si>
    <t>REPOSIÇÃO DE ASFALTO</t>
  </si>
  <si>
    <t xml:space="preserve">fotos enviada via whtas </t>
  </si>
  <si>
    <t>REGIVALDO SILVA DE MORAES</t>
  </si>
  <si>
    <t>CANTEIRO CNN
1,75X1,65</t>
  </si>
  <si>
    <t>18/05/2026 06:00</t>
  </si>
  <si>
    <t>18/05/2026 06:01</t>
  </si>
  <si>
    <t>CANTEIRO CNN
1,15X1,8</t>
  </si>
  <si>
    <t xml:space="preserve"> TRAVESSA JOAO LUSO</t>
  </si>
  <si>
    <t>CANTEIRO CNN
1X1</t>
  </si>
  <si>
    <t>18/05/2026 07:00</t>
  </si>
  <si>
    <t>18/05/2026 07:01</t>
  </si>
  <si>
    <t>MAQUIPAV
7X1</t>
  </si>
  <si>
    <t>MAQUIPAV
16X1</t>
  </si>
  <si>
    <t>18/05/2026 12:00</t>
  </si>
  <si>
    <t>18/05/2026 12:04</t>
  </si>
  <si>
    <t>CANTEIRO CNN
2,3X2,5</t>
  </si>
  <si>
    <t>CANTEIRO CNN
1,8X2</t>
  </si>
  <si>
    <t>18/05/2026 13:00</t>
  </si>
  <si>
    <t>18/05/2026 13:01</t>
  </si>
  <si>
    <t>CANTEIRO CNN
1,4X1,5</t>
  </si>
  <si>
    <t>CANTEIRO CNN
1X1,1,15</t>
  </si>
  <si>
    <t>CANTEIRO CNN
1,2X1,36</t>
  </si>
  <si>
    <t>CANTEIRO CNN
1,9X2,7</t>
  </si>
  <si>
    <t>19/05/2026 07:00</t>
  </si>
  <si>
    <t>19/05/2026 07:01</t>
  </si>
  <si>
    <t>19/05/2026 08:00</t>
  </si>
  <si>
    <t>19/05/2026 08:01</t>
  </si>
  <si>
    <t>IMPERIO
3X2,5</t>
  </si>
  <si>
    <t>IMPERIO
2,1X1,5</t>
  </si>
  <si>
    <t>imperio
0,7x1,2</t>
  </si>
  <si>
    <t>imperio
3,5x1,2</t>
  </si>
  <si>
    <t>CANTEIRO CNN
1,7X2,5</t>
  </si>
  <si>
    <t>CANTEIRO CNN
4X2,5</t>
  </si>
  <si>
    <t>ALTOSC/1</t>
  </si>
  <si>
    <t>CANTEIRO CNN
0,7X1,86</t>
  </si>
  <si>
    <t>20/05/2026 13:00</t>
  </si>
  <si>
    <t>20/05/2026 13:01</t>
  </si>
  <si>
    <t>BRUNO ILO DOS SANTOS</t>
  </si>
  <si>
    <t xml:space="preserve">AUSÊNCIA DE CARIMBO / ÁGUA </t>
  </si>
  <si>
    <t>CANTEIRO CNN
1,2x1,3</t>
  </si>
  <si>
    <t>20/05/2026 07:00</t>
  </si>
  <si>
    <t>20/05/2026 07:01</t>
  </si>
  <si>
    <t>IMPERIO
3X3x2,3</t>
  </si>
  <si>
    <t>20/05/2026 11:15</t>
  </si>
  <si>
    <t>OS DE REFERÊNCIA MÊS 04</t>
  </si>
  <si>
    <t>CANTEIRO CNN
1,05X1,1</t>
  </si>
  <si>
    <t>20/05/2026 08:00</t>
  </si>
  <si>
    <t>20/05/2026 08:01</t>
  </si>
  <si>
    <t>CANTEIRO CNN
1,35X1,35</t>
  </si>
  <si>
    <t>CANTEIRO CNN
1,6X1,8</t>
  </si>
  <si>
    <t>IMPERIO
0,8X1,1</t>
  </si>
  <si>
    <t>IMPERIO
0,7X1</t>
  </si>
  <si>
    <t>IMPERIO
0,7X1,2</t>
  </si>
  <si>
    <t>CANTEIRO CNN
1,1X1,25</t>
  </si>
  <si>
    <t>CANTEIRO CNN
1,2x1,2</t>
  </si>
  <si>
    <t xml:space="preserve"> RUA MATEUS GARCIA</t>
  </si>
  <si>
    <t>IMPERIO
1,3X0,8</t>
  </si>
  <si>
    <t>CANTEIRO CNN
1,1X2,15</t>
  </si>
  <si>
    <t>CANTEIRO CNN
1,35X1,43</t>
  </si>
  <si>
    <t>IMPERIO
1,2X0,9</t>
  </si>
  <si>
    <t>CANTEIRO CNN
1X2</t>
  </si>
  <si>
    <t>IMPERIO
2,1X3</t>
  </si>
  <si>
    <t>CANTEIRO CNN
2,95X3</t>
  </si>
  <si>
    <t>CANTEIRO CNN
0,7X0,95</t>
  </si>
  <si>
    <t>CANTEIRO CNN
0,6x1,07</t>
  </si>
  <si>
    <t>CANTEIRO CNN
0,4X0,8</t>
  </si>
  <si>
    <t>imperio
0,9x0,9</t>
  </si>
  <si>
    <t>IMPERIO
1X0,8</t>
  </si>
  <si>
    <t>CANTEIRO CNN
1,5X1,5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</si>
</sst>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sz val="11"/>
      <color theme="1"/>
      <name val="Calibri"/>
      <family val="2"/>
      <scheme val="minor"/>
    </font>
    <font>
      <sz val="11"/>
      <color theme="1"/>
      <name val="Tahoma"/>
      <family val="2"/>
    </font>
    <font>
      <b/>
      <sz val="11"/>
      <color theme="0"/>
      <name val="Tahoma"/>
      <family val="2"/>
    </font>
    <font>
      <sz val="11"/>
      <color theme="4" tint="-0.499984740745262"/>
      <name val="Tahoma"/>
      <family val="2"/>
    </font>
    <font>
      <b/>
      <sz val="9"/>
      <color theme="4" tint="-0.499984740745262"/>
      <name val="Tahoma"/>
      <family val="2"/>
    </font>
    <font>
      <b/>
      <sz val="12"/>
      <color theme="0"/>
      <name val="Tahoma"/>
      <family val="2"/>
    </font>
    <font>
      <sz val="12"/>
      <color theme="1"/>
      <name val="Tahoma"/>
      <family val="2"/>
    </font>
    <font>
      <sz val="11"/>
      <color indexed="8"/>
      <name val="Calibri"/>
      <family val="2"/>
      <scheme val="minor"/>
    </font>
    <font>
      <sz val="28"/>
      <color theme="4" tint="-0.499984740745262"/>
      <name val="Tahoma"/>
      <family val="2"/>
    </font>
    <font>
      <b/>
      <sz val="14"/>
      <color theme="4" tint="-0.499984740745262"/>
      <name val="Tahoma"/>
      <family val="2"/>
    </font>
    <font>
      <sz val="8"/>
      <name val="Calibri"/>
      <family val="2"/>
      <scheme val="minor"/>
    </font>
    <font>
      <sz val="36"/>
      <color theme="4" tint="-0.499984740745262"/>
      <name val="Tahoma"/>
      <family val="2"/>
    </font>
    <font>
      <b/>
      <sz val="12"/>
      <color rgb="FFFFFFFF"/>
      <name val="Tahoma"/>
      <family val="2"/>
    </font>
    <font>
      <sz val="12"/>
      <color rgb="FF000000"/>
      <name val="Tahoma"/>
      <family val="2"/>
    </font>
    <font>
      <b/>
      <sz val="12"/>
      <color theme="1"/>
      <name val="Tahoma"/>
      <family val="2"/>
    </font>
    <font>
      <sz val="12"/>
      <name val="Tahoma"/>
      <family val="2"/>
    </font>
    <font>
      <sz val="12"/>
      <color rgb="FFFF0000"/>
      <name val="Tahoma"/>
      <family val="2"/>
    </font>
    <font>
      <b/>
      <sz val="12"/>
      <color theme="4" tint="-0.499984740745262"/>
      <name val="Tahoma"/>
      <family val="2"/>
    </font>
    <font>
      <sz val="12"/>
      <color theme="4" tint="-0.499984740745262"/>
      <name val="Tahoma"/>
      <family val="2"/>
    </font>
    <font>
      <sz val="12"/>
      <color theme="1"/>
      <name val="Tahoma"/>
      <family val="2"/>
    </font>
    <font>
      <sz val="11"/>
      <color theme="1"/>
      <name val="Tahoma"/>
      <family val="2"/>
    </font>
    <font>
      <sz val="16"/>
      <color theme="1"/>
      <name val="Tahoma"/>
      <family val="2"/>
    </font>
    <font>
      <b/>
      <sz val="14"/>
      <color theme="0"/>
      <name val="Tahoma"/>
      <family val="2"/>
    </font>
    <font>
      <sz val="14"/>
      <color theme="1"/>
      <name val="Tahoma"/>
      <family val="2"/>
    </font>
    <font>
      <b/>
      <sz val="14"/>
      <color theme="1"/>
      <name val="Tahoma"/>
      <family val="2"/>
    </font>
    <font>
      <b/>
      <sz val="16"/>
      <color theme="4" tint="-0.499984740745262"/>
      <name val="Tahoma"/>
      <family val="2"/>
    </font>
    <font>
      <sz val="16"/>
      <color theme="1"/>
      <name val="Tahoma"/>
      <family val="2"/>
    </font>
    <font>
      <b/>
      <sz val="16"/>
      <color theme="0"/>
      <name val="Tahoma"/>
      <family val="2"/>
    </font>
    <font>
      <sz val="16"/>
      <color rgb="FFFF0000"/>
      <name val="Tahoma"/>
      <family val="2"/>
    </font>
    <font>
      <b/>
      <sz val="18"/>
      <color theme="0"/>
      <name val="Tahoma"/>
      <family val="2"/>
    </font>
    <font>
      <sz val="18"/>
      <color theme="1"/>
      <name val="Tahoma"/>
      <family val="2"/>
    </font>
    <font>
      <b/>
      <sz val="24"/>
      <color theme="0"/>
      <name val="Tahoma"/>
      <family val="2"/>
    </font>
    <font>
      <b/>
      <sz val="18"/>
      <color theme="1"/>
      <name val="Tahoma"/>
      <family val="2"/>
    </font>
    <font>
      <sz val="12"/>
      <color rgb="FF000000"/>
      <name val="Tahoma"/>
    </font>
    <font>
      <sz val="12"/>
      <color theme="1"/>
      <name val="Tahoma"/>
    </font>
    <font>
      <b/>
      <sz val="12"/>
      <color rgb="FF000000"/>
      <name val="Tahoma"/>
      <family val="2"/>
    </font>
    <font>
      <b/>
      <sz val="11"/>
      <color theme="1"/>
      <name val="Tahoma"/>
      <family val="2"/>
    </font>
    <font>
      <sz val="12"/>
      <color rgb="FF000000"/>
      <name val="Arial"/>
    </font>
    <font>
      <sz val="11"/>
      <color rgb="FF000000"/>
      <name val="Tahoma"/>
    </font>
  </fonts>
  <fills count="23">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1" tint="4.9989318521683403E-2"/>
        <bgColor indexed="64"/>
      </patternFill>
    </fill>
    <fill>
      <patternFill patternType="solid">
        <fgColor theme="1"/>
        <bgColor indexed="64"/>
      </patternFill>
    </fill>
    <fill>
      <patternFill patternType="solid">
        <fgColor rgb="FFFFFFFF"/>
        <bgColor rgb="FF000000"/>
      </patternFill>
    </fill>
    <fill>
      <patternFill patternType="solid">
        <fgColor theme="8" tint="-0.249977111117893"/>
        <bgColor indexed="64"/>
      </patternFill>
    </fill>
    <fill>
      <patternFill patternType="solid">
        <fgColor rgb="FF0070C0"/>
        <bgColor indexed="64"/>
      </patternFill>
    </fill>
    <fill>
      <patternFill patternType="solid">
        <fgColor theme="8" tint="0.39997558519241921"/>
        <bgColor indexed="64"/>
      </patternFill>
    </fill>
    <fill>
      <patternFill patternType="solid">
        <fgColor theme="8" tint="0.39997558519241921"/>
        <bgColor theme="4" tint="0.79998168889431442"/>
      </patternFill>
    </fill>
    <fill>
      <patternFill patternType="solid">
        <fgColor theme="8" tint="-0.499984740745262"/>
        <bgColor indexed="64"/>
      </patternFill>
    </fill>
    <fill>
      <patternFill patternType="solid">
        <fgColor theme="4" tint="-0.249977111117893"/>
        <bgColor indexed="64"/>
      </patternFill>
    </fill>
    <fill>
      <patternFill patternType="solid">
        <fgColor theme="1"/>
        <bgColor rgb="FF000000"/>
      </patternFill>
    </fill>
    <fill>
      <patternFill patternType="solid">
        <fgColor rgb="FFFF0000"/>
        <bgColor rgb="FF000000"/>
      </patternFill>
    </fill>
    <fill>
      <patternFill patternType="solid">
        <fgColor rgb="FFFF0000"/>
        <bgColor indexed="64"/>
      </patternFill>
    </fill>
    <fill>
      <patternFill patternType="solid">
        <fgColor theme="8" tint="0.39997558519241921"/>
        <bgColor rgb="FF000000"/>
      </patternFill>
    </fill>
    <fill>
      <patternFill patternType="solid">
        <fgColor theme="9" tint="0.3999755851924192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7" tint="0.79998168889431442"/>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3">
    <xf numFmtId="0" fontId="0" fillId="0" borderId="0"/>
    <xf numFmtId="9" fontId="1" fillId="0" borderId="0" applyFont="0" applyFill="0" applyBorder="0" applyAlignment="0" applyProtection="0"/>
    <xf numFmtId="0" fontId="8" fillId="0" borderId="0"/>
  </cellStyleXfs>
  <cellXfs count="447">
    <xf numFmtId="0" fontId="0" fillId="0" borderId="0" xfId="0"/>
    <xf numFmtId="0" fontId="2" fillId="2" borderId="0" xfId="0" applyFont="1" applyFill="1"/>
    <xf numFmtId="0" fontId="2" fillId="2" borderId="0" xfId="0" applyFont="1" applyFill="1" applyAlignment="1">
      <alignment vertical="center"/>
    </xf>
    <xf numFmtId="0" fontId="5" fillId="2" borderId="0" xfId="0" applyFont="1" applyFill="1" applyAlignment="1">
      <alignment vertical="top"/>
    </xf>
    <xf numFmtId="0" fontId="5" fillId="2" borderId="0" xfId="0" applyFont="1" applyFill="1"/>
    <xf numFmtId="0" fontId="7" fillId="2" borderId="0" xfId="0" applyFont="1" applyFill="1" applyAlignment="1">
      <alignment vertical="center"/>
    </xf>
    <xf numFmtId="0" fontId="4" fillId="2" borderId="0" xfId="0" applyFont="1" applyFill="1"/>
    <xf numFmtId="0" fontId="9" fillId="2" borderId="0" xfId="0" applyFont="1" applyFill="1"/>
    <xf numFmtId="0" fontId="10" fillId="2" borderId="0" xfId="0" applyFont="1" applyFill="1"/>
    <xf numFmtId="0" fontId="7" fillId="2" borderId="4" xfId="0" applyFont="1" applyFill="1" applyBorder="1" applyAlignment="1">
      <alignment horizontal="center" vertical="center"/>
    </xf>
    <xf numFmtId="0" fontId="7" fillId="2" borderId="0" xfId="0" applyFont="1" applyFill="1" applyAlignment="1">
      <alignment horizontal="left" vertical="center"/>
    </xf>
    <xf numFmtId="0" fontId="7" fillId="2" borderId="0" xfId="0" applyFont="1" applyFill="1"/>
    <xf numFmtId="10" fontId="7" fillId="2" borderId="2" xfId="1" applyNumberFormat="1" applyFont="1" applyFill="1" applyBorder="1" applyAlignment="1">
      <alignment horizontal="center" vertical="center"/>
    </xf>
    <xf numFmtId="0" fontId="7" fillId="2" borderId="3" xfId="0" applyFont="1" applyFill="1" applyBorder="1" applyAlignment="1">
      <alignment horizontal="center" vertical="center"/>
    </xf>
    <xf numFmtId="0" fontId="7" fillId="2" borderId="0" xfId="0" applyFont="1" applyFill="1" applyAlignment="1">
      <alignment horizontal="center"/>
    </xf>
    <xf numFmtId="10" fontId="7" fillId="2" borderId="0" xfId="1" applyNumberFormat="1" applyFont="1" applyFill="1" applyBorder="1" applyAlignment="1">
      <alignment horizontal="left"/>
    </xf>
    <xf numFmtId="10" fontId="16" fillId="2" borderId="1" xfId="1" applyNumberFormat="1" applyFont="1" applyFill="1" applyBorder="1" applyAlignment="1">
      <alignment horizontal="center" vertical="center"/>
    </xf>
    <xf numFmtId="10" fontId="17" fillId="2" borderId="0" xfId="1" applyNumberFormat="1" applyFont="1" applyFill="1" applyBorder="1" applyAlignment="1">
      <alignment horizontal="center" vertical="center"/>
    </xf>
    <xf numFmtId="0" fontId="22" fillId="2" borderId="0" xfId="0" applyFont="1" applyFill="1"/>
    <xf numFmtId="10" fontId="22" fillId="2" borderId="0" xfId="1" applyNumberFormat="1" applyFont="1" applyFill="1" applyBorder="1" applyAlignment="1">
      <alignment horizontal="center" vertical="center"/>
    </xf>
    <xf numFmtId="0" fontId="24" fillId="2" borderId="0" xfId="0" applyFont="1" applyFill="1"/>
    <xf numFmtId="0" fontId="24" fillId="2" borderId="0" xfId="0" applyFont="1" applyFill="1" applyAlignment="1">
      <alignment horizontal="left" indent="1"/>
    </xf>
    <xf numFmtId="0" fontId="24" fillId="2" borderId="1" xfId="0" applyFont="1" applyFill="1" applyBorder="1" applyAlignment="1">
      <alignment horizontal="center" vertical="center"/>
    </xf>
    <xf numFmtId="0" fontId="3" fillId="2" borderId="0" xfId="0" applyFont="1" applyFill="1" applyAlignment="1">
      <alignment vertical="center"/>
    </xf>
    <xf numFmtId="0" fontId="26" fillId="2" borderId="0" xfId="0" applyFont="1" applyFill="1" applyAlignment="1">
      <alignment horizontal="center" vertical="center"/>
    </xf>
    <xf numFmtId="10" fontId="26" fillId="2" borderId="0" xfId="1" applyNumberFormat="1" applyFont="1" applyFill="1" applyAlignment="1">
      <alignment horizontal="center" vertical="center"/>
    </xf>
    <xf numFmtId="0" fontId="26" fillId="2" borderId="0" xfId="0" applyFont="1" applyFill="1"/>
    <xf numFmtId="0" fontId="26" fillId="2" borderId="0" xfId="0" applyFont="1" applyFill="1" applyAlignment="1">
      <alignment vertical="top"/>
    </xf>
    <xf numFmtId="10" fontId="26" fillId="2" borderId="0" xfId="1" applyNumberFormat="1" applyFont="1" applyFill="1" applyBorder="1" applyAlignment="1">
      <alignment horizontal="center" vertical="center"/>
    </xf>
    <xf numFmtId="0" fontId="27" fillId="2" borderId="0" xfId="0" applyFont="1" applyFill="1"/>
    <xf numFmtId="0" fontId="20" fillId="2" borderId="0" xfId="0" applyFont="1" applyFill="1" applyAlignment="1">
      <alignment vertical="center"/>
    </xf>
    <xf numFmtId="0" fontId="21" fillId="2" borderId="0" xfId="0" applyFont="1" applyFill="1" applyAlignment="1">
      <alignment vertical="center"/>
    </xf>
    <xf numFmtId="0" fontId="24" fillId="2" borderId="0" xfId="0" applyFont="1" applyFill="1" applyAlignment="1">
      <alignment horizontal="right"/>
    </xf>
    <xf numFmtId="0" fontId="13" fillId="4" borderId="1" xfId="0" applyFont="1" applyFill="1" applyBorder="1" applyAlignment="1">
      <alignment horizontal="center" vertical="center"/>
    </xf>
    <xf numFmtId="0" fontId="6" fillId="5" borderId="1" xfId="0" applyFont="1" applyFill="1" applyBorder="1" applyAlignment="1" applyProtection="1">
      <alignment horizontal="center" vertical="center"/>
      <protection locked="0"/>
    </xf>
    <xf numFmtId="0" fontId="22" fillId="2" borderId="0" xfId="0" applyFont="1" applyFill="1" applyAlignment="1">
      <alignment vertical="center"/>
    </xf>
    <xf numFmtId="0" fontId="28" fillId="2" borderId="0" xfId="0" applyFont="1" applyFill="1" applyAlignment="1">
      <alignment horizontal="center" vertical="center"/>
    </xf>
    <xf numFmtId="0" fontId="28" fillId="2" borderId="0" xfId="0" applyFont="1" applyFill="1" applyAlignment="1">
      <alignment vertical="center"/>
    </xf>
    <xf numFmtId="0" fontId="29" fillId="2" borderId="0" xfId="0" applyFont="1" applyFill="1"/>
    <xf numFmtId="0" fontId="24" fillId="2" borderId="0" xfId="0" applyFont="1" applyFill="1" applyAlignment="1">
      <alignment vertical="center"/>
    </xf>
    <xf numFmtId="0" fontId="25" fillId="2" borderId="0" xfId="0" applyFont="1" applyFill="1"/>
    <xf numFmtId="0" fontId="15" fillId="2" borderId="0" xfId="0" applyFont="1" applyFill="1" applyAlignment="1">
      <alignment vertical="center"/>
    </xf>
    <xf numFmtId="0" fontId="18" fillId="2" borderId="0" xfId="0" applyFont="1" applyFill="1" applyAlignment="1">
      <alignment vertical="center"/>
    </xf>
    <xf numFmtId="0" fontId="19" fillId="2" borderId="0" xfId="0" applyFont="1" applyFill="1" applyAlignment="1">
      <alignment vertical="center"/>
    </xf>
    <xf numFmtId="0" fontId="30" fillId="2" borderId="0" xfId="0" applyFont="1" applyFill="1" applyAlignment="1">
      <alignment horizontal="center" vertical="center"/>
    </xf>
    <xf numFmtId="0" fontId="31" fillId="2" borderId="0" xfId="0" applyFont="1" applyFill="1" applyAlignment="1">
      <alignment vertical="center"/>
    </xf>
    <xf numFmtId="10" fontId="26" fillId="2" borderId="19" xfId="1" applyNumberFormat="1" applyFont="1" applyFill="1" applyBorder="1" applyAlignment="1">
      <alignment horizontal="center" vertical="center"/>
    </xf>
    <xf numFmtId="0" fontId="23" fillId="2" borderId="0" xfId="0" applyFont="1" applyFill="1" applyAlignment="1">
      <alignment horizontal="center"/>
    </xf>
    <xf numFmtId="0" fontId="10" fillId="2" borderId="0" xfId="0" applyFont="1" applyFill="1" applyAlignment="1">
      <alignment horizontal="center" vertical="center"/>
    </xf>
    <xf numFmtId="10" fontId="10" fillId="2" borderId="0" xfId="1" applyNumberFormat="1" applyFont="1" applyFill="1" applyBorder="1" applyAlignment="1">
      <alignment horizontal="center" vertical="center"/>
    </xf>
    <xf numFmtId="0" fontId="2" fillId="2" borderId="10" xfId="0" applyFont="1" applyFill="1" applyBorder="1" applyAlignment="1">
      <alignment horizontal="center"/>
    </xf>
    <xf numFmtId="0" fontId="22" fillId="2" borderId="0" xfId="0" applyFont="1" applyFill="1" applyAlignment="1">
      <alignment horizontal="center" vertical="center"/>
    </xf>
    <xf numFmtId="10" fontId="7" fillId="2" borderId="1" xfId="1" applyNumberFormat="1" applyFont="1" applyFill="1" applyBorder="1" applyAlignment="1">
      <alignment horizontal="center"/>
    </xf>
    <xf numFmtId="0" fontId="7" fillId="2" borderId="0" xfId="0" applyFont="1" applyFill="1" applyAlignment="1">
      <alignment horizontal="center" vertical="center"/>
    </xf>
    <xf numFmtId="0" fontId="7" fillId="0" borderId="10" xfId="0" applyFont="1" applyBorder="1" applyAlignment="1">
      <alignment horizontal="center" vertical="center"/>
    </xf>
    <xf numFmtId="0" fontId="7" fillId="2" borderId="0" xfId="0" applyFont="1" applyFill="1" applyAlignment="1">
      <alignment horizontal="left"/>
    </xf>
    <xf numFmtId="0" fontId="7" fillId="2" borderId="10" xfId="0" applyFont="1" applyFill="1" applyBorder="1" applyAlignment="1">
      <alignment horizontal="center" vertical="center"/>
    </xf>
    <xf numFmtId="0" fontId="7" fillId="2" borderId="0" xfId="0" applyFont="1" applyFill="1" applyAlignment="1">
      <alignment horizontal="center" vertical="center" wrapText="1"/>
    </xf>
    <xf numFmtId="0" fontId="7" fillId="0" borderId="24" xfId="0" applyFont="1" applyBorder="1" applyAlignment="1">
      <alignment horizontal="center" vertical="center" wrapText="1"/>
    </xf>
    <xf numFmtId="0" fontId="7" fillId="2" borderId="24" xfId="0" applyFont="1" applyFill="1" applyBorder="1" applyAlignment="1">
      <alignment horizontal="center" vertical="center"/>
    </xf>
    <xf numFmtId="0" fontId="14" fillId="6" borderId="1" xfId="0" applyFont="1" applyFill="1" applyBorder="1" applyAlignment="1">
      <alignment horizontal="left" vertical="center"/>
    </xf>
    <xf numFmtId="0" fontId="7" fillId="0" borderId="24" xfId="0" applyFont="1" applyBorder="1" applyAlignment="1" applyProtection="1">
      <alignment horizontal="center" vertical="center"/>
      <protection locked="0"/>
    </xf>
    <xf numFmtId="0" fontId="7" fillId="0" borderId="10" xfId="0" applyFont="1" applyBorder="1" applyAlignment="1" applyProtection="1">
      <alignment horizontal="center" vertical="center"/>
      <protection locked="0"/>
    </xf>
    <xf numFmtId="0" fontId="14" fillId="6" borderId="1" xfId="0" applyFont="1" applyFill="1" applyBorder="1" applyAlignment="1">
      <alignment wrapText="1"/>
    </xf>
    <xf numFmtId="0" fontId="7" fillId="2" borderId="1" xfId="0" applyFont="1" applyFill="1" applyBorder="1" applyAlignment="1">
      <alignment horizontal="center"/>
    </xf>
    <xf numFmtId="0" fontId="24" fillId="0" borderId="10" xfId="0" applyFont="1" applyBorder="1" applyAlignment="1">
      <alignment horizontal="center"/>
    </xf>
    <xf numFmtId="10" fontId="24" fillId="0" borderId="10" xfId="0" applyNumberFormat="1" applyFont="1" applyBorder="1" applyAlignment="1">
      <alignment horizontal="center"/>
    </xf>
    <xf numFmtId="10" fontId="24" fillId="2" borderId="10" xfId="0" applyNumberFormat="1" applyFont="1" applyFill="1" applyBorder="1" applyAlignment="1">
      <alignment horizontal="center"/>
    </xf>
    <xf numFmtId="0" fontId="24" fillId="0" borderId="9" xfId="0" applyFont="1" applyBorder="1" applyAlignment="1">
      <alignment horizontal="center"/>
    </xf>
    <xf numFmtId="0" fontId="24" fillId="2" borderId="1" xfId="0" applyFont="1" applyFill="1" applyBorder="1" applyAlignment="1">
      <alignment horizontal="center"/>
    </xf>
    <xf numFmtId="10" fontId="24" fillId="2" borderId="1" xfId="1" applyNumberFormat="1" applyFont="1" applyFill="1" applyBorder="1" applyAlignment="1">
      <alignment horizontal="center"/>
    </xf>
    <xf numFmtId="10" fontId="24" fillId="0" borderId="1" xfId="0" applyNumberFormat="1" applyFont="1" applyBorder="1" applyAlignment="1">
      <alignment horizontal="center"/>
    </xf>
    <xf numFmtId="0" fontId="24" fillId="0" borderId="1" xfId="0" applyFont="1" applyBorder="1" applyAlignment="1">
      <alignment horizontal="center" vertical="center"/>
    </xf>
    <xf numFmtId="10" fontId="24" fillId="2" borderId="1" xfId="1" applyNumberFormat="1" applyFont="1" applyFill="1" applyBorder="1" applyAlignment="1">
      <alignment horizontal="center" vertical="center"/>
    </xf>
    <xf numFmtId="10" fontId="24" fillId="2" borderId="1" xfId="0" applyNumberFormat="1" applyFont="1" applyFill="1" applyBorder="1" applyAlignment="1">
      <alignment horizontal="center"/>
    </xf>
    <xf numFmtId="0" fontId="7" fillId="2" borderId="5" xfId="0" applyFont="1" applyFill="1" applyBorder="1" applyAlignment="1">
      <alignment horizontal="center"/>
    </xf>
    <xf numFmtId="0" fontId="23" fillId="2" borderId="0" xfId="0" applyFont="1" applyFill="1" applyAlignment="1">
      <alignment horizontal="center" vertical="center"/>
    </xf>
    <xf numFmtId="0" fontId="24" fillId="2" borderId="10" xfId="0" applyFont="1" applyFill="1" applyBorder="1" applyAlignment="1">
      <alignment horizontal="center"/>
    </xf>
    <xf numFmtId="10" fontId="24" fillId="2" borderId="10" xfId="1" applyNumberFormat="1" applyFont="1" applyFill="1" applyBorder="1" applyAlignment="1">
      <alignment horizontal="center"/>
    </xf>
    <xf numFmtId="0" fontId="24" fillId="2" borderId="10" xfId="0" applyFont="1" applyFill="1" applyBorder="1" applyAlignment="1">
      <alignment horizontal="center" vertical="center"/>
    </xf>
    <xf numFmtId="0" fontId="24" fillId="0" borderId="10" xfId="0" applyFont="1" applyBorder="1" applyAlignment="1">
      <alignment horizontal="center" vertical="center"/>
    </xf>
    <xf numFmtId="10" fontId="24" fillId="2" borderId="10" xfId="1" applyNumberFormat="1" applyFont="1" applyFill="1" applyBorder="1" applyAlignment="1">
      <alignment horizontal="center" vertical="center"/>
    </xf>
    <xf numFmtId="0" fontId="24" fillId="0" borderId="12" xfId="0" applyFont="1" applyBorder="1" applyAlignment="1">
      <alignment horizontal="center"/>
    </xf>
    <xf numFmtId="0" fontId="24" fillId="0" borderId="1" xfId="0" applyFont="1" applyBorder="1" applyAlignment="1">
      <alignment horizontal="center"/>
    </xf>
    <xf numFmtId="10" fontId="16" fillId="2" borderId="1" xfId="1" applyNumberFormat="1" applyFont="1" applyFill="1" applyBorder="1" applyAlignment="1">
      <alignment horizontal="center" vertical="center" wrapText="1"/>
    </xf>
    <xf numFmtId="10" fontId="7" fillId="2" borderId="1" xfId="1" applyNumberFormat="1" applyFont="1" applyFill="1" applyBorder="1" applyAlignment="1">
      <alignment horizontal="center" wrapText="1"/>
    </xf>
    <xf numFmtId="0" fontId="18" fillId="2" borderId="0" xfId="0" applyFont="1" applyFill="1" applyAlignment="1">
      <alignment horizontal="center" vertical="center"/>
    </xf>
    <xf numFmtId="0" fontId="26" fillId="2" borderId="18" xfId="0" applyFont="1" applyFill="1" applyBorder="1" applyAlignment="1">
      <alignment horizontal="center" vertical="center"/>
    </xf>
    <xf numFmtId="0" fontId="26" fillId="2" borderId="16" xfId="0" applyFont="1" applyFill="1" applyBorder="1" applyAlignment="1">
      <alignment horizontal="center" vertical="center"/>
    </xf>
    <xf numFmtId="0" fontId="26" fillId="2" borderId="17" xfId="0" applyFont="1" applyFill="1" applyBorder="1" applyAlignment="1">
      <alignment horizontal="center" vertical="center"/>
    </xf>
    <xf numFmtId="0" fontId="26" fillId="2" borderId="21" xfId="0" applyFont="1" applyFill="1" applyBorder="1" applyAlignment="1">
      <alignment horizontal="center" vertical="center"/>
    </xf>
    <xf numFmtId="0" fontId="26" fillId="2" borderId="20" xfId="0" applyFont="1" applyFill="1" applyBorder="1" applyAlignment="1">
      <alignment horizontal="center" vertical="center"/>
    </xf>
    <xf numFmtId="0" fontId="7" fillId="2" borderId="1" xfId="0" applyFont="1" applyFill="1" applyBorder="1" applyAlignment="1">
      <alignment horizontal="center" vertical="center"/>
    </xf>
    <xf numFmtId="0" fontId="32" fillId="2" borderId="0" xfId="0" applyFont="1" applyFill="1" applyAlignment="1">
      <alignment vertical="center"/>
    </xf>
    <xf numFmtId="0" fontId="14" fillId="0" borderId="24" xfId="0" applyFont="1" applyBorder="1" applyAlignment="1">
      <alignment horizontal="center" vertical="center" wrapText="1"/>
    </xf>
    <xf numFmtId="0" fontId="7" fillId="0" borderId="1" xfId="0" applyFont="1" applyBorder="1" applyAlignment="1">
      <alignment horizontal="center" vertical="center" wrapText="1"/>
    </xf>
    <xf numFmtId="0" fontId="14" fillId="0" borderId="1" xfId="0" applyFont="1" applyBorder="1" applyAlignment="1">
      <alignment horizontal="center" vertical="center" wrapText="1"/>
    </xf>
    <xf numFmtId="1" fontId="31" fillId="2" borderId="10" xfId="1" applyNumberFormat="1" applyFont="1" applyFill="1" applyBorder="1" applyAlignment="1">
      <alignment horizontal="center" vertical="center"/>
    </xf>
    <xf numFmtId="0" fontId="33" fillId="2" borderId="0" xfId="0" applyFont="1" applyFill="1"/>
    <xf numFmtId="0" fontId="31" fillId="2" borderId="0" xfId="0" applyFont="1" applyFill="1"/>
    <xf numFmtId="0" fontId="14" fillId="6" borderId="1" xfId="0" applyFont="1" applyFill="1" applyBorder="1" applyAlignment="1">
      <alignment vertical="center"/>
    </xf>
    <xf numFmtId="1" fontId="31" fillId="2" borderId="1" xfId="1" applyNumberFormat="1" applyFont="1" applyFill="1" applyBorder="1" applyAlignment="1">
      <alignment horizontal="center" vertical="center"/>
    </xf>
    <xf numFmtId="0" fontId="31" fillId="2" borderId="1" xfId="0" applyFont="1" applyFill="1" applyBorder="1" applyAlignment="1">
      <alignment horizontal="center"/>
    </xf>
    <xf numFmtId="0" fontId="6" fillId="8" borderId="23" xfId="0" applyFont="1" applyFill="1" applyBorder="1" applyAlignment="1">
      <alignment vertical="center"/>
    </xf>
    <xf numFmtId="0" fontId="6" fillId="8" borderId="12" xfId="0" applyFont="1" applyFill="1" applyBorder="1" applyAlignment="1">
      <alignment vertical="center"/>
    </xf>
    <xf numFmtId="0" fontId="6" fillId="8" borderId="11" xfId="0" applyFont="1" applyFill="1" applyBorder="1" applyAlignment="1">
      <alignment vertical="center"/>
    </xf>
    <xf numFmtId="0" fontId="6" fillId="8" borderId="1" xfId="0" applyFont="1" applyFill="1" applyBorder="1" applyAlignment="1">
      <alignment horizontal="left" vertical="center"/>
    </xf>
    <xf numFmtId="0" fontId="6" fillId="8" borderId="1" xfId="0" applyFont="1" applyFill="1" applyBorder="1" applyAlignment="1">
      <alignment horizontal="center" vertical="center" wrapText="1"/>
    </xf>
    <xf numFmtId="0" fontId="23" fillId="8" borderId="9" xfId="0" applyFont="1" applyFill="1" applyBorder="1" applyAlignment="1">
      <alignment vertical="center"/>
    </xf>
    <xf numFmtId="0" fontId="23" fillId="8" borderId="9" xfId="0" applyFont="1" applyFill="1" applyBorder="1" applyAlignment="1">
      <alignment horizontal="center" vertical="center"/>
    </xf>
    <xf numFmtId="0" fontId="23" fillId="8" borderId="1" xfId="0" applyFont="1" applyFill="1" applyBorder="1" applyAlignment="1">
      <alignment horizontal="center" vertical="center"/>
    </xf>
    <xf numFmtId="0" fontId="23" fillId="8" borderId="30" xfId="0" applyFont="1" applyFill="1" applyBorder="1" applyAlignment="1">
      <alignment horizontal="center" vertical="center" wrapText="1"/>
    </xf>
    <xf numFmtId="0" fontId="23" fillId="8" borderId="5" xfId="0" applyFont="1" applyFill="1" applyBorder="1" applyAlignment="1">
      <alignment horizontal="center" vertical="center" wrapText="1"/>
    </xf>
    <xf numFmtId="0" fontId="23" fillId="8" borderId="4" xfId="0" applyFont="1" applyFill="1" applyBorder="1" applyAlignment="1">
      <alignment horizontal="center" vertical="center" wrapText="1"/>
    </xf>
    <xf numFmtId="0" fontId="23" fillId="8" borderId="1" xfId="0" applyFont="1" applyFill="1" applyBorder="1" applyAlignment="1">
      <alignment horizontal="center" vertical="center" wrapText="1"/>
    </xf>
    <xf numFmtId="0" fontId="23" fillId="8" borderId="10" xfId="0" applyFont="1" applyFill="1" applyBorder="1" applyAlignment="1">
      <alignment horizontal="left" vertical="center"/>
    </xf>
    <xf numFmtId="0" fontId="23" fillId="8" borderId="10" xfId="0" applyFont="1" applyFill="1" applyBorder="1" applyAlignment="1">
      <alignment horizontal="center" vertical="center"/>
    </xf>
    <xf numFmtId="0" fontId="23" fillId="8" borderId="5" xfId="0" applyFont="1" applyFill="1" applyBorder="1" applyAlignment="1">
      <alignment horizontal="center" vertical="center"/>
    </xf>
    <xf numFmtId="0" fontId="23" fillId="8" borderId="24" xfId="0" applyFont="1" applyFill="1" applyBorder="1" applyAlignment="1">
      <alignment horizontal="center" vertical="center"/>
    </xf>
    <xf numFmtId="0" fontId="23" fillId="8" borderId="10" xfId="0" applyFont="1" applyFill="1" applyBorder="1" applyAlignment="1">
      <alignment horizontal="center" vertical="center" wrapText="1"/>
    </xf>
    <xf numFmtId="0" fontId="7" fillId="9" borderId="1" xfId="0" applyFont="1" applyFill="1" applyBorder="1" applyAlignment="1">
      <alignment horizontal="center" vertical="center"/>
    </xf>
    <xf numFmtId="0" fontId="7" fillId="9" borderId="7" xfId="0" applyFont="1" applyFill="1" applyBorder="1"/>
    <xf numFmtId="0" fontId="7" fillId="9" borderId="2" xfId="0" applyFont="1" applyFill="1" applyBorder="1"/>
    <xf numFmtId="0" fontId="7" fillId="9" borderId="1" xfId="0" applyFont="1" applyFill="1" applyBorder="1"/>
    <xf numFmtId="0" fontId="7" fillId="9" borderId="5" xfId="0" applyFont="1" applyFill="1" applyBorder="1"/>
    <xf numFmtId="0" fontId="25" fillId="10" borderId="1" xfId="0" applyFont="1" applyFill="1" applyBorder="1" applyAlignment="1">
      <alignment vertical="center"/>
    </xf>
    <xf numFmtId="0" fontId="25" fillId="10" borderId="10" xfId="0" applyFont="1" applyFill="1" applyBorder="1" applyAlignment="1">
      <alignment horizontal="left" vertical="center"/>
    </xf>
    <xf numFmtId="0" fontId="25" fillId="10" borderId="9" xfId="0" applyFont="1" applyFill="1" applyBorder="1" applyAlignment="1">
      <alignment horizontal="left" vertical="center"/>
    </xf>
    <xf numFmtId="0" fontId="7" fillId="9" borderId="1" xfId="0" applyFont="1" applyFill="1" applyBorder="1" applyAlignment="1">
      <alignment horizontal="left" vertical="center"/>
    </xf>
    <xf numFmtId="10" fontId="30" fillId="8" borderId="9" xfId="1" applyNumberFormat="1" applyFont="1" applyFill="1" applyBorder="1" applyAlignment="1">
      <alignment horizontal="center" vertical="center"/>
    </xf>
    <xf numFmtId="0" fontId="30" fillId="8" borderId="0" xfId="0" applyFont="1" applyFill="1" applyAlignment="1">
      <alignment horizontal="center"/>
    </xf>
    <xf numFmtId="0" fontId="6" fillId="11" borderId="1" xfId="0" applyFont="1" applyFill="1" applyBorder="1" applyAlignment="1">
      <alignment horizontal="left" vertical="center"/>
    </xf>
    <xf numFmtId="0" fontId="6" fillId="11" borderId="1" xfId="0" applyFont="1" applyFill="1" applyBorder="1" applyAlignment="1">
      <alignment horizontal="center" vertical="center" wrapText="1"/>
    </xf>
    <xf numFmtId="0" fontId="15" fillId="3" borderId="11" xfId="0" applyFont="1" applyFill="1" applyBorder="1" applyAlignment="1">
      <alignment vertical="center"/>
    </xf>
    <xf numFmtId="0" fontId="15" fillId="3" borderId="23" xfId="0" applyFont="1" applyFill="1" applyBorder="1" applyAlignment="1">
      <alignment vertical="center"/>
    </xf>
    <xf numFmtId="0" fontId="15" fillId="3" borderId="3" xfId="0" applyFont="1" applyFill="1" applyBorder="1" applyAlignment="1">
      <alignment vertical="center"/>
    </xf>
    <xf numFmtId="0" fontId="15" fillId="3" borderId="2" xfId="0" applyFont="1" applyFill="1" applyBorder="1" applyAlignment="1">
      <alignment horizontal="center" vertical="center"/>
    </xf>
    <xf numFmtId="10" fontId="15" fillId="3" borderId="4" xfId="1" applyNumberFormat="1" applyFont="1" applyFill="1" applyBorder="1" applyAlignment="1">
      <alignment horizontal="center" vertical="center"/>
    </xf>
    <xf numFmtId="0" fontId="6" fillId="12" borderId="10" xfId="0" applyFont="1" applyFill="1" applyBorder="1" applyAlignment="1">
      <alignment horizontal="center"/>
    </xf>
    <xf numFmtId="0" fontId="13" fillId="5" borderId="1" xfId="0" applyFont="1" applyFill="1" applyBorder="1" applyAlignment="1">
      <alignment horizontal="center" vertical="center"/>
    </xf>
    <xf numFmtId="0" fontId="13" fillId="15" borderId="1" xfId="0" applyFont="1" applyFill="1" applyBorder="1" applyAlignment="1">
      <alignment horizontal="center" vertical="center"/>
    </xf>
    <xf numFmtId="0" fontId="14" fillId="6" borderId="1" xfId="0" applyFont="1" applyFill="1" applyBorder="1" applyAlignment="1">
      <alignment horizontal="left"/>
    </xf>
    <xf numFmtId="0" fontId="7" fillId="2" borderId="10" xfId="0" applyFont="1" applyFill="1" applyBorder="1" applyAlignment="1">
      <alignment horizontal="center"/>
    </xf>
    <xf numFmtId="49" fontId="7" fillId="2" borderId="10" xfId="0" applyNumberFormat="1" applyFont="1" applyFill="1" applyBorder="1" applyAlignment="1">
      <alignment horizontal="center"/>
    </xf>
    <xf numFmtId="49" fontId="7" fillId="2" borderId="24" xfId="0" applyNumberFormat="1" applyFont="1" applyFill="1" applyBorder="1" applyAlignment="1">
      <alignment horizontal="center"/>
    </xf>
    <xf numFmtId="49" fontId="7" fillId="2" borderId="1" xfId="0" applyNumberFormat="1" applyFont="1" applyFill="1" applyBorder="1" applyAlignment="1">
      <alignment horizontal="center"/>
    </xf>
    <xf numFmtId="10" fontId="30" fillId="7" borderId="10" xfId="1" applyNumberFormat="1" applyFont="1" applyFill="1" applyBorder="1" applyAlignment="1">
      <alignment horizontal="center" vertical="center"/>
    </xf>
    <xf numFmtId="0" fontId="6" fillId="2" borderId="0" xfId="0" applyFont="1" applyFill="1" applyAlignment="1">
      <alignment vertical="center"/>
    </xf>
    <xf numFmtId="0" fontId="15" fillId="3" borderId="1" xfId="0" applyFont="1" applyFill="1" applyBorder="1"/>
    <xf numFmtId="0" fontId="15" fillId="3" borderId="5" xfId="0" applyFont="1" applyFill="1" applyBorder="1"/>
    <xf numFmtId="0" fontId="14" fillId="0" borderId="24" xfId="0" applyFont="1" applyBorder="1" applyAlignment="1">
      <alignment horizontal="center" vertical="center"/>
    </xf>
    <xf numFmtId="0" fontId="7" fillId="2" borderId="24" xfId="0" applyFont="1" applyFill="1" applyBorder="1" applyAlignment="1" applyProtection="1">
      <alignment horizontal="center" vertical="center"/>
      <protection locked="0"/>
    </xf>
    <xf numFmtId="0" fontId="7" fillId="0" borderId="27" xfId="0" applyFont="1" applyBorder="1" applyAlignment="1" applyProtection="1">
      <alignment horizontal="center" vertical="center"/>
      <protection locked="0"/>
    </xf>
    <xf numFmtId="0" fontId="14" fillId="0" borderId="1" xfId="0" applyFont="1" applyBorder="1" applyAlignment="1">
      <alignment horizontal="center" vertical="center"/>
    </xf>
    <xf numFmtId="0" fontId="7" fillId="0" borderId="1" xfId="0" applyFont="1" applyBorder="1" applyAlignment="1" applyProtection="1">
      <alignment horizontal="center" vertical="center"/>
      <protection locked="0"/>
    </xf>
    <xf numFmtId="0" fontId="7" fillId="2" borderId="1" xfId="0" applyFont="1" applyFill="1" applyBorder="1" applyAlignment="1">
      <alignment horizontal="center" vertical="center" wrapText="1"/>
    </xf>
    <xf numFmtId="49" fontId="7" fillId="2" borderId="12" xfId="0" applyNumberFormat="1" applyFont="1" applyFill="1" applyBorder="1" applyAlignment="1">
      <alignment horizontal="center"/>
    </xf>
    <xf numFmtId="49" fontId="7" fillId="2" borderId="4" xfId="0" applyNumberFormat="1" applyFont="1" applyFill="1" applyBorder="1" applyAlignment="1">
      <alignment horizontal="center"/>
    </xf>
    <xf numFmtId="0" fontId="14" fillId="6" borderId="1" xfId="0" applyFont="1" applyFill="1" applyBorder="1"/>
    <xf numFmtId="0" fontId="14" fillId="6" borderId="8" xfId="0" applyFont="1" applyFill="1" applyBorder="1" applyAlignment="1">
      <alignment horizontal="center"/>
    </xf>
    <xf numFmtId="49" fontId="35" fillId="2" borderId="1" xfId="0" applyNumberFormat="1" applyFont="1" applyFill="1" applyBorder="1" applyAlignment="1">
      <alignment horizontal="center"/>
    </xf>
    <xf numFmtId="0" fontId="35" fillId="2" borderId="1" xfId="0" applyFont="1" applyFill="1" applyBorder="1" applyAlignment="1">
      <alignment horizontal="center" vertical="center"/>
    </xf>
    <xf numFmtId="0" fontId="14" fillId="0" borderId="4" xfId="0" applyFont="1" applyBorder="1" applyAlignment="1">
      <alignment horizontal="center" vertical="center" wrapText="1"/>
    </xf>
    <xf numFmtId="49" fontId="7" fillId="2" borderId="26" xfId="0" applyNumberFormat="1" applyFont="1" applyFill="1" applyBorder="1" applyAlignment="1">
      <alignment horizontal="center"/>
    </xf>
    <xf numFmtId="49" fontId="7" fillId="2" borderId="31" xfId="0" applyNumberFormat="1" applyFont="1" applyFill="1" applyBorder="1" applyAlignment="1">
      <alignment horizontal="center"/>
    </xf>
    <xf numFmtId="0" fontId="7" fillId="2" borderId="12" xfId="0" applyFont="1" applyFill="1" applyBorder="1" applyAlignment="1">
      <alignment horizontal="center"/>
    </xf>
    <xf numFmtId="0" fontId="7" fillId="2" borderId="12" xfId="0" applyFont="1" applyFill="1" applyBorder="1" applyAlignment="1">
      <alignment horizontal="center" vertical="center"/>
    </xf>
    <xf numFmtId="0" fontId="15" fillId="9" borderId="1" xfId="0" applyFont="1" applyFill="1" applyBorder="1" applyAlignment="1">
      <alignment horizontal="center" vertical="center"/>
    </xf>
    <xf numFmtId="10" fontId="15" fillId="9" borderId="1" xfId="1" applyNumberFormat="1" applyFont="1" applyFill="1" applyBorder="1" applyAlignment="1">
      <alignment horizontal="center" vertical="center"/>
    </xf>
    <xf numFmtId="0" fontId="15" fillId="9" borderId="1" xfId="0" applyFont="1" applyFill="1" applyBorder="1" applyAlignment="1">
      <alignment vertical="center"/>
    </xf>
    <xf numFmtId="10" fontId="37" fillId="9" borderId="1" xfId="0" applyNumberFormat="1" applyFont="1" applyFill="1" applyBorder="1" applyAlignment="1">
      <alignment horizontal="center"/>
    </xf>
    <xf numFmtId="0" fontId="23" fillId="8" borderId="1" xfId="0" applyFont="1" applyFill="1" applyBorder="1" applyAlignment="1">
      <alignment horizontal="center"/>
    </xf>
    <xf numFmtId="0" fontId="15" fillId="9" borderId="1" xfId="0" applyFont="1" applyFill="1" applyBorder="1" applyAlignment="1">
      <alignment horizontal="left" vertical="center"/>
    </xf>
    <xf numFmtId="0" fontId="14" fillId="2" borderId="1" xfId="0" applyFont="1" applyFill="1" applyBorder="1" applyAlignment="1">
      <alignment horizontal="left"/>
    </xf>
    <xf numFmtId="0" fontId="14" fillId="2" borderId="1" xfId="0" applyFont="1" applyFill="1" applyBorder="1"/>
    <xf numFmtId="0" fontId="36" fillId="16" borderId="1" xfId="0" applyFont="1" applyFill="1" applyBorder="1" applyAlignment="1">
      <alignment horizontal="left" wrapText="1"/>
    </xf>
    <xf numFmtId="0" fontId="36" fillId="9" borderId="1" xfId="0" applyFont="1" applyFill="1" applyBorder="1" applyAlignment="1">
      <alignment horizontal="left" wrapText="1"/>
    </xf>
    <xf numFmtId="0" fontId="36" fillId="16" borderId="1" xfId="0" applyFont="1" applyFill="1" applyBorder="1"/>
    <xf numFmtId="0" fontId="0" fillId="2" borderId="0" xfId="0" applyFill="1"/>
    <xf numFmtId="0" fontId="7" fillId="0" borderId="5" xfId="0" applyFont="1" applyBorder="1" applyAlignment="1">
      <alignment horizontal="center" vertical="center" wrapText="1"/>
    </xf>
    <xf numFmtId="49" fontId="7" fillId="2" borderId="32" xfId="0" applyNumberFormat="1" applyFont="1" applyFill="1" applyBorder="1" applyAlignment="1">
      <alignment horizontal="center"/>
    </xf>
    <xf numFmtId="0" fontId="7" fillId="2" borderId="31" xfId="0" applyFont="1" applyFill="1" applyBorder="1" applyAlignment="1">
      <alignment horizontal="center"/>
    </xf>
    <xf numFmtId="0" fontId="7" fillId="2" borderId="31" xfId="0" applyFont="1" applyFill="1" applyBorder="1" applyAlignment="1">
      <alignment horizontal="center" wrapText="1"/>
    </xf>
    <xf numFmtId="0" fontId="7" fillId="0" borderId="27" xfId="0" applyFont="1" applyBorder="1" applyAlignment="1">
      <alignment horizontal="center" vertical="center" wrapText="1"/>
    </xf>
    <xf numFmtId="0" fontId="14" fillId="0" borderId="27" xfId="0" applyFont="1" applyBorder="1" applyAlignment="1">
      <alignment horizontal="center" vertical="center"/>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7" fillId="2" borderId="27" xfId="0" applyFont="1" applyFill="1" applyBorder="1" applyAlignment="1">
      <alignment horizontal="center" vertical="center"/>
    </xf>
    <xf numFmtId="0" fontId="14" fillId="0" borderId="27" xfId="0" applyFont="1" applyBorder="1" applyAlignment="1">
      <alignment horizontal="center" vertical="center" wrapText="1"/>
    </xf>
    <xf numFmtId="0" fontId="6" fillId="15" borderId="1" xfId="0" applyFont="1" applyFill="1" applyBorder="1" applyAlignment="1">
      <alignment horizontal="center" vertical="center"/>
    </xf>
    <xf numFmtId="0" fontId="7" fillId="0" borderId="31" xfId="0" applyFont="1" applyBorder="1" applyAlignment="1">
      <alignment horizontal="center" vertical="center" wrapText="1"/>
    </xf>
    <xf numFmtId="0" fontId="13" fillId="5" borderId="1" xfId="0" applyFont="1" applyFill="1" applyBorder="1" applyAlignment="1">
      <alignment horizontal="center" vertical="center" wrapText="1"/>
    </xf>
    <xf numFmtId="0" fontId="14" fillId="0" borderId="2" xfId="0" applyFont="1" applyBorder="1" applyAlignment="1">
      <alignment horizontal="center" vertical="center" wrapText="1"/>
    </xf>
    <xf numFmtId="0" fontId="7" fillId="0" borderId="4" xfId="0" applyFont="1" applyBorder="1" applyAlignment="1" applyProtection="1">
      <alignment horizontal="center" vertical="center" wrapText="1"/>
      <protection locked="0"/>
    </xf>
    <xf numFmtId="0" fontId="7" fillId="2" borderId="1" xfId="0" applyFont="1" applyFill="1" applyBorder="1" applyAlignment="1">
      <alignment horizontal="center" wrapText="1"/>
    </xf>
    <xf numFmtId="0" fontId="7" fillId="2" borderId="0" xfId="0" applyFont="1" applyFill="1" applyAlignment="1">
      <alignment horizontal="center" wrapText="1"/>
    </xf>
    <xf numFmtId="0" fontId="7" fillId="2" borderId="33" xfId="0" applyFont="1" applyFill="1" applyBorder="1" applyAlignment="1">
      <alignment horizontal="center" wrapText="1"/>
    </xf>
    <xf numFmtId="0" fontId="14" fillId="0" borderId="26" xfId="0" applyFont="1" applyBorder="1" applyAlignment="1">
      <alignment horizontal="center" vertical="center" wrapText="1"/>
    </xf>
    <xf numFmtId="0" fontId="14" fillId="0" borderId="30" xfId="0" applyFont="1" applyBorder="1" applyAlignment="1">
      <alignment horizontal="center" vertical="center" wrapText="1"/>
    </xf>
    <xf numFmtId="0" fontId="14" fillId="6" borderId="0" xfId="0" applyFont="1" applyFill="1"/>
    <xf numFmtId="0" fontId="6" fillId="8" borderId="1" xfId="0" applyFont="1" applyFill="1" applyBorder="1" applyAlignment="1">
      <alignment horizontal="center" vertical="center"/>
    </xf>
    <xf numFmtId="0" fontId="24" fillId="17" borderId="1" xfId="0" applyFont="1" applyFill="1" applyBorder="1" applyAlignment="1">
      <alignment horizontal="center"/>
    </xf>
    <xf numFmtId="0" fontId="35" fillId="2" borderId="10" xfId="0" applyFont="1" applyFill="1" applyBorder="1" applyAlignment="1">
      <alignment horizontal="center"/>
    </xf>
    <xf numFmtId="49" fontId="35" fillId="2" borderId="10" xfId="0" applyNumberFormat="1" applyFont="1" applyFill="1" applyBorder="1" applyAlignment="1">
      <alignment horizontal="center"/>
    </xf>
    <xf numFmtId="0" fontId="35" fillId="2" borderId="10" xfId="0" applyFont="1" applyFill="1" applyBorder="1" applyAlignment="1">
      <alignment horizontal="center" vertical="center"/>
    </xf>
    <xf numFmtId="0" fontId="35" fillId="2" borderId="10" xfId="0" applyFont="1" applyFill="1" applyBorder="1" applyAlignment="1">
      <alignment horizontal="center" wrapText="1"/>
    </xf>
    <xf numFmtId="0" fontId="13" fillId="8" borderId="5" xfId="0" applyFont="1" applyFill="1" applyBorder="1" applyAlignment="1">
      <alignment horizontal="center" vertical="center"/>
    </xf>
    <xf numFmtId="0" fontId="13" fillId="8" borderId="5" xfId="0" applyFont="1" applyFill="1" applyBorder="1" applyAlignment="1">
      <alignment horizontal="center" vertical="center" wrapText="1"/>
    </xf>
    <xf numFmtId="0" fontId="6" fillId="5" borderId="5" xfId="0" applyFont="1" applyFill="1" applyBorder="1" applyAlignment="1">
      <alignment horizontal="center" vertical="center"/>
    </xf>
    <xf numFmtId="0" fontId="13" fillId="13" borderId="5" xfId="0" applyFont="1" applyFill="1" applyBorder="1" applyAlignment="1">
      <alignment horizontal="center" vertical="center"/>
    </xf>
    <xf numFmtId="0" fontId="6" fillId="5" borderId="5" xfId="0" applyFont="1" applyFill="1" applyBorder="1" applyAlignment="1">
      <alignment horizontal="center" vertical="center" wrapText="1"/>
    </xf>
    <xf numFmtId="0" fontId="13" fillId="13" borderId="5" xfId="0" applyFont="1" applyFill="1" applyBorder="1" applyAlignment="1">
      <alignment horizontal="center" vertical="center" wrapText="1"/>
    </xf>
    <xf numFmtId="0" fontId="13" fillId="14" borderId="5" xfId="0" applyFont="1" applyFill="1" applyBorder="1" applyAlignment="1">
      <alignment horizontal="center" vertical="center"/>
    </xf>
    <xf numFmtId="0" fontId="6" fillId="5" borderId="5" xfId="0" applyFont="1" applyFill="1" applyBorder="1" applyAlignment="1" applyProtection="1">
      <alignment horizontal="center" vertical="center"/>
      <protection locked="0"/>
    </xf>
    <xf numFmtId="0" fontId="7" fillId="0" borderId="9" xfId="0" applyFont="1" applyBorder="1" applyAlignment="1">
      <alignment horizontal="center" vertical="center" wrapText="1"/>
    </xf>
    <xf numFmtId="0" fontId="34" fillId="2" borderId="10" xfId="0" applyFont="1" applyFill="1" applyBorder="1" applyAlignment="1">
      <alignment horizontal="center"/>
    </xf>
    <xf numFmtId="22" fontId="34" fillId="2" borderId="10" xfId="0" applyNumberFormat="1" applyFont="1" applyFill="1" applyBorder="1" applyAlignment="1">
      <alignment horizontal="center"/>
    </xf>
    <xf numFmtId="0" fontId="35" fillId="2" borderId="10" xfId="0" applyFont="1" applyFill="1" applyBorder="1" applyAlignment="1">
      <alignment horizontal="center" vertical="center" wrapText="1"/>
    </xf>
    <xf numFmtId="0" fontId="34" fillId="2" borderId="10" xfId="0" applyFont="1" applyFill="1" applyBorder="1" applyAlignment="1">
      <alignment horizontal="center" vertical="center"/>
    </xf>
    <xf numFmtId="0" fontId="34" fillId="2" borderId="10" xfId="0" applyFont="1" applyFill="1" applyBorder="1" applyAlignment="1">
      <alignment horizontal="center" wrapText="1"/>
    </xf>
    <xf numFmtId="0" fontId="34" fillId="2" borderId="10" xfId="0" quotePrefix="1" applyFont="1" applyFill="1" applyBorder="1" applyAlignment="1">
      <alignment horizontal="center"/>
    </xf>
    <xf numFmtId="0" fontId="13" fillId="4" borderId="5" xfId="0" applyFont="1" applyFill="1" applyBorder="1" applyAlignment="1">
      <alignment horizontal="center" vertical="center"/>
    </xf>
    <xf numFmtId="0" fontId="13" fillId="15" borderId="5" xfId="0" applyFont="1" applyFill="1" applyBorder="1" applyAlignment="1">
      <alignment horizontal="center" vertical="center"/>
    </xf>
    <xf numFmtId="0" fontId="13" fillId="5" borderId="5" xfId="0" applyFont="1" applyFill="1" applyBorder="1" applyAlignment="1">
      <alignment horizontal="center" vertical="center"/>
    </xf>
    <xf numFmtId="49" fontId="7" fillId="2" borderId="9" xfId="0" applyNumberFormat="1" applyFont="1" applyFill="1" applyBorder="1" applyAlignment="1">
      <alignment horizontal="center"/>
    </xf>
    <xf numFmtId="0" fontId="7" fillId="2" borderId="9" xfId="0" applyFont="1" applyFill="1" applyBorder="1" applyAlignment="1">
      <alignment horizontal="center" vertical="center"/>
    </xf>
    <xf numFmtId="0" fontId="7" fillId="0" borderId="10" xfId="0" applyFont="1" applyBorder="1" applyAlignment="1">
      <alignment horizontal="center" vertical="center" wrapText="1"/>
    </xf>
    <xf numFmtId="0" fontId="14" fillId="0" borderId="10" xfId="0" applyFont="1" applyBorder="1" applyAlignment="1">
      <alignment horizontal="center" vertical="center"/>
    </xf>
    <xf numFmtId="0" fontId="34" fillId="2" borderId="24" xfId="0" applyFont="1" applyFill="1" applyBorder="1" applyAlignment="1">
      <alignment horizontal="center"/>
    </xf>
    <xf numFmtId="0" fontId="34" fillId="2" borderId="24" xfId="0" applyFont="1" applyFill="1" applyBorder="1" applyAlignment="1">
      <alignment horizontal="center" wrapText="1"/>
    </xf>
    <xf numFmtId="22" fontId="34" fillId="2" borderId="24" xfId="0" applyNumberFormat="1" applyFont="1" applyFill="1" applyBorder="1" applyAlignment="1">
      <alignment horizontal="center"/>
    </xf>
    <xf numFmtId="49" fontId="7" fillId="2" borderId="8" xfId="0" applyNumberFormat="1" applyFont="1" applyFill="1" applyBorder="1" applyAlignment="1">
      <alignment horizontal="center"/>
    </xf>
    <xf numFmtId="0" fontId="7" fillId="2" borderId="9" xfId="0" applyFont="1" applyFill="1" applyBorder="1" applyAlignment="1">
      <alignment horizontal="center"/>
    </xf>
    <xf numFmtId="0" fontId="14" fillId="0" borderId="9" xfId="0" applyFont="1" applyBorder="1" applyAlignment="1">
      <alignment horizontal="center" vertical="center"/>
    </xf>
    <xf numFmtId="0" fontId="7" fillId="2" borderId="10" xfId="0" applyFont="1" applyFill="1" applyBorder="1" applyAlignment="1">
      <alignment horizontal="center" vertical="center" wrapText="1"/>
    </xf>
    <xf numFmtId="0" fontId="14" fillId="2" borderId="10" xfId="0" applyFont="1" applyFill="1" applyBorder="1" applyAlignment="1">
      <alignment horizontal="center" vertical="center"/>
    </xf>
    <xf numFmtId="0" fontId="14" fillId="0" borderId="10" xfId="0" applyFont="1" applyBorder="1" applyAlignment="1">
      <alignment horizontal="center" vertical="center" wrapText="1"/>
    </xf>
    <xf numFmtId="0" fontId="7" fillId="2" borderId="10" xfId="0" applyFont="1" applyFill="1" applyBorder="1" applyAlignment="1">
      <alignment horizontal="left"/>
    </xf>
    <xf numFmtId="49" fontId="7" fillId="2" borderId="30" xfId="0" applyNumberFormat="1" applyFont="1" applyFill="1" applyBorder="1" applyAlignment="1">
      <alignment horizontal="center"/>
    </xf>
    <xf numFmtId="0" fontId="7" fillId="2" borderId="5" xfId="0" applyFont="1" applyFill="1" applyBorder="1" applyAlignment="1">
      <alignment horizontal="center" vertical="center"/>
    </xf>
    <xf numFmtId="49" fontId="7" fillId="2" borderId="5" xfId="0" applyNumberFormat="1" applyFont="1" applyFill="1" applyBorder="1" applyAlignment="1">
      <alignment horizontal="center"/>
    </xf>
    <xf numFmtId="0" fontId="14" fillId="0" borderId="8" xfId="0" applyFont="1" applyBorder="1" applyAlignment="1">
      <alignment horizontal="center" vertical="center" wrapText="1"/>
    </xf>
    <xf numFmtId="0" fontId="14" fillId="2" borderId="10" xfId="0" applyFont="1" applyFill="1" applyBorder="1" applyAlignment="1">
      <alignment horizontal="center" vertical="center" wrapText="1"/>
    </xf>
    <xf numFmtId="0" fontId="38" fillId="2" borderId="10" xfId="0" applyFont="1" applyFill="1" applyBorder="1" applyAlignment="1">
      <alignment horizontal="center"/>
    </xf>
    <xf numFmtId="22" fontId="38" fillId="2" borderId="10" xfId="0" applyNumberFormat="1" applyFont="1" applyFill="1" applyBorder="1" applyAlignment="1">
      <alignment horizontal="center"/>
    </xf>
    <xf numFmtId="0" fontId="38" fillId="2" borderId="10" xfId="0" applyFont="1" applyFill="1" applyBorder="1" applyAlignment="1">
      <alignment horizontal="center" wrapText="1"/>
    </xf>
    <xf numFmtId="0" fontId="34" fillId="2" borderId="10" xfId="0" applyFont="1" applyFill="1" applyBorder="1" applyAlignment="1">
      <alignment horizontal="center" vertical="center" wrapText="1"/>
    </xf>
    <xf numFmtId="0" fontId="35" fillId="2" borderId="10" xfId="0" applyFont="1" applyFill="1" applyBorder="1" applyAlignment="1" applyProtection="1">
      <alignment horizontal="center" vertical="center" wrapText="1"/>
      <protection locked="0"/>
    </xf>
    <xf numFmtId="0" fontId="7" fillId="2" borderId="9" xfId="0" applyFont="1" applyFill="1" applyBorder="1" applyAlignment="1">
      <alignment horizontal="center" wrapText="1"/>
    </xf>
    <xf numFmtId="0" fontId="34" fillId="2" borderId="31" xfId="0" applyFont="1" applyFill="1" applyBorder="1" applyAlignment="1">
      <alignment horizontal="center"/>
    </xf>
    <xf numFmtId="22" fontId="34" fillId="2" borderId="31" xfId="0" applyNumberFormat="1" applyFont="1" applyFill="1" applyBorder="1" applyAlignment="1">
      <alignment horizontal="center"/>
    </xf>
    <xf numFmtId="0" fontId="34" fillId="2" borderId="10" xfId="0" applyFont="1" applyFill="1" applyBorder="1"/>
    <xf numFmtId="22" fontId="34" fillId="2" borderId="10" xfId="0" applyNumberFormat="1" applyFont="1" applyFill="1" applyBorder="1"/>
    <xf numFmtId="0" fontId="38" fillId="2" borderId="24" xfId="0" applyFont="1" applyFill="1" applyBorder="1" applyAlignment="1">
      <alignment horizontal="center"/>
    </xf>
    <xf numFmtId="22" fontId="38" fillId="2" borderId="24" xfId="0" applyNumberFormat="1" applyFont="1" applyFill="1" applyBorder="1" applyAlignment="1">
      <alignment horizontal="center"/>
    </xf>
    <xf numFmtId="22" fontId="34" fillId="2" borderId="24" xfId="0" applyNumberFormat="1" applyFont="1" applyFill="1" applyBorder="1"/>
    <xf numFmtId="0" fontId="34" fillId="2" borderId="24" xfId="0" applyFont="1" applyFill="1" applyBorder="1"/>
    <xf numFmtId="0" fontId="35" fillId="2" borderId="10" xfId="0" applyFont="1" applyFill="1" applyBorder="1" applyAlignment="1" applyProtection="1">
      <alignment horizontal="center" vertical="center"/>
      <protection locked="0"/>
    </xf>
    <xf numFmtId="0" fontId="7" fillId="0" borderId="9" xfId="0" applyFont="1" applyBorder="1" applyAlignment="1" applyProtection="1">
      <alignment horizontal="center" vertical="center"/>
      <protection locked="0"/>
    </xf>
    <xf numFmtId="0" fontId="14" fillId="0" borderId="2" xfId="0" applyFont="1" applyBorder="1" applyAlignment="1">
      <alignment horizontal="center" vertical="center"/>
    </xf>
    <xf numFmtId="0" fontId="7" fillId="0" borderId="4" xfId="0" applyFont="1" applyBorder="1" applyAlignment="1" applyProtection="1">
      <alignment horizontal="center" vertical="center"/>
      <protection locked="0"/>
    </xf>
    <xf numFmtId="0" fontId="34" fillId="18" borderId="10" xfId="0" applyFont="1" applyFill="1" applyBorder="1" applyAlignment="1">
      <alignment horizontal="center"/>
    </xf>
    <xf numFmtId="0" fontId="7" fillId="2" borderId="9" xfId="0" applyFont="1" applyFill="1" applyBorder="1" applyAlignment="1">
      <alignment horizontal="center" vertical="center" wrapText="1"/>
    </xf>
    <xf numFmtId="0" fontId="34" fillId="2" borderId="11" xfId="0" applyFont="1" applyFill="1" applyBorder="1" applyAlignment="1">
      <alignment horizontal="center"/>
    </xf>
    <xf numFmtId="0" fontId="34" fillId="2" borderId="25" xfId="0" applyFont="1" applyFill="1" applyBorder="1" applyAlignment="1">
      <alignment horizontal="center"/>
    </xf>
    <xf numFmtId="0" fontId="34" fillId="0" borderId="10" xfId="0" applyFont="1" applyBorder="1" applyAlignment="1">
      <alignment horizontal="center"/>
    </xf>
    <xf numFmtId="0" fontId="7" fillId="0" borderId="1" xfId="0" applyFont="1" applyBorder="1" applyAlignment="1">
      <alignment horizontal="center" vertical="center"/>
    </xf>
    <xf numFmtId="49" fontId="7" fillId="0" borderId="1" xfId="0" applyNumberFormat="1" applyFont="1" applyBorder="1" applyAlignment="1">
      <alignment horizontal="center"/>
    </xf>
    <xf numFmtId="0" fontId="7" fillId="0" borderId="0" xfId="0" applyFont="1" applyAlignment="1">
      <alignment horizontal="left"/>
    </xf>
    <xf numFmtId="0" fontId="34" fillId="19" borderId="10" xfId="0" applyFont="1" applyFill="1" applyBorder="1" applyAlignment="1">
      <alignment horizontal="center"/>
    </xf>
    <xf numFmtId="49" fontId="35" fillId="2" borderId="24" xfId="0" applyNumberFormat="1" applyFont="1" applyFill="1" applyBorder="1" applyAlignment="1">
      <alignment horizontal="center"/>
    </xf>
    <xf numFmtId="0" fontId="35" fillId="2" borderId="24" xfId="0" applyFont="1" applyFill="1" applyBorder="1" applyAlignment="1">
      <alignment horizontal="center" vertical="center"/>
    </xf>
    <xf numFmtId="0" fontId="35" fillId="2" borderId="24" xfId="0" applyFont="1" applyFill="1" applyBorder="1" applyAlignment="1">
      <alignment horizontal="center"/>
    </xf>
    <xf numFmtId="0" fontId="35" fillId="2" borderId="24" xfId="0" applyFont="1" applyFill="1" applyBorder="1" applyAlignment="1">
      <alignment horizontal="center" wrapText="1"/>
    </xf>
    <xf numFmtId="0" fontId="35" fillId="2" borderId="24" xfId="0" applyFont="1" applyFill="1" applyBorder="1" applyAlignment="1">
      <alignment horizontal="center" vertical="center" wrapText="1"/>
    </xf>
    <xf numFmtId="0" fontId="34" fillId="2" borderId="24" xfId="0" applyFont="1" applyFill="1" applyBorder="1" applyAlignment="1">
      <alignment horizontal="center" vertical="center"/>
    </xf>
    <xf numFmtId="49" fontId="35" fillId="2" borderId="24" xfId="0" applyNumberFormat="1" applyFont="1" applyFill="1" applyBorder="1" applyAlignment="1">
      <alignment horizontal="center" vertical="center"/>
    </xf>
    <xf numFmtId="49" fontId="35" fillId="2" borderId="10" xfId="0" applyNumberFormat="1" applyFont="1" applyFill="1" applyBorder="1" applyAlignment="1">
      <alignment horizontal="center" vertical="center"/>
    </xf>
    <xf numFmtId="0" fontId="7" fillId="2" borderId="8" xfId="0" applyFont="1" applyFill="1" applyBorder="1" applyAlignment="1">
      <alignment horizontal="center" vertical="center"/>
    </xf>
    <xf numFmtId="0" fontId="14" fillId="2" borderId="27" xfId="0" applyFont="1" applyFill="1" applyBorder="1" applyAlignment="1">
      <alignment horizontal="center" vertical="center"/>
    </xf>
    <xf numFmtId="0" fontId="14" fillId="2" borderId="9" xfId="0" applyFont="1" applyFill="1" applyBorder="1" applyAlignment="1">
      <alignment horizontal="center" vertical="center"/>
    </xf>
    <xf numFmtId="0" fontId="0" fillId="2" borderId="0" xfId="0" applyFill="1" applyAlignment="1">
      <alignment horizontal="center"/>
    </xf>
    <xf numFmtId="0" fontId="14" fillId="2" borderId="24" xfId="0" applyFont="1" applyFill="1" applyBorder="1" applyAlignment="1">
      <alignment horizontal="center" vertical="center"/>
    </xf>
    <xf numFmtId="0" fontId="14" fillId="2" borderId="1" xfId="0" applyFont="1" applyFill="1" applyBorder="1" applyAlignment="1">
      <alignment horizontal="center" vertical="center"/>
    </xf>
    <xf numFmtId="0" fontId="34" fillId="0" borderId="8" xfId="0" applyFont="1" applyBorder="1" applyAlignment="1">
      <alignment horizontal="center"/>
    </xf>
    <xf numFmtId="0" fontId="34" fillId="6" borderId="8" xfId="0" applyFont="1" applyFill="1" applyBorder="1" applyAlignment="1">
      <alignment horizontal="center"/>
    </xf>
    <xf numFmtId="0" fontId="34" fillId="6" borderId="9" xfId="0" applyFont="1" applyFill="1" applyBorder="1" applyAlignment="1">
      <alignment horizontal="center"/>
    </xf>
    <xf numFmtId="0" fontId="34" fillId="0" borderId="9" xfId="0" applyFont="1" applyBorder="1" applyAlignment="1">
      <alignment horizontal="center"/>
    </xf>
    <xf numFmtId="0" fontId="39" fillId="0" borderId="8" xfId="0" applyFont="1" applyBorder="1" applyAlignment="1">
      <alignment horizontal="center"/>
    </xf>
    <xf numFmtId="0" fontId="35" fillId="2" borderId="31" xfId="0" applyFont="1" applyFill="1" applyBorder="1" applyAlignment="1">
      <alignment horizontal="center" wrapText="1"/>
    </xf>
    <xf numFmtId="49" fontId="35" fillId="2" borderId="4" xfId="0" applyNumberFormat="1" applyFont="1" applyFill="1" applyBorder="1" applyAlignment="1">
      <alignment horizontal="center"/>
    </xf>
    <xf numFmtId="0" fontId="35" fillId="0" borderId="10" xfId="0" applyFont="1" applyBorder="1" applyAlignment="1">
      <alignment horizontal="center" vertical="center"/>
    </xf>
    <xf numFmtId="0" fontId="34" fillId="0" borderId="2"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4" xfId="0" applyFont="1" applyBorder="1" applyAlignment="1" applyProtection="1">
      <alignment horizontal="center" vertical="center" wrapText="1"/>
      <protection locked="0"/>
    </xf>
    <xf numFmtId="49" fontId="35" fillId="2" borderId="8" xfId="0" applyNumberFormat="1" applyFont="1" applyFill="1" applyBorder="1" applyAlignment="1">
      <alignment horizontal="center"/>
    </xf>
    <xf numFmtId="0" fontId="35" fillId="2" borderId="9" xfId="0" applyFont="1" applyFill="1" applyBorder="1" applyAlignment="1">
      <alignment horizontal="center" vertical="center"/>
    </xf>
    <xf numFmtId="49" fontId="35" fillId="2" borderId="9" xfId="0" applyNumberFormat="1" applyFont="1" applyFill="1" applyBorder="1" applyAlignment="1">
      <alignment horizontal="center"/>
    </xf>
    <xf numFmtId="0" fontId="35" fillId="2" borderId="31" xfId="0" applyFont="1" applyFill="1" applyBorder="1" applyAlignment="1">
      <alignment horizontal="center" vertical="center"/>
    </xf>
    <xf numFmtId="0" fontId="34" fillId="2" borderId="7" xfId="0" applyFont="1" applyFill="1" applyBorder="1" applyAlignment="1">
      <alignment horizontal="center" vertical="center" wrapText="1"/>
    </xf>
    <xf numFmtId="0" fontId="34" fillId="2" borderId="9" xfId="0" applyFont="1" applyFill="1" applyBorder="1" applyAlignment="1">
      <alignment horizontal="center" vertical="center" wrapText="1"/>
    </xf>
    <xf numFmtId="0" fontId="35" fillId="2" borderId="8" xfId="0" applyFont="1" applyFill="1" applyBorder="1" applyAlignment="1" applyProtection="1">
      <alignment horizontal="center" vertical="center" wrapText="1"/>
      <protection locked="0"/>
    </xf>
    <xf numFmtId="0" fontId="35" fillId="2" borderId="0" xfId="0" applyFont="1" applyFill="1" applyAlignment="1">
      <alignment horizontal="left" vertical="center"/>
    </xf>
    <xf numFmtId="0" fontId="34" fillId="2" borderId="2"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5" fillId="2" borderId="4" xfId="0" applyFont="1" applyFill="1" applyBorder="1" applyAlignment="1" applyProtection="1">
      <alignment horizontal="center" vertical="center" wrapText="1"/>
      <protection locked="0"/>
    </xf>
    <xf numFmtId="0" fontId="39" fillId="2" borderId="1" xfId="0" applyFont="1" applyFill="1" applyBorder="1" applyAlignment="1">
      <alignment horizontal="center"/>
    </xf>
    <xf numFmtId="0" fontId="34" fillId="2" borderId="4" xfId="0" applyFont="1" applyFill="1" applyBorder="1" applyAlignment="1">
      <alignment horizontal="center"/>
    </xf>
    <xf numFmtId="0" fontId="39" fillId="2" borderId="4" xfId="0" applyFont="1" applyFill="1" applyBorder="1" applyAlignment="1">
      <alignment horizontal="center"/>
    </xf>
    <xf numFmtId="0" fontId="34" fillId="2" borderId="1" xfId="0" applyFont="1" applyFill="1" applyBorder="1" applyAlignment="1">
      <alignment horizontal="center"/>
    </xf>
    <xf numFmtId="0" fontId="39" fillId="2" borderId="9" xfId="0" applyFont="1" applyFill="1" applyBorder="1" applyAlignment="1">
      <alignment horizontal="center"/>
    </xf>
    <xf numFmtId="0" fontId="34" fillId="2" borderId="8" xfId="0" applyFont="1" applyFill="1" applyBorder="1" applyAlignment="1">
      <alignment horizontal="center"/>
    </xf>
    <xf numFmtId="0" fontId="39" fillId="2" borderId="8" xfId="0" applyFont="1" applyFill="1" applyBorder="1" applyAlignment="1">
      <alignment horizontal="center"/>
    </xf>
    <xf numFmtId="0" fontId="34" fillId="2" borderId="9" xfId="0" applyFont="1" applyFill="1" applyBorder="1" applyAlignment="1">
      <alignment horizontal="center"/>
    </xf>
    <xf numFmtId="0" fontId="34" fillId="6" borderId="0" xfId="0" applyFont="1" applyFill="1" applyAlignment="1">
      <alignment horizontal="center"/>
    </xf>
    <xf numFmtId="0" fontId="34" fillId="6" borderId="4" xfId="0" applyFont="1" applyFill="1" applyBorder="1" applyAlignment="1">
      <alignment horizontal="center"/>
    </xf>
    <xf numFmtId="0" fontId="35" fillId="2" borderId="4" xfId="0" applyFont="1" applyFill="1" applyBorder="1" applyAlignment="1">
      <alignment horizontal="center" vertical="center"/>
    </xf>
    <xf numFmtId="0" fontId="34" fillId="0" borderId="0" xfId="0" applyFont="1" applyAlignment="1">
      <alignment horizontal="center"/>
    </xf>
    <xf numFmtId="49" fontId="35" fillId="2" borderId="1" xfId="0" applyNumberFormat="1" applyFont="1" applyFill="1" applyBorder="1" applyAlignment="1">
      <alignment horizontal="center" vertical="center"/>
    </xf>
    <xf numFmtId="0" fontId="34" fillId="6" borderId="1" xfId="0" applyFont="1" applyFill="1" applyBorder="1" applyAlignment="1">
      <alignment horizontal="center" vertical="center"/>
    </xf>
    <xf numFmtId="0" fontId="34" fillId="6" borderId="9" xfId="0" applyFont="1" applyFill="1" applyBorder="1" applyAlignment="1">
      <alignment horizontal="center" vertical="center"/>
    </xf>
    <xf numFmtId="0" fontId="34" fillId="6" borderId="10" xfId="0" applyFont="1" applyFill="1" applyBorder="1" applyAlignment="1">
      <alignment horizontal="center"/>
    </xf>
    <xf numFmtId="0" fontId="39" fillId="0" borderId="7" xfId="0" applyFont="1" applyBorder="1" applyAlignment="1">
      <alignment horizontal="center"/>
    </xf>
    <xf numFmtId="0" fontId="35" fillId="2" borderId="32" xfId="0" applyFont="1" applyFill="1" applyBorder="1" applyAlignment="1">
      <alignment horizontal="center" wrapText="1"/>
    </xf>
    <xf numFmtId="0" fontId="34" fillId="6" borderId="34" xfId="0" applyFont="1" applyFill="1" applyBorder="1" applyAlignment="1">
      <alignment horizontal="center"/>
    </xf>
    <xf numFmtId="0" fontId="39" fillId="0" borderId="6" xfId="0" applyFont="1" applyBorder="1" applyAlignment="1">
      <alignment horizontal="center"/>
    </xf>
    <xf numFmtId="0" fontId="34" fillId="6" borderId="35" xfId="0" applyFont="1" applyFill="1" applyBorder="1" applyAlignment="1">
      <alignment horizontal="center"/>
    </xf>
    <xf numFmtId="49" fontId="35" fillId="2" borderId="2" xfId="0" applyNumberFormat="1" applyFont="1" applyFill="1" applyBorder="1" applyAlignment="1">
      <alignment horizontal="center"/>
    </xf>
    <xf numFmtId="49" fontId="35" fillId="2" borderId="5" xfId="0" applyNumberFormat="1" applyFont="1" applyFill="1" applyBorder="1" applyAlignment="1">
      <alignment horizontal="center"/>
    </xf>
    <xf numFmtId="0" fontId="7" fillId="2" borderId="2" xfId="0" applyFont="1" applyFill="1" applyBorder="1" applyAlignment="1">
      <alignment horizontal="center" vertical="center"/>
    </xf>
    <xf numFmtId="49" fontId="35" fillId="20" borderId="10" xfId="0" applyNumberFormat="1" applyFont="1" applyFill="1" applyBorder="1" applyAlignment="1">
      <alignment horizontal="center"/>
    </xf>
    <xf numFmtId="0" fontId="34" fillId="0" borderId="10" xfId="0" applyFont="1" applyBorder="1" applyAlignment="1">
      <alignment horizontal="center" wrapText="1"/>
    </xf>
    <xf numFmtId="22" fontId="34" fillId="0" borderId="10" xfId="0" applyNumberFormat="1" applyFont="1" applyBorder="1" applyAlignment="1">
      <alignment horizontal="center"/>
    </xf>
    <xf numFmtId="0" fontId="7" fillId="2" borderId="31" xfId="0" applyFont="1" applyFill="1" applyBorder="1" applyAlignment="1">
      <alignment horizontal="center" vertical="center" wrapText="1"/>
    </xf>
    <xf numFmtId="0" fontId="7" fillId="2" borderId="1" xfId="0" applyFont="1" applyFill="1" applyBorder="1" applyAlignment="1" applyProtection="1">
      <alignment horizontal="center" vertical="center"/>
      <protection locked="0"/>
    </xf>
    <xf numFmtId="0" fontId="7" fillId="2" borderId="10" xfId="0" applyFont="1" applyFill="1" applyBorder="1" applyAlignment="1">
      <alignment horizontal="center" wrapText="1"/>
    </xf>
    <xf numFmtId="0" fontId="7" fillId="0" borderId="10" xfId="0" applyFont="1" applyBorder="1" applyAlignment="1" applyProtection="1">
      <alignment horizontal="center" vertical="center" wrapText="1"/>
      <protection locked="0"/>
    </xf>
    <xf numFmtId="0" fontId="7" fillId="2" borderId="10" xfId="0" applyFont="1" applyFill="1" applyBorder="1" applyAlignment="1">
      <alignment horizontal="left" vertical="center"/>
    </xf>
    <xf numFmtId="0" fontId="7" fillId="2" borderId="27" xfId="0" applyFont="1" applyFill="1" applyBorder="1" applyAlignment="1">
      <alignment horizontal="center" wrapText="1"/>
    </xf>
    <xf numFmtId="0" fontId="7" fillId="0" borderId="24" xfId="0" applyFont="1" applyBorder="1" applyAlignment="1">
      <alignment horizontal="center" vertical="center"/>
    </xf>
    <xf numFmtId="0" fontId="14" fillId="0" borderId="28" xfId="0" applyFont="1" applyBorder="1" applyAlignment="1">
      <alignment horizontal="center" vertical="center" wrapText="1"/>
    </xf>
    <xf numFmtId="0" fontId="14" fillId="0" borderId="5" xfId="0" applyFont="1" applyBorder="1" applyAlignment="1">
      <alignment horizontal="center" vertical="center" wrapText="1"/>
    </xf>
    <xf numFmtId="0" fontId="7" fillId="0" borderId="30" xfId="0" applyFont="1" applyBorder="1" applyAlignment="1" applyProtection="1">
      <alignment horizontal="center" vertical="center" wrapText="1"/>
      <protection locked="0"/>
    </xf>
    <xf numFmtId="0" fontId="7" fillId="0" borderId="31" xfId="0" applyFont="1" applyBorder="1" applyAlignment="1">
      <alignment horizontal="center" vertical="center"/>
    </xf>
    <xf numFmtId="0" fontId="14" fillId="0" borderId="7" xfId="0" applyFont="1" applyBorder="1" applyAlignment="1">
      <alignment horizontal="center" vertical="center" wrapText="1"/>
    </xf>
    <xf numFmtId="0" fontId="14" fillId="0" borderId="9" xfId="0" applyFont="1" applyBorder="1" applyAlignment="1">
      <alignment horizontal="center" vertical="center" wrapText="1"/>
    </xf>
    <xf numFmtId="0" fontId="7" fillId="0" borderId="8" xfId="0" applyFont="1" applyBorder="1" applyAlignment="1" applyProtection="1">
      <alignment horizontal="center" vertical="center" wrapText="1"/>
      <protection locked="0"/>
    </xf>
    <xf numFmtId="0" fontId="38" fillId="2" borderId="11" xfId="0" applyFont="1" applyFill="1" applyBorder="1" applyAlignment="1">
      <alignment horizontal="center"/>
    </xf>
    <xf numFmtId="0" fontId="7" fillId="2" borderId="30" xfId="0" applyFont="1" applyFill="1" applyBorder="1" applyAlignment="1">
      <alignment horizontal="center" vertical="center"/>
    </xf>
    <xf numFmtId="49" fontId="7" fillId="2" borderId="33" xfId="0" applyNumberFormat="1" applyFont="1" applyFill="1" applyBorder="1" applyAlignment="1">
      <alignment horizontal="center"/>
    </xf>
    <xf numFmtId="49" fontId="7" fillId="2" borderId="11" xfId="0" applyNumberFormat="1" applyFont="1" applyFill="1" applyBorder="1" applyAlignment="1">
      <alignment horizontal="center"/>
    </xf>
    <xf numFmtId="49" fontId="7" fillId="2" borderId="25" xfId="0" applyNumberFormat="1" applyFont="1" applyFill="1" applyBorder="1" applyAlignment="1">
      <alignment horizontal="center"/>
    </xf>
    <xf numFmtId="49" fontId="7" fillId="2" borderId="2" xfId="0" applyNumberFormat="1" applyFont="1" applyFill="1" applyBorder="1" applyAlignment="1">
      <alignment horizontal="center"/>
    </xf>
    <xf numFmtId="49" fontId="7" fillId="2" borderId="28" xfId="0" applyNumberFormat="1" applyFont="1" applyFill="1" applyBorder="1" applyAlignment="1">
      <alignment horizontal="center"/>
    </xf>
    <xf numFmtId="49" fontId="7" fillId="2" borderId="7" xfId="0" applyNumberFormat="1" applyFont="1" applyFill="1" applyBorder="1" applyAlignment="1">
      <alignment horizontal="center"/>
    </xf>
    <xf numFmtId="49" fontId="7" fillId="0" borderId="2" xfId="0" applyNumberFormat="1" applyFont="1" applyBorder="1" applyAlignment="1">
      <alignment horizontal="center"/>
    </xf>
    <xf numFmtId="49" fontId="7" fillId="2" borderId="3" xfId="0" applyNumberFormat="1" applyFont="1" applyFill="1" applyBorder="1" applyAlignment="1">
      <alignment horizontal="center"/>
    </xf>
    <xf numFmtId="0" fontId="7" fillId="0" borderId="4" xfId="0" applyFont="1" applyBorder="1" applyAlignment="1">
      <alignment horizontal="center" vertical="center"/>
    </xf>
    <xf numFmtId="0" fontId="6" fillId="15" borderId="5" xfId="0" applyFont="1" applyFill="1" applyBorder="1" applyAlignment="1">
      <alignment horizontal="center" vertical="center"/>
    </xf>
    <xf numFmtId="0" fontId="7" fillId="2" borderId="5" xfId="0" applyFont="1" applyFill="1" applyBorder="1" applyAlignment="1">
      <alignment horizontal="center" vertical="center" wrapText="1"/>
    </xf>
    <xf numFmtId="0" fontId="7" fillId="2" borderId="24" xfId="0" applyFont="1" applyFill="1" applyBorder="1" applyAlignment="1">
      <alignment horizontal="center"/>
    </xf>
    <xf numFmtId="0" fontId="14" fillId="0" borderId="5" xfId="0" applyFont="1" applyBorder="1" applyAlignment="1">
      <alignment horizontal="center" vertical="center"/>
    </xf>
    <xf numFmtId="0" fontId="7" fillId="2" borderId="11" xfId="0" applyFont="1" applyFill="1" applyBorder="1" applyAlignment="1">
      <alignment horizontal="center" vertical="center"/>
    </xf>
    <xf numFmtId="0" fontId="7" fillId="2" borderId="12" xfId="0" applyFont="1" applyFill="1" applyBorder="1" applyAlignment="1">
      <alignment horizontal="left"/>
    </xf>
    <xf numFmtId="0" fontId="7" fillId="2" borderId="31" xfId="0" applyFont="1" applyFill="1" applyBorder="1" applyAlignment="1">
      <alignment horizontal="center" vertical="center"/>
    </xf>
    <xf numFmtId="0" fontId="34" fillId="21" borderId="10" xfId="0" applyFont="1" applyFill="1" applyBorder="1" applyAlignment="1">
      <alignment horizontal="center"/>
    </xf>
    <xf numFmtId="0" fontId="7" fillId="2" borderId="26" xfId="0" applyFont="1" applyFill="1" applyBorder="1" applyAlignment="1">
      <alignment horizontal="center" vertical="center"/>
    </xf>
    <xf numFmtId="0" fontId="7" fillId="2" borderId="10" xfId="0" applyFont="1" applyFill="1" applyBorder="1" applyAlignment="1" applyProtection="1">
      <alignment horizontal="center" vertical="center"/>
      <protection locked="0"/>
    </xf>
    <xf numFmtId="0" fontId="7" fillId="2" borderId="10" xfId="0" applyFont="1" applyFill="1" applyBorder="1"/>
    <xf numFmtId="0" fontId="7" fillId="0" borderId="5" xfId="0" applyFont="1" applyBorder="1" applyAlignment="1" applyProtection="1">
      <alignment horizontal="center" vertical="center"/>
      <protection locked="0"/>
    </xf>
    <xf numFmtId="0" fontId="34" fillId="22" borderId="10" xfId="0" applyFont="1" applyFill="1" applyBorder="1" applyAlignment="1">
      <alignment horizontal="center"/>
    </xf>
    <xf numFmtId="0" fontId="2" fillId="2" borderId="0" xfId="0" applyFont="1" applyFill="1" applyAlignment="1">
      <alignment horizontal="center" vertical="center"/>
    </xf>
    <xf numFmtId="0" fontId="5" fillId="2" borderId="0" xfId="0" applyFont="1" applyFill="1" applyAlignment="1">
      <alignment horizontal="center"/>
    </xf>
    <xf numFmtId="0" fontId="10" fillId="2" borderId="0" xfId="0" applyFont="1" applyFill="1" applyAlignment="1">
      <alignment horizontal="center"/>
    </xf>
    <xf numFmtId="0" fontId="12" fillId="2" borderId="0" xfId="0" applyFont="1" applyFill="1" applyAlignment="1">
      <alignment horizontal="center"/>
    </xf>
    <xf numFmtId="0" fontId="23" fillId="5" borderId="1" xfId="0" applyFont="1" applyFill="1" applyBorder="1" applyAlignment="1">
      <alignment horizontal="center"/>
    </xf>
    <xf numFmtId="0" fontId="6" fillId="8" borderId="2" xfId="0" applyFont="1" applyFill="1" applyBorder="1" applyAlignment="1">
      <alignment horizontal="center" vertical="center"/>
    </xf>
    <xf numFmtId="0" fontId="6" fillId="8" borderId="3" xfId="0" applyFont="1" applyFill="1" applyBorder="1" applyAlignment="1">
      <alignment horizontal="center" vertical="center"/>
    </xf>
    <xf numFmtId="0" fontId="6" fillId="8" borderId="4" xfId="0" applyFont="1" applyFill="1" applyBorder="1" applyAlignment="1">
      <alignment horizontal="center" vertical="center"/>
    </xf>
    <xf numFmtId="0" fontId="23" fillId="8" borderId="11" xfId="0" applyFont="1" applyFill="1" applyBorder="1" applyAlignment="1">
      <alignment horizontal="center" vertical="center"/>
    </xf>
    <xf numFmtId="0" fontId="23" fillId="8" borderId="23" xfId="0" applyFont="1" applyFill="1" applyBorder="1" applyAlignment="1">
      <alignment horizontal="center" vertical="center"/>
    </xf>
    <xf numFmtId="0" fontId="23" fillId="8" borderId="12" xfId="0" applyFont="1" applyFill="1" applyBorder="1" applyAlignment="1">
      <alignment horizontal="center" vertical="center"/>
    </xf>
    <xf numFmtId="0" fontId="23" fillId="8" borderId="10" xfId="0" applyFont="1" applyFill="1" applyBorder="1" applyAlignment="1">
      <alignment horizontal="center" vertical="center"/>
    </xf>
    <xf numFmtId="0" fontId="23" fillId="8" borderId="2" xfId="0" applyFont="1" applyFill="1" applyBorder="1" applyAlignment="1">
      <alignment horizontal="center" vertical="center"/>
    </xf>
    <xf numFmtId="0" fontId="23" fillId="8" borderId="3" xfId="0" applyFont="1" applyFill="1" applyBorder="1" applyAlignment="1">
      <alignment horizontal="center" vertical="center"/>
    </xf>
    <xf numFmtId="0" fontId="23" fillId="8" borderId="4" xfId="0" applyFont="1" applyFill="1" applyBorder="1" applyAlignment="1">
      <alignment horizontal="center" vertical="center"/>
    </xf>
    <xf numFmtId="0" fontId="23" fillId="8" borderId="1" xfId="0" applyFont="1" applyFill="1" applyBorder="1" applyAlignment="1">
      <alignment horizontal="center" vertical="center"/>
    </xf>
    <xf numFmtId="0" fontId="23" fillId="8" borderId="28" xfId="0" applyFont="1" applyFill="1" applyBorder="1" applyAlignment="1">
      <alignment horizontal="center" vertical="center"/>
    </xf>
    <xf numFmtId="0" fontId="23" fillId="8" borderId="1" xfId="0" applyFont="1" applyFill="1" applyBorder="1" applyAlignment="1">
      <alignment horizontal="center"/>
    </xf>
    <xf numFmtId="0" fontId="23" fillId="8" borderId="29" xfId="0" applyFont="1" applyFill="1" applyBorder="1" applyAlignment="1">
      <alignment horizontal="center" vertical="center"/>
    </xf>
    <xf numFmtId="0" fontId="23" fillId="8" borderId="30" xfId="0" applyFont="1" applyFill="1" applyBorder="1" applyAlignment="1">
      <alignment horizontal="center" vertical="center"/>
    </xf>
    <xf numFmtId="0" fontId="6" fillId="8" borderId="1" xfId="0" applyFont="1" applyFill="1" applyBorder="1" applyAlignment="1">
      <alignment horizontal="center" vertical="center"/>
    </xf>
    <xf numFmtId="0" fontId="6" fillId="8" borderId="28" xfId="0" applyFont="1" applyFill="1" applyBorder="1" applyAlignment="1">
      <alignment horizontal="center" vertical="center"/>
    </xf>
    <xf numFmtId="0" fontId="6" fillId="8" borderId="29" xfId="0" applyFont="1" applyFill="1" applyBorder="1" applyAlignment="1">
      <alignment horizontal="center" vertical="center"/>
    </xf>
    <xf numFmtId="0" fontId="6" fillId="8" borderId="30" xfId="0" applyFont="1" applyFill="1" applyBorder="1" applyAlignment="1">
      <alignment horizontal="center" vertical="center"/>
    </xf>
    <xf numFmtId="0" fontId="6" fillId="8" borderId="0" xfId="0" applyFont="1" applyFill="1" applyAlignment="1">
      <alignment horizontal="center" vertical="center"/>
    </xf>
    <xf numFmtId="0" fontId="6" fillId="8" borderId="7" xfId="0" applyFont="1" applyFill="1" applyBorder="1" applyAlignment="1">
      <alignment horizontal="center" vertical="center"/>
    </xf>
    <xf numFmtId="0" fontId="6" fillId="8" borderId="6" xfId="0" applyFont="1" applyFill="1" applyBorder="1" applyAlignment="1">
      <alignment horizontal="center" vertical="center"/>
    </xf>
    <xf numFmtId="0" fontId="6" fillId="8" borderId="8" xfId="0" applyFont="1" applyFill="1" applyBorder="1" applyAlignment="1">
      <alignment horizontal="center" vertical="center"/>
    </xf>
    <xf numFmtId="0" fontId="7" fillId="2" borderId="0" xfId="0" applyFont="1" applyFill="1" applyAlignment="1">
      <alignment horizontal="center" vertical="center"/>
    </xf>
    <xf numFmtId="0" fontId="7" fillId="9" borderId="6" xfId="0" applyFont="1" applyFill="1" applyBorder="1" applyAlignment="1">
      <alignment horizontal="center"/>
    </xf>
    <xf numFmtId="0" fontId="7" fillId="9" borderId="8" xfId="0" applyFont="1" applyFill="1" applyBorder="1" applyAlignment="1">
      <alignment horizontal="center"/>
    </xf>
    <xf numFmtId="0" fontId="7" fillId="2" borderId="3" xfId="0" applyFont="1" applyFill="1" applyBorder="1" applyAlignment="1">
      <alignment horizontal="center"/>
    </xf>
    <xf numFmtId="0" fontId="7" fillId="2" borderId="4" xfId="0" applyFont="1" applyFill="1" applyBorder="1" applyAlignment="1">
      <alignment horizontal="center"/>
    </xf>
    <xf numFmtId="0" fontId="7" fillId="9" borderId="7" xfId="0" applyFont="1" applyFill="1" applyBorder="1" applyAlignment="1">
      <alignment horizontal="center"/>
    </xf>
    <xf numFmtId="0" fontId="6" fillId="8" borderId="23" xfId="0" applyFont="1" applyFill="1" applyBorder="1" applyAlignment="1">
      <alignment horizontal="center" vertical="center"/>
    </xf>
    <xf numFmtId="10" fontId="7" fillId="2" borderId="2" xfId="1" applyNumberFormat="1" applyFont="1" applyFill="1" applyBorder="1" applyAlignment="1">
      <alignment horizontal="center"/>
    </xf>
    <xf numFmtId="10" fontId="7" fillId="2" borderId="3" xfId="1" applyNumberFormat="1" applyFont="1" applyFill="1" applyBorder="1" applyAlignment="1">
      <alignment horizontal="center"/>
    </xf>
    <xf numFmtId="0" fontId="24" fillId="17" borderId="1" xfId="0" applyFont="1" applyFill="1" applyBorder="1" applyAlignment="1">
      <alignment horizontal="center"/>
    </xf>
    <xf numFmtId="0" fontId="6" fillId="7" borderId="0" xfId="0" applyFont="1" applyFill="1" applyAlignment="1">
      <alignment horizontal="center" vertical="center"/>
    </xf>
    <xf numFmtId="0" fontId="6" fillId="3" borderId="0" xfId="0" applyFont="1" applyFill="1" applyAlignment="1">
      <alignment horizontal="center" vertical="center"/>
    </xf>
    <xf numFmtId="0" fontId="18" fillId="2" borderId="0" xfId="0" applyFont="1" applyFill="1" applyAlignment="1">
      <alignment horizontal="center"/>
    </xf>
    <xf numFmtId="0" fontId="18" fillId="2" borderId="0" xfId="0" applyFont="1" applyFill="1" applyAlignment="1">
      <alignment horizontal="center" vertical="center"/>
    </xf>
    <xf numFmtId="0" fontId="15" fillId="2" borderId="0" xfId="0" applyFont="1" applyFill="1" applyAlignment="1">
      <alignment horizontal="center" vertical="center"/>
    </xf>
    <xf numFmtId="0" fontId="6" fillId="11" borderId="2" xfId="0" applyFont="1" applyFill="1" applyBorder="1" applyAlignment="1">
      <alignment horizontal="center" vertical="center"/>
    </xf>
    <xf numFmtId="0" fontId="6" fillId="11" borderId="3" xfId="0" applyFont="1" applyFill="1" applyBorder="1" applyAlignment="1">
      <alignment horizontal="center" vertical="center"/>
    </xf>
    <xf numFmtId="0" fontId="6" fillId="11" borderId="4" xfId="0" applyFont="1" applyFill="1" applyBorder="1" applyAlignment="1">
      <alignment horizontal="center" vertical="center"/>
    </xf>
    <xf numFmtId="0" fontId="6" fillId="11" borderId="0" xfId="0" applyFont="1" applyFill="1" applyAlignment="1">
      <alignment horizontal="center" vertical="center"/>
    </xf>
    <xf numFmtId="0" fontId="19" fillId="2" borderId="0" xfId="0" applyFont="1" applyFill="1" applyAlignment="1">
      <alignment horizontal="center" vertical="center"/>
    </xf>
    <xf numFmtId="0" fontId="6" fillId="12" borderId="11" xfId="0" applyFont="1" applyFill="1" applyBorder="1" applyAlignment="1">
      <alignment horizontal="center"/>
    </xf>
    <xf numFmtId="0" fontId="6" fillId="12" borderId="23" xfId="0" applyFont="1" applyFill="1" applyBorder="1" applyAlignment="1">
      <alignment horizontal="center"/>
    </xf>
    <xf numFmtId="0" fontId="6" fillId="12" borderId="12" xfId="0" applyFont="1" applyFill="1" applyBorder="1" applyAlignment="1">
      <alignment horizontal="center"/>
    </xf>
    <xf numFmtId="0" fontId="2" fillId="2" borderId="11" xfId="0" applyFont="1" applyFill="1" applyBorder="1" applyAlignment="1">
      <alignment horizontal="center"/>
    </xf>
    <xf numFmtId="0" fontId="2" fillId="2" borderId="23" xfId="0" applyFont="1" applyFill="1" applyBorder="1" applyAlignment="1">
      <alignment horizontal="center"/>
    </xf>
    <xf numFmtId="0" fontId="2" fillId="2" borderId="12" xfId="0" applyFont="1" applyFill="1" applyBorder="1" applyAlignment="1">
      <alignment horizontal="center"/>
    </xf>
    <xf numFmtId="0" fontId="32" fillId="7" borderId="0" xfId="0" applyFont="1" applyFill="1" applyAlignment="1">
      <alignment horizontal="center" vertical="center"/>
    </xf>
    <xf numFmtId="0" fontId="26" fillId="2" borderId="18" xfId="0" applyFont="1" applyFill="1" applyBorder="1" applyAlignment="1">
      <alignment horizontal="center" vertical="center"/>
    </xf>
    <xf numFmtId="0" fontId="26" fillId="2" borderId="19" xfId="0" applyFont="1" applyFill="1" applyBorder="1" applyAlignment="1">
      <alignment horizontal="center" vertical="center"/>
    </xf>
    <xf numFmtId="0" fontId="26" fillId="2" borderId="16" xfId="0" applyFont="1" applyFill="1" applyBorder="1" applyAlignment="1">
      <alignment horizontal="center" vertical="center"/>
    </xf>
    <xf numFmtId="0" fontId="26" fillId="2" borderId="17" xfId="0" applyFont="1" applyFill="1" applyBorder="1" applyAlignment="1">
      <alignment horizontal="center" vertical="center"/>
    </xf>
    <xf numFmtId="0" fontId="33" fillId="10" borderId="10" xfId="0" applyFont="1" applyFill="1" applyBorder="1" applyAlignment="1">
      <alignment horizontal="left" vertical="center"/>
    </xf>
    <xf numFmtId="0" fontId="30" fillId="7" borderId="0" xfId="0" applyFont="1" applyFill="1" applyAlignment="1">
      <alignment horizontal="center" vertical="center"/>
    </xf>
    <xf numFmtId="10" fontId="30" fillId="7" borderId="10" xfId="1" applyNumberFormat="1" applyFont="1" applyFill="1" applyBorder="1" applyAlignment="1">
      <alignment horizontal="center" vertical="center"/>
    </xf>
    <xf numFmtId="0" fontId="32" fillId="8" borderId="0" xfId="0" applyFont="1" applyFill="1" applyAlignment="1">
      <alignment horizontal="center" vertical="center"/>
    </xf>
    <xf numFmtId="0" fontId="26" fillId="2" borderId="0" xfId="0" applyFont="1" applyFill="1" applyAlignment="1">
      <alignment horizontal="center" vertical="center"/>
    </xf>
    <xf numFmtId="0" fontId="26" fillId="2" borderId="21" xfId="0" applyFont="1" applyFill="1" applyBorder="1" applyAlignment="1">
      <alignment horizontal="center" vertical="center"/>
    </xf>
    <xf numFmtId="0" fontId="26" fillId="2" borderId="22" xfId="0" applyFont="1" applyFill="1" applyBorder="1" applyAlignment="1">
      <alignment horizontal="center" vertical="center"/>
    </xf>
    <xf numFmtId="0" fontId="33" fillId="10" borderId="2" xfId="0" applyFont="1" applyFill="1" applyBorder="1" applyAlignment="1">
      <alignment horizontal="left" vertical="center"/>
    </xf>
    <xf numFmtId="0" fontId="33" fillId="10" borderId="4" xfId="0" applyFont="1" applyFill="1" applyBorder="1" applyAlignment="1">
      <alignment horizontal="left" vertical="center"/>
    </xf>
    <xf numFmtId="0" fontId="30" fillId="8" borderId="0" xfId="0" applyFont="1" applyFill="1" applyAlignment="1">
      <alignment horizontal="center" vertical="center"/>
    </xf>
    <xf numFmtId="10" fontId="30" fillId="8" borderId="10" xfId="1" applyNumberFormat="1" applyFont="1" applyFill="1" applyBorder="1" applyAlignment="1">
      <alignment horizontal="center" vertical="center"/>
    </xf>
    <xf numFmtId="10" fontId="30" fillId="8" borderId="9" xfId="1" applyNumberFormat="1" applyFont="1" applyFill="1" applyBorder="1" applyAlignment="1">
      <alignment horizontal="center" vertical="center"/>
    </xf>
    <xf numFmtId="0" fontId="26" fillId="2" borderId="20" xfId="0" applyFont="1" applyFill="1" applyBorder="1" applyAlignment="1">
      <alignment horizontal="center" vertical="center"/>
    </xf>
    <xf numFmtId="0" fontId="30" fillId="8" borderId="13" xfId="0" applyFont="1" applyFill="1" applyBorder="1" applyAlignment="1">
      <alignment horizontal="center" vertical="center"/>
    </xf>
    <xf numFmtId="0" fontId="30" fillId="8" borderId="14" xfId="0" applyFont="1" applyFill="1" applyBorder="1" applyAlignment="1">
      <alignment horizontal="center" vertical="center"/>
    </xf>
    <xf numFmtId="0" fontId="30" fillId="8" borderId="15" xfId="0" applyFont="1" applyFill="1" applyBorder="1" applyAlignment="1">
      <alignment horizontal="center" vertical="center"/>
    </xf>
    <xf numFmtId="0" fontId="33" fillId="10" borderId="1" xfId="0" applyFont="1" applyFill="1" applyBorder="1" applyAlignment="1">
      <alignment horizontal="left" vertical="center"/>
    </xf>
  </cellXfs>
  <cellStyles count="3">
    <cellStyle name="Normal" xfId="0" builtinId="0"/>
    <cellStyle name="Normal 2" xfId="2" xr:uid="{00000000-0005-0000-0000-000001000000}"/>
    <cellStyle name="Porcentagem" xfId="1" builtinId="5"/>
  </cellStyles>
  <dxfs count="207">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ont>
        <color theme="0"/>
      </font>
      <fill>
        <patternFill>
          <bgColor rgb="FF7030A0"/>
        </patternFill>
      </fill>
    </dxf>
    <dxf>
      <fill>
        <patternFill>
          <bgColor rgb="FF7030A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ont>
        <color theme="0"/>
      </font>
      <fill>
        <patternFill>
          <bgColor rgb="FF7030A0"/>
        </patternFill>
      </fill>
    </dxf>
    <dxf>
      <fill>
        <patternFill>
          <bgColor rgb="FF7030A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ont>
        <color theme="0"/>
      </font>
      <fill>
        <patternFill>
          <bgColor rgb="FF7030A0"/>
        </patternFill>
      </fill>
    </dxf>
    <dxf>
      <fill>
        <patternFill>
          <bgColor rgb="FF7030A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ont>
        <color theme="0"/>
      </font>
      <fill>
        <patternFill>
          <bgColor rgb="FF7030A0"/>
        </patternFill>
      </fill>
    </dxf>
  </dxfs>
  <tableStyles count="0" defaultTableStyle="TableStyleMedium2" defaultPivotStyle="PivotStyleLight16"/>
  <colors>
    <mruColors>
      <color rgb="FFF58377"/>
      <color rgb="FFFF6600"/>
      <color rgb="FFE7CA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7.8169631186539912E-2"/>
          <c:w val="0.93888888888888888"/>
          <c:h val="0.81443130365676397"/>
        </c:manualLayout>
      </c:layout>
      <c:barChart>
        <c:barDir val="col"/>
        <c:grouping val="clustered"/>
        <c:varyColors val="0"/>
        <c:ser>
          <c:idx val="0"/>
          <c:order val="0"/>
          <c:tx>
            <c:strRef>
              <c:f>'DADOS - FREGUESIA DO Ó'!$C$6</c:f>
              <c:strCache>
                <c:ptCount val="1"/>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FREGUESIA DO Ó'!$B$7</c:f>
              <c:strCache>
                <c:ptCount val="1"/>
                <c:pt idx="0">
                  <c:v>IT (%)</c:v>
                </c:pt>
              </c:strCache>
            </c:strRef>
          </c:cat>
          <c:val>
            <c:numRef>
              <c:f>'DADOS - FREGUESIA DO Ó'!$C$7</c:f>
              <c:numCache>
                <c:formatCode>0.00%</c:formatCode>
                <c:ptCount val="1"/>
              </c:numCache>
            </c:numRef>
          </c:val>
          <c:extLst>
            <c:ext xmlns:c16="http://schemas.microsoft.com/office/drawing/2014/chart" uri="{C3380CC4-5D6E-409C-BE32-E72D297353CC}">
              <c16:uniqueId val="{00000000-1201-49ED-9F30-DE47A83A00E8}"/>
            </c:ext>
          </c:extLst>
        </c:ser>
        <c:dLbls>
          <c:dLblPos val="outEnd"/>
          <c:showLegendKey val="0"/>
          <c:showVal val="1"/>
          <c:showCatName val="0"/>
          <c:showSerName val="0"/>
          <c:showPercent val="0"/>
          <c:showBubbleSize val="0"/>
        </c:dLbls>
        <c:gapWidth val="219"/>
        <c:overlap val="-27"/>
        <c:axId val="150302512"/>
        <c:axId val="150304472"/>
        <c:extLst>
          <c:ext xmlns:c15="http://schemas.microsoft.com/office/drawing/2012/chart" uri="{02D57815-91ED-43cb-92C2-25804820EDAC}">
            <c15:filteredBarSeries>
              <c15:ser>
                <c:idx val="1"/>
                <c:order val="1"/>
                <c:tx>
                  <c:strRef>
                    <c:extLst>
                      <c:ext uri="{02D57815-91ED-43cb-92C2-25804820EDAC}">
                        <c15:formulaRef>
                          <c15:sqref>'DADOS - FREGUESIA DO Ó'!$D$6</c15:sqref>
                        </c15:formulaRef>
                      </c:ext>
                    </c:extLst>
                    <c:strCache>
                      <c:ptCount val="1"/>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'DADOS - FREGUESIA DO Ó'!$B$7</c15:sqref>
                        </c15:formulaRef>
                      </c:ext>
                    </c:extLst>
                    <c:strCache>
                      <c:ptCount val="1"/>
                      <c:pt idx="0">
                        <c:v>IT (%)</c:v>
                      </c:pt>
                    </c:strCache>
                  </c:strRef>
                </c:cat>
                <c:val>
                  <c:numRef>
                    <c:extLst>
                      <c:ext uri="{02D57815-91ED-43cb-92C2-25804820EDAC}">
                        <c15:formulaRef>
                          <c15:sqref>'DADOS - FREGUESIA DO Ó'!$D$7</c15:sqref>
                        </c15:formulaRef>
                      </c:ext>
                    </c:extLst>
                    <c:numCache>
                      <c:formatCode>General</c:formatCode>
                      <c:ptCount val="1"/>
                    </c:numCache>
                  </c:numRef>
                </c:val>
                <c:extLst>
                  <c:ext xmlns:c16="http://schemas.microsoft.com/office/drawing/2014/chart" uri="{C3380CC4-5D6E-409C-BE32-E72D297353CC}">
                    <c16:uniqueId val="{00000001-1201-49ED-9F30-DE47A83A00E8}"/>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'DADOS - FREGUESIA DO Ó'!$E$6</c15:sqref>
                        </c15:formulaRef>
                      </c:ext>
                    </c:extLst>
                    <c:strCache>
                      <c:ptCount val="1"/>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'DADOS - FREGUESIA DO Ó'!$B$7</c15:sqref>
                        </c15:formulaRef>
                      </c:ext>
                    </c:extLst>
                    <c:strCache>
                      <c:ptCount val="1"/>
                      <c:pt idx="0">
                        <c:v>IT (%)</c:v>
                      </c:pt>
                    </c:strCache>
                  </c:strRef>
                </c:cat>
                <c:val>
                  <c:numRef>
                    <c:extLst xmlns:c15="http://schemas.microsoft.com/office/drawing/2012/chart">
                      <c:ext xmlns:c15="http://schemas.microsoft.com/office/drawing/2012/chart" uri="{02D57815-91ED-43cb-92C2-25804820EDAC}">
                        <c15:formulaRef>
                          <c15:sqref>'DADOS - FREGUESIA DO Ó'!$E$7</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201-49ED-9F30-DE47A83A00E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'DADOS - FREGUESIA DO Ó'!$F$6</c15:sqref>
                        </c15:formulaRef>
                      </c:ext>
                    </c:extLst>
                    <c:strCache>
                      <c:ptCount val="1"/>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'DADOS - FREGUESIA DO Ó'!$B$7</c15:sqref>
                        </c15:formulaRef>
                      </c:ext>
                    </c:extLst>
                    <c:strCache>
                      <c:ptCount val="1"/>
                      <c:pt idx="0">
                        <c:v>IT (%)</c:v>
                      </c:pt>
                    </c:strCache>
                  </c:strRef>
                </c:cat>
                <c:val>
                  <c:numRef>
                    <c:extLst xmlns:c15="http://schemas.microsoft.com/office/drawing/2012/chart">
                      <c:ext xmlns:c15="http://schemas.microsoft.com/office/drawing/2012/chart" uri="{02D57815-91ED-43cb-92C2-25804820EDAC}">
                        <c15:formulaRef>
                          <c15:sqref>'DADOS - FREGUESIA DO Ó'!$F$7</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201-49ED-9F30-DE47A83A00E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'DADOS - FREGUESIA DO Ó'!$G$6</c15:sqref>
                        </c15:formulaRef>
                      </c:ext>
                    </c:extLst>
                    <c:strCache>
                      <c:ptCount val="1"/>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'DADOS - FREGUESIA DO Ó'!$B$7</c15:sqref>
                        </c15:formulaRef>
                      </c:ext>
                    </c:extLst>
                    <c:strCache>
                      <c:ptCount val="1"/>
                      <c:pt idx="0">
                        <c:v>IT (%)</c:v>
                      </c:pt>
                    </c:strCache>
                  </c:strRef>
                </c:cat>
                <c:val>
                  <c:numRef>
                    <c:extLst xmlns:c15="http://schemas.microsoft.com/office/drawing/2012/chart">
                      <c:ext xmlns:c15="http://schemas.microsoft.com/office/drawing/2012/chart" uri="{02D57815-91ED-43cb-92C2-25804820EDAC}">
                        <c15:formulaRef>
                          <c15:sqref>'DADOS - FREGUESIA DO Ó'!$G$7</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1201-49ED-9F30-DE47A83A00E8}"/>
                  </c:ext>
                </c:extLst>
              </c15:ser>
            </c15:filteredBarSeries>
          </c:ext>
        </c:extLst>
      </c:barChart>
      <c:catAx>
        <c:axId val="15030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304472"/>
        <c:crosses val="autoZero"/>
        <c:auto val="1"/>
        <c:lblAlgn val="ctr"/>
        <c:lblOffset val="100"/>
        <c:noMultiLvlLbl val="0"/>
      </c:catAx>
      <c:valAx>
        <c:axId val="150304472"/>
        <c:scaling>
          <c:orientation val="minMax"/>
        </c:scaling>
        <c:delete val="1"/>
        <c:axPos val="l"/>
        <c:numFmt formatCode="0.00%" sourceLinked="1"/>
        <c:majorTickMark val="none"/>
        <c:minorTickMark val="none"/>
        <c:tickLblPos val="nextTo"/>
        <c:crossAx val="15030251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476020042951E-2"/>
          <c:y val="0.10164305299744657"/>
          <c:w val="0.93888888888888888"/>
          <c:h val="0.73428314777865777"/>
        </c:manualLayout>
      </c:layout>
      <c:barChart>
        <c:barDir val="col"/>
        <c:grouping val="clustered"/>
        <c:varyColors val="0"/>
        <c:ser>
          <c:idx val="0"/>
          <c:order val="0"/>
          <c:tx>
            <c:strRef>
              <c:f>'DADOS - FREGUESIA DO Ó'!$B$24</c:f>
              <c:strCache>
                <c:ptCount val="1"/>
                <c:pt idx="0">
                  <c:v>ÍNDICE DE QUALIDADE SABESP - IQS (%)</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2E1E-4128-B0FB-3C9B5E6FE1F5}"/>
              </c:ext>
            </c:extLst>
          </c:dPt>
          <c:dLbls>
            <c:spPr>
              <a:noFill/>
              <a:ln>
                <a:noFill/>
              </a:ln>
              <a:effectLst/>
            </c:spPr>
            <c:txPr>
              <a:bodyPr rot="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FREGUESIA DO Ó'!$G$31</c:f>
              <c:strCache>
                <c:ptCount val="1"/>
                <c:pt idx="0">
                  <c:v>IQS (%):</c:v>
                </c:pt>
              </c:strCache>
            </c:strRef>
          </c:cat>
          <c:val>
            <c:numRef>
              <c:f>'DADOS - FREGUESIA DO Ó'!$G$30</c:f>
              <c:numCache>
                <c:formatCode>0.00%</c:formatCode>
                <c:ptCount val="1"/>
                <c:pt idx="0">
                  <c:v>0.6088227781686647</c:v>
                </c:pt>
              </c:numCache>
            </c:numRef>
          </c:val>
          <c:extLst>
            <c:ext xmlns:c16="http://schemas.microsoft.com/office/drawing/2014/chart" uri="{C3380CC4-5D6E-409C-BE32-E72D297353CC}">
              <c16:uniqueId val="{00000002-2E1E-4128-B0FB-3C9B5E6FE1F5}"/>
            </c:ext>
          </c:extLst>
        </c:ser>
        <c:dLbls>
          <c:dLblPos val="outEnd"/>
          <c:showLegendKey val="0"/>
          <c:showVal val="1"/>
          <c:showCatName val="0"/>
          <c:showSerName val="0"/>
          <c:showPercent val="0"/>
          <c:showBubbleSize val="0"/>
        </c:dLbls>
        <c:gapWidth val="219"/>
        <c:overlap val="-27"/>
        <c:axId val="150299376"/>
        <c:axId val="150297024"/>
        <c:extLst/>
      </c:barChart>
      <c:catAx>
        <c:axId val="15029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297024"/>
        <c:crosses val="autoZero"/>
        <c:auto val="1"/>
        <c:lblAlgn val="ctr"/>
        <c:lblOffset val="100"/>
        <c:noMultiLvlLbl val="0"/>
      </c:catAx>
      <c:valAx>
        <c:axId val="150297024"/>
        <c:scaling>
          <c:orientation val="minMax"/>
          <c:max val="1"/>
        </c:scaling>
        <c:delete val="1"/>
        <c:axPos val="l"/>
        <c:numFmt formatCode="0.00%" sourceLinked="1"/>
        <c:majorTickMark val="out"/>
        <c:minorTickMark val="none"/>
        <c:tickLblPos val="nextTo"/>
        <c:crossAx val="15029937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'DADOS - FREGUESIA DO Ó'!$C$9:$C$10</c:f>
              <c:strCache>
                <c:ptCount val="2"/>
                <c:pt idx="1">
                  <c:v>IC (%)</c:v>
                </c:pt>
              </c:strCache>
            </c:strRef>
          </c:tx>
          <c:spPr>
            <a:solidFill>
              <a:schemeClr val="accent1"/>
            </a:solidFill>
            <a:ln>
              <a:noFill/>
            </a:ln>
            <a:effectLst/>
          </c:spPr>
          <c:invertIfNegative val="0"/>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1-7DC7-484C-83C8-0C64084A768B}"/>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3-7DC7-484C-83C8-0C64084A768B}"/>
              </c:ext>
            </c:extLst>
          </c:dPt>
          <c:dLbls>
            <c:dLbl>
              <c:idx val="0"/>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extLst>
                <c:ext xmlns:c16="http://schemas.microsoft.com/office/drawing/2014/chart" uri="{C3380CC4-5D6E-409C-BE32-E72D297353CC}">
                  <c16:uniqueId val="{00000004-B1F3-485D-9C43-43944CDFFCF2}"/>
                </c:ext>
              </c:extLst>
            </c:dLbl>
            <c:dLbl>
              <c:idx val="1"/>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extLst>
                <c:ext xmlns:c16="http://schemas.microsoft.com/office/drawing/2014/chart" uri="{C3380CC4-5D6E-409C-BE32-E72D297353CC}">
                  <c16:uniqueId val="{00000001-7DC7-484C-83C8-0C64084A768B}"/>
                </c:ext>
              </c:extLst>
            </c:dLbl>
            <c:dLbl>
              <c:idx val="2"/>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extLst>
                <c:ext xmlns:c16="http://schemas.microsoft.com/office/drawing/2014/chart" uri="{C3380CC4-5D6E-409C-BE32-E72D297353CC}">
                  <c16:uniqueId val="{00000003-7DC7-484C-83C8-0C64084A768B}"/>
                </c:ext>
              </c:extLst>
            </c:dLbl>
            <c:spPr>
              <a:noFill/>
              <a:ln>
                <a:noFill/>
              </a:ln>
              <a:effectLst/>
            </c:spPr>
            <c:txPr>
              <a:bodyPr rot="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FREGUESIA DO Ó'!$B$11:$B$13</c:f>
              <c:strCache>
                <c:ptCount val="3"/>
                <c:pt idx="0">
                  <c:v>Água</c:v>
                </c:pt>
                <c:pt idx="1">
                  <c:v>Esgoto</c:v>
                </c:pt>
                <c:pt idx="2">
                  <c:v>Reposição</c:v>
                </c:pt>
              </c:strCache>
            </c:strRef>
          </c:cat>
          <c:val>
            <c:numRef>
              <c:f>'DADOS - FREGUESIA DO Ó'!$C$11:$C$13</c:f>
              <c:numCache>
                <c:formatCode>0.00%</c:formatCode>
                <c:ptCount val="3"/>
                <c:pt idx="0">
                  <c:v>1</c:v>
                </c:pt>
                <c:pt idx="1">
                  <c:v>0.5</c:v>
                </c:pt>
                <c:pt idx="2">
                  <c:v>0.1</c:v>
                </c:pt>
              </c:numCache>
            </c:numRef>
          </c:val>
          <c:extLst>
            <c:ext xmlns:c16="http://schemas.microsoft.com/office/drawing/2014/chart" uri="{C3380CC4-5D6E-409C-BE32-E72D297353CC}">
              <c16:uniqueId val="{00000004-7DC7-484C-83C8-0C64084A768B}"/>
            </c:ext>
          </c:extLst>
        </c:ser>
        <c:dLbls>
          <c:dLblPos val="outEnd"/>
          <c:showLegendKey val="0"/>
          <c:showVal val="1"/>
          <c:showCatName val="0"/>
          <c:showSerName val="0"/>
          <c:showPercent val="0"/>
          <c:showBubbleSize val="0"/>
        </c:dLbls>
        <c:gapWidth val="96"/>
        <c:overlap val="-27"/>
        <c:axId val="150297416"/>
        <c:axId val="150303296"/>
        <c:extLst/>
      </c:barChart>
      <c:catAx>
        <c:axId val="150297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303296"/>
        <c:crosses val="autoZero"/>
        <c:auto val="1"/>
        <c:lblAlgn val="ctr"/>
        <c:lblOffset val="100"/>
        <c:noMultiLvlLbl val="0"/>
      </c:catAx>
      <c:valAx>
        <c:axId val="150303296"/>
        <c:scaling>
          <c:orientation val="minMax"/>
          <c:max val="1"/>
        </c:scaling>
        <c:delete val="1"/>
        <c:axPos val="l"/>
        <c:numFmt formatCode="0.00%" sourceLinked="1"/>
        <c:majorTickMark val="out"/>
        <c:minorTickMark val="none"/>
        <c:tickLblPos val="nextTo"/>
        <c:crossAx val="1502974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20132913746185"/>
          <c:y val="8.3559059169948324E-2"/>
          <c:w val="0.6509543430325111"/>
          <c:h val="0.78373987807231327"/>
        </c:manualLayout>
      </c:layout>
      <c:barChart>
        <c:barDir val="bar"/>
        <c:grouping val="clustered"/>
        <c:varyColors val="0"/>
        <c:ser>
          <c:idx val="0"/>
          <c:order val="0"/>
          <c:tx>
            <c:strRef>
              <c:f>'DADOS - FREGUESIA DO Ó'!$C$15</c:f>
              <c:strCache>
                <c:ptCount val="1"/>
              </c:strCache>
            </c:strRef>
          </c:tx>
          <c:spPr>
            <a:solidFill>
              <a:schemeClr val="accent1"/>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2659-4C1F-AA16-7B5926CE2589}"/>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2659-4C1F-AA16-7B5926CE2589}"/>
              </c:ext>
            </c:extLst>
          </c:dPt>
          <c:dPt>
            <c:idx val="2"/>
            <c:invertIfNegative val="0"/>
            <c:bubble3D val="0"/>
            <c:spPr>
              <a:solidFill>
                <a:srgbClr val="F58377"/>
              </a:solidFill>
              <a:ln>
                <a:noFill/>
              </a:ln>
              <a:effectLst/>
            </c:spPr>
            <c:extLst>
              <c:ext xmlns:c16="http://schemas.microsoft.com/office/drawing/2014/chart" uri="{C3380CC4-5D6E-409C-BE32-E72D297353CC}">
                <c16:uniqueId val="{00000005-2659-4C1F-AA16-7B5926CE2589}"/>
              </c:ext>
            </c:extLst>
          </c:dPt>
          <c:dPt>
            <c:idx val="3"/>
            <c:invertIfNegative val="0"/>
            <c:bubble3D val="0"/>
            <c:spPr>
              <a:solidFill>
                <a:srgbClr val="FFC000"/>
              </a:solidFill>
              <a:ln>
                <a:noFill/>
              </a:ln>
              <a:effectLst/>
            </c:spPr>
            <c:extLst>
              <c:ext xmlns:c16="http://schemas.microsoft.com/office/drawing/2014/chart" uri="{C3380CC4-5D6E-409C-BE32-E72D297353CC}">
                <c16:uniqueId val="{00000007-2659-4C1F-AA16-7B5926CE2589}"/>
              </c:ext>
            </c:extLst>
          </c:dPt>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FREGUESIA DO Ó'!$B$16:$B$19</c:f>
              <c:strCache>
                <c:ptCount val="4"/>
                <c:pt idx="0">
                  <c:v>QUALIDADE</c:v>
                </c:pt>
                <c:pt idx="1">
                  <c:v>PRAZO</c:v>
                </c:pt>
                <c:pt idx="2">
                  <c:v>SEGURANÇA</c:v>
                </c:pt>
                <c:pt idx="3">
                  <c:v>ORGANIZAÇÃO</c:v>
                </c:pt>
              </c:strCache>
            </c:strRef>
          </c:cat>
          <c:val>
            <c:numRef>
              <c:f>'DADOS - FREGUESIA DO Ó'!$C$16:$C$19</c:f>
              <c:numCache>
                <c:formatCode>0.00%</c:formatCode>
                <c:ptCount val="4"/>
                <c:pt idx="0">
                  <c:v>0</c:v>
                </c:pt>
                <c:pt idx="1">
                  <c:v>0</c:v>
                </c:pt>
                <c:pt idx="2">
                  <c:v>0</c:v>
                </c:pt>
                <c:pt idx="3">
                  <c:v>0</c:v>
                </c:pt>
              </c:numCache>
            </c:numRef>
          </c:val>
          <c:extLst>
            <c:ext xmlns:c16="http://schemas.microsoft.com/office/drawing/2014/chart" uri="{C3380CC4-5D6E-409C-BE32-E72D297353CC}">
              <c16:uniqueId val="{00000008-2659-4C1F-AA16-7B5926CE2589}"/>
            </c:ext>
          </c:extLst>
        </c:ser>
        <c:dLbls>
          <c:dLblPos val="outEnd"/>
          <c:showLegendKey val="0"/>
          <c:showVal val="1"/>
          <c:showCatName val="0"/>
          <c:showSerName val="0"/>
          <c:showPercent val="0"/>
          <c:showBubbleSize val="0"/>
        </c:dLbls>
        <c:gapWidth val="38"/>
        <c:overlap val="-14"/>
        <c:axId val="150298984"/>
        <c:axId val="150301728"/>
      </c:barChart>
      <c:catAx>
        <c:axId val="150298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301728"/>
        <c:crosses val="autoZero"/>
        <c:auto val="1"/>
        <c:lblAlgn val="ctr"/>
        <c:lblOffset val="100"/>
        <c:noMultiLvlLbl val="0"/>
      </c:catAx>
      <c:valAx>
        <c:axId val="150301728"/>
        <c:scaling>
          <c:orientation val="minMax"/>
          <c:max val="1"/>
        </c:scaling>
        <c:delete val="0"/>
        <c:axPos val="b"/>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298984"/>
        <c:crosses val="autoZero"/>
        <c:crossBetween val="between"/>
        <c:majorUnit val="0.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LV's</c:v>
          </c:tx>
          <c:spPr>
            <a:solidFill>
              <a:schemeClr val="accent1"/>
            </a:solidFill>
            <a:ln>
              <a:noFill/>
            </a:ln>
            <a:effectLst/>
          </c:spPr>
          <c:invertIfNegative val="0"/>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0-6BA8-42CF-A58C-10FC40B36235}"/>
              </c:ext>
            </c:extLst>
          </c:dPt>
          <c:dPt>
            <c:idx val="2"/>
            <c:invertIfNegative val="0"/>
            <c:bubble3D val="0"/>
            <c:spPr>
              <a:solidFill>
                <a:srgbClr val="757171"/>
              </a:solidFill>
              <a:ln>
                <a:noFill/>
              </a:ln>
              <a:effectLst/>
            </c:spPr>
            <c:extLst>
              <c:ext xmlns:c16="http://schemas.microsoft.com/office/drawing/2014/chart" uri="{C3380CC4-5D6E-409C-BE32-E72D297353CC}">
                <c16:uniqueId val="{00000000-BB5C-4297-A0DF-ADE561F05E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FREGUESIA DO Ó'!$B$11:$B$13</c:f>
              <c:strCache>
                <c:ptCount val="3"/>
                <c:pt idx="0">
                  <c:v>Água</c:v>
                </c:pt>
                <c:pt idx="1">
                  <c:v>Esgoto</c:v>
                </c:pt>
                <c:pt idx="2">
                  <c:v>Reposição</c:v>
                </c:pt>
              </c:strCache>
            </c:strRef>
          </c:cat>
          <c:val>
            <c:numRef>
              <c:f>'DADOS - FREGUESIA DO Ó'!$E$11:$E$13</c:f>
              <c:numCache>
                <c:formatCode>General</c:formatCode>
                <c:ptCount val="3"/>
                <c:pt idx="0">
                  <c:v>100</c:v>
                </c:pt>
                <c:pt idx="1">
                  <c:v>50</c:v>
                </c:pt>
                <c:pt idx="2">
                  <c:v>1</c:v>
                </c:pt>
              </c:numCache>
            </c:numRef>
          </c:val>
          <c:extLst>
            <c:ext xmlns:c16="http://schemas.microsoft.com/office/drawing/2014/chart" uri="{C3380CC4-5D6E-409C-BE32-E72D297353CC}">
              <c16:uniqueId val="{00000006-F933-41A3-AB77-5EB3D96C9230}"/>
            </c:ext>
          </c:extLst>
        </c:ser>
        <c:dLbls>
          <c:dLblPos val="outEnd"/>
          <c:showLegendKey val="0"/>
          <c:showVal val="1"/>
          <c:showCatName val="0"/>
          <c:showSerName val="0"/>
          <c:showPercent val="0"/>
          <c:showBubbleSize val="0"/>
        </c:dLbls>
        <c:gapWidth val="96"/>
        <c:overlap val="-27"/>
        <c:axId val="150297416"/>
        <c:axId val="150303296"/>
        <c:extLst/>
      </c:barChart>
      <c:catAx>
        <c:axId val="150297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303296"/>
        <c:crosses val="autoZero"/>
        <c:auto val="1"/>
        <c:lblAlgn val="ctr"/>
        <c:lblOffset val="100"/>
        <c:tickLblSkip val="1"/>
        <c:noMultiLvlLbl val="0"/>
      </c:catAx>
      <c:valAx>
        <c:axId val="150303296"/>
        <c:scaling>
          <c:orientation val="minMax"/>
        </c:scaling>
        <c:delete val="1"/>
        <c:axPos val="l"/>
        <c:numFmt formatCode="General" sourceLinked="1"/>
        <c:majorTickMark val="none"/>
        <c:minorTickMark val="none"/>
        <c:tickLblPos val="nextTo"/>
        <c:crossAx val="1502974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r>
              <a:rPr lang="pt-BR" sz="2800">
                <a:latin typeface="Arial Black" panose="020B0A04020102020204" pitchFamily="34" charset="0"/>
                <a:cs typeface="Arial" panose="020B0604020202020204" pitchFamily="34" charset="0"/>
              </a:rPr>
              <a:t>CONFORMIDADES - ETAPAS (%)</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title>
    <c:autoTitleDeleted val="0"/>
    <c:plotArea>
      <c:layout>
        <c:manualLayout>
          <c:layoutTarget val="inner"/>
          <c:xMode val="edge"/>
          <c:yMode val="edge"/>
          <c:x val="1.531199911142803E-2"/>
          <c:y val="0.25222387082079195"/>
          <c:w val="0.97242924138475473"/>
          <c:h val="0.42503477713678323"/>
        </c:manualLayout>
      </c:layout>
      <c:barChart>
        <c:barDir val="col"/>
        <c:grouping val="clustered"/>
        <c:varyColors val="0"/>
        <c:ser>
          <c:idx val="0"/>
          <c:order val="0"/>
          <c:tx>
            <c:strRef>
              <c:f>'DADOS - FREGUESIA DO Ó'!$F$172</c:f>
              <c:strCache>
                <c:ptCount val="1"/>
                <c:pt idx="0">
                  <c:v>CONFORME (%)</c:v>
                </c:pt>
              </c:strCache>
            </c:strRef>
          </c:tx>
          <c:spPr>
            <a:solidFill>
              <a:schemeClr val="accent1"/>
            </a:solidFill>
            <a:ln>
              <a:noFill/>
            </a:ln>
            <a:effectLst/>
          </c:spPr>
          <c:invertIfNegative val="0"/>
          <c:dLbls>
            <c:spPr>
              <a:noFill/>
              <a:ln>
                <a:noFill/>
              </a:ln>
              <a:effectLst/>
            </c:spPr>
            <c:txPr>
              <a:bodyPr rot="-5400000" spcFirstLastPara="1" vertOverflow="ellipsis" wrap="square" anchor="ctr" anchorCtr="1"/>
              <a:lstStyle/>
              <a:p>
                <a:pPr>
                  <a:defRPr sz="24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FREGUESIA DO Ó'!$B$62:$B$69</c:f>
              <c:strCache>
                <c:ptCount val="8"/>
                <c:pt idx="0">
                  <c:v>FACHADA</c:v>
                </c:pt>
                <c:pt idx="1">
                  <c:v>SINALIZAÇÃO</c:v>
                </c:pt>
                <c:pt idx="2">
                  <c:v>ENCERADO</c:v>
                </c:pt>
                <c:pt idx="3">
                  <c:v>GEOMETRIA</c:v>
                </c:pt>
                <c:pt idx="4">
                  <c:v>BERÇO DE AREIA</c:v>
                </c:pt>
                <c:pt idx="5">
                  <c:v>ESTANQUEIDADE</c:v>
                </c:pt>
                <c:pt idx="6">
                  <c:v>COMPACTAÇÃO</c:v>
                </c:pt>
                <c:pt idx="7">
                  <c:v>FINALIZAÇÃO</c:v>
                </c:pt>
              </c:strCache>
            </c:strRef>
          </c:cat>
          <c:val>
            <c:numRef>
              <c:f>'DADOS - FREGUESIA DO Ó'!$F$62:$F$69</c:f>
              <c:numCache>
                <c:formatCode>0.00%</c:formatCode>
                <c:ptCount val="8"/>
                <c:pt idx="0">
                  <c:v>0.89043824701195218</c:v>
                </c:pt>
                <c:pt idx="1">
                  <c:v>0.85564853556485354</c:v>
                </c:pt>
                <c:pt idx="2">
                  <c:v>0.8253275109170306</c:v>
                </c:pt>
                <c:pt idx="3">
                  <c:v>0.84666666666666668</c:v>
                </c:pt>
                <c:pt idx="4">
                  <c:v>0.81447963800904977</c:v>
                </c:pt>
                <c:pt idx="5">
                  <c:v>0.74587458745874591</c:v>
                </c:pt>
                <c:pt idx="6">
                  <c:v>0.82505399568034554</c:v>
                </c:pt>
                <c:pt idx="7">
                  <c:v>0.81349206349206349</c:v>
                </c:pt>
              </c:numCache>
            </c:numRef>
          </c:val>
          <c:extLst>
            <c:ext xmlns:c16="http://schemas.microsoft.com/office/drawing/2014/chart" uri="{C3380CC4-5D6E-409C-BE32-E72D297353CC}">
              <c16:uniqueId val="{00000000-832D-43CA-A6EB-4467C12F7822}"/>
            </c:ext>
          </c:extLst>
        </c:ser>
        <c:dLbls>
          <c:dLblPos val="outEnd"/>
          <c:showLegendKey val="0"/>
          <c:showVal val="1"/>
          <c:showCatName val="0"/>
          <c:showSerName val="0"/>
          <c:showPercent val="0"/>
          <c:showBubbleSize val="0"/>
        </c:dLbls>
        <c:gapWidth val="219"/>
        <c:overlap val="-27"/>
        <c:axId val="150759136"/>
        <c:axId val="150757960"/>
      </c:barChart>
      <c:catAx>
        <c:axId val="15075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8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crossAx val="150757960"/>
        <c:crosses val="autoZero"/>
        <c:auto val="1"/>
        <c:lblAlgn val="ctr"/>
        <c:lblOffset val="100"/>
        <c:noMultiLvlLbl val="0"/>
      </c:catAx>
      <c:valAx>
        <c:axId val="150757960"/>
        <c:scaling>
          <c:orientation val="minMax"/>
          <c:max val="1"/>
        </c:scaling>
        <c:delete val="1"/>
        <c:axPos val="l"/>
        <c:numFmt formatCode="0.00%" sourceLinked="1"/>
        <c:majorTickMark val="out"/>
        <c:minorTickMark val="none"/>
        <c:tickLblPos val="nextTo"/>
        <c:crossAx val="150759136"/>
        <c:crosses val="autoZero"/>
        <c:crossBetween val="between"/>
      </c:valAx>
      <c:spPr>
        <a:noFill/>
        <a:ln>
          <a:noFill/>
        </a:ln>
        <a:effectLst/>
      </c:spPr>
    </c:plotArea>
    <c:legend>
      <c:legendPos val="b"/>
      <c:layout>
        <c:manualLayout>
          <c:xMode val="edge"/>
          <c:yMode val="edge"/>
          <c:x val="0.39359072104018905"/>
          <c:y val="0.9210558333333333"/>
          <c:w val="0.19346517256450932"/>
          <c:h val="7.807444444444446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Tahoma" panose="020B0604030504040204" pitchFamily="34" charset="0"/>
                <a:cs typeface="Tahoma" panose="020B0604030504040204" pitchFamily="34" charset="0"/>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TEMPO DE EXECUÇÃO</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5286802598374047"/>
          <c:y val="0.13951153414116096"/>
          <c:w val="0.51182375872886243"/>
          <c:h val="0.73890179599621475"/>
        </c:manualLayout>
      </c:layout>
      <c:pie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C0C-4CA4-A2FC-7892E433BB69}"/>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CC0C-4CA4-A2FC-7892E433BB69}"/>
              </c:ext>
            </c:extLst>
          </c:dPt>
          <c:dLbls>
            <c:dLbl>
              <c:idx val="0"/>
              <c:layout>
                <c:manualLayout>
                  <c:x val="0.26785127541489312"/>
                  <c:y val="0.85226000307351357"/>
                </c:manualLayout>
              </c:layout>
              <c:tx>
                <c:rich>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2A58C6F4-B231-424E-9B80-5E1049425616}" type="CATEGORYNAM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54E887FA-146D-4A5E-BCCB-520D85D38558}" type="VALU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F484959F-59E3-4CF1-901E-0814955F842B}" type="PERCENTAG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1">
                      <a:solidFill>
                        <a:srgbClr val="002060"/>
                      </a:solidFill>
                      <a:latin typeface="Arial" panose="020B0604020202020204" pitchFamily="34" charset="0"/>
                      <a:ea typeface="Tahoma" panose="020B0604030504040204" pitchFamily="34" charset="0"/>
                      <a:cs typeface="Arial" panose="020B0604020202020204" pitchFamily="34" charset="0"/>
                    </a:endParaRPr>
                  </a:p>
                </c:rich>
              </c:tx>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dLblPos val="bestFit"/>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5279826388888885"/>
                      <c:h val="0.14757532679738561"/>
                    </c:manualLayout>
                  </c15:layout>
                  <c15:dlblFieldTable/>
                  <c15:showDataLabelsRange val="0"/>
                </c:ext>
                <c:ext xmlns:c16="http://schemas.microsoft.com/office/drawing/2014/chart" uri="{C3380CC4-5D6E-409C-BE32-E72D297353CC}">
                  <c16:uniqueId val="{00000001-CC0C-4CA4-A2FC-7892E433BB69}"/>
                </c:ext>
              </c:extLst>
            </c:dLbl>
            <c:dLbl>
              <c:idx val="1"/>
              <c:layout>
                <c:manualLayout>
                  <c:x val="-0.3693974340984148"/>
                  <c:y val="-0.71892410847885346"/>
                </c:manualLayout>
              </c:layout>
              <c:tx>
                <c:rich>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492F35AB-C4D3-4D03-9208-4DF176E44099}" type="CATEGORYNAM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F3C34A50-719B-4770-9F64-BCF14F90EA6D}" type="VALU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266ED5CE-9937-4851-91A1-8D3054EF78F1}" type="PERCENTAG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1">
                      <a:solidFill>
                        <a:srgbClr val="002060"/>
                      </a:solidFill>
                      <a:latin typeface="Arial" panose="020B0604020202020204" pitchFamily="34" charset="0"/>
                      <a:ea typeface="Tahoma" panose="020B0604030504040204" pitchFamily="34" charset="0"/>
                      <a:cs typeface="Arial" panose="020B0604020202020204" pitchFamily="34" charset="0"/>
                    </a:endParaRPr>
                  </a:p>
                </c:rich>
              </c:tx>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dLblPos val="bestFit"/>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7876604194554971"/>
                      <c:h val="0.15418610287401643"/>
                    </c:manualLayout>
                  </c15:layout>
                  <c15:dlblFieldTable/>
                  <c15:showDataLabelsRange val="0"/>
                </c:ext>
                <c:ext xmlns:c16="http://schemas.microsoft.com/office/drawing/2014/chart" uri="{C3380CC4-5D6E-409C-BE32-E72D297353CC}">
                  <c16:uniqueId val="{00000003-CC0C-4CA4-A2FC-7892E433BB69}"/>
                </c:ext>
              </c:extLst>
            </c:dLbl>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'DADOS - FREGUESIA DO Ó'!$D$49:$E$49</c:f>
              <c:strCache>
                <c:ptCount val="2"/>
                <c:pt idx="0">
                  <c:v>Não Conforme</c:v>
                </c:pt>
                <c:pt idx="1">
                  <c:v>Conforme</c:v>
                </c:pt>
              </c:strCache>
            </c:strRef>
          </c:cat>
          <c:val>
            <c:numRef>
              <c:f>'DADOS - FREGUESIA DO Ó'!$D$50:$E$50</c:f>
              <c:numCache>
                <c:formatCode>General</c:formatCode>
                <c:ptCount val="2"/>
                <c:pt idx="0">
                  <c:v>60</c:v>
                </c:pt>
                <c:pt idx="1">
                  <c:v>439</c:v>
                </c:pt>
              </c:numCache>
            </c:numRef>
          </c:val>
          <c:extLst>
            <c:ext xmlns:c16="http://schemas.microsoft.com/office/drawing/2014/chart" uri="{C3380CC4-5D6E-409C-BE32-E72D297353CC}">
              <c16:uniqueId val="{00000004-CC0C-4CA4-A2FC-7892E433BB69}"/>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Tahoma" panose="020B0604030504040204" pitchFamily="34" charset="0"/>
                <a:cs typeface="Tahoma" panose="020B0604030504040204" pitchFamily="34" charset="0"/>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SEQUÊNCIA</a:t>
            </a:r>
            <a:r>
              <a:rPr lang="pt-BR" sz="2800" b="0" baseline="0">
                <a:solidFill>
                  <a:srgbClr val="002060"/>
                </a:solidFill>
                <a:latin typeface="Arial Black" panose="020B0A04020102020204" pitchFamily="34" charset="0"/>
                <a:ea typeface="Tahoma" panose="020B0604030504040204" pitchFamily="34" charset="0"/>
                <a:cs typeface="Tahoma" panose="020B0604030504040204" pitchFamily="34" charset="0"/>
              </a:rPr>
              <a:t> DE FOTOS</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408817824611825"/>
          <c:y val="0.15852426601789393"/>
          <c:w val="0.52792014624783645"/>
          <c:h val="0.76213957940111055"/>
        </c:manualLayout>
      </c:layout>
      <c:pie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A65-42E5-B7FA-11DE97626BD7}"/>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EA65-42E5-B7FA-11DE97626BD7}"/>
              </c:ext>
            </c:extLst>
          </c:dPt>
          <c:dLbls>
            <c:dLbl>
              <c:idx val="0"/>
              <c:layout>
                <c:manualLayout>
                  <c:x val="0.30011978902717729"/>
                  <c:y val="0.81567799283386022"/>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FC030A06-458D-4C7B-B81B-4AA884195C6F}" type="CATEGORYNAM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863E82F7-5B06-49FB-B7C4-C348FD694204}" type="VALU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44C83611-AD08-4A73-90D4-E169757E39DC}" type="PERCENTAG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1">
                      <a:solidFill>
                        <a:srgbClr val="002060"/>
                      </a:solidFill>
                      <a:latin typeface="Arial" panose="020B0604020202020204" pitchFamily="34" charset="0"/>
                      <a:ea typeface="Tahoma" panose="020B060403050404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dLblPos val="bestFit"/>
              <c:showLegendKey val="1"/>
              <c:showVal val="1"/>
              <c:showCatName val="1"/>
              <c:showSerName val="0"/>
              <c:showPercent val="1"/>
              <c:showBubbleSize val="0"/>
              <c:extLst>
                <c:ext xmlns:c15="http://schemas.microsoft.com/office/drawing/2012/chart" uri="{CE6537A1-D6FC-4f65-9D91-7224C49458BB}">
                  <c15:layout>
                    <c:manualLayout>
                      <c:w val="0.28944942129629631"/>
                      <c:h val="0.1835936274509804"/>
                    </c:manualLayout>
                  </c15:layout>
                  <c15:dlblFieldTable/>
                  <c15:showDataLabelsRange val="0"/>
                </c:ext>
                <c:ext xmlns:c16="http://schemas.microsoft.com/office/drawing/2014/chart" uri="{C3380CC4-5D6E-409C-BE32-E72D297353CC}">
                  <c16:uniqueId val="{00000001-EA65-42E5-B7FA-11DE97626BD7}"/>
                </c:ext>
              </c:extLst>
            </c:dLbl>
            <c:dLbl>
              <c:idx val="1"/>
              <c:layout>
                <c:manualLayout>
                  <c:x val="-0.29724679265226212"/>
                  <c:y val="-0.71209015100657569"/>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7645A65E-1F1A-4A1B-B48E-5E83A908E1DA}" type="CATEGORYNAM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4B07B3DC-7C4A-47BF-A304-83039E3C474F}" type="VALU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6AB11A6D-864A-41E3-A3B9-2D782274E0E4}" type="PERCENTAG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1">
                      <a:solidFill>
                        <a:srgbClr val="002060"/>
                      </a:solidFill>
                      <a:latin typeface="Arial" panose="020B0604020202020204" pitchFamily="34" charset="0"/>
                      <a:ea typeface="Tahoma" panose="020B060403050404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dLblPos val="bestFit"/>
              <c:showLegendKey val="1"/>
              <c:showVal val="1"/>
              <c:showCatName val="1"/>
              <c:showSerName val="0"/>
              <c:showPercent val="1"/>
              <c:showBubbleSize val="0"/>
              <c:extLst>
                <c:ext xmlns:c15="http://schemas.microsoft.com/office/drawing/2012/chart" uri="{CE6537A1-D6FC-4f65-9D91-7224C49458BB}">
                  <c15:layout>
                    <c:manualLayout>
                      <c:w val="0.42160393518518524"/>
                      <c:h val="0.18238937908496733"/>
                    </c:manualLayout>
                  </c15:layout>
                  <c15:dlblFieldTable/>
                  <c15:showDataLabelsRange val="0"/>
                </c:ext>
                <c:ext xmlns:c16="http://schemas.microsoft.com/office/drawing/2014/chart" uri="{C3380CC4-5D6E-409C-BE32-E72D297353CC}">
                  <c16:uniqueId val="{00000003-EA65-42E5-B7FA-11DE97626BD7}"/>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mn-ea"/>
                    <a:cs typeface="Arial" panose="020B0604020202020204" pitchFamily="34" charset="0"/>
                  </a:defRPr>
                </a:pPr>
                <a:endParaRPr lang="pt-BR"/>
              </a:p>
            </c:txPr>
            <c:dLblPos val="bestFit"/>
            <c:showLegendKey val="1"/>
            <c:showVal val="1"/>
            <c:showCatName val="1"/>
            <c:showSerName val="0"/>
            <c:showPercent val="1"/>
            <c:showBubbleSize val="0"/>
            <c:showLeaderLines val="0"/>
            <c:extLst>
              <c:ext xmlns:c15="http://schemas.microsoft.com/office/drawing/2012/chart" uri="{CE6537A1-D6FC-4f65-9D91-7224C49458BB}"/>
            </c:extLst>
          </c:dLbls>
          <c:cat>
            <c:strRef>
              <c:f>'DADOS - FREGUESIA DO Ó'!$D$53:$E$53</c:f>
              <c:strCache>
                <c:ptCount val="2"/>
                <c:pt idx="0">
                  <c:v>Fotos NC</c:v>
                </c:pt>
                <c:pt idx="1">
                  <c:v>Fotos Conforme</c:v>
                </c:pt>
              </c:strCache>
            </c:strRef>
          </c:cat>
          <c:val>
            <c:numRef>
              <c:f>'DADOS - FREGUESIA DO Ó'!$D$54:$E$54</c:f>
              <c:numCache>
                <c:formatCode>General</c:formatCode>
                <c:ptCount val="2"/>
                <c:pt idx="0">
                  <c:v>140</c:v>
                </c:pt>
                <c:pt idx="1">
                  <c:v>365</c:v>
                </c:pt>
              </c:numCache>
            </c:numRef>
          </c:val>
          <c:extLst>
            <c:ext xmlns:c16="http://schemas.microsoft.com/office/drawing/2014/chart" uri="{C3380CC4-5D6E-409C-BE32-E72D297353CC}">
              <c16:uniqueId val="{00000004-EA65-42E5-B7FA-11DE97626BD7}"/>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Arial" panose="020B0604020202020204" pitchFamily="34" charset="0"/>
              </a:defRPr>
            </a:pPr>
            <a:r>
              <a:rPr lang="pt-BR" sz="2800" b="0" baseline="0">
                <a:solidFill>
                  <a:srgbClr val="002060"/>
                </a:solidFill>
                <a:latin typeface="Arial Black" panose="020B0A04020102020204" pitchFamily="34" charset="0"/>
                <a:ea typeface="Tahoma" panose="020B0604030504040204" pitchFamily="34" charset="0"/>
                <a:cs typeface="Arial" panose="020B0604020202020204" pitchFamily="34" charset="0"/>
              </a:rPr>
              <a:t>BAIXA DE MATERIAIS</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Arial" panose="020B0604020202020204" pitchFamily="34" charset="0"/>
            </a:defRPr>
          </a:pPr>
          <a:endParaRPr lang="pt-BR"/>
        </a:p>
      </c:txPr>
    </c:title>
    <c:autoTitleDeleted val="0"/>
    <c:plotArea>
      <c:layout>
        <c:manualLayout>
          <c:layoutTarget val="inner"/>
          <c:xMode val="edge"/>
          <c:yMode val="edge"/>
          <c:x val="0.24593169729154113"/>
          <c:y val="0.14373658566932385"/>
          <c:w val="0.51105896326648759"/>
          <c:h val="0.73890179599621475"/>
        </c:manualLayout>
      </c:layout>
      <c:pie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304-434E-A76B-6DDA9A515479}"/>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9304-434E-A76B-6DDA9A515479}"/>
              </c:ext>
            </c:extLst>
          </c:dPt>
          <c:dLbls>
            <c:dLbl>
              <c:idx val="0"/>
              <c:layout>
                <c:manualLayout>
                  <c:x val="-2.39942019941661E-2"/>
                  <c:y val="0.40815353438035878"/>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FA69A047-9B9E-47DB-9E64-542F1CBA3585}" type="CATEGORYNAME">
                      <a:rPr lang="en-US" sz="280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4DB9DE06-D9D3-4697-B576-E9618ABDAD13}" type="VALU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8B726B06-2CF4-48A3-9BFA-07BBD72E5BBC}" type="PERCENTAG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aseline="0">
                      <a:latin typeface="Arial" panose="020B060402020202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36046828703703704"/>
                      <c:h val="0.14464297385620914"/>
                    </c:manualLayout>
                  </c15:layout>
                  <c15:dlblFieldTable/>
                  <c15:showDataLabelsRange val="0"/>
                </c:ext>
                <c:ext xmlns:c16="http://schemas.microsoft.com/office/drawing/2014/chart" uri="{C3380CC4-5D6E-409C-BE32-E72D297353CC}">
                  <c16:uniqueId val="{00000001-9304-434E-A76B-6DDA9A515479}"/>
                </c:ext>
              </c:extLst>
            </c:dLbl>
            <c:dLbl>
              <c:idx val="1"/>
              <c:layout>
                <c:manualLayout>
                  <c:x val="-2.2761682816084854E-2"/>
                  <c:y val="-0.33129477369442994"/>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AD2D5BB3-D56F-49E4-80A9-2EDCAEE43C22}" type="CATEGORYNAME">
                      <a:rPr lang="en-US" sz="280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59A4F695-EF35-4D36-89A3-68AAF9682697}" type="VALU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016E5925-4227-4D8B-9490-D040926C9D13}" type="PERCENTAG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aseline="0">
                      <a:latin typeface="Arial" panose="020B060402020202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29966052631578949"/>
                      <c:h val="0.16943277777777777"/>
                    </c:manualLayout>
                  </c15:layout>
                  <c15:dlblFieldTable/>
                  <c15:showDataLabelsRange val="0"/>
                </c:ext>
                <c:ext xmlns:c16="http://schemas.microsoft.com/office/drawing/2014/chart" uri="{C3380CC4-5D6E-409C-BE32-E72D297353CC}">
                  <c16:uniqueId val="{00000003-9304-434E-A76B-6DDA9A515479}"/>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showLegendKey val="1"/>
            <c:showVal val="1"/>
            <c:showCatName val="1"/>
            <c:showSerName val="0"/>
            <c:showPercent val="1"/>
            <c:showBubbleSize val="0"/>
            <c:showLeaderLines val="0"/>
            <c:extLst>
              <c:ext xmlns:c15="http://schemas.microsoft.com/office/drawing/2012/chart" uri="{CE6537A1-D6FC-4f65-9D91-7224C49458BB}"/>
            </c:extLst>
          </c:dLbls>
          <c:cat>
            <c:strRef>
              <c:f>'DADOS - FREGUESIA DO Ó'!$D$57:$E$57</c:f>
              <c:strCache>
                <c:ptCount val="2"/>
                <c:pt idx="0">
                  <c:v>Não Conforme</c:v>
                </c:pt>
                <c:pt idx="1">
                  <c:v>Conforme</c:v>
                </c:pt>
              </c:strCache>
            </c:strRef>
          </c:cat>
          <c:val>
            <c:numRef>
              <c:f>'DADOS - FREGUESIA DO Ó'!$D$58:$E$58</c:f>
              <c:numCache>
                <c:formatCode>General</c:formatCode>
                <c:ptCount val="2"/>
                <c:pt idx="0">
                  <c:v>0</c:v>
                </c:pt>
                <c:pt idx="1">
                  <c:v>434</c:v>
                </c:pt>
              </c:numCache>
            </c:numRef>
          </c:val>
          <c:extLst>
            <c:ext xmlns:c16="http://schemas.microsoft.com/office/drawing/2014/chart" uri="{C3380CC4-5D6E-409C-BE32-E72D297353CC}">
              <c16:uniqueId val="{00000004-9304-434E-A76B-6DDA9A515479}"/>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en-US" sz="1600"/>
              <a:t>CONFORMIDADE - SEQUÊNCIA DE FOTOS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4.2132035525011893E-2"/>
          <c:w val="0.39815672060701301"/>
          <c:h val="0.92702328250765609"/>
        </c:manualLayout>
      </c:layout>
      <c:barChart>
        <c:barDir val="bar"/>
        <c:grouping val="clustered"/>
        <c:varyColors val="0"/>
        <c:ser>
          <c:idx val="0"/>
          <c:order val="0"/>
          <c:tx>
            <c:strRef>
              <c:f>'DADOS - FREGUESIA DO Ó'!$F$182:$F$183</c:f>
              <c:strCache>
                <c:ptCount val="2"/>
                <c:pt idx="0">
                  <c:v>EQUIPES - CONFORMIDADE - TEMPO DE EXECUÇÃO</c:v>
                </c:pt>
                <c:pt idx="1">
                  <c:v>CONFORME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'DADOS - FREGUESIA DO Ó'!$B$116:$B$155</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FREGUESIA DO Ó'!$F$116:$F$155</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7677-4C8F-9DAB-70D329F0C41D}"/>
            </c:ext>
          </c:extLst>
        </c:ser>
        <c:dLbls>
          <c:showLegendKey val="0"/>
          <c:showVal val="1"/>
          <c:showCatName val="0"/>
          <c:showSerName val="0"/>
          <c:showPercent val="0"/>
          <c:showBubbleSize val="0"/>
        </c:dLbls>
        <c:gapWidth val="39"/>
        <c:axId val="150760704"/>
        <c:axId val="150758352"/>
      </c:barChart>
      <c:catAx>
        <c:axId val="1507607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758352"/>
        <c:crosses val="autoZero"/>
        <c:auto val="1"/>
        <c:lblAlgn val="ctr"/>
        <c:lblOffset val="100"/>
        <c:noMultiLvlLbl val="0"/>
      </c:catAx>
      <c:valAx>
        <c:axId val="150758352"/>
        <c:scaling>
          <c:orientation val="minMax"/>
          <c:max val="1"/>
        </c:scaling>
        <c:delete val="1"/>
        <c:axPos val="t"/>
        <c:numFmt formatCode="0.00%" sourceLinked="1"/>
        <c:majorTickMark val="out"/>
        <c:minorTickMark val="none"/>
        <c:tickLblPos val="nextTo"/>
        <c:crossAx val="15076070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TEMPO DE EXECUÇÃO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4.4122833293787224E-2"/>
          <c:w val="0.39389444444444449"/>
          <c:h val="0.92503248473888078"/>
        </c:manualLayout>
      </c:layout>
      <c:barChart>
        <c:barDir val="bar"/>
        <c:grouping val="clustered"/>
        <c:varyColors val="0"/>
        <c:ser>
          <c:idx val="0"/>
          <c:order val="0"/>
          <c:tx>
            <c:strRef>
              <c:f>'DADOS - FREGUESIA DO Ó'!$F$182:$F$183</c:f>
              <c:strCache>
                <c:ptCount val="2"/>
                <c:pt idx="0">
                  <c:v>EQUIPES - CONFORMIDADE - TEMPO DE EXECUÇÃO</c:v>
                </c:pt>
                <c:pt idx="1">
                  <c:v>CONFORME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FREGUESIA DO Ó'!$B$73:$B$112</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FREGUESIA DO Ó'!$F$73:$F$112</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4FEB-496C-A128-F3BC26CBDFB1}"/>
            </c:ext>
          </c:extLst>
        </c:ser>
        <c:dLbls>
          <c:showLegendKey val="0"/>
          <c:showVal val="1"/>
          <c:showCatName val="0"/>
          <c:showSerName val="0"/>
          <c:showPercent val="0"/>
          <c:showBubbleSize val="0"/>
        </c:dLbls>
        <c:gapWidth val="39"/>
        <c:axId val="150757176"/>
        <c:axId val="150759920"/>
      </c:barChart>
      <c:catAx>
        <c:axId val="15075717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759920"/>
        <c:crosses val="autoZero"/>
        <c:auto val="1"/>
        <c:lblAlgn val="ctr"/>
        <c:lblOffset val="100"/>
        <c:noMultiLvlLbl val="0"/>
      </c:catAx>
      <c:valAx>
        <c:axId val="150759920"/>
        <c:scaling>
          <c:orientation val="minMax"/>
          <c:max val="1"/>
        </c:scaling>
        <c:delete val="1"/>
        <c:axPos val="t"/>
        <c:numFmt formatCode="0.00%" sourceLinked="1"/>
        <c:majorTickMark val="out"/>
        <c:minorTickMark val="none"/>
        <c:tickLblPos val="nextTo"/>
        <c:crossAx val="15075717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r>
              <a:rPr lang="pt-BR" sz="2800">
                <a:latin typeface="Arial Black" panose="020B0A04020102020204" pitchFamily="34" charset="0"/>
                <a:cs typeface="Arial" panose="020B0604020202020204" pitchFamily="34" charset="0"/>
              </a:rPr>
              <a:t>CONFORMIDADES - ETAPAS (%)</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title>
    <c:autoTitleDeleted val="0"/>
    <c:plotArea>
      <c:layout>
        <c:manualLayout>
          <c:layoutTarget val="inner"/>
          <c:xMode val="edge"/>
          <c:yMode val="edge"/>
          <c:x val="1.7359810874704493E-2"/>
          <c:y val="0.30038031165228529"/>
          <c:w val="0.97428749725412744"/>
          <c:h val="0.3927701015931967"/>
        </c:manualLayout>
      </c:layout>
      <c:barChart>
        <c:barDir val="col"/>
        <c:grouping val="clustered"/>
        <c:varyColors val="0"/>
        <c:ser>
          <c:idx val="0"/>
          <c:order val="0"/>
          <c:tx>
            <c:strRef>
              <c:f>'DADOS - FREGUESIA DO Ó'!$F$172</c:f>
              <c:strCache>
                <c:ptCount val="1"/>
                <c:pt idx="0">
                  <c:v>CONFORME (%)</c:v>
                </c:pt>
              </c:strCache>
            </c:strRef>
          </c:tx>
          <c:spPr>
            <a:solidFill>
              <a:schemeClr val="accent1"/>
            </a:solidFill>
            <a:ln>
              <a:noFill/>
            </a:ln>
            <a:effectLst/>
          </c:spPr>
          <c:invertIfNegative val="0"/>
          <c:dLbls>
            <c:dLbl>
              <c:idx val="3"/>
              <c:layout>
                <c:manualLayout>
                  <c:x val="-8.6702127659684552E-5"/>
                  <c:y val="-2.793750000000016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9DE-4A7E-8C72-4631B4C93CF3}"/>
                </c:ext>
              </c:extLst>
            </c:dLbl>
            <c:spPr>
              <a:noFill/>
              <a:ln>
                <a:noFill/>
              </a:ln>
              <a:effectLst/>
            </c:spPr>
            <c:txPr>
              <a:bodyPr rot="-5400000" spcFirstLastPara="1" vertOverflow="ellipsis" wrap="square" anchor="ctr" anchorCtr="1"/>
              <a:lstStyle/>
              <a:p>
                <a:pPr>
                  <a:defRPr sz="2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FREGUESIA DO Ó'!$B$173:$B$180</c:f>
              <c:strCache>
                <c:ptCount val="8"/>
                <c:pt idx="0">
                  <c:v>FACHADA</c:v>
                </c:pt>
                <c:pt idx="1">
                  <c:v>SINALIZAÇÃO</c:v>
                </c:pt>
                <c:pt idx="2">
                  <c:v>ENCERADO</c:v>
                </c:pt>
                <c:pt idx="3">
                  <c:v>GEOMETRIA</c:v>
                </c:pt>
                <c:pt idx="4">
                  <c:v>BERÇO DE AREIA</c:v>
                </c:pt>
                <c:pt idx="5">
                  <c:v>ESCORAMENTO</c:v>
                </c:pt>
                <c:pt idx="6">
                  <c:v>COMPACTAÇÃO</c:v>
                </c:pt>
                <c:pt idx="7">
                  <c:v>FINALIZAÇÃO</c:v>
                </c:pt>
              </c:strCache>
            </c:strRef>
          </c:cat>
          <c:val>
            <c:numRef>
              <c:f>'DADOS - FREGUESIA DO Ó'!$F$173:$F$180</c:f>
              <c:numCache>
                <c:formatCode>0.00%</c:formatCode>
                <c:ptCount val="8"/>
                <c:pt idx="0">
                  <c:v>0.77118644067796616</c:v>
                </c:pt>
                <c:pt idx="1">
                  <c:v>0.76694915254237284</c:v>
                </c:pt>
                <c:pt idx="2">
                  <c:v>0.7068965517241379</c:v>
                </c:pt>
                <c:pt idx="3">
                  <c:v>0.7142857142857143</c:v>
                </c:pt>
                <c:pt idx="4">
                  <c:v>0.70652173913043481</c:v>
                </c:pt>
                <c:pt idx="5">
                  <c:v>0.70652173913043481</c:v>
                </c:pt>
                <c:pt idx="6">
                  <c:v>0.62427745664739887</c:v>
                </c:pt>
                <c:pt idx="7">
                  <c:v>0.71610169491525422</c:v>
                </c:pt>
              </c:numCache>
            </c:numRef>
          </c:val>
          <c:extLst>
            <c:ext xmlns:c16="http://schemas.microsoft.com/office/drawing/2014/chart" uri="{C3380CC4-5D6E-409C-BE32-E72D297353CC}">
              <c16:uniqueId val="{00000000-17C1-4C77-901B-F8D0CD8CEA75}"/>
            </c:ext>
          </c:extLst>
        </c:ser>
        <c:dLbls>
          <c:dLblPos val="outEnd"/>
          <c:showLegendKey val="0"/>
          <c:showVal val="1"/>
          <c:showCatName val="0"/>
          <c:showSerName val="0"/>
          <c:showPercent val="0"/>
          <c:showBubbleSize val="0"/>
        </c:dLbls>
        <c:gapWidth val="219"/>
        <c:overlap val="-27"/>
        <c:axId val="150755216"/>
        <c:axId val="150754432"/>
      </c:barChart>
      <c:catAx>
        <c:axId val="15075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8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crossAx val="150754432"/>
        <c:crosses val="autoZero"/>
        <c:auto val="1"/>
        <c:lblAlgn val="ctr"/>
        <c:lblOffset val="100"/>
        <c:noMultiLvlLbl val="0"/>
      </c:catAx>
      <c:valAx>
        <c:axId val="150754432"/>
        <c:scaling>
          <c:orientation val="minMax"/>
          <c:max val="1"/>
        </c:scaling>
        <c:delete val="1"/>
        <c:axPos val="l"/>
        <c:numFmt formatCode="0.00%" sourceLinked="1"/>
        <c:majorTickMark val="out"/>
        <c:minorTickMark val="none"/>
        <c:tickLblPos val="nextTo"/>
        <c:crossAx val="150755216"/>
        <c:crosses val="autoZero"/>
        <c:crossBetween val="between"/>
      </c:valAx>
      <c:spPr>
        <a:noFill/>
        <a:ln>
          <a:noFill/>
        </a:ln>
        <a:effectLst/>
      </c:spPr>
    </c:plotArea>
    <c:legend>
      <c:legendPos val="b"/>
      <c:layout>
        <c:manualLayout>
          <c:xMode val="edge"/>
          <c:yMode val="edge"/>
          <c:x val="0.41363812056737587"/>
          <c:y val="0.9503968055555555"/>
          <c:w val="0.1562106973995272"/>
          <c:h val="4.9603194444444443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TEMPO DE EXECUÇÃO</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endParaRPr lang="pt-BR"/>
        </a:p>
      </c:txPr>
    </c:title>
    <c:autoTitleDeleted val="0"/>
    <c:plotArea>
      <c:layout>
        <c:manualLayout>
          <c:layoutTarget val="inner"/>
          <c:xMode val="edge"/>
          <c:yMode val="edge"/>
          <c:x val="0.24994141007119972"/>
          <c:y val="0.14162405990524241"/>
          <c:w val="0.51182375872886243"/>
          <c:h val="0.73890179599621475"/>
        </c:manualLayout>
      </c:layout>
      <c:pie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59E-4627-9756-5A5F4E379057}"/>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A59E-4627-9756-5A5F4E379057}"/>
              </c:ext>
            </c:extLst>
          </c:dPt>
          <c:dLbls>
            <c:dLbl>
              <c:idx val="0"/>
              <c:layout>
                <c:manualLayout>
                  <c:x val="0.27141475694444445"/>
                  <c:y val="0.84946699346405219"/>
                </c:manualLayout>
              </c:layout>
              <c:tx>
                <c:rich>
                  <a:bodyPr/>
                  <a:lstStyle/>
                  <a:p>
                    <a:fld id="{D7AA9998-2443-4465-96D0-949A6750C795}" type="CATEGORYNAME">
                      <a:rPr lang="en-US"/>
                      <a:pPr/>
                      <a:t>[]</a:t>
                    </a:fld>
                    <a:r>
                      <a:rPr lang="en-US" baseline="0"/>
                      <a:t> </a:t>
                    </a:r>
                    <a:fld id="{630D5960-443D-4D3D-BA05-E51B7ACD033D}" type="VALUE">
                      <a:rPr lang="en-US" baseline="0"/>
                      <a:pPr/>
                      <a:t>[]</a:t>
                    </a:fld>
                    <a:r>
                      <a:rPr lang="en-US" baseline="0"/>
                      <a:t>  </a:t>
                    </a:r>
                    <a:fld id="{58A4C82E-EE0D-44D1-8E26-7C68F06A51D3}" type="PERCENTAGE">
                      <a:rPr lang="en-US" baseline="0"/>
                      <a:pPr/>
                      <a:t>[]</a:t>
                    </a:fld>
                    <a:endParaRPr lang="en-US" baseline="0"/>
                  </a:p>
                </c:rich>
              </c:tx>
              <c:dLblPos val="bestFit"/>
              <c:showLegendKey val="1"/>
              <c:showVal val="1"/>
              <c:showCatName val="1"/>
              <c:showSerName val="0"/>
              <c:showPercent val="1"/>
              <c:showBubbleSize val="0"/>
              <c:extLst>
                <c:ext xmlns:c15="http://schemas.microsoft.com/office/drawing/2012/chart" uri="{CE6537A1-D6FC-4f65-9D91-7224C49458BB}">
                  <c15:layout>
                    <c:manualLayout>
                      <c:w val="0.35380613425925922"/>
                      <c:h val="0.15018594771241831"/>
                    </c:manualLayout>
                  </c15:layout>
                  <c15:dlblFieldTable/>
                  <c15:showDataLabelsRange val="0"/>
                </c:ext>
                <c:ext xmlns:c16="http://schemas.microsoft.com/office/drawing/2014/chart" uri="{C3380CC4-5D6E-409C-BE32-E72D297353CC}">
                  <c16:uniqueId val="{00000001-A59E-4627-9756-5A5F4E379057}"/>
                </c:ext>
              </c:extLst>
            </c:dLbl>
            <c:dLbl>
              <c:idx val="1"/>
              <c:layout>
                <c:manualLayout>
                  <c:x val="-0.362803125"/>
                  <c:y val="-0.67824419934640523"/>
                </c:manualLayout>
              </c:layout>
              <c:tx>
                <c:rich>
                  <a:bodyPr/>
                  <a:lstStyle/>
                  <a:p>
                    <a:fld id="{F73E79B4-0BA4-47AD-90FB-5E1388E88467}" type="CATEGORYNAME">
                      <a:rPr lang="en-US"/>
                      <a:pPr/>
                      <a:t>[]</a:t>
                    </a:fld>
                    <a:r>
                      <a:rPr lang="en-US" baseline="0"/>
                      <a:t> </a:t>
                    </a:r>
                    <a:fld id="{0F378421-95D2-4F08-BF94-B6B48CA57815}" type="VALUE">
                      <a:rPr lang="en-US" baseline="0"/>
                      <a:pPr/>
                      <a:t>[]</a:t>
                    </a:fld>
                    <a:r>
                      <a:rPr lang="en-US" baseline="0"/>
                      <a:t>  </a:t>
                    </a:r>
                    <a:fld id="{5A033822-324F-4FC3-9BD3-2D316201C5B7}" type="PERCENTAGE">
                      <a:rPr lang="en-US" baseline="0"/>
                      <a:pPr/>
                      <a:t>[]</a:t>
                    </a:fld>
                    <a:endParaRPr lang="en-US" baseline="0"/>
                  </a:p>
                </c:rich>
              </c:tx>
              <c:dLblPos val="bestFit"/>
              <c:showLegendKey val="1"/>
              <c:showVal val="1"/>
              <c:showCatName val="1"/>
              <c:showSerName val="0"/>
              <c:showPercent val="1"/>
              <c:showBubbleSize val="0"/>
              <c:extLst>
                <c:ext xmlns:c15="http://schemas.microsoft.com/office/drawing/2012/chart" uri="{CE6537A1-D6FC-4f65-9D91-7224C49458BB}">
                  <c15:layout>
                    <c:manualLayout>
                      <c:w val="0.28610138888888886"/>
                      <c:h val="0.16471209150326796"/>
                    </c:manualLayout>
                  </c15:layout>
                  <c15:dlblFieldTable/>
                  <c15:showDataLabelsRange val="0"/>
                </c:ext>
                <c:ext xmlns:c16="http://schemas.microsoft.com/office/drawing/2014/chart" uri="{C3380CC4-5D6E-409C-BE32-E72D297353CC}">
                  <c16:uniqueId val="{00000003-A59E-4627-9756-5A5F4E379057}"/>
                </c:ext>
              </c:extLst>
            </c:dLbl>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dLblPos val="bestFit"/>
            <c:showLegendKey val="1"/>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'DADOS - FREGUESIA DO Ó'!$D$160:$E$160</c:f>
              <c:strCache>
                <c:ptCount val="2"/>
                <c:pt idx="0">
                  <c:v>Não Conforme</c:v>
                </c:pt>
                <c:pt idx="1">
                  <c:v>Conforme</c:v>
                </c:pt>
              </c:strCache>
            </c:strRef>
          </c:cat>
          <c:val>
            <c:numRef>
              <c:f>'DADOS - FREGUESIA DO Ó'!$D$161:$E$161</c:f>
              <c:numCache>
                <c:formatCode>General</c:formatCode>
                <c:ptCount val="2"/>
                <c:pt idx="0">
                  <c:v>54</c:v>
                </c:pt>
                <c:pt idx="1">
                  <c:v>182</c:v>
                </c:pt>
              </c:numCache>
            </c:numRef>
          </c:val>
          <c:extLst>
            <c:ext xmlns:c16="http://schemas.microsoft.com/office/drawing/2014/chart" uri="{C3380CC4-5D6E-409C-BE32-E72D297353CC}">
              <c16:uniqueId val="{00000004-A59E-4627-9756-5A5F4E379057}"/>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SEQUÊNCIA</a:t>
            </a:r>
            <a:r>
              <a:rPr lang="pt-BR" sz="2800" b="0" baseline="0">
                <a:solidFill>
                  <a:srgbClr val="002060"/>
                </a:solidFill>
                <a:latin typeface="Arial Black" panose="020B0A04020102020204" pitchFamily="34" charset="0"/>
                <a:ea typeface="Tahoma" panose="020B0604030504040204" pitchFamily="34" charset="0"/>
                <a:cs typeface="Tahoma" panose="020B0604030504040204" pitchFamily="34" charset="0"/>
              </a:rPr>
              <a:t> DE FOTOS</a:t>
            </a:r>
            <a:endPar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endParaRPr lang="pt-BR"/>
        </a:p>
      </c:txPr>
    </c:title>
    <c:autoTitleDeleted val="0"/>
    <c:plotArea>
      <c:layout>
        <c:manualLayout>
          <c:layoutTarget val="inner"/>
          <c:xMode val="edge"/>
          <c:yMode val="edge"/>
          <c:x val="0.24408817824611825"/>
          <c:y val="0.16063679178197537"/>
          <c:w val="0.52645683829156609"/>
          <c:h val="0.76002705363702916"/>
        </c:manualLayout>
      </c:layout>
      <c:pieChart>
        <c:varyColors val="1"/>
        <c:ser>
          <c:idx val="0"/>
          <c:order val="0"/>
          <c:spPr>
            <a:solidFill>
              <a:srgbClr val="0070C0"/>
            </a:solidFill>
          </c:spPr>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A44-4090-AA9C-FAF488BBF139}"/>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7A44-4090-AA9C-FAF488BBF139}"/>
              </c:ext>
            </c:extLst>
          </c:dPt>
          <c:dLbls>
            <c:dLbl>
              <c:idx val="0"/>
              <c:layout>
                <c:manualLayout>
                  <c:x val="0.30818883101851841"/>
                  <c:y val="0.82812867647058808"/>
                </c:manualLayout>
              </c:layout>
              <c:tx>
                <c:rich>
                  <a:bodyPr/>
                  <a:lstStyle/>
                  <a:p>
                    <a:fld id="{CAEC8876-5378-4A20-BE5A-C02B522B8D22}" type="CATEGORYNAME">
                      <a:rPr lang="en-US"/>
                      <a:pPr/>
                      <a:t>[]</a:t>
                    </a:fld>
                    <a:r>
                      <a:rPr lang="en-US" baseline="0"/>
                      <a:t> </a:t>
                    </a:r>
                    <a:fld id="{B467554B-D943-4E85-A02D-AC3F1CE50BC7}" type="VALUE">
                      <a:rPr lang="en-US" baseline="0"/>
                      <a:pPr/>
                      <a:t>[]</a:t>
                    </a:fld>
                    <a:r>
                      <a:rPr lang="en-US" baseline="0"/>
                      <a:t>  </a:t>
                    </a:r>
                    <a:fld id="{747E5295-F595-4F8E-A432-A36E3B52AA5F}" type="PERCENTAGE">
                      <a:rPr lang="en-US" baseline="0"/>
                      <a:pPr/>
                      <a:t>[]</a:t>
                    </a:fld>
                    <a:endParaRPr lang="en-US" baseline="0"/>
                  </a:p>
                </c:rich>
              </c:tx>
              <c:showLegendKey val="1"/>
              <c:showVal val="1"/>
              <c:showCatName val="1"/>
              <c:showSerName val="0"/>
              <c:showPercent val="1"/>
              <c:showBubbleSize val="0"/>
              <c:extLst>
                <c:ext xmlns:c15="http://schemas.microsoft.com/office/drawing/2012/chart" uri="{CE6537A1-D6FC-4f65-9D91-7224C49458BB}">
                  <c15:layout>
                    <c:manualLayout>
                      <c:w val="0.27530261093314573"/>
                      <c:h val="0.17009408723999506"/>
                    </c:manualLayout>
                  </c15:layout>
                  <c15:dlblFieldTable/>
                  <c15:showDataLabelsRange val="0"/>
                </c:ext>
                <c:ext xmlns:c16="http://schemas.microsoft.com/office/drawing/2014/chart" uri="{C3380CC4-5D6E-409C-BE32-E72D297353CC}">
                  <c16:uniqueId val="{00000001-7A44-4090-AA9C-FAF488BBF139}"/>
                </c:ext>
              </c:extLst>
            </c:dLbl>
            <c:dLbl>
              <c:idx val="1"/>
              <c:layout>
                <c:manualLayout>
                  <c:x val="-0.29808582175925924"/>
                  <c:y val="-0.70768080065359473"/>
                </c:manualLayout>
              </c:layout>
              <c:tx>
                <c:rich>
                  <a:bodyPr/>
                  <a:lstStyle/>
                  <a:p>
                    <a:fld id="{F7EE4FE2-536A-4141-B094-1A947EE4F26B}" type="CATEGORYNAME">
                      <a:rPr lang="en-US"/>
                      <a:pPr/>
                      <a:t>[]</a:t>
                    </a:fld>
                    <a:r>
                      <a:rPr lang="en-US" baseline="0"/>
                      <a:t> </a:t>
                    </a:r>
                    <a:fld id="{32C1CE29-2E08-42AC-B888-DD09F5703C29}" type="VALUE">
                      <a:rPr lang="en-US" baseline="0"/>
                      <a:pPr/>
                      <a:t>[]</a:t>
                    </a:fld>
                    <a:r>
                      <a:rPr lang="en-US" baseline="0"/>
                      <a:t>  </a:t>
                    </a:r>
                    <a:fld id="{F5150581-3665-4D8E-B5A7-ED518478A343}" type="PERCENTAGE">
                      <a:rPr lang="en-US" baseline="0"/>
                      <a:pPr/>
                      <a:t>[]</a:t>
                    </a:fld>
                    <a:endParaRPr lang="en-US" baseline="0"/>
                  </a:p>
                </c:rich>
              </c:tx>
              <c:showLegendKey val="1"/>
              <c:showVal val="1"/>
              <c:showCatName val="1"/>
              <c:showSerName val="0"/>
              <c:showPercent val="1"/>
              <c:showBubbleSize val="0"/>
              <c:extLst>
                <c:ext xmlns:c15="http://schemas.microsoft.com/office/drawing/2012/chart" uri="{CE6537A1-D6FC-4f65-9D91-7224C49458BB}">
                  <c15:layout>
                    <c:manualLayout>
                      <c:w val="0.41846261574074067"/>
                      <c:h val="0.14371519607843136"/>
                    </c:manualLayout>
                  </c15:layout>
                  <c15:dlblFieldTable/>
                  <c15:showDataLabelsRange val="0"/>
                </c:ext>
                <c:ext xmlns:c16="http://schemas.microsoft.com/office/drawing/2014/chart" uri="{C3380CC4-5D6E-409C-BE32-E72D297353CC}">
                  <c16:uniqueId val="{00000003-7A44-4090-AA9C-FAF488BBF139}"/>
                </c:ext>
              </c:extLst>
            </c:dLbl>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showLegendKey val="1"/>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'DADOS - FREGUESIA DO Ó'!$D$164:$E$164</c:f>
              <c:strCache>
                <c:ptCount val="2"/>
                <c:pt idx="0">
                  <c:v>Fotos NC</c:v>
                </c:pt>
                <c:pt idx="1">
                  <c:v>Fotos Conforme</c:v>
                </c:pt>
              </c:strCache>
            </c:strRef>
          </c:cat>
          <c:val>
            <c:numRef>
              <c:f>'DADOS - FREGUESIA DO Ó'!$D$165:$E$165</c:f>
              <c:numCache>
                <c:formatCode>General</c:formatCode>
                <c:ptCount val="2"/>
                <c:pt idx="0">
                  <c:v>93</c:v>
                </c:pt>
                <c:pt idx="1">
                  <c:v>143</c:v>
                </c:pt>
              </c:numCache>
            </c:numRef>
          </c:val>
          <c:extLst>
            <c:ext xmlns:c16="http://schemas.microsoft.com/office/drawing/2014/chart" uri="{C3380CC4-5D6E-409C-BE32-E72D297353CC}">
              <c16:uniqueId val="{00000004-7A44-4090-AA9C-FAF488BBF139}"/>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BAIXA DE MATERIAIS</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endParaRPr lang="pt-BR"/>
        </a:p>
      </c:txPr>
    </c:title>
    <c:autoTitleDeleted val="0"/>
    <c:plotArea>
      <c:layout>
        <c:manualLayout>
          <c:layoutTarget val="inner"/>
          <c:xMode val="edge"/>
          <c:yMode val="edge"/>
          <c:x val="0.24586807523371615"/>
          <c:y val="0.13949522561280739"/>
          <c:w val="0.5111862073821376"/>
          <c:h val="0.73893065102195687"/>
        </c:manualLayout>
      </c:layout>
      <c:pie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7F8-42F9-8A0B-75617D2C6C54}"/>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67F8-42F9-8A0B-75617D2C6C54}"/>
              </c:ext>
            </c:extLst>
          </c:dPt>
          <c:dLbls>
            <c:dLbl>
              <c:idx val="0"/>
              <c:layout>
                <c:manualLayout>
                  <c:x val="-2.2533023069381177E-2"/>
                  <c:y val="0.40730910226021089"/>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168CD30E-EA64-49F3-80BB-0B4A413F001C}" type="CATEGORYNAME">
                      <a:rPr lang="en-US" sz="2800"/>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t> </a:t>
                    </a:r>
                    <a:fld id="{DE199BC1-D116-45F0-BA09-231C76E2E010}" type="VALUE">
                      <a:rPr lang="en-US" sz="2800" baseline="0"/>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t> </a:t>
                    </a:r>
                    <a:fld id="{34D9668E-8E06-4A93-A358-CED6173C4C0C}" type="PERCENTAGE">
                      <a:rPr lang="en-US" sz="2800" baseline="0"/>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aseline="0"/>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showLegendKey val="1"/>
              <c:showVal val="1"/>
              <c:showCatName val="1"/>
              <c:showSerName val="0"/>
              <c:showPercent val="1"/>
              <c:showBubbleSize val="0"/>
              <c:separator>
</c:separator>
              <c:extLst>
                <c:ext xmlns:c15="http://schemas.microsoft.com/office/drawing/2012/chart" uri="{CE6537A1-D6FC-4f65-9D91-7224C49458BB}">
                  <c15:layout>
                    <c:manualLayout>
                      <c:w val="0.37297631809832404"/>
                      <c:h val="0.14634020192505501"/>
                    </c:manualLayout>
                  </c15:layout>
                  <c15:dlblFieldTable/>
                  <c15:showDataLabelsRange val="0"/>
                </c:ext>
                <c:ext xmlns:c16="http://schemas.microsoft.com/office/drawing/2014/chart" uri="{C3380CC4-5D6E-409C-BE32-E72D297353CC}">
                  <c16:uniqueId val="{00000001-67F8-42F9-8A0B-75617D2C6C54}"/>
                </c:ext>
              </c:extLst>
            </c:dLbl>
            <c:dLbl>
              <c:idx val="1"/>
              <c:layout>
                <c:manualLayout>
                  <c:x val="-2.2761740340549431E-2"/>
                  <c:y val="-0.3211651610180104"/>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FD32FEAD-2A31-4691-95EE-F244B64EDA5E}" type="CATEGORYNAME">
                      <a:rPr lang="en-US" sz="280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5EA723BA-2510-4823-87B9-CD97722B93A7}" type="VALU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C6A87B76-4917-4FF4-8AF9-B471BE291FE2}" type="PERCENTAG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aseline="0">
                      <a:latin typeface="Arial" panose="020B060402020202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showLegendKey val="1"/>
              <c:showVal val="1"/>
              <c:showCatName val="1"/>
              <c:showSerName val="0"/>
              <c:showPercent val="1"/>
              <c:showBubbleSize val="0"/>
              <c:separator>
</c:separator>
              <c:extLst>
                <c:ext xmlns:c15="http://schemas.microsoft.com/office/drawing/2012/chart" uri="{CE6537A1-D6FC-4f65-9D91-7224C49458BB}">
                  <c15:layout>
                    <c:manualLayout>
                      <c:w val="0.29179595290080917"/>
                      <c:h val="0.15593404515499107"/>
                    </c:manualLayout>
                  </c15:layout>
                  <c15:dlblFieldTable/>
                  <c15:showDataLabelsRange val="0"/>
                </c:ext>
                <c:ext xmlns:c16="http://schemas.microsoft.com/office/drawing/2014/chart" uri="{C3380CC4-5D6E-409C-BE32-E72D297353CC}">
                  <c16:uniqueId val="{00000003-67F8-42F9-8A0B-75617D2C6C54}"/>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showLegendKey val="1"/>
            <c:showVal val="1"/>
            <c:showCatName val="1"/>
            <c:showSerName val="0"/>
            <c:showPercent val="1"/>
            <c:showBubbleSize val="0"/>
            <c:separator>
</c:separator>
            <c:showLeaderLines val="0"/>
            <c:extLst>
              <c:ext xmlns:c15="http://schemas.microsoft.com/office/drawing/2012/chart" uri="{CE6537A1-D6FC-4f65-9D91-7224C49458BB}"/>
            </c:extLst>
          </c:dLbls>
          <c:cat>
            <c:strRef>
              <c:f>'DADOS - FREGUESIA DO Ó'!$D$168:$E$168</c:f>
              <c:strCache>
                <c:ptCount val="2"/>
                <c:pt idx="0">
                  <c:v>Não Conforme</c:v>
                </c:pt>
                <c:pt idx="1">
                  <c:v>Conforme</c:v>
                </c:pt>
              </c:strCache>
            </c:strRef>
          </c:cat>
          <c:val>
            <c:numRef>
              <c:f>'DADOS - FREGUESIA DO Ó'!$D$169:$E$169</c:f>
              <c:numCache>
                <c:formatCode>General</c:formatCode>
                <c:ptCount val="2"/>
                <c:pt idx="0">
                  <c:v>1</c:v>
                </c:pt>
                <c:pt idx="1">
                  <c:v>204</c:v>
                </c:pt>
              </c:numCache>
            </c:numRef>
          </c:val>
          <c:extLst>
            <c:ext xmlns:c16="http://schemas.microsoft.com/office/drawing/2014/chart" uri="{C3380CC4-5D6E-409C-BE32-E72D297353CC}">
              <c16:uniqueId val="{00000004-67F8-42F9-8A0B-75617D2C6C54}"/>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TEMPO DE EXECUÇÃO (%)</a:t>
            </a:r>
          </a:p>
        </c:rich>
      </c:tx>
      <c:overlay val="0"/>
      <c:spPr>
        <a:noFill/>
        <a:ln>
          <a:noFill/>
        </a:ln>
        <a:effectLst/>
      </c:spPr>
    </c:title>
    <c:autoTitleDeleted val="0"/>
    <c:plotArea>
      <c:layout>
        <c:manualLayout>
          <c:layoutTarget val="inner"/>
          <c:xMode val="edge"/>
          <c:yMode val="edge"/>
          <c:x val="0.50358333333333327"/>
          <c:y val="4.0969004490307152E-2"/>
          <c:w val="0.39382913567373784"/>
          <c:h val="0.92818631354236081"/>
        </c:manualLayout>
      </c:layout>
      <c:barChart>
        <c:barDir val="bar"/>
        <c:grouping val="clustered"/>
        <c:varyColors val="0"/>
        <c:ser>
          <c:idx val="0"/>
          <c:order val="0"/>
          <c:tx>
            <c:strRef>
              <c:f>'DADOS - FREGUESIA DO Ó'!$B$184:$B$223</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'DADOS - FREGUESIA DO Ó'!$B$184:$B$223</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FREGUESIA DO Ó'!$F$184:$F$223</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6569-44AB-93B3-B67B51C063D5}"/>
            </c:ext>
          </c:extLst>
        </c:ser>
        <c:dLbls>
          <c:showLegendKey val="0"/>
          <c:showVal val="1"/>
          <c:showCatName val="0"/>
          <c:showSerName val="0"/>
          <c:showPercent val="0"/>
          <c:showBubbleSize val="0"/>
        </c:dLbls>
        <c:gapWidth val="39"/>
        <c:axId val="150761096"/>
        <c:axId val="150754824"/>
      </c:barChart>
      <c:catAx>
        <c:axId val="1507610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754824"/>
        <c:crosses val="autoZero"/>
        <c:auto val="1"/>
        <c:lblAlgn val="ctr"/>
        <c:lblOffset val="100"/>
        <c:noMultiLvlLbl val="0"/>
      </c:catAx>
      <c:valAx>
        <c:axId val="150754824"/>
        <c:scaling>
          <c:orientation val="minMax"/>
          <c:max val="1"/>
        </c:scaling>
        <c:delete val="1"/>
        <c:axPos val="t"/>
        <c:numFmt formatCode="0.00%" sourceLinked="1"/>
        <c:majorTickMark val="out"/>
        <c:minorTickMark val="none"/>
        <c:tickLblPos val="nextTo"/>
        <c:crossAx val="150761096"/>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SEQUÊNCIA DE FOTOS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4.2302217003050424E-2"/>
          <c:w val="0.39815672060701301"/>
          <c:h val="0.92685301921188457"/>
        </c:manualLayout>
      </c:layout>
      <c:barChart>
        <c:barDir val="bar"/>
        <c:grouping val="clustered"/>
        <c:varyColors val="0"/>
        <c:ser>
          <c:idx val="0"/>
          <c:order val="0"/>
          <c:tx>
            <c:strRef>
              <c:f>'DADOS - FREGUESIA DO Ó'!$B$227:$B$266</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'DADOS - FREGUESIA DO Ó'!$B$227:$B$266</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FREGUESIA DO Ó'!$F$227:$F$266</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4370-4EA7-952C-EE6980CDD0DB}"/>
            </c:ext>
          </c:extLst>
        </c:ser>
        <c:dLbls>
          <c:dLblPos val="outEnd"/>
          <c:showLegendKey val="0"/>
          <c:showVal val="1"/>
          <c:showCatName val="0"/>
          <c:showSerName val="0"/>
          <c:showPercent val="0"/>
          <c:showBubbleSize val="0"/>
        </c:dLbls>
        <c:gapWidth val="39"/>
        <c:axId val="150298592"/>
        <c:axId val="150299768"/>
      </c:barChart>
      <c:catAx>
        <c:axId val="1502985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299768"/>
        <c:crosses val="autoZero"/>
        <c:auto val="1"/>
        <c:lblAlgn val="ctr"/>
        <c:lblOffset val="100"/>
        <c:noMultiLvlLbl val="0"/>
      </c:catAx>
      <c:valAx>
        <c:axId val="150299768"/>
        <c:scaling>
          <c:orientation val="minMax"/>
          <c:max val="1"/>
        </c:scaling>
        <c:delete val="1"/>
        <c:axPos val="t"/>
        <c:numFmt formatCode="0.00%" sourceLinked="1"/>
        <c:majorTickMark val="out"/>
        <c:minorTickMark val="none"/>
        <c:tickLblPos val="nextTo"/>
        <c:crossAx val="1502985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TEMPO DE EXECUÇÃO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4.3068185759229369E-2"/>
          <c:w val="0.38727615833976453"/>
          <c:h val="0.92608705611375142"/>
        </c:manualLayout>
      </c:layout>
      <c:barChart>
        <c:barDir val="bar"/>
        <c:grouping val="clustered"/>
        <c:varyColors val="0"/>
        <c:ser>
          <c:idx val="0"/>
          <c:order val="0"/>
          <c:tx>
            <c:strRef>
              <c:f>'DADOS - FREGUESIA DO Ó'!$F$182:$F$183</c:f>
              <c:strCache>
                <c:ptCount val="2"/>
                <c:pt idx="0">
                  <c:v>EQUIPES - CONFORMIDADE - TEMPO DE EXECUÇÃO</c:v>
                </c:pt>
                <c:pt idx="1">
                  <c:v>CONFORME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FREGUESIA DO Ó'!$B$292:$B$331</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FREGUESIA DO Ó'!$F$292:$F$331</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9292-4096-AFAE-3AAE52A6DF59}"/>
            </c:ext>
          </c:extLst>
        </c:ser>
        <c:dLbls>
          <c:showLegendKey val="0"/>
          <c:showVal val="1"/>
          <c:showCatName val="0"/>
          <c:showSerName val="0"/>
          <c:showPercent val="0"/>
          <c:showBubbleSize val="0"/>
        </c:dLbls>
        <c:gapWidth val="39"/>
        <c:axId val="152712216"/>
        <c:axId val="152709080"/>
      </c:barChart>
      <c:catAx>
        <c:axId val="1527122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2709080"/>
        <c:crosses val="autoZero"/>
        <c:auto val="1"/>
        <c:lblAlgn val="ctr"/>
        <c:lblOffset val="100"/>
        <c:noMultiLvlLbl val="0"/>
      </c:catAx>
      <c:valAx>
        <c:axId val="152709080"/>
        <c:scaling>
          <c:orientation val="minMax"/>
          <c:max val="1"/>
        </c:scaling>
        <c:delete val="1"/>
        <c:axPos val="t"/>
        <c:numFmt formatCode="0.00%" sourceLinked="1"/>
        <c:majorTickMark val="out"/>
        <c:minorTickMark val="none"/>
        <c:tickLblPos val="nextTo"/>
        <c:crossAx val="1527122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SEQUÊNCIA DE FOTOS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3.9983892206294031E-2"/>
          <c:w val="0.36294965706780657"/>
          <c:h val="0.92917134400864099"/>
        </c:manualLayout>
      </c:layout>
      <c:barChart>
        <c:barDir val="bar"/>
        <c:grouping val="clustered"/>
        <c:varyColors val="0"/>
        <c:ser>
          <c:idx val="0"/>
          <c:order val="0"/>
          <c:tx>
            <c:strRef>
              <c:f>'DADOS - FREGUESIA DO Ó'!$F$182:$F$183</c:f>
              <c:strCache>
                <c:ptCount val="2"/>
                <c:pt idx="0">
                  <c:v>EQUIPES - CONFORMIDADE - TEMPO DE EXECUÇÃO</c:v>
                </c:pt>
                <c:pt idx="1">
                  <c:v>CONFORME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FREGUESIA DO Ó'!$B$335:$B$374</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FREGUESIA DO Ó'!$F$335:$F$374</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E234-4981-9103-FD711F7BDF61}"/>
            </c:ext>
          </c:extLst>
        </c:ser>
        <c:dLbls>
          <c:showLegendKey val="0"/>
          <c:showVal val="1"/>
          <c:showCatName val="0"/>
          <c:showSerName val="0"/>
          <c:showPercent val="0"/>
          <c:showBubbleSize val="0"/>
        </c:dLbls>
        <c:gapWidth val="39"/>
        <c:axId val="152714568"/>
        <c:axId val="152714960"/>
      </c:barChart>
      <c:catAx>
        <c:axId val="1527145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2714960"/>
        <c:crosses val="autoZero"/>
        <c:auto val="1"/>
        <c:lblAlgn val="ctr"/>
        <c:lblOffset val="100"/>
        <c:noMultiLvlLbl val="0"/>
      </c:catAx>
      <c:valAx>
        <c:axId val="152714960"/>
        <c:scaling>
          <c:orientation val="minMax"/>
          <c:max val="1"/>
        </c:scaling>
        <c:delete val="1"/>
        <c:axPos val="t"/>
        <c:numFmt formatCode="0.00%" sourceLinked="1"/>
        <c:majorTickMark val="out"/>
        <c:minorTickMark val="none"/>
        <c:tickLblPos val="nextTo"/>
        <c:crossAx val="15271456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r>
              <a:rPr lang="pt-BR" sz="2800">
                <a:latin typeface="Arial Black" panose="020B0A04020102020204" pitchFamily="34" charset="0"/>
                <a:cs typeface="Arial" panose="020B0604020202020204" pitchFamily="34" charset="0"/>
              </a:rPr>
              <a:t>CONFORMIDADES - ETAPAS (%)</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title>
    <c:autoTitleDeleted val="0"/>
    <c:plotArea>
      <c:layout>
        <c:manualLayout>
          <c:layoutTarget val="inner"/>
          <c:xMode val="edge"/>
          <c:yMode val="edge"/>
          <c:x val="2.129131205673759E-2"/>
          <c:y val="0.30354528648532864"/>
          <c:w val="0.97242924138475473"/>
          <c:h val="0.38872654471878615"/>
        </c:manualLayout>
      </c:layout>
      <c:barChart>
        <c:barDir val="col"/>
        <c:grouping val="clustered"/>
        <c:varyColors val="0"/>
        <c:ser>
          <c:idx val="0"/>
          <c:order val="0"/>
          <c:tx>
            <c:strRef>
              <c:f>'DADOS - FREGUESIA DO Ó'!$F$172</c:f>
              <c:strCache>
                <c:ptCount val="1"/>
                <c:pt idx="0">
                  <c:v>CONFORME (%)</c:v>
                </c:pt>
              </c:strCache>
            </c:strRef>
          </c:tx>
          <c:spPr>
            <a:solidFill>
              <a:schemeClr val="accent1"/>
            </a:solidFill>
            <a:ln>
              <a:noFill/>
            </a:ln>
            <a:effectLst/>
          </c:spPr>
          <c:invertIfNegative val="0"/>
          <c:dLbls>
            <c:spPr>
              <a:noFill/>
              <a:ln>
                <a:noFill/>
              </a:ln>
              <a:effectLst/>
            </c:spPr>
            <c:txPr>
              <a:bodyPr rot="-5400000" spcFirstLastPara="1" vertOverflow="ellipsis" wrap="square" anchor="ctr" anchorCtr="1"/>
              <a:lstStyle/>
              <a:p>
                <a:pPr>
                  <a:defRPr sz="2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FREGUESIA DO Ó'!$B$284:$B$288</c:f>
              <c:strCache>
                <c:ptCount val="5"/>
                <c:pt idx="0">
                  <c:v>FACHADA</c:v>
                </c:pt>
                <c:pt idx="1">
                  <c:v>ANTES</c:v>
                </c:pt>
                <c:pt idx="2">
                  <c:v>HIDRÔMETRO</c:v>
                </c:pt>
                <c:pt idx="3">
                  <c:v>LEITURA</c:v>
                </c:pt>
                <c:pt idx="4">
                  <c:v>FINALIZAÇÃO</c:v>
                </c:pt>
              </c:strCache>
            </c:strRef>
          </c:cat>
          <c:val>
            <c:numRef>
              <c:f>'DADOS - FREGUESIA DO Ó'!$F$284:$F$288</c:f>
              <c:numCache>
                <c:formatCode>0.00%</c:formatCode>
                <c:ptCount val="5"/>
                <c:pt idx="0">
                  <c:v>0.91977611940298509</c:v>
                </c:pt>
                <c:pt idx="1">
                  <c:v>0.84701492537313428</c:v>
                </c:pt>
                <c:pt idx="2">
                  <c:v>0.88598130841121492</c:v>
                </c:pt>
                <c:pt idx="3">
                  <c:v>0.89906542056074767</c:v>
                </c:pt>
                <c:pt idx="4">
                  <c:v>0.88411214953271033</c:v>
                </c:pt>
              </c:numCache>
            </c:numRef>
          </c:val>
          <c:extLst>
            <c:ext xmlns:c16="http://schemas.microsoft.com/office/drawing/2014/chart" uri="{C3380CC4-5D6E-409C-BE32-E72D297353CC}">
              <c16:uniqueId val="{00000000-5765-48B9-A753-420F03092637}"/>
            </c:ext>
          </c:extLst>
        </c:ser>
        <c:dLbls>
          <c:dLblPos val="outEnd"/>
          <c:showLegendKey val="0"/>
          <c:showVal val="1"/>
          <c:showCatName val="0"/>
          <c:showSerName val="0"/>
          <c:showPercent val="0"/>
          <c:showBubbleSize val="0"/>
        </c:dLbls>
        <c:gapWidth val="219"/>
        <c:overlap val="-27"/>
        <c:axId val="152710256"/>
        <c:axId val="152709472"/>
      </c:barChart>
      <c:catAx>
        <c:axId val="15271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8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crossAx val="152709472"/>
        <c:crosses val="autoZero"/>
        <c:auto val="1"/>
        <c:lblAlgn val="ctr"/>
        <c:lblOffset val="100"/>
        <c:noMultiLvlLbl val="0"/>
      </c:catAx>
      <c:valAx>
        <c:axId val="152709472"/>
        <c:scaling>
          <c:orientation val="minMax"/>
          <c:max val="1"/>
        </c:scaling>
        <c:delete val="1"/>
        <c:axPos val="l"/>
        <c:numFmt formatCode="0.00%" sourceLinked="1"/>
        <c:majorTickMark val="out"/>
        <c:minorTickMark val="none"/>
        <c:tickLblPos val="nextTo"/>
        <c:crossAx val="152710256"/>
        <c:crosses val="autoZero"/>
        <c:crossBetween val="between"/>
      </c:valAx>
      <c:spPr>
        <a:noFill/>
        <a:ln>
          <a:noFill/>
        </a:ln>
        <a:effectLst/>
      </c:spPr>
    </c:plotArea>
    <c:legend>
      <c:legendPos val="b"/>
      <c:layout>
        <c:manualLayout>
          <c:xMode val="edge"/>
          <c:yMode val="edge"/>
          <c:x val="0.40087807328605207"/>
          <c:y val="0.94510513888888892"/>
          <c:w val="0.1562106973995272"/>
          <c:h val="4.9603194444444443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BAIXA DE MATERIAIS</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366454309353225"/>
          <c:y val="0.14082396156467297"/>
          <c:w val="0.51855578158835169"/>
          <c:h val="0.74974088291267738"/>
        </c:manualLayout>
      </c:layout>
      <c:pieChart>
        <c:varyColors val="1"/>
        <c:ser>
          <c:idx val="0"/>
          <c:order val="0"/>
          <c:tx>
            <c:strRef>
              <c:f>'DADOS - FREGUESIA DO Ó'!$B$44</c:f>
              <c:strCache>
                <c:ptCount val="1"/>
                <c:pt idx="0">
                  <c:v>Cavalete</c:v>
                </c:pt>
              </c:strCache>
            </c:strRef>
          </c:tx>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168-44DB-B1EF-14436925AC90}"/>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8168-44DB-B1EF-14436925AC90}"/>
              </c:ext>
            </c:extLst>
          </c:dPt>
          <c:dLbls>
            <c:dLbl>
              <c:idx val="0"/>
              <c:layout>
                <c:manualLayout>
                  <c:x val="-2.8454188781947075E-2"/>
                  <c:y val="0.43047286809971319"/>
                </c:manualLayout>
              </c:layout>
              <c:tx>
                <c:rich>
                  <a:bodyPr/>
                  <a:lstStyle/>
                  <a:p>
                    <a:fld id="{8978A893-F7BD-4125-BC3D-4F6807DE3E61}" type="CATEGORYNAME">
                      <a:rPr lang="en-US" sz="2800"/>
                      <a:pPr/>
                      <a:t>[]</a:t>
                    </a:fld>
                    <a:r>
                      <a:rPr lang="en-US" sz="2800"/>
                      <a:t> </a:t>
                    </a:r>
                    <a:r>
                      <a:rPr lang="en-US" sz="2800" baseline="0"/>
                      <a:t> </a:t>
                    </a:r>
                    <a:fld id="{2B2C4DFF-D81E-49EA-8B28-07B53B245BAE}" type="VALUE">
                      <a:rPr lang="en-US" sz="2800" baseline="0"/>
                      <a:pPr/>
                      <a:t>[]</a:t>
                    </a:fld>
                    <a:endParaRPr lang="en-US" sz="2800"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36954245270971287"/>
                      <c:h val="0.15836640877772754"/>
                    </c:manualLayout>
                  </c15:layout>
                  <c15:dlblFieldTable/>
                  <c15:showDataLabelsRange val="0"/>
                </c:ext>
                <c:ext xmlns:c16="http://schemas.microsoft.com/office/drawing/2014/chart" uri="{C3380CC4-5D6E-409C-BE32-E72D297353CC}">
                  <c16:uniqueId val="{00000001-8168-44DB-B1EF-14436925AC90}"/>
                </c:ext>
              </c:extLst>
            </c:dLbl>
            <c:dLbl>
              <c:idx val="1"/>
              <c:layout>
                <c:manualLayout>
                  <c:x val="-2.2761682816084854E-2"/>
                  <c:y val="-0.31720946657726412"/>
                </c:manualLayout>
              </c:layout>
              <c:tx>
                <c:rich>
                  <a:bodyPr/>
                  <a:lstStyle/>
                  <a:p>
                    <a:fld id="{24452494-4EBE-4191-A7A4-627DD8DA6BA6}" type="CATEGORYNAME">
                      <a:rPr lang="en-US" sz="2800"/>
                      <a:pPr/>
                      <a:t>[]</a:t>
                    </a:fld>
                    <a:r>
                      <a:rPr lang="en-US" sz="2800"/>
                      <a:t> </a:t>
                    </a:r>
                    <a:r>
                      <a:rPr lang="en-US" sz="2800" baseline="0"/>
                      <a:t> </a:t>
                    </a:r>
                    <a:fld id="{867B1018-F910-455F-89E6-4A1F1E31B057}" type="VALUE">
                      <a:rPr lang="en-US" sz="2800" baseline="0"/>
                      <a:pPr/>
                      <a:t>[]</a:t>
                    </a:fld>
                    <a:endParaRPr lang="en-US" sz="2800"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9868124999999995"/>
                      <c:h val="0.16459183006535946"/>
                    </c:manualLayout>
                  </c15:layout>
                  <c15:dlblFieldTable/>
                  <c15:showDataLabelsRange val="0"/>
                </c:ext>
                <c:ext xmlns:c16="http://schemas.microsoft.com/office/drawing/2014/chart" uri="{C3380CC4-5D6E-409C-BE32-E72D297353CC}">
                  <c16:uniqueId val="{00000003-8168-44DB-B1EF-14436925AC90}"/>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multiLvlStrRef>
              <c:f>'DADOS - FREGUESIA DO Ó'!$D$279:$G$280</c:f>
              <c:multiLvlStrCache>
                <c:ptCount val="4"/>
                <c:lvl>
                  <c:pt idx="0">
                    <c:v>0</c:v>
                  </c:pt>
                  <c:pt idx="1">
                    <c:v>575</c:v>
                  </c:pt>
                  <c:pt idx="2">
                    <c:v>0,00%</c:v>
                  </c:pt>
                  <c:pt idx="3">
                    <c:v>100,00%</c:v>
                  </c:pt>
                </c:lvl>
                <c:lvl>
                  <c:pt idx="0">
                    <c:v>Não Conforme</c:v>
                  </c:pt>
                  <c:pt idx="1">
                    <c:v>Conforme</c:v>
                  </c:pt>
                  <c:pt idx="2">
                    <c:v>Não Conforme (%)</c:v>
                  </c:pt>
                  <c:pt idx="3">
                    <c:v>Conforme (%)</c:v>
                  </c:pt>
                </c:lvl>
              </c:multiLvlStrCache>
            </c:multiLvlStrRef>
          </c:cat>
          <c:val>
            <c:numRef>
              <c:f>'DADOS - FREGUESIA DO Ó'!$F$280:$G$280</c:f>
              <c:numCache>
                <c:formatCode>0.00%</c:formatCode>
                <c:ptCount val="2"/>
                <c:pt idx="0">
                  <c:v>0</c:v>
                </c:pt>
                <c:pt idx="1">
                  <c:v>1</c:v>
                </c:pt>
              </c:numCache>
            </c:numRef>
          </c:val>
          <c:extLst>
            <c:ext xmlns:c16="http://schemas.microsoft.com/office/drawing/2014/chart" uri="{C3380CC4-5D6E-409C-BE32-E72D297353CC}">
              <c16:uniqueId val="{00000004-8168-44DB-B1EF-14436925AC90}"/>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TEMPO DE EXECUÇÃO</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231285155397544"/>
          <c:y val="0.14114716137251632"/>
          <c:w val="0.52931099537037041"/>
          <c:h val="0.74726258169934645"/>
        </c:manualLayout>
      </c:layout>
      <c:pieChart>
        <c:varyColors val="1"/>
        <c:ser>
          <c:idx val="0"/>
          <c:order val="0"/>
          <c:tx>
            <c:strRef>
              <c:f>'DADOS - FREGUESIA DO Ó'!$B$272</c:f>
              <c:strCache>
                <c:ptCount val="1"/>
                <c:pt idx="0">
                  <c:v>Cavalete</c:v>
                </c:pt>
              </c:strCache>
            </c:strRef>
          </c:tx>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B0A-4332-9E56-38B5EE4808DF}"/>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EB0A-4332-9E56-38B5EE4808DF}"/>
              </c:ext>
            </c:extLst>
          </c:dPt>
          <c:dLbls>
            <c:dLbl>
              <c:idx val="0"/>
              <c:layout>
                <c:manualLayout>
                  <c:x val="0.26638446022459866"/>
                  <c:y val="0.84708250766356352"/>
                </c:manualLayout>
              </c:layout>
              <c:tx>
                <c:rich>
                  <a:bodyPr/>
                  <a:lstStyle/>
                  <a:p>
                    <a:fld id="{0C6B6B03-4D35-4CED-A6D3-F45B0D9B74B8}" type="CATEGORYNAME">
                      <a:rPr lang="en-US" sz="2800"/>
                      <a:pPr/>
                      <a:t>[]</a:t>
                    </a:fld>
                    <a:r>
                      <a:rPr lang="en-US" sz="2800"/>
                      <a:t> </a:t>
                    </a:r>
                    <a:r>
                      <a:rPr lang="en-US" sz="2800" baseline="0"/>
                      <a:t> </a:t>
                    </a:r>
                    <a:fld id="{ECBDC4DC-ECC6-4C01-A2F1-DA35C2BE1F3C}" type="VALUE">
                      <a:rPr lang="en-US" sz="2800" baseline="0"/>
                      <a:pPr/>
                      <a:t>[]</a:t>
                    </a:fld>
                    <a:endParaRPr lang="en-US" sz="2800"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35934780092592594"/>
                      <c:h val="0.15145310457516339"/>
                    </c:manualLayout>
                  </c15:layout>
                  <c15:dlblFieldTable/>
                  <c15:showDataLabelsRange val="0"/>
                </c:ext>
                <c:ext xmlns:c16="http://schemas.microsoft.com/office/drawing/2014/chart" uri="{C3380CC4-5D6E-409C-BE32-E72D297353CC}">
                  <c16:uniqueId val="{00000001-EB0A-4332-9E56-38B5EE4808DF}"/>
                </c:ext>
              </c:extLst>
            </c:dLbl>
            <c:dLbl>
              <c:idx val="1"/>
              <c:layout>
                <c:manualLayout>
                  <c:x val="-0.35729252744828671"/>
                  <c:y val="-0.72833237623041647"/>
                </c:manualLayout>
              </c:layout>
              <c:tx>
                <c:rich>
                  <a:bodyPr/>
                  <a:lstStyle/>
                  <a:p>
                    <a:fld id="{1B8102D6-CF21-40EA-BD5F-C97AC8022A2A}" type="CATEGORYNAME">
                      <a:rPr lang="en-US" sz="2800"/>
                      <a:pPr/>
                      <a:t>[]</a:t>
                    </a:fld>
                    <a:r>
                      <a:rPr lang="en-US" sz="2800"/>
                      <a:t> </a:t>
                    </a:r>
                    <a:r>
                      <a:rPr lang="en-US" sz="2800" baseline="0"/>
                      <a:t> </a:t>
                    </a:r>
                    <a:fld id="{93B84BD9-ADA0-451D-8D4B-B4165E8402C9}" type="VALUE">
                      <a:rPr lang="en-US" sz="2800" baseline="0"/>
                      <a:pPr/>
                      <a:t>[]</a:t>
                    </a:fld>
                    <a:endParaRPr lang="en-US" sz="2800"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993527777777778"/>
                      <c:h val="0.15897973856209149"/>
                    </c:manualLayout>
                  </c15:layout>
                  <c15:dlblFieldTable/>
                  <c15:showDataLabelsRange val="0"/>
                </c:ext>
                <c:ext xmlns:c16="http://schemas.microsoft.com/office/drawing/2014/chart" uri="{C3380CC4-5D6E-409C-BE32-E72D297353CC}">
                  <c16:uniqueId val="{00000003-EB0A-4332-9E56-38B5EE4808DF}"/>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strRef>
              <c:f>'DADOS - FREGUESIA DO Ó'!$D$271:$G$272</c:f>
              <c:strCache>
                <c:ptCount val="8"/>
                <c:pt idx="0">
                  <c:v>Não Conforme</c:v>
                </c:pt>
                <c:pt idx="1">
                  <c:v>46</c:v>
                </c:pt>
                <c:pt idx="2">
                  <c:v>Conforme</c:v>
                </c:pt>
                <c:pt idx="3">
                  <c:v>490</c:v>
                </c:pt>
                <c:pt idx="4">
                  <c:v>Não Conforme (%)</c:v>
                </c:pt>
                <c:pt idx="5">
                  <c:v>8,58%</c:v>
                </c:pt>
                <c:pt idx="6">
                  <c:v>Conforme (%)</c:v>
                </c:pt>
                <c:pt idx="7">
                  <c:v>91,42%</c:v>
                </c:pt>
              </c:strCache>
            </c:strRef>
          </c:cat>
          <c:val>
            <c:numRef>
              <c:f>'DADOS - FREGUESIA DO Ó'!$F$272:$G$272</c:f>
              <c:numCache>
                <c:formatCode>0.00%</c:formatCode>
                <c:ptCount val="2"/>
                <c:pt idx="0">
                  <c:v>8.5820895522388058E-2</c:v>
                </c:pt>
                <c:pt idx="1">
                  <c:v>0.91417910447761197</c:v>
                </c:pt>
              </c:numCache>
            </c:numRef>
          </c:val>
          <c:extLst>
            <c:ext xmlns:c16="http://schemas.microsoft.com/office/drawing/2014/chart" uri="{C3380CC4-5D6E-409C-BE32-E72D297353CC}">
              <c16:uniqueId val="{00000004-EB0A-4332-9E56-38B5EE4808DF}"/>
            </c:ext>
          </c:extLst>
        </c:ser>
        <c:ser>
          <c:idx val="1"/>
          <c:order val="1"/>
          <c:tx>
            <c:strRef>
              <c:f>CAVALETE!$A$20:$AA$20</c:f>
              <c:strCache>
                <c:ptCount val="27"/>
                <c:pt idx="0">
                  <c:v>ONMF - DIV MANUT SERV OPE FREGUESIA</c:v>
                </c:pt>
                <c:pt idx="1">
                  <c:v>2692159324</c:v>
                </c:pt>
                <c:pt idx="2">
                  <c:v>CAVALETE VAZANDO</c:v>
                </c:pt>
                <c:pt idx="3">
                  <c:v>CAVALETE</c:v>
                </c:pt>
                <c:pt idx="4">
                  <c:v>SÃO PAULO</c:v>
                </c:pt>
                <c:pt idx="5">
                  <c:v> RUA INACIO XAVIER DE CARVALHO</c:v>
                </c:pt>
                <c:pt idx="6">
                  <c:v>74</c:v>
                </c:pt>
                <c:pt idx="8">
                  <c:v>JD ALMANARA</c:v>
                </c:pt>
                <c:pt idx="9">
                  <c:v>REPARO DE CAVALETE</c:v>
                </c:pt>
                <c:pt idx="11">
                  <c:v>05/02/2026 09:07</c:v>
                </c:pt>
                <c:pt idx="12">
                  <c:v>05/02/2026 09:24</c:v>
                </c:pt>
                <c:pt idx="13">
                  <c:v>JOSE CICERO BELTRAO DA SILVA</c:v>
                </c:pt>
                <c:pt idx="14">
                  <c:v>C</c:v>
                </c:pt>
                <c:pt idx="16">
                  <c:v>C</c:v>
                </c:pt>
                <c:pt idx="18">
                  <c:v>C</c:v>
                </c:pt>
                <c:pt idx="20">
                  <c:v>C</c:v>
                </c:pt>
                <c:pt idx="22">
                  <c:v>C</c:v>
                </c:pt>
                <c:pt idx="24">
                  <c:v>C</c:v>
                </c:pt>
                <c:pt idx="25">
                  <c:v>C</c:v>
                </c:pt>
                <c:pt idx="26">
                  <c:v>UTILIZOU O PDA CORRETAMENTE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9B83-4009-ACB5-0D62CEB6ACED}"/>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CAVALETE!$AB$2:$AB$5</c:f>
              <c:strCache>
                <c:ptCount val="4"/>
                <c:pt idx="0">
                  <c:v>C</c:v>
                </c:pt>
                <c:pt idx="1">
                  <c:v>C</c:v>
                </c:pt>
                <c:pt idx="2">
                  <c:v>C</c:v>
                </c:pt>
                <c:pt idx="3">
                  <c:v>C</c:v>
                </c:pt>
              </c:strCache>
            </c:strRef>
          </c:cat>
          <c:val>
            <c:numRef>
              <c:f>CAVALETE!#REF!</c:f>
              <c:numCache>
                <c:formatCode>General</c:formatCode>
                <c:ptCount val="1"/>
                <c:pt idx="0">
                  <c:v>1</c:v>
                </c:pt>
              </c:numCache>
            </c:numRef>
          </c:val>
          <c:extLst>
            <c:ext xmlns:c16="http://schemas.microsoft.com/office/drawing/2014/chart" uri="{C3380CC4-5D6E-409C-BE32-E72D297353CC}">
              <c16:uniqueId val="{00000007-EB0A-4332-9E56-38B5EE4808DF}"/>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SEQUÊNCIA DE FOTOS</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3580792919340848"/>
          <c:y val="0.16201192961596447"/>
          <c:w val="0.53080044327861176"/>
          <c:h val="0.76629776200351274"/>
        </c:manualLayout>
      </c:layout>
      <c:pieChart>
        <c:varyColors val="1"/>
        <c:ser>
          <c:idx val="0"/>
          <c:order val="0"/>
          <c:tx>
            <c:strRef>
              <c:f>'DADOS - FREGUESIA DO Ó'!$B$28</c:f>
              <c:strCache>
                <c:ptCount val="1"/>
                <c:pt idx="0">
                  <c:v>Cavalete</c:v>
                </c:pt>
              </c:strCache>
            </c:strRef>
          </c:tx>
          <c:spPr>
            <a:solidFill>
              <a:schemeClr val="accent2"/>
            </a:solidFill>
          </c:spPr>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7E3-4DDB-8F85-0503BB784D87}"/>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77E3-4DDB-8F85-0503BB784D87}"/>
              </c:ext>
            </c:extLst>
          </c:dPt>
          <c:dLbls>
            <c:dLbl>
              <c:idx val="0"/>
              <c:layout>
                <c:manualLayout>
                  <c:x val="0.3169892878212025"/>
                  <c:y val="0.83899471840953754"/>
                </c:manualLayout>
              </c:layout>
              <c:tx>
                <c:rich>
                  <a:bodyPr/>
                  <a:lstStyle/>
                  <a:p>
                    <a:fld id="{933EC8F2-8578-4307-8F0E-BACFC1127520}" type="CATEGORYNAME">
                      <a:rPr lang="en-US"/>
                      <a:pPr/>
                      <a:t>[]</a:t>
                    </a:fld>
                    <a:r>
                      <a:rPr lang="en-US"/>
                      <a:t> </a:t>
                    </a:r>
                    <a:r>
                      <a:rPr lang="en-US" baseline="0"/>
                      <a:t> </a:t>
                    </a:r>
                    <a:fld id="{3088FF1F-25A3-4A84-88D2-1B05B8F52E20}"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7110694983711187"/>
                      <c:h val="0.16027866044574959"/>
                    </c:manualLayout>
                  </c15:layout>
                  <c15:dlblFieldTable/>
                  <c15:showDataLabelsRange val="0"/>
                </c:ext>
                <c:ext xmlns:c16="http://schemas.microsoft.com/office/drawing/2014/chart" uri="{C3380CC4-5D6E-409C-BE32-E72D297353CC}">
                  <c16:uniqueId val="{00000001-77E3-4DDB-8F85-0503BB784D87}"/>
                </c:ext>
              </c:extLst>
            </c:dLbl>
            <c:dLbl>
              <c:idx val="1"/>
              <c:layout>
                <c:manualLayout>
                  <c:x val="-0.29509204537107575"/>
                  <c:y val="-0.71848548573647042"/>
                </c:manualLayout>
              </c:layout>
              <c:tx>
                <c:rich>
                  <a:bodyPr/>
                  <a:lstStyle/>
                  <a:p>
                    <a:fld id="{30DEE036-772C-41DB-82FD-52101E084105}" type="CATEGORYNAME">
                      <a:rPr lang="en-US"/>
                      <a:pPr/>
                      <a:t>[]</a:t>
                    </a:fld>
                    <a:r>
                      <a:rPr lang="en-US"/>
                      <a:t> </a:t>
                    </a:r>
                    <a:r>
                      <a:rPr lang="en-US" baseline="0"/>
                      <a:t> </a:t>
                    </a:r>
                    <a:fld id="{F85FB7F0-7B94-4229-9B77-C8D2594BEC01}"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41223321759259257"/>
                      <c:h val="0.15726192810457518"/>
                    </c:manualLayout>
                  </c15:layout>
                  <c15:dlblFieldTable/>
                  <c15:showDataLabelsRange val="0"/>
                </c:ext>
                <c:ext xmlns:c16="http://schemas.microsoft.com/office/drawing/2014/chart" uri="{C3380CC4-5D6E-409C-BE32-E72D297353CC}">
                  <c16:uniqueId val="{00000003-77E3-4DDB-8F85-0503BB784D87}"/>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multiLvlStrRef>
              <c:f>'DADOS - FREGUESIA DO Ó'!$D$275:$G$276</c:f>
              <c:multiLvlStrCache>
                <c:ptCount val="4"/>
                <c:lvl>
                  <c:pt idx="0">
                    <c:v>106</c:v>
                  </c:pt>
                  <c:pt idx="1">
                    <c:v>430</c:v>
                  </c:pt>
                  <c:pt idx="2">
                    <c:v>19,78%</c:v>
                  </c:pt>
                  <c:pt idx="3">
                    <c:v>80,22%</c:v>
                  </c:pt>
                </c:lvl>
                <c:lvl>
                  <c:pt idx="0">
                    <c:v>Fotos NC</c:v>
                  </c:pt>
                  <c:pt idx="1">
                    <c:v>Fotos Conforme</c:v>
                  </c:pt>
                  <c:pt idx="2">
                    <c:v>Não Conforme (%)</c:v>
                  </c:pt>
                  <c:pt idx="3">
                    <c:v>Conforme (%)</c:v>
                  </c:pt>
                </c:lvl>
              </c:multiLvlStrCache>
            </c:multiLvlStrRef>
          </c:cat>
          <c:val>
            <c:numRef>
              <c:f>'DADOS - FREGUESIA DO Ó'!$F$276:$G$276</c:f>
              <c:numCache>
                <c:formatCode>0.00%</c:formatCode>
                <c:ptCount val="2"/>
                <c:pt idx="0">
                  <c:v>0.19776119402985073</c:v>
                </c:pt>
                <c:pt idx="1">
                  <c:v>0.80223880597014929</c:v>
                </c:pt>
              </c:numCache>
            </c:numRef>
          </c:val>
          <c:extLst>
            <c:ext xmlns:c16="http://schemas.microsoft.com/office/drawing/2014/chart" uri="{C3380CC4-5D6E-409C-BE32-E72D297353CC}">
              <c16:uniqueId val="{00000004-77E3-4DDB-8F85-0503BB784D87}"/>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r>
              <a:rPr lang="pt-BR" sz="2800">
                <a:latin typeface="Arial Black" panose="020B0A04020102020204" pitchFamily="34" charset="0"/>
                <a:cs typeface="Arial" panose="020B0604020202020204" pitchFamily="34" charset="0"/>
              </a:rPr>
              <a:t>CONFORMIDADES - ETAPAS (%)</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title>
    <c:autoTitleDeleted val="0"/>
    <c:plotArea>
      <c:layout>
        <c:manualLayout>
          <c:layoutTarget val="inner"/>
          <c:xMode val="edge"/>
          <c:yMode val="edge"/>
          <c:x val="1.6037174940898347E-2"/>
          <c:y val="0.28111929219109572"/>
          <c:w val="0.97242924138475473"/>
          <c:h val="0.34474156247575083"/>
        </c:manualLayout>
      </c:layout>
      <c:barChart>
        <c:barDir val="col"/>
        <c:grouping val="clustered"/>
        <c:varyColors val="0"/>
        <c:ser>
          <c:idx val="0"/>
          <c:order val="0"/>
          <c:tx>
            <c:strRef>
              <c:f>'DADOS - FREGUESIA DO Ó'!$F$172</c:f>
              <c:strCache>
                <c:ptCount val="1"/>
                <c:pt idx="0">
                  <c:v>CONFORME (%)</c:v>
                </c:pt>
              </c:strCache>
            </c:strRef>
          </c:tx>
          <c:spPr>
            <a:solidFill>
              <a:schemeClr val="accent1"/>
            </a:solidFill>
            <a:ln>
              <a:noFill/>
            </a:ln>
            <a:effectLst/>
          </c:spPr>
          <c:invertIfNegative val="0"/>
          <c:dLbls>
            <c:spPr>
              <a:noFill/>
              <a:ln>
                <a:noFill/>
              </a:ln>
              <a:effectLst/>
            </c:spPr>
            <c:txPr>
              <a:bodyPr rot="-5400000" spcFirstLastPara="1" vertOverflow="ellipsis" wrap="square" anchor="ctr" anchorCtr="1"/>
              <a:lstStyle/>
              <a:p>
                <a:pPr>
                  <a:defRPr sz="2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FREGUESIA DO Ó'!$B$388:$B$395</c:f>
              <c:strCache>
                <c:ptCount val="8"/>
                <c:pt idx="0">
                  <c:v>FACHADA</c:v>
                </c:pt>
                <c:pt idx="1">
                  <c:v>SINALIZAÇÃO</c:v>
                </c:pt>
                <c:pt idx="2">
                  <c:v>IMPRIMAÇÃO</c:v>
                </c:pt>
                <c:pt idx="3">
                  <c:v>TERMÔMETRO</c:v>
                </c:pt>
                <c:pt idx="4">
                  <c:v>RASTELO</c:v>
                </c:pt>
                <c:pt idx="5">
                  <c:v>COMPAC. MASSA ASF.</c:v>
                </c:pt>
                <c:pt idx="6">
                  <c:v>PLACA VIBRATÓRIA</c:v>
                </c:pt>
                <c:pt idx="7">
                  <c:v>FINALIZAÇÃO</c:v>
                </c:pt>
              </c:strCache>
            </c:strRef>
          </c:cat>
          <c:val>
            <c:numRef>
              <c:f>'DADOS - FREGUESIA DO Ó'!$F$388:$F$395</c:f>
              <c:numCache>
                <c:formatCode>0.00%</c:formatCode>
                <c:ptCount val="8"/>
                <c:pt idx="0">
                  <c:v>0.91304347826086951</c:v>
                </c:pt>
                <c:pt idx="1">
                  <c:v>0.86956521739130432</c:v>
                </c:pt>
                <c:pt idx="2">
                  <c:v>0.91304347826086951</c:v>
                </c:pt>
                <c:pt idx="3">
                  <c:v>0.69565217391304346</c:v>
                </c:pt>
                <c:pt idx="4">
                  <c:v>0.78260869565217395</c:v>
                </c:pt>
                <c:pt idx="5">
                  <c:v>0.56521739130434778</c:v>
                </c:pt>
                <c:pt idx="6">
                  <c:v>0.86956521739130432</c:v>
                </c:pt>
                <c:pt idx="7">
                  <c:v>0.47826086956521741</c:v>
                </c:pt>
              </c:numCache>
            </c:numRef>
          </c:val>
          <c:extLst>
            <c:ext xmlns:c16="http://schemas.microsoft.com/office/drawing/2014/chart" uri="{C3380CC4-5D6E-409C-BE32-E72D297353CC}">
              <c16:uniqueId val="{00000000-D6CB-4E40-8E8B-79E45B67B7E4}"/>
            </c:ext>
          </c:extLst>
        </c:ser>
        <c:dLbls>
          <c:dLblPos val="outEnd"/>
          <c:showLegendKey val="0"/>
          <c:showVal val="1"/>
          <c:showCatName val="0"/>
          <c:showSerName val="0"/>
          <c:showPercent val="0"/>
          <c:showBubbleSize val="0"/>
        </c:dLbls>
        <c:gapWidth val="219"/>
        <c:overlap val="-27"/>
        <c:axId val="152712608"/>
        <c:axId val="152713000"/>
      </c:barChart>
      <c:catAx>
        <c:axId val="15271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8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crossAx val="152713000"/>
        <c:crosses val="autoZero"/>
        <c:auto val="1"/>
        <c:lblAlgn val="ctr"/>
        <c:lblOffset val="100"/>
        <c:noMultiLvlLbl val="0"/>
      </c:catAx>
      <c:valAx>
        <c:axId val="152713000"/>
        <c:scaling>
          <c:orientation val="minMax"/>
          <c:max val="1"/>
        </c:scaling>
        <c:delete val="1"/>
        <c:axPos val="l"/>
        <c:numFmt formatCode="0.00%" sourceLinked="1"/>
        <c:majorTickMark val="out"/>
        <c:minorTickMark val="none"/>
        <c:tickLblPos val="nextTo"/>
        <c:crossAx val="152712608"/>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Entry>
      <c:layout>
        <c:manualLayout>
          <c:xMode val="edge"/>
          <c:yMode val="edge"/>
          <c:x val="0.40388043735224594"/>
          <c:y val="0.9503968055555555"/>
          <c:w val="0.1562106973995272"/>
          <c:h val="4.9603194444444443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SEQUÊNCIA DE FOTOS</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031445681432562"/>
          <c:y val="0.15766062556379071"/>
          <c:w val="0.5255393326808746"/>
          <c:h val="0.7587024833488889"/>
        </c:manualLayout>
      </c:layout>
      <c:pieChart>
        <c:varyColors val="1"/>
        <c:ser>
          <c:idx val="0"/>
          <c:order val="0"/>
          <c:tx>
            <c:strRef>
              <c:f>'DADOS - FREGUESIA DO Ó'!$B$384</c:f>
              <c:strCache>
                <c:ptCount val="1"/>
                <c:pt idx="0">
                  <c:v>Reposição</c:v>
                </c:pt>
              </c:strCache>
            </c:strRef>
          </c:tx>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B88-4D06-91FD-5261587D6167}"/>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CB88-4D06-91FD-5261587D6167}"/>
              </c:ext>
            </c:extLst>
          </c:dPt>
          <c:dLbls>
            <c:dLbl>
              <c:idx val="0"/>
              <c:layout>
                <c:manualLayout>
                  <c:x val="-2.2566743549865272E-2"/>
                  <c:y val="0.38021105629448693"/>
                </c:manualLayout>
              </c:layout>
              <c:tx>
                <c:rich>
                  <a:bodyPr/>
                  <a:lstStyle/>
                  <a:p>
                    <a:fld id="{3DEF3CBE-BA40-452E-B62D-38C7634BD340}" type="CATEGORYNAME">
                      <a:rPr lang="en-US"/>
                      <a:pPr/>
                      <a:t>[]</a:t>
                    </a:fld>
                    <a:r>
                      <a:rPr lang="en-US"/>
                      <a:t> </a:t>
                    </a:r>
                    <a:r>
                      <a:rPr lang="en-US" baseline="0"/>
                      <a:t> </a:t>
                    </a:r>
                    <a:fld id="{D6809A74-2863-4AA8-B879-291FD493640F}"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6151145833333334"/>
                      <c:h val="0.17012957516339869"/>
                    </c:manualLayout>
                  </c15:layout>
                  <c15:dlblFieldTable/>
                  <c15:showDataLabelsRange val="0"/>
                </c:ext>
                <c:ext xmlns:c16="http://schemas.microsoft.com/office/drawing/2014/chart" uri="{C3380CC4-5D6E-409C-BE32-E72D297353CC}">
                  <c16:uniqueId val="{00000001-CB88-4D06-91FD-5261587D6167}"/>
                </c:ext>
              </c:extLst>
            </c:dLbl>
            <c:dLbl>
              <c:idx val="1"/>
              <c:layout>
                <c:manualLayout>
                  <c:x val="-2.2795803094516096E-2"/>
                  <c:y val="-0.36546695718608907"/>
                </c:manualLayout>
              </c:layout>
              <c:tx>
                <c:rich>
                  <a:bodyPr/>
                  <a:lstStyle/>
                  <a:p>
                    <a:fld id="{8F0133E8-1217-4EC6-AB2D-79F2A72D508F}" type="CATEGORYNAME">
                      <a:rPr lang="en-US"/>
                      <a:pPr/>
                      <a:t>[]</a:t>
                    </a:fld>
                    <a:r>
                      <a:rPr lang="en-US"/>
                      <a:t> </a:t>
                    </a:r>
                    <a:r>
                      <a:rPr lang="en-US" baseline="0"/>
                      <a:t> </a:t>
                    </a:r>
                    <a:fld id="{F8FF62A4-B229-456B-9502-C1291D08E5A2}"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39927847222222218"/>
                      <c:h val="0.15975375816993465"/>
                    </c:manualLayout>
                  </c15:layout>
                  <c15:dlblFieldTable/>
                  <c15:showDataLabelsRange val="0"/>
                </c:ext>
                <c:ext xmlns:c16="http://schemas.microsoft.com/office/drawing/2014/chart" uri="{C3380CC4-5D6E-409C-BE32-E72D297353CC}">
                  <c16:uniqueId val="{00000003-CB88-4D06-91FD-5261587D6167}"/>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multiLvlStrRef>
              <c:f>'DADOS - FREGUESIA DO Ó'!$D$383:$G$384</c:f>
              <c:multiLvlStrCache>
                <c:ptCount val="4"/>
                <c:lvl>
                  <c:pt idx="0">
                    <c:v>16</c:v>
                  </c:pt>
                  <c:pt idx="1">
                    <c:v>7</c:v>
                  </c:pt>
                  <c:pt idx="2">
                    <c:v>69,57%</c:v>
                  </c:pt>
                  <c:pt idx="3">
                    <c:v>30,43%</c:v>
                  </c:pt>
                </c:lvl>
                <c:lvl>
                  <c:pt idx="0">
                    <c:v>Fotos NC</c:v>
                  </c:pt>
                  <c:pt idx="1">
                    <c:v>Fotos Conforme</c:v>
                  </c:pt>
                  <c:pt idx="2">
                    <c:v>Não Conforme (%)</c:v>
                  </c:pt>
                  <c:pt idx="3">
                    <c:v>Conforme (%)</c:v>
                  </c:pt>
                </c:lvl>
              </c:multiLvlStrCache>
            </c:multiLvlStrRef>
          </c:cat>
          <c:val>
            <c:numRef>
              <c:f>'DADOS - FREGUESIA DO Ó'!$F$384:$G$384</c:f>
              <c:numCache>
                <c:formatCode>0.00%</c:formatCode>
                <c:ptCount val="2"/>
                <c:pt idx="0">
                  <c:v>0.69565217391304346</c:v>
                </c:pt>
                <c:pt idx="1">
                  <c:v>0.30434782608695654</c:v>
                </c:pt>
              </c:numCache>
            </c:numRef>
          </c:val>
          <c:extLst>
            <c:ext xmlns:c16="http://schemas.microsoft.com/office/drawing/2014/chart" uri="{C3380CC4-5D6E-409C-BE32-E72D297353CC}">
              <c16:uniqueId val="{00000004-CB88-4D06-91FD-5261587D6167}"/>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TEMPO DE EXECUÇÃO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46574067767750721"/>
          <c:y val="4.0388703703703704E-2"/>
          <c:w val="0.43457295922193129"/>
          <c:h val="0.92876657407407404"/>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FREGUESIA DO Ó'!$B$400:$B$439</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FREGUESIA DO Ó'!$F$400:$F$439</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4817-46EF-ABB2-FB8A2EFE31B4}"/>
            </c:ext>
          </c:extLst>
        </c:ser>
        <c:dLbls>
          <c:showLegendKey val="0"/>
          <c:showVal val="1"/>
          <c:showCatName val="0"/>
          <c:showSerName val="0"/>
          <c:showPercent val="0"/>
          <c:showBubbleSize val="0"/>
        </c:dLbls>
        <c:gapWidth val="39"/>
        <c:axId val="160445792"/>
        <c:axId val="160446968"/>
      </c:barChart>
      <c:catAx>
        <c:axId val="1604457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60446968"/>
        <c:crosses val="autoZero"/>
        <c:auto val="1"/>
        <c:lblAlgn val="ctr"/>
        <c:lblOffset val="100"/>
        <c:noMultiLvlLbl val="0"/>
      </c:catAx>
      <c:valAx>
        <c:axId val="160446968"/>
        <c:scaling>
          <c:orientation val="minMax"/>
          <c:max val="1"/>
        </c:scaling>
        <c:delete val="1"/>
        <c:axPos val="t"/>
        <c:numFmt formatCode="0.00%" sourceLinked="1"/>
        <c:majorTickMark val="out"/>
        <c:minorTickMark val="none"/>
        <c:tickLblPos val="nextTo"/>
        <c:crossAx val="1604457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SEQUÊNCIA DE FOTOS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47895705648931086"/>
          <c:y val="4.1143058359907364E-2"/>
          <c:w val="0.42278298326165686"/>
          <c:h val="0.92801217503974465"/>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FREGUESIA DO Ó'!$B$444:$B$483</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FREGUESIA DO Ó'!$F$444:$F$483</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48C5-4BEE-8638-9F60C82252CC}"/>
            </c:ext>
          </c:extLst>
        </c:ser>
        <c:dLbls>
          <c:showLegendKey val="0"/>
          <c:showVal val="1"/>
          <c:showCatName val="0"/>
          <c:showSerName val="0"/>
          <c:showPercent val="0"/>
          <c:showBubbleSize val="0"/>
        </c:dLbls>
        <c:gapWidth val="39"/>
        <c:axId val="152711432"/>
        <c:axId val="152711824"/>
      </c:barChart>
      <c:catAx>
        <c:axId val="1527114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2711824"/>
        <c:crosses val="autoZero"/>
        <c:auto val="1"/>
        <c:lblAlgn val="ctr"/>
        <c:lblOffset val="100"/>
        <c:noMultiLvlLbl val="0"/>
      </c:catAx>
      <c:valAx>
        <c:axId val="152711824"/>
        <c:scaling>
          <c:orientation val="minMax"/>
          <c:max val="1"/>
        </c:scaling>
        <c:delete val="1"/>
        <c:axPos val="t"/>
        <c:numFmt formatCode="0.00%" sourceLinked="1"/>
        <c:majorTickMark val="out"/>
        <c:minorTickMark val="none"/>
        <c:tickLblPos val="nextTo"/>
        <c:crossAx val="1527114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TEMPO DE EXECUÇÃO</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449053032354315"/>
          <c:y val="0.14094322778300733"/>
          <c:w val="0.52329897363349509"/>
          <c:h val="0.75546815650189691"/>
        </c:manualLayout>
      </c:layout>
      <c:pieChart>
        <c:varyColors val="1"/>
        <c:ser>
          <c:idx val="0"/>
          <c:order val="0"/>
          <c:tx>
            <c:strRef>
              <c:f>'DADOS - FREGUESIA DO Ó'!$B$380</c:f>
              <c:strCache>
                <c:ptCount val="1"/>
                <c:pt idx="0">
                  <c:v>Reposição</c:v>
                </c:pt>
              </c:strCache>
            </c:strRef>
          </c:tx>
          <c:spPr>
            <a:solidFill>
              <a:srgbClr val="FF6600"/>
            </a:solidFill>
          </c:spPr>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536-41E6-9230-4F85BDF64C60}"/>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7536-41E6-9230-4F85BDF64C60}"/>
              </c:ext>
            </c:extLst>
          </c:dPt>
          <c:dLbls>
            <c:dLbl>
              <c:idx val="0"/>
              <c:layout>
                <c:manualLayout>
                  <c:x val="-2.2566743549865272E-2"/>
                  <c:y val="0.41868397629247073"/>
                </c:manualLayout>
              </c:layout>
              <c:tx>
                <c:rich>
                  <a:bodyPr/>
                  <a:lstStyle/>
                  <a:p>
                    <a:fld id="{D32A983E-12C8-45CC-B469-EF048F5E8B78}" type="CATEGORYNAME">
                      <a:rPr lang="en-US"/>
                      <a:pPr/>
                      <a:t>[]</a:t>
                    </a:fld>
                    <a:r>
                      <a:rPr lang="en-US"/>
                      <a:t> </a:t>
                    </a:r>
                    <a:r>
                      <a:rPr lang="en-US" baseline="0"/>
                      <a:t> </a:t>
                    </a:r>
                    <a:fld id="{2D12AD4D-606F-41A8-82FC-D09A7E5C91BC}"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34549155092592593"/>
                      <c:h val="0.15062777777777778"/>
                    </c:manualLayout>
                  </c15:layout>
                  <c15:dlblFieldTable/>
                  <c15:showDataLabelsRange val="0"/>
                </c:ext>
                <c:ext xmlns:c16="http://schemas.microsoft.com/office/drawing/2014/chart" uri="{C3380CC4-5D6E-409C-BE32-E72D297353CC}">
                  <c16:uniqueId val="{00000001-7536-41E6-9230-4F85BDF64C60}"/>
                </c:ext>
              </c:extLst>
            </c:dLbl>
            <c:dLbl>
              <c:idx val="1"/>
              <c:layout>
                <c:manualLayout>
                  <c:x val="-2.1332495138245731E-2"/>
                  <c:y val="-0.34384874914355379"/>
                </c:manualLayout>
              </c:layout>
              <c:tx>
                <c:rich>
                  <a:bodyPr/>
                  <a:lstStyle/>
                  <a:p>
                    <a:fld id="{A2E33BF9-6A21-498F-89FC-6AF97EA74EE0}" type="CATEGORYNAME">
                      <a:rPr lang="en-US"/>
                      <a:pPr/>
                      <a:t>[]</a:t>
                    </a:fld>
                    <a:r>
                      <a:rPr lang="en-US"/>
                      <a:t> </a:t>
                    </a:r>
                    <a:r>
                      <a:rPr lang="en-US" baseline="0"/>
                      <a:t> </a:t>
                    </a:r>
                    <a:fld id="{7DCD1389-3CC2-402C-BC0C-CE4F48B3EB75}"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6367523148148148"/>
                      <c:h val="0.17220473856209151"/>
                    </c:manualLayout>
                  </c15:layout>
                  <c15:dlblFieldTable/>
                  <c15:showDataLabelsRange val="0"/>
                </c:ext>
                <c:ext xmlns:c16="http://schemas.microsoft.com/office/drawing/2014/chart" uri="{C3380CC4-5D6E-409C-BE32-E72D297353CC}">
                  <c16:uniqueId val="{00000003-7536-41E6-9230-4F85BDF64C60}"/>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multiLvlStrRef>
              <c:f>'DADOS - FREGUESIA DO Ó'!$D$379:$G$380</c:f>
              <c:multiLvlStrCache>
                <c:ptCount val="4"/>
                <c:lvl>
                  <c:pt idx="0">
                    <c:v>2</c:v>
                  </c:pt>
                  <c:pt idx="1">
                    <c:v>21</c:v>
                  </c:pt>
                  <c:pt idx="2">
                    <c:v>8,70%</c:v>
                  </c:pt>
                  <c:pt idx="3">
                    <c:v>91,30%</c:v>
                  </c:pt>
                </c:lvl>
                <c:lvl>
                  <c:pt idx="0">
                    <c:v>Não Conforme</c:v>
                  </c:pt>
                  <c:pt idx="1">
                    <c:v>Conforme</c:v>
                  </c:pt>
                  <c:pt idx="2">
                    <c:v>Não Conforme (%)</c:v>
                  </c:pt>
                  <c:pt idx="3">
                    <c:v>Conforme (%)</c:v>
                  </c:pt>
                </c:lvl>
              </c:multiLvlStrCache>
            </c:multiLvlStrRef>
          </c:cat>
          <c:val>
            <c:numRef>
              <c:f>'DADOS - FREGUESIA DO Ó'!$F$380:$G$380</c:f>
              <c:numCache>
                <c:formatCode>0.00%</c:formatCode>
                <c:ptCount val="2"/>
                <c:pt idx="0">
                  <c:v>8.6956521739130432E-2</c:v>
                </c:pt>
                <c:pt idx="1">
                  <c:v>0.91304347826086951</c:v>
                </c:pt>
              </c:numCache>
            </c:numRef>
          </c:val>
          <c:extLst>
            <c:ext xmlns:c16="http://schemas.microsoft.com/office/drawing/2014/chart" uri="{C3380CC4-5D6E-409C-BE32-E72D297353CC}">
              <c16:uniqueId val="{00000004-7536-41E6-9230-4F85BDF64C60}"/>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5" Type="http://schemas.openxmlformats.org/officeDocument/2006/relationships/chart" Target="../charts/chart28.xml"/><Relationship Id="rId4"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editAs="oneCell">
    <xdr:from>
      <xdr:col>2</xdr:col>
      <xdr:colOff>99391</xdr:colOff>
      <xdr:row>2</xdr:row>
      <xdr:rowOff>41413</xdr:rowOff>
    </xdr:from>
    <xdr:to>
      <xdr:col>4</xdr:col>
      <xdr:colOff>92613</xdr:colOff>
      <xdr:row>6</xdr:row>
      <xdr:rowOff>7782</xdr:rowOff>
    </xdr:to>
    <xdr:pic>
      <xdr:nvPicPr>
        <xdr:cNvPr id="2" name="Imagem 1">
          <a:extLst>
            <a:ext uri="{FF2B5EF4-FFF2-40B4-BE49-F238E27FC236}">
              <a16:creationId xmlns:a16="http://schemas.microsoft.com/office/drawing/2014/main" id="{02DC06CA-4461-46CA-B6C9-0956E128606E}"/>
            </a:ext>
          </a:extLst>
        </xdr:cNvPr>
        <xdr:cNvPicPr>
          <a:picLocks noChangeAspect="1"/>
        </xdr:cNvPicPr>
      </xdr:nvPicPr>
      <xdr:blipFill>
        <a:blip xmlns:r="http://schemas.openxmlformats.org/officeDocument/2006/relationships" r:embed="rId1"/>
        <a:stretch>
          <a:fillRect/>
        </a:stretch>
      </xdr:blipFill>
      <xdr:spPr>
        <a:xfrm>
          <a:off x="1325217" y="414130"/>
          <a:ext cx="1219048" cy="695238"/>
        </a:xfrm>
        <a:prstGeom prst="rect">
          <a:avLst/>
        </a:prstGeom>
      </xdr:spPr>
    </xdr:pic>
    <xdr:clientData/>
  </xdr:twoCellAnchor>
  <xdr:twoCellAnchor editAs="oneCell">
    <xdr:from>
      <xdr:col>8</xdr:col>
      <xdr:colOff>64300</xdr:colOff>
      <xdr:row>2</xdr:row>
      <xdr:rowOff>57980</xdr:rowOff>
    </xdr:from>
    <xdr:to>
      <xdr:col>9</xdr:col>
      <xdr:colOff>548872</xdr:colOff>
      <xdr:row>6</xdr:row>
      <xdr:rowOff>149089</xdr:rowOff>
    </xdr:to>
    <xdr:pic>
      <xdr:nvPicPr>
        <xdr:cNvPr id="3" name="Imagem 2">
          <a:extLst>
            <a:ext uri="{FF2B5EF4-FFF2-40B4-BE49-F238E27FC236}">
              <a16:creationId xmlns:a16="http://schemas.microsoft.com/office/drawing/2014/main" id="{9026B990-86C2-470A-A235-22D471891EE3}"/>
            </a:ext>
          </a:extLst>
        </xdr:cNvPr>
        <xdr:cNvPicPr>
          <a:picLocks noChangeAspect="1"/>
        </xdr:cNvPicPr>
      </xdr:nvPicPr>
      <xdr:blipFill rotWithShape="1">
        <a:blip xmlns:r="http://schemas.openxmlformats.org/officeDocument/2006/relationships" r:embed="rId2"/>
        <a:srcRect l="9566"/>
        <a:stretch/>
      </xdr:blipFill>
      <xdr:spPr>
        <a:xfrm>
          <a:off x="4967604" y="430697"/>
          <a:ext cx="1097485" cy="819978"/>
        </a:xfrm>
        <a:prstGeom prst="rect">
          <a:avLst/>
        </a:prstGeom>
      </xdr:spPr>
    </xdr:pic>
    <xdr:clientData/>
  </xdr:twoCellAnchor>
  <xdr:twoCellAnchor>
    <xdr:from>
      <xdr:col>2</xdr:col>
      <xdr:colOff>49697</xdr:colOff>
      <xdr:row>18</xdr:row>
      <xdr:rowOff>16566</xdr:rowOff>
    </xdr:from>
    <xdr:to>
      <xdr:col>9</xdr:col>
      <xdr:colOff>521806</xdr:colOff>
      <xdr:row>18</xdr:row>
      <xdr:rowOff>62285</xdr:rowOff>
    </xdr:to>
    <xdr:sp macro="" textlink="">
      <xdr:nvSpPr>
        <xdr:cNvPr id="4" name="Retângulo 3">
          <a:extLst>
            <a:ext uri="{FF2B5EF4-FFF2-40B4-BE49-F238E27FC236}">
              <a16:creationId xmlns:a16="http://schemas.microsoft.com/office/drawing/2014/main" id="{D6B017D2-1884-4C27-B367-2AB745ED7866}"/>
            </a:ext>
          </a:extLst>
        </xdr:cNvPr>
        <xdr:cNvSpPr/>
      </xdr:nvSpPr>
      <xdr:spPr>
        <a:xfrm>
          <a:off x="1275523" y="2948609"/>
          <a:ext cx="4762500"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1485900</xdr:colOff>
      <xdr:row>7</xdr:row>
      <xdr:rowOff>170977</xdr:rowOff>
    </xdr:from>
    <xdr:to>
      <xdr:col>6</xdr:col>
      <xdr:colOff>142875</xdr:colOff>
      <xdr:row>17</xdr:row>
      <xdr:rowOff>135133</xdr:rowOff>
    </xdr:to>
    <xdr:graphicFrame macro="">
      <xdr:nvGraphicFramePr>
        <xdr:cNvPr id="4" name="Gráfico 3">
          <a:extLst>
            <a:ext uri="{FF2B5EF4-FFF2-40B4-BE49-F238E27FC236}">
              <a16:creationId xmlns:a16="http://schemas.microsoft.com/office/drawing/2014/main" id="{B211B829-FD75-471F-A304-D514CAF73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1511986</xdr:colOff>
      <xdr:row>86</xdr:row>
      <xdr:rowOff>142122</xdr:rowOff>
    </xdr:from>
    <xdr:to>
      <xdr:col>5</xdr:col>
      <xdr:colOff>814261</xdr:colOff>
      <xdr:row>97</xdr:row>
      <xdr:rowOff>111372</xdr:rowOff>
    </xdr:to>
    <xdr:graphicFrame macro="">
      <xdr:nvGraphicFramePr>
        <xdr:cNvPr id="5" name="Gráfico 4">
          <a:extLst>
            <a:ext uri="{FF2B5EF4-FFF2-40B4-BE49-F238E27FC236}">
              <a16:creationId xmlns:a16="http://schemas.microsoft.com/office/drawing/2014/main" id="{03CEE601-598D-4426-BFC9-82617D16096D}"/>
            </a:ext>
            <a:ext uri="{147F2762-F138-4A5C-976F-8EAC2B608ADB}">
              <a16:predDERef xmlns:a16="http://schemas.microsoft.com/office/drawing/2014/main" pred="{B211B829-FD75-471F-A304-D514CAF73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1</xdr:col>
      <xdr:colOff>98158</xdr:colOff>
      <xdr:row>36</xdr:row>
      <xdr:rowOff>91029</xdr:rowOff>
    </xdr:from>
    <xdr:to>
      <xdr:col>4</xdr:col>
      <xdr:colOff>50083</xdr:colOff>
      <xdr:row>49</xdr:row>
      <xdr:rowOff>39279</xdr:rowOff>
    </xdr:to>
    <xdr:graphicFrame macro="">
      <xdr:nvGraphicFramePr>
        <xdr:cNvPr id="6" name="Gráfico 5">
          <a:extLst>
            <a:ext uri="{FF2B5EF4-FFF2-40B4-BE49-F238E27FC236}">
              <a16:creationId xmlns:a16="http://schemas.microsoft.com/office/drawing/2014/main" id="{9F8A54A1-DED3-4ED5-96C3-0BBE63DE246C}"/>
            </a:ext>
            <a:ext uri="{147F2762-F138-4A5C-976F-8EAC2B608ADB}">
              <a16:predDERef xmlns:a16="http://schemas.microsoft.com/office/drawing/2014/main" pred="{03CEE601-598D-4426-BFC9-82617D160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1</xdr:col>
      <xdr:colOff>89084</xdr:colOff>
      <xdr:row>58</xdr:row>
      <xdr:rowOff>112966</xdr:rowOff>
    </xdr:from>
    <xdr:to>
      <xdr:col>6</xdr:col>
      <xdr:colOff>901709</xdr:colOff>
      <xdr:row>73</xdr:row>
      <xdr:rowOff>135466</xdr:rowOff>
    </xdr:to>
    <xdr:graphicFrame macro="">
      <xdr:nvGraphicFramePr>
        <xdr:cNvPr id="2" name="Gráfico 7">
          <a:extLst>
            <a:ext uri="{FF2B5EF4-FFF2-40B4-BE49-F238E27FC236}">
              <a16:creationId xmlns:a16="http://schemas.microsoft.com/office/drawing/2014/main" id="{A47D3D24-A9C9-4F14-B51F-98B7ABDD9C46}"/>
            </a:ext>
            <a:ext uri="{147F2762-F138-4A5C-976F-8EAC2B608ADB}">
              <a16:predDERef xmlns:a16="http://schemas.microsoft.com/office/drawing/2014/main" pred="{9F8A54A1-DED3-4ED5-96C3-0BBE63DE2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4</xdr:col>
      <xdr:colOff>142874</xdr:colOff>
      <xdr:row>36</xdr:row>
      <xdr:rowOff>95250</xdr:rowOff>
    </xdr:from>
    <xdr:to>
      <xdr:col>9</xdr:col>
      <xdr:colOff>47174</xdr:colOff>
      <xdr:row>49</xdr:row>
      <xdr:rowOff>43500</xdr:rowOff>
    </xdr:to>
    <xdr:graphicFrame macro="">
      <xdr:nvGraphicFramePr>
        <xdr:cNvPr id="8" name="Gráfico 7">
          <a:extLst>
            <a:ext uri="{FF2B5EF4-FFF2-40B4-BE49-F238E27FC236}">
              <a16:creationId xmlns:a16="http://schemas.microsoft.com/office/drawing/2014/main" id="{2467A6C4-F694-44E7-829A-4FFA328C3ED0}"/>
            </a:ext>
            <a:ext uri="{147F2762-F138-4A5C-976F-8EAC2B608ADB}">
              <a16:predDERef xmlns:a16="http://schemas.microsoft.com/office/drawing/2014/main" pred="{A47D3D24-A9C9-4F14-B51F-98B7ABDD9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wsDr>
</file>

<file path=xl/drawings/drawing3.xml><?xml version="1.0" encoding="utf-8"?>
<xdr:wsDr xmlns:xdr="http://schemas.openxmlformats.org/drawingml/2006/spreadsheetDrawing" xmlns:a="http://schemas.openxmlformats.org/drawingml/2006/main">
  <xdr:twoCellAnchor>
    <xdr:from>
      <xdr:col>0</xdr:col>
      <xdr:colOff>476246</xdr:colOff>
      <xdr:row>69</xdr:row>
      <xdr:rowOff>17355</xdr:rowOff>
    </xdr:from>
    <xdr:to>
      <xdr:col>6</xdr:col>
      <xdr:colOff>2251496</xdr:colOff>
      <xdr:row>100</xdr:row>
      <xdr:rowOff>195480</xdr:rowOff>
    </xdr:to>
    <xdr:graphicFrame macro="">
      <xdr:nvGraphicFramePr>
        <xdr:cNvPr id="10" name="Gráfico 8">
          <a:extLst>
            <a:ext uri="{FF2B5EF4-FFF2-40B4-BE49-F238E27FC236}">
              <a16:creationId xmlns:a16="http://schemas.microsoft.com/office/drawing/2014/main" id="{3EF74F18-FF06-4757-B33E-0D6ACC177B78}"/>
            </a:ext>
            <a:ext uri="{147F2762-F138-4A5C-976F-8EAC2B608ADB}">
              <a16:predDERef xmlns:a16="http://schemas.microsoft.com/office/drawing/2014/main" pred="{E3B3E07E-B9F6-4513-84A0-FA4D2DF4A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0</xdr:col>
      <xdr:colOff>40192</xdr:colOff>
      <xdr:row>11</xdr:row>
      <xdr:rowOff>30304</xdr:rowOff>
    </xdr:from>
    <xdr:to>
      <xdr:col>3</xdr:col>
      <xdr:colOff>1146783</xdr:colOff>
      <xdr:row>36</xdr:row>
      <xdr:rowOff>88940</xdr:rowOff>
    </xdr:to>
    <xdr:graphicFrame macro="">
      <xdr:nvGraphicFramePr>
        <xdr:cNvPr id="14" name="Gráfico 13">
          <a:extLst>
            <a:ext uri="{FF2B5EF4-FFF2-40B4-BE49-F238E27FC236}">
              <a16:creationId xmlns:a16="http://schemas.microsoft.com/office/drawing/2014/main" id="{3D0183DF-6AF1-4520-9D91-DB2D326587B0}"/>
            </a:ext>
            <a:ext uri="{147F2762-F138-4A5C-976F-8EAC2B608ADB}">
              <a16:predDERef xmlns:a16="http://schemas.microsoft.com/office/drawing/2014/main" pred="{3EF74F18-FF06-4757-B33E-0D6ACC177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3</xdr:col>
      <xdr:colOff>1372458</xdr:colOff>
      <xdr:row>11</xdr:row>
      <xdr:rowOff>41128</xdr:rowOff>
    </xdr:from>
    <xdr:to>
      <xdr:col>6</xdr:col>
      <xdr:colOff>2479049</xdr:colOff>
      <xdr:row>36</xdr:row>
      <xdr:rowOff>99764</xdr:rowOff>
    </xdr:to>
    <xdr:graphicFrame macro="">
      <xdr:nvGraphicFramePr>
        <xdr:cNvPr id="17" name="Gráfico 16">
          <a:extLst>
            <a:ext uri="{FF2B5EF4-FFF2-40B4-BE49-F238E27FC236}">
              <a16:creationId xmlns:a16="http://schemas.microsoft.com/office/drawing/2014/main" id="{F70E54FA-E5B5-4F3E-A5CE-992632925DE6}"/>
            </a:ext>
            <a:ext uri="{147F2762-F138-4A5C-976F-8EAC2B608ADB}">
              <a16:predDERef xmlns:a16="http://schemas.microsoft.com/office/drawing/2014/main" pred="{3D0183DF-6AF1-4520-9D91-DB2D32658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1</xdr:col>
      <xdr:colOff>2028997</xdr:colOff>
      <xdr:row>40</xdr:row>
      <xdr:rowOff>55841</xdr:rowOff>
    </xdr:from>
    <xdr:to>
      <xdr:col>5</xdr:col>
      <xdr:colOff>624451</xdr:colOff>
      <xdr:row>65</xdr:row>
      <xdr:rowOff>114477</xdr:rowOff>
    </xdr:to>
    <xdr:graphicFrame macro="">
      <xdr:nvGraphicFramePr>
        <xdr:cNvPr id="19" name="Gráfico 18">
          <a:extLst>
            <a:ext uri="{FF2B5EF4-FFF2-40B4-BE49-F238E27FC236}">
              <a16:creationId xmlns:a16="http://schemas.microsoft.com/office/drawing/2014/main" id="{DD5D9726-403C-45CE-A645-CF04055D6855}"/>
            </a:ext>
            <a:ext uri="{147F2762-F138-4A5C-976F-8EAC2B608ADB}">
              <a16:predDERef xmlns:a16="http://schemas.microsoft.com/office/drawing/2014/main" pred="{F70E54FA-E5B5-4F3E-A5CE-992632925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4</xdr:col>
      <xdr:colOff>138546</xdr:colOff>
      <xdr:row>103</xdr:row>
      <xdr:rowOff>17315</xdr:rowOff>
    </xdr:from>
    <xdr:to>
      <xdr:col>9</xdr:col>
      <xdr:colOff>361939</xdr:colOff>
      <xdr:row>147</xdr:row>
      <xdr:rowOff>40458</xdr:rowOff>
    </xdr:to>
    <xdr:graphicFrame macro="">
      <xdr:nvGraphicFramePr>
        <xdr:cNvPr id="12" name="Gráfico 11">
          <a:extLst>
            <a:ext uri="{FF2B5EF4-FFF2-40B4-BE49-F238E27FC236}">
              <a16:creationId xmlns:a16="http://schemas.microsoft.com/office/drawing/2014/main" id="{34D73774-7948-40B2-9312-3DAEB34BCA54}"/>
            </a:ext>
            <a:ext uri="{147F2762-F138-4A5C-976F-8EAC2B608ADB}">
              <a16:predDERef xmlns:a16="http://schemas.microsoft.com/office/drawing/2014/main" pred="{DD5D9726-403C-45CE-A645-CF04055D6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0</xdr:col>
      <xdr:colOff>86591</xdr:colOff>
      <xdr:row>103</xdr:row>
      <xdr:rowOff>51952</xdr:rowOff>
    </xdr:from>
    <xdr:to>
      <xdr:col>3</xdr:col>
      <xdr:colOff>1534627</xdr:colOff>
      <xdr:row>147</xdr:row>
      <xdr:rowOff>75095</xdr:rowOff>
    </xdr:to>
    <xdr:graphicFrame macro="">
      <xdr:nvGraphicFramePr>
        <xdr:cNvPr id="13" name="Gráfico 12">
          <a:extLst>
            <a:ext uri="{FF2B5EF4-FFF2-40B4-BE49-F238E27FC236}">
              <a16:creationId xmlns:a16="http://schemas.microsoft.com/office/drawing/2014/main" id="{17A2A409-7ABB-4EEB-B102-CB76391669E5}"/>
            </a:ext>
            <a:ext uri="{147F2762-F138-4A5C-976F-8EAC2B608ADB}">
              <a16:predDERef xmlns:a16="http://schemas.microsoft.com/office/drawing/2014/main" pred="{34D73774-7948-40B2-9312-3DAEB34BC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wsDr>
</file>

<file path=xl/drawings/drawing4.xml><?xml version="1.0" encoding="utf-8"?>
<xdr:wsDr xmlns:xdr="http://schemas.openxmlformats.org/drawingml/2006/spreadsheetDrawing" xmlns:a="http://schemas.openxmlformats.org/drawingml/2006/main">
  <xdr:twoCellAnchor>
    <xdr:from>
      <xdr:col>0</xdr:col>
      <xdr:colOff>500500</xdr:colOff>
      <xdr:row>69</xdr:row>
      <xdr:rowOff>42853</xdr:rowOff>
    </xdr:from>
    <xdr:to>
      <xdr:col>6</xdr:col>
      <xdr:colOff>2275750</xdr:colOff>
      <xdr:row>100</xdr:row>
      <xdr:rowOff>220978</xdr:rowOff>
    </xdr:to>
    <xdr:graphicFrame macro="">
      <xdr:nvGraphicFramePr>
        <xdr:cNvPr id="33" name="Gráfico 6">
          <a:extLst>
            <a:ext uri="{FF2B5EF4-FFF2-40B4-BE49-F238E27FC236}">
              <a16:creationId xmlns:a16="http://schemas.microsoft.com/office/drawing/2014/main" id="{1DC5442C-B92A-44C6-8C21-6DE48A2BF5E7}"/>
            </a:ext>
            <a:ext uri="{147F2762-F138-4A5C-976F-8EAC2B608ADB}">
              <a16:predDERef xmlns:a16="http://schemas.microsoft.com/office/drawing/2014/main" pred="{F10A1795-C65F-4E04-98E1-CE660C2EF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0</xdr:col>
      <xdr:colOff>64947</xdr:colOff>
      <xdr:row>11</xdr:row>
      <xdr:rowOff>47623</xdr:rowOff>
    </xdr:from>
    <xdr:to>
      <xdr:col>3</xdr:col>
      <xdr:colOff>1171538</xdr:colOff>
      <xdr:row>36</xdr:row>
      <xdr:rowOff>106259</xdr:rowOff>
    </xdr:to>
    <xdr:graphicFrame macro="">
      <xdr:nvGraphicFramePr>
        <xdr:cNvPr id="14" name="Gráfico 13">
          <a:extLst>
            <a:ext uri="{FF2B5EF4-FFF2-40B4-BE49-F238E27FC236}">
              <a16:creationId xmlns:a16="http://schemas.microsoft.com/office/drawing/2014/main" id="{EA1CC67D-F2F7-415F-B3DB-1B59C5FBB776}"/>
            </a:ext>
            <a:ext uri="{147F2762-F138-4A5C-976F-8EAC2B608ADB}">
              <a16:predDERef xmlns:a16="http://schemas.microsoft.com/office/drawing/2014/main" pred="{1DC5442C-B92A-44C6-8C21-6DE48A2BF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3</xdr:col>
      <xdr:colOff>1378963</xdr:colOff>
      <xdr:row>11</xdr:row>
      <xdr:rowOff>47621</xdr:rowOff>
    </xdr:from>
    <xdr:to>
      <xdr:col>6</xdr:col>
      <xdr:colOff>2485554</xdr:colOff>
      <xdr:row>36</xdr:row>
      <xdr:rowOff>106257</xdr:rowOff>
    </xdr:to>
    <xdr:graphicFrame macro="">
      <xdr:nvGraphicFramePr>
        <xdr:cNvPr id="16" name="Gráfico 15">
          <a:extLst>
            <a:ext uri="{FF2B5EF4-FFF2-40B4-BE49-F238E27FC236}">
              <a16:creationId xmlns:a16="http://schemas.microsoft.com/office/drawing/2014/main" id="{CF6CAD73-B7AE-499F-8DC4-C21D7FFF833B}"/>
            </a:ext>
            <a:ext uri="{147F2762-F138-4A5C-976F-8EAC2B608ADB}">
              <a16:predDERef xmlns:a16="http://schemas.microsoft.com/office/drawing/2014/main" pred="{EA1CC67D-F2F7-415F-B3DB-1B59C5FBB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editAs="oneCell">
    <xdr:from>
      <xdr:col>1</xdr:col>
      <xdr:colOff>1994305</xdr:colOff>
      <xdr:row>40</xdr:row>
      <xdr:rowOff>44203</xdr:rowOff>
    </xdr:from>
    <xdr:to>
      <xdr:col>5</xdr:col>
      <xdr:colOff>589759</xdr:colOff>
      <xdr:row>65</xdr:row>
      <xdr:rowOff>104101</xdr:rowOff>
    </xdr:to>
    <xdr:graphicFrame macro="">
      <xdr:nvGraphicFramePr>
        <xdr:cNvPr id="18" name="Gráfico 17">
          <a:extLst>
            <a:ext uri="{FF2B5EF4-FFF2-40B4-BE49-F238E27FC236}">
              <a16:creationId xmlns:a16="http://schemas.microsoft.com/office/drawing/2014/main" id="{70A887A1-0D46-4073-86C8-DB4131D19E01}"/>
            </a:ext>
            <a:ext uri="{147F2762-F138-4A5C-976F-8EAC2B608ADB}">
              <a16:predDERef xmlns:a16="http://schemas.microsoft.com/office/drawing/2014/main" pred="{CF6CAD73-B7AE-499F-8DC4-C21D7FFF8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fPrintsWithSheet="0"/>
  </xdr:twoCellAnchor>
  <xdr:twoCellAnchor>
    <xdr:from>
      <xdr:col>0</xdr:col>
      <xdr:colOff>69272</xdr:colOff>
      <xdr:row>103</xdr:row>
      <xdr:rowOff>51953</xdr:rowOff>
    </xdr:from>
    <xdr:to>
      <xdr:col>3</xdr:col>
      <xdr:colOff>1517308</xdr:colOff>
      <xdr:row>147</xdr:row>
      <xdr:rowOff>75096</xdr:rowOff>
    </xdr:to>
    <xdr:graphicFrame macro="">
      <xdr:nvGraphicFramePr>
        <xdr:cNvPr id="11" name="Gráfico 10">
          <a:extLst>
            <a:ext uri="{FF2B5EF4-FFF2-40B4-BE49-F238E27FC236}">
              <a16:creationId xmlns:a16="http://schemas.microsoft.com/office/drawing/2014/main" id="{ADB6A614-D4E9-4031-B07A-6390E9AE0153}"/>
            </a:ext>
            <a:ext uri="{147F2762-F138-4A5C-976F-8EAC2B608ADB}">
              <a16:predDERef xmlns:a16="http://schemas.microsoft.com/office/drawing/2014/main" pred="{70A887A1-0D46-4073-86C8-DB4131D19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4</xdr:col>
      <xdr:colOff>155863</xdr:colOff>
      <xdr:row>103</xdr:row>
      <xdr:rowOff>17319</xdr:rowOff>
    </xdr:from>
    <xdr:to>
      <xdr:col>9</xdr:col>
      <xdr:colOff>379256</xdr:colOff>
      <xdr:row>147</xdr:row>
      <xdr:rowOff>40462</xdr:rowOff>
    </xdr:to>
    <xdr:graphicFrame macro="">
      <xdr:nvGraphicFramePr>
        <xdr:cNvPr id="13" name="Gráfico 2">
          <a:extLst>
            <a:ext uri="{FF2B5EF4-FFF2-40B4-BE49-F238E27FC236}">
              <a16:creationId xmlns:a16="http://schemas.microsoft.com/office/drawing/2014/main" id="{D06B85C6-2DCE-43B5-86BE-4221BB530793}"/>
            </a:ext>
            <a:ext uri="{147F2762-F138-4A5C-976F-8EAC2B608ADB}">
              <a16:predDERef xmlns:a16="http://schemas.microsoft.com/office/drawing/2014/main" pred="{ADB6A614-D4E9-4031-B07A-6390E9AE0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wsDr>
</file>

<file path=xl/drawings/drawing5.xml><?xml version="1.0" encoding="utf-8"?>
<xdr:wsDr xmlns:xdr="http://schemas.openxmlformats.org/drawingml/2006/spreadsheetDrawing" xmlns:a="http://schemas.openxmlformats.org/drawingml/2006/main">
  <xdr:twoCellAnchor>
    <xdr:from>
      <xdr:col>0</xdr:col>
      <xdr:colOff>190497</xdr:colOff>
      <xdr:row>103</xdr:row>
      <xdr:rowOff>50099</xdr:rowOff>
    </xdr:from>
    <xdr:to>
      <xdr:col>3</xdr:col>
      <xdr:colOff>1638533</xdr:colOff>
      <xdr:row>147</xdr:row>
      <xdr:rowOff>73242</xdr:rowOff>
    </xdr:to>
    <xdr:graphicFrame macro="">
      <xdr:nvGraphicFramePr>
        <xdr:cNvPr id="3" name="Gráfico 3">
          <a:extLst>
            <a:ext uri="{FF2B5EF4-FFF2-40B4-BE49-F238E27FC236}">
              <a16:creationId xmlns:a16="http://schemas.microsoft.com/office/drawing/2014/main" id="{95813E8A-A8E4-49C8-A6DF-05518B58AB16}"/>
            </a:ext>
            <a:ext uri="{147F2762-F138-4A5C-976F-8EAC2B608ADB}">
              <a16:predDERef xmlns:a16="http://schemas.microsoft.com/office/drawing/2014/main" pred="{0394C8A3-C81A-46AA-AD80-33F429690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4</xdr:col>
      <xdr:colOff>977981</xdr:colOff>
      <xdr:row>103</xdr:row>
      <xdr:rowOff>47621</xdr:rowOff>
    </xdr:from>
    <xdr:to>
      <xdr:col>10</xdr:col>
      <xdr:colOff>589053</xdr:colOff>
      <xdr:row>147</xdr:row>
      <xdr:rowOff>70764</xdr:rowOff>
    </xdr:to>
    <xdr:graphicFrame macro="">
      <xdr:nvGraphicFramePr>
        <xdr:cNvPr id="6" name="Gráfico 2">
          <a:extLst>
            <a:ext uri="{FF2B5EF4-FFF2-40B4-BE49-F238E27FC236}">
              <a16:creationId xmlns:a16="http://schemas.microsoft.com/office/drawing/2014/main" id="{AEFBB891-2FBE-4777-AE17-AE9362211885}"/>
            </a:ext>
            <a:ext uri="{147F2762-F138-4A5C-976F-8EAC2B608ADB}">
              <a16:predDERef xmlns:a16="http://schemas.microsoft.com/office/drawing/2014/main" pred="{95813E8A-A8E4-49C8-A6DF-05518B58A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0</xdr:col>
      <xdr:colOff>601806</xdr:colOff>
      <xdr:row>69</xdr:row>
      <xdr:rowOff>24223</xdr:rowOff>
    </xdr:from>
    <xdr:to>
      <xdr:col>6</xdr:col>
      <xdr:colOff>2377056</xdr:colOff>
      <xdr:row>100</xdr:row>
      <xdr:rowOff>202348</xdr:rowOff>
    </xdr:to>
    <xdr:graphicFrame macro="">
      <xdr:nvGraphicFramePr>
        <xdr:cNvPr id="69" name="Gráfico 8">
          <a:extLst>
            <a:ext uri="{FF2B5EF4-FFF2-40B4-BE49-F238E27FC236}">
              <a16:creationId xmlns:a16="http://schemas.microsoft.com/office/drawing/2014/main" id="{86CF6E91-EA09-472B-90A6-47BCE3CC4052}"/>
            </a:ext>
            <a:ext uri="{147F2762-F138-4A5C-976F-8EAC2B608ADB}">
              <a16:predDERef xmlns:a16="http://schemas.microsoft.com/office/drawing/2014/main" pred="{AEFBB891-2FBE-4777-AE17-AE9362211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1</xdr:col>
      <xdr:colOff>2015097</xdr:colOff>
      <xdr:row>40</xdr:row>
      <xdr:rowOff>34602</xdr:rowOff>
    </xdr:from>
    <xdr:to>
      <xdr:col>5</xdr:col>
      <xdr:colOff>610551</xdr:colOff>
      <xdr:row>65</xdr:row>
      <xdr:rowOff>93238</xdr:rowOff>
    </xdr:to>
    <xdr:graphicFrame macro="">
      <xdr:nvGraphicFramePr>
        <xdr:cNvPr id="12" name="Gráfico 3">
          <a:extLst>
            <a:ext uri="{FF2B5EF4-FFF2-40B4-BE49-F238E27FC236}">
              <a16:creationId xmlns:a16="http://schemas.microsoft.com/office/drawing/2014/main" id="{9CADCA27-B6AC-431C-B56E-0D54CDCA2DE4}"/>
            </a:ext>
            <a:ext uri="{147F2762-F138-4A5C-976F-8EAC2B608ADB}">
              <a16:predDERef xmlns:a16="http://schemas.microsoft.com/office/drawing/2014/main" pred="{86CF6E91-EA09-472B-90A6-47BCE3CC4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0</xdr:col>
      <xdr:colOff>23813</xdr:colOff>
      <xdr:row>11</xdr:row>
      <xdr:rowOff>41132</xdr:rowOff>
    </xdr:from>
    <xdr:to>
      <xdr:col>3</xdr:col>
      <xdr:colOff>1130404</xdr:colOff>
      <xdr:row>36</xdr:row>
      <xdr:rowOff>99768</xdr:rowOff>
    </xdr:to>
    <xdr:graphicFrame macro="">
      <xdr:nvGraphicFramePr>
        <xdr:cNvPr id="8" name="Gráfico 7">
          <a:extLst>
            <a:ext uri="{FF2B5EF4-FFF2-40B4-BE49-F238E27FC236}">
              <a16:creationId xmlns:a16="http://schemas.microsoft.com/office/drawing/2014/main" id="{678B7B40-2D53-4316-83A8-4552E51C0337}"/>
            </a:ext>
            <a:ext uri="{147F2762-F138-4A5C-976F-8EAC2B608ADB}">
              <a16:predDERef xmlns:a16="http://schemas.microsoft.com/office/drawing/2014/main" pred="{9CADCA27-B6AC-431C-B56E-0D54CDCA2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3</xdr:col>
      <xdr:colOff>1385451</xdr:colOff>
      <xdr:row>11</xdr:row>
      <xdr:rowOff>34633</xdr:rowOff>
    </xdr:from>
    <xdr:to>
      <xdr:col>6</xdr:col>
      <xdr:colOff>2492042</xdr:colOff>
      <xdr:row>36</xdr:row>
      <xdr:rowOff>93269</xdr:rowOff>
    </xdr:to>
    <xdr:graphicFrame macro="">
      <xdr:nvGraphicFramePr>
        <xdr:cNvPr id="11" name="Gráfico 6">
          <a:extLst>
            <a:ext uri="{FF2B5EF4-FFF2-40B4-BE49-F238E27FC236}">
              <a16:creationId xmlns:a16="http://schemas.microsoft.com/office/drawing/2014/main" id="{57B972B1-F9AF-4689-9D39-B994D8E90C09}"/>
            </a:ext>
            <a:ext uri="{147F2762-F138-4A5C-976F-8EAC2B608ADB}">
              <a16:predDERef xmlns:a16="http://schemas.microsoft.com/office/drawing/2014/main" pred="{678B7B40-2D53-4316-83A8-4552E51C0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wsDr>
</file>

<file path=xl/drawings/drawing6.xml><?xml version="1.0" encoding="utf-8"?>
<xdr:wsDr xmlns:xdr="http://schemas.openxmlformats.org/drawingml/2006/spreadsheetDrawing" xmlns:a="http://schemas.openxmlformats.org/drawingml/2006/main">
  <xdr:twoCellAnchor>
    <xdr:from>
      <xdr:col>0</xdr:col>
      <xdr:colOff>510887</xdr:colOff>
      <xdr:row>40</xdr:row>
      <xdr:rowOff>51947</xdr:rowOff>
    </xdr:from>
    <xdr:to>
      <xdr:col>6</xdr:col>
      <xdr:colOff>2286137</xdr:colOff>
      <xdr:row>71</xdr:row>
      <xdr:rowOff>230072</xdr:rowOff>
    </xdr:to>
    <xdr:graphicFrame macro="">
      <xdr:nvGraphicFramePr>
        <xdr:cNvPr id="31" name="Gráfico 8">
          <a:extLst>
            <a:ext uri="{FF2B5EF4-FFF2-40B4-BE49-F238E27FC236}">
              <a16:creationId xmlns:a16="http://schemas.microsoft.com/office/drawing/2014/main" id="{65D936B7-D8A6-4D59-AE25-B71D2FEDF962}"/>
            </a:ext>
            <a:ext uri="{147F2762-F138-4A5C-976F-8EAC2B608ADB}">
              <a16:predDERef xmlns:a16="http://schemas.microsoft.com/office/drawing/2014/main" pred="{65E6C130-BC09-43D4-8438-BFB9DFE0C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3</xdr:col>
      <xdr:colOff>1357326</xdr:colOff>
      <xdr:row>11</xdr:row>
      <xdr:rowOff>70317</xdr:rowOff>
    </xdr:from>
    <xdr:to>
      <xdr:col>6</xdr:col>
      <xdr:colOff>2463917</xdr:colOff>
      <xdr:row>36</xdr:row>
      <xdr:rowOff>128953</xdr:rowOff>
    </xdr:to>
    <xdr:graphicFrame macro="">
      <xdr:nvGraphicFramePr>
        <xdr:cNvPr id="7" name="Gráfico 6">
          <a:extLst>
            <a:ext uri="{FF2B5EF4-FFF2-40B4-BE49-F238E27FC236}">
              <a16:creationId xmlns:a16="http://schemas.microsoft.com/office/drawing/2014/main" id="{0270527D-BC6C-4E97-99DC-71783A2A1136}"/>
            </a:ext>
            <a:ext uri="{147F2762-F138-4A5C-976F-8EAC2B608ADB}">
              <a16:predDERef xmlns:a16="http://schemas.microsoft.com/office/drawing/2014/main" pred="{65D936B7-D8A6-4D59-AE25-B71D2FEDF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0</xdr:col>
      <xdr:colOff>155862</xdr:colOff>
      <xdr:row>74</xdr:row>
      <xdr:rowOff>47629</xdr:rowOff>
    </xdr:from>
    <xdr:to>
      <xdr:col>3</xdr:col>
      <xdr:colOff>1603898</xdr:colOff>
      <xdr:row>118</xdr:row>
      <xdr:rowOff>70772</xdr:rowOff>
    </xdr:to>
    <xdr:graphicFrame macro="">
      <xdr:nvGraphicFramePr>
        <xdr:cNvPr id="3" name="Gráfico 2">
          <a:extLst>
            <a:ext uri="{FF2B5EF4-FFF2-40B4-BE49-F238E27FC236}">
              <a16:creationId xmlns:a16="http://schemas.microsoft.com/office/drawing/2014/main" id="{3843F33E-26AB-47B1-B712-FF0EBDCAA6C8}"/>
            </a:ext>
            <a:ext uri="{147F2762-F138-4A5C-976F-8EAC2B608ADB}">
              <a16:predDERef xmlns:a16="http://schemas.microsoft.com/office/drawing/2014/main" pred="{0270527D-BC6C-4E97-99DC-71783A2A1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4</xdr:col>
      <xdr:colOff>946431</xdr:colOff>
      <xdr:row>74</xdr:row>
      <xdr:rowOff>52389</xdr:rowOff>
    </xdr:from>
    <xdr:to>
      <xdr:col>10</xdr:col>
      <xdr:colOff>557503</xdr:colOff>
      <xdr:row>118</xdr:row>
      <xdr:rowOff>75532</xdr:rowOff>
    </xdr:to>
    <xdr:graphicFrame macro="">
      <xdr:nvGraphicFramePr>
        <xdr:cNvPr id="4" name="Gráfico 3">
          <a:extLst>
            <a:ext uri="{FF2B5EF4-FFF2-40B4-BE49-F238E27FC236}">
              <a16:creationId xmlns:a16="http://schemas.microsoft.com/office/drawing/2014/main" id="{0FE276EF-3FBA-4BB5-9526-D81C70282A78}"/>
            </a:ext>
            <a:ext uri="{147F2762-F138-4A5C-976F-8EAC2B608ADB}">
              <a16:predDERef xmlns:a16="http://schemas.microsoft.com/office/drawing/2014/main" pred="{3843F33E-26AB-47B1-B712-FF0EBDCAA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0</xdr:col>
      <xdr:colOff>23818</xdr:colOff>
      <xdr:row>12</xdr:row>
      <xdr:rowOff>4764</xdr:rowOff>
    </xdr:from>
    <xdr:to>
      <xdr:col>3</xdr:col>
      <xdr:colOff>1130409</xdr:colOff>
      <xdr:row>37</xdr:row>
      <xdr:rowOff>63400</xdr:rowOff>
    </xdr:to>
    <xdr:graphicFrame macro="">
      <xdr:nvGraphicFramePr>
        <xdr:cNvPr id="9" name="Gráfico 8">
          <a:extLst>
            <a:ext uri="{FF2B5EF4-FFF2-40B4-BE49-F238E27FC236}">
              <a16:creationId xmlns:a16="http://schemas.microsoft.com/office/drawing/2014/main" id="{EA8CF3FD-770F-4488-82AA-BB5522A600A7}"/>
            </a:ext>
            <a:ext uri="{147F2762-F138-4A5C-976F-8EAC2B608ADB}">
              <a16:predDERef xmlns:a16="http://schemas.microsoft.com/office/drawing/2014/main" pred="{0FE276EF-3FBA-4BB5-9526-D81C70282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6:K42"/>
  <sheetViews>
    <sheetView zoomScaleNormal="100" zoomScaleSheetLayoutView="115" workbookViewId="0">
      <selection activeCell="L34" sqref="L34"/>
    </sheetView>
  </sheetViews>
  <sheetFormatPr defaultColWidth="9.140625" defaultRowHeight="14.25"/>
  <cols>
    <col min="1" max="9" width="9.140625" style="1"/>
    <col min="10" max="10" width="9.140625" style="1" customWidth="1"/>
    <col min="11" max="16384" width="9.140625" style="1"/>
  </cols>
  <sheetData>
    <row r="16" ht="18.75" customHeight="1"/>
    <row r="17" spans="3:11" ht="18.75" customHeight="1"/>
    <row r="18" spans="3:11" ht="44.25">
      <c r="C18" s="374" t="s">
        <v>0</v>
      </c>
      <c r="D18" s="374"/>
      <c r="E18" s="374"/>
      <c r="F18" s="374"/>
      <c r="G18" s="374"/>
      <c r="H18" s="374"/>
      <c r="I18" s="374"/>
      <c r="J18" s="374"/>
      <c r="K18" s="7"/>
    </row>
    <row r="19" spans="3:11">
      <c r="C19" s="6"/>
      <c r="D19" s="6"/>
      <c r="E19" s="6"/>
      <c r="F19" s="6"/>
      <c r="G19" s="6"/>
      <c r="H19" s="6"/>
      <c r="I19" s="6"/>
      <c r="J19" s="6"/>
      <c r="K19" s="6"/>
    </row>
    <row r="20" spans="3:11" ht="18">
      <c r="C20" s="373" t="s">
        <v>1</v>
      </c>
      <c r="D20" s="373"/>
      <c r="E20" s="373"/>
      <c r="F20" s="373"/>
      <c r="G20" s="373"/>
      <c r="H20" s="373"/>
      <c r="I20" s="373"/>
      <c r="J20" s="373"/>
      <c r="K20" s="8"/>
    </row>
    <row r="21" spans="3:11">
      <c r="C21" s="372" t="str">
        <f>'DADOS - FREGUESIA DO Ó'!B4</f>
        <v>Período: 01/03/2026 à 31/03/2026</v>
      </c>
      <c r="D21" s="372"/>
      <c r="E21" s="372"/>
      <c r="F21" s="372"/>
      <c r="G21" s="372"/>
      <c r="H21" s="372"/>
      <c r="I21" s="372"/>
      <c r="J21" s="372"/>
      <c r="K21" s="4"/>
    </row>
    <row r="35" spans="3:10" ht="17.25" customHeight="1">
      <c r="C35" s="199" t="s">
        <v>2</v>
      </c>
      <c r="D35" s="11"/>
      <c r="E35" s="11"/>
      <c r="F35" s="11"/>
      <c r="G35" s="11"/>
    </row>
    <row r="36" spans="3:10" ht="17.25" customHeight="1">
      <c r="C36" s="199" t="s">
        <v>3</v>
      </c>
      <c r="D36" s="11"/>
      <c r="E36" s="11"/>
      <c r="F36" s="11"/>
      <c r="G36" s="11"/>
    </row>
    <row r="37" spans="3:10" ht="17.25" customHeight="1">
      <c r="C37" s="199" t="s">
        <v>4</v>
      </c>
      <c r="D37" s="11"/>
      <c r="E37" s="11"/>
      <c r="F37" s="11"/>
      <c r="G37" s="11"/>
    </row>
    <row r="38" spans="3:10" ht="15">
      <c r="C38" s="11"/>
      <c r="D38" s="11"/>
      <c r="E38" s="11"/>
      <c r="F38" s="11"/>
      <c r="G38" s="11"/>
    </row>
    <row r="41" spans="3:10" ht="15" customHeight="1">
      <c r="C41" s="371" t="s">
        <v>5</v>
      </c>
      <c r="D41" s="371"/>
      <c r="E41" s="371"/>
      <c r="F41" s="371"/>
      <c r="G41" s="371"/>
      <c r="H41" s="371"/>
      <c r="I41" s="371"/>
      <c r="J41" s="371"/>
    </row>
    <row r="42" spans="3:10" ht="15" customHeight="1">
      <c r="C42" s="371">
        <v>2026</v>
      </c>
      <c r="D42" s="371"/>
      <c r="E42" s="371"/>
      <c r="F42" s="371"/>
      <c r="G42" s="371"/>
      <c r="H42" s="371"/>
      <c r="I42" s="371"/>
      <c r="J42" s="371"/>
    </row>
  </sheetData>
  <mergeCells count="5">
    <mergeCell ref="C42:J42"/>
    <mergeCell ref="C41:J41"/>
    <mergeCell ref="C21:J21"/>
    <mergeCell ref="C20:J20"/>
    <mergeCell ref="C18:J18"/>
  </mergeCells>
  <phoneticPr fontId="11" type="noConversion"/>
  <pageMargins left="0.51181102362204722" right="0.14000000000000001" top="0.78740157480314965" bottom="0.78740157480314965" header="0.31495953630796153" footer="0.3149595363079615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63"/>
  <sheetViews>
    <sheetView zoomScale="70" zoomScaleNormal="70" workbookViewId="0">
      <selection activeCell="M14" sqref="M14"/>
    </sheetView>
  </sheetViews>
  <sheetFormatPr defaultColWidth="9.140625" defaultRowHeight="18"/>
  <cols>
    <col min="1" max="1" width="4.5703125" style="20" customWidth="1"/>
    <col min="2" max="2" width="62.42578125" style="20" bestFit="1" customWidth="1"/>
    <col min="3" max="3" width="24.5703125" style="20" bestFit="1" customWidth="1"/>
    <col min="4" max="4" width="25.28515625" style="20" customWidth="1"/>
    <col min="5" max="5" width="24.7109375" style="20" bestFit="1" customWidth="1"/>
    <col min="6" max="6" width="29.5703125" style="20" bestFit="1" customWidth="1"/>
    <col min="7" max="7" width="29.42578125" style="20" bestFit="1" customWidth="1"/>
    <col min="8" max="9" width="9.140625" style="20"/>
    <col min="10" max="10" width="12.42578125" style="20" bestFit="1" customWidth="1"/>
    <col min="11" max="16384" width="9.140625" style="20"/>
  </cols>
  <sheetData>
    <row r="1" spans="1:7" s="1" customFormat="1" ht="15">
      <c r="A1" s="11"/>
      <c r="B1" s="11"/>
      <c r="C1" s="11"/>
      <c r="D1" s="11"/>
      <c r="E1" s="11"/>
      <c r="F1" s="11"/>
      <c r="G1" s="11"/>
    </row>
    <row r="2" spans="1:7" s="2" customFormat="1" ht="15">
      <c r="A2" s="5"/>
      <c r="B2" s="392" t="s">
        <v>6</v>
      </c>
      <c r="C2" s="393"/>
      <c r="D2" s="393"/>
      <c r="E2" s="393"/>
      <c r="F2" s="393"/>
      <c r="G2" s="394"/>
    </row>
    <row r="3" spans="1:7" s="1" customFormat="1" ht="20.25" customHeight="1">
      <c r="A3" s="11"/>
      <c r="B3" s="396" t="s">
        <v>7</v>
      </c>
      <c r="C3" s="397"/>
      <c r="D3" s="397"/>
      <c r="E3" s="397"/>
      <c r="F3" s="397"/>
      <c r="G3" s="398"/>
    </row>
    <row r="4" spans="1:7" s="1" customFormat="1" ht="15">
      <c r="A4" s="11"/>
      <c r="B4" s="399" t="s">
        <v>8</v>
      </c>
      <c r="C4" s="399"/>
      <c r="D4" s="399"/>
      <c r="E4" s="399"/>
      <c r="F4" s="399"/>
      <c r="G4" s="399"/>
    </row>
    <row r="5" spans="1:7" s="1" customFormat="1" ht="15">
      <c r="A5" s="11"/>
      <c r="B5" s="11"/>
      <c r="C5" s="11"/>
      <c r="D5" s="11"/>
      <c r="E5" s="11"/>
      <c r="F5" s="11"/>
      <c r="G5" s="11"/>
    </row>
    <row r="6" spans="1:7" s="2" customFormat="1" ht="24.75" customHeight="1">
      <c r="A6" s="5"/>
      <c r="B6" s="391" t="s">
        <v>9</v>
      </c>
      <c r="C6" s="391"/>
      <c r="D6" s="391"/>
      <c r="E6" s="391"/>
      <c r="F6" s="391"/>
      <c r="G6" s="391"/>
    </row>
    <row r="7" spans="1:7" s="1" customFormat="1" ht="21.75" customHeight="1">
      <c r="A7" s="11"/>
      <c r="B7" s="120" t="s">
        <v>10</v>
      </c>
      <c r="C7" s="12"/>
      <c r="D7" s="13"/>
      <c r="E7" s="13"/>
      <c r="F7" s="13"/>
      <c r="G7" s="9"/>
    </row>
    <row r="8" spans="1:7" s="1" customFormat="1" ht="15">
      <c r="A8" s="11"/>
      <c r="B8" s="14"/>
      <c r="C8" s="14"/>
      <c r="D8" s="14"/>
      <c r="E8" s="14"/>
      <c r="F8" s="14"/>
      <c r="G8" s="14"/>
    </row>
    <row r="9" spans="1:7" s="2" customFormat="1" ht="24.75" customHeight="1">
      <c r="A9" s="5"/>
      <c r="B9" s="105"/>
      <c r="C9" s="103"/>
      <c r="D9" s="405" t="s">
        <v>11</v>
      </c>
      <c r="E9" s="405"/>
      <c r="F9" s="405"/>
      <c r="G9" s="104"/>
    </row>
    <row r="10" spans="1:7" s="1" customFormat="1" ht="17.25" customHeight="1">
      <c r="A10" s="11"/>
      <c r="B10" s="121" t="s">
        <v>12</v>
      </c>
      <c r="C10" s="404" t="s">
        <v>13</v>
      </c>
      <c r="D10" s="400"/>
      <c r="E10" s="400" t="s">
        <v>14</v>
      </c>
      <c r="F10" s="400"/>
      <c r="G10" s="401"/>
    </row>
    <row r="11" spans="1:7" s="1" customFormat="1" ht="17.25" customHeight="1">
      <c r="A11" s="11"/>
      <c r="B11" s="122" t="s">
        <v>15</v>
      </c>
      <c r="C11" s="406">
        <v>1</v>
      </c>
      <c r="D11" s="407"/>
      <c r="E11" s="402">
        <v>100</v>
      </c>
      <c r="F11" s="402"/>
      <c r="G11" s="403"/>
    </row>
    <row r="12" spans="1:7" s="1" customFormat="1" ht="17.25" customHeight="1">
      <c r="A12" s="11"/>
      <c r="B12" s="122" t="s">
        <v>16</v>
      </c>
      <c r="C12" s="406">
        <v>0.5</v>
      </c>
      <c r="D12" s="407"/>
      <c r="E12" s="402">
        <v>50</v>
      </c>
      <c r="F12" s="402"/>
      <c r="G12" s="403"/>
    </row>
    <row r="13" spans="1:7" s="1" customFormat="1" ht="17.25" customHeight="1">
      <c r="A13" s="11"/>
      <c r="B13" s="122" t="s">
        <v>17</v>
      </c>
      <c r="C13" s="406">
        <v>0.1</v>
      </c>
      <c r="D13" s="407"/>
      <c r="E13" s="402">
        <v>1</v>
      </c>
      <c r="F13" s="402"/>
      <c r="G13" s="403"/>
    </row>
    <row r="14" spans="1:7" s="1" customFormat="1" ht="17.25" customHeight="1">
      <c r="A14" s="11"/>
      <c r="B14" s="15"/>
      <c r="C14" s="15"/>
      <c r="D14" s="11"/>
      <c r="E14" s="11"/>
      <c r="F14" s="11"/>
      <c r="G14" s="11"/>
    </row>
    <row r="15" spans="1:7" s="1" customFormat="1" ht="17.25" customHeight="1">
      <c r="A15" s="11"/>
      <c r="B15" s="391" t="s">
        <v>6</v>
      </c>
      <c r="C15" s="391"/>
      <c r="D15" s="11"/>
      <c r="E15" s="200" t="s">
        <v>18</v>
      </c>
      <c r="F15" s="200">
        <f>('GRÁFICOS - ÁGUA'!B8+'GRÁFICOS - ESGOTO'!B8+'GRÁFICOS - CAVALETE'!B8+'GRÁFICOS - REPOSIÇÃO'!B8)</f>
        <v>0</v>
      </c>
      <c r="G15" s="11"/>
    </row>
    <row r="16" spans="1:7" s="1" customFormat="1" ht="17.25" customHeight="1">
      <c r="A16" s="11"/>
      <c r="B16" s="123" t="s">
        <v>19</v>
      </c>
      <c r="C16" s="52">
        <v>0</v>
      </c>
      <c r="D16" s="11"/>
      <c r="E16" s="11"/>
      <c r="F16" s="11"/>
      <c r="G16" s="11"/>
    </row>
    <row r="17" spans="1:7" s="1" customFormat="1" ht="17.25" customHeight="1">
      <c r="A17" s="11"/>
      <c r="B17" s="123" t="s">
        <v>20</v>
      </c>
      <c r="C17" s="52">
        <v>0</v>
      </c>
      <c r="D17" s="11"/>
      <c r="E17" s="11"/>
      <c r="F17" s="11"/>
      <c r="G17" s="11"/>
    </row>
    <row r="18" spans="1:7" s="1" customFormat="1" ht="17.25" customHeight="1">
      <c r="A18" s="11"/>
      <c r="B18" s="123" t="s">
        <v>21</v>
      </c>
      <c r="C18" s="52">
        <v>0</v>
      </c>
      <c r="D18" s="11"/>
      <c r="E18" s="11"/>
      <c r="F18" s="11"/>
      <c r="G18" s="11"/>
    </row>
    <row r="19" spans="1:7" s="1" customFormat="1" ht="17.25" customHeight="1">
      <c r="A19" s="11"/>
      <c r="B19" s="123" t="s">
        <v>22</v>
      </c>
      <c r="C19" s="52">
        <v>0</v>
      </c>
      <c r="D19" s="11"/>
      <c r="E19" s="11"/>
      <c r="F19" s="11"/>
      <c r="G19" s="11"/>
    </row>
    <row r="20" spans="1:7" s="1" customFormat="1" ht="17.25" customHeight="1">
      <c r="A20" s="11"/>
      <c r="B20" s="15"/>
      <c r="C20" s="15"/>
      <c r="D20" s="11"/>
      <c r="E20" s="11"/>
      <c r="F20" s="11"/>
      <c r="G20" s="11"/>
    </row>
    <row r="21" spans="1:7" s="1" customFormat="1" ht="15">
      <c r="A21" s="11"/>
      <c r="B21" s="11"/>
      <c r="C21" s="11"/>
      <c r="D21" s="11"/>
      <c r="E21" s="11"/>
      <c r="F21" s="11"/>
      <c r="G21" s="11"/>
    </row>
    <row r="22" spans="1:7" s="1" customFormat="1" ht="21" customHeight="1">
      <c r="A22" s="11"/>
      <c r="B22" s="395" t="s">
        <v>23</v>
      </c>
      <c r="C22" s="395"/>
      <c r="D22" s="395"/>
      <c r="E22" s="395"/>
      <c r="F22" s="395"/>
      <c r="G22" s="395"/>
    </row>
    <row r="23" spans="1:7" s="1" customFormat="1" ht="15">
      <c r="A23" s="11"/>
      <c r="B23" s="11"/>
      <c r="C23" s="11"/>
      <c r="D23" s="11"/>
      <c r="E23" s="11"/>
      <c r="F23" s="11"/>
      <c r="G23" s="11"/>
    </row>
    <row r="24" spans="1:7" s="2" customFormat="1" ht="24.75" customHeight="1">
      <c r="A24" s="5"/>
      <c r="B24" s="376" t="s">
        <v>24</v>
      </c>
      <c r="C24" s="377"/>
      <c r="D24" s="377"/>
      <c r="E24" s="377"/>
      <c r="F24" s="377"/>
      <c r="G24" s="378"/>
    </row>
    <row r="25" spans="1:7" s="1" customFormat="1" ht="30.75" customHeight="1">
      <c r="A25" s="11"/>
      <c r="B25" s="106" t="s">
        <v>12</v>
      </c>
      <c r="C25" s="107" t="s">
        <v>25</v>
      </c>
      <c r="D25" s="107" t="s">
        <v>26</v>
      </c>
      <c r="E25" s="107" t="s">
        <v>27</v>
      </c>
      <c r="F25" s="107" t="s">
        <v>28</v>
      </c>
      <c r="G25" s="107" t="s">
        <v>29</v>
      </c>
    </row>
    <row r="26" spans="1:7" s="1" customFormat="1" ht="21" customHeight="1">
      <c r="A26" s="11"/>
      <c r="B26" s="123" t="s">
        <v>15</v>
      </c>
      <c r="C26" s="64">
        <f>D26+E26</f>
        <v>505</v>
      </c>
      <c r="D26" s="64">
        <f>COUNTIF(ÁGUA!AF:AF,"Nc")</f>
        <v>140</v>
      </c>
      <c r="E26" s="64">
        <f>COUNTIF(ÁGUA!AF:AF,"c")</f>
        <v>365</v>
      </c>
      <c r="F26" s="52">
        <f>IFERROR(D26/C26,"-")</f>
        <v>0.27722772277227725</v>
      </c>
      <c r="G26" s="52">
        <f>IFERROR(100%-F26,"-")</f>
        <v>0.72277227722772275</v>
      </c>
    </row>
    <row r="27" spans="1:7" s="1" customFormat="1" ht="21" customHeight="1">
      <c r="A27" s="11"/>
      <c r="B27" s="123" t="s">
        <v>16</v>
      </c>
      <c r="C27" s="64">
        <f>D27+E27</f>
        <v>236</v>
      </c>
      <c r="D27" s="64">
        <f>COUNTIF(ESGOTO!AF:AF,"NC")</f>
        <v>93</v>
      </c>
      <c r="E27" s="64">
        <f>COUNTIF(ESGOTO!AF:AF,"C")</f>
        <v>143</v>
      </c>
      <c r="F27" s="52">
        <f t="shared" ref="F27:F29" si="0">IFERROR(D27/C27,"-")</f>
        <v>0.3940677966101695</v>
      </c>
      <c r="G27" s="52">
        <f t="shared" ref="G27:G29" si="1">IFERROR(100%-F27,"-")</f>
        <v>0.60593220338983045</v>
      </c>
    </row>
    <row r="28" spans="1:7" s="1" customFormat="1" ht="21" customHeight="1">
      <c r="A28" s="11"/>
      <c r="B28" s="123" t="s">
        <v>30</v>
      </c>
      <c r="C28" s="64">
        <f>D28+E28</f>
        <v>536</v>
      </c>
      <c r="D28" s="64">
        <f>COUNTIF(CAVALETE!Z:Z,"nc")</f>
        <v>106</v>
      </c>
      <c r="E28" s="64">
        <f>COUNTIF(CAVALETE!Z:Z,"C")</f>
        <v>430</v>
      </c>
      <c r="F28" s="52">
        <f t="shared" si="0"/>
        <v>0.19776119402985073</v>
      </c>
      <c r="G28" s="52">
        <f t="shared" si="1"/>
        <v>0.80223880597014929</v>
      </c>
    </row>
    <row r="29" spans="1:7" s="1" customFormat="1" ht="21" customHeight="1">
      <c r="A29" s="11"/>
      <c r="B29" s="124" t="s">
        <v>17</v>
      </c>
      <c r="C29" s="75">
        <f>D29+E29</f>
        <v>23</v>
      </c>
      <c r="D29" s="75">
        <f>COUNTIF(REPOSIÇÃO!AF:AF,"nC")</f>
        <v>16</v>
      </c>
      <c r="E29" s="75">
        <f>COUNTIF(REPOSIÇÃO!AF:AF,"c")</f>
        <v>7</v>
      </c>
      <c r="F29" s="52">
        <f t="shared" si="0"/>
        <v>0.69565217391304346</v>
      </c>
      <c r="G29" s="52">
        <f t="shared" si="1"/>
        <v>0.30434782608695654</v>
      </c>
    </row>
    <row r="30" spans="1:7" s="1" customFormat="1" ht="21" customHeight="1">
      <c r="A30" s="11"/>
      <c r="B30" s="169" t="s">
        <v>31</v>
      </c>
      <c r="C30" s="167">
        <f>SUM(C26:C29)</f>
        <v>1300</v>
      </c>
      <c r="D30" s="167">
        <f t="shared" ref="D30:E30" si="2">SUM(D26:D29)</f>
        <v>355</v>
      </c>
      <c r="E30" s="167">
        <f t="shared" si="2"/>
        <v>945</v>
      </c>
      <c r="F30" s="170">
        <f>IFERROR(AVERAGE(F26,F27,F28,F29),"-")</f>
        <v>0.39117722183133524</v>
      </c>
      <c r="G30" s="168">
        <f>IFERROR(AVERAGE(G26,G27,G28,G29),"-")</f>
        <v>0.6088227781686647</v>
      </c>
    </row>
    <row r="31" spans="1:7" s="1" customFormat="1" ht="15">
      <c r="A31" s="11"/>
      <c r="B31" s="11"/>
      <c r="C31" s="11"/>
      <c r="D31" s="11"/>
      <c r="E31" s="11"/>
      <c r="F31" s="167" t="s">
        <v>32</v>
      </c>
      <c r="G31" s="167" t="s">
        <v>33</v>
      </c>
    </row>
    <row r="32" spans="1:7" s="1" customFormat="1" ht="15">
      <c r="A32" s="11"/>
      <c r="B32" s="11"/>
      <c r="C32" s="11"/>
      <c r="D32" s="11"/>
      <c r="E32" s="11"/>
      <c r="F32" s="11"/>
      <c r="G32" s="11"/>
    </row>
    <row r="33" spans="1:7" s="1" customFormat="1" ht="21" customHeight="1">
      <c r="A33" s="11"/>
      <c r="B33" s="391" t="s">
        <v>34</v>
      </c>
      <c r="C33" s="391"/>
      <c r="D33" s="391"/>
      <c r="E33" s="391"/>
      <c r="F33" s="391"/>
      <c r="G33" s="391"/>
    </row>
    <row r="34" spans="1:7" s="1" customFormat="1" ht="42.75" customHeight="1">
      <c r="A34" s="11"/>
      <c r="B34" s="106" t="s">
        <v>12</v>
      </c>
      <c r="C34" s="107" t="s">
        <v>35</v>
      </c>
      <c r="D34" s="107" t="s">
        <v>36</v>
      </c>
      <c r="E34" s="107" t="s">
        <v>37</v>
      </c>
      <c r="F34" s="107" t="s">
        <v>28</v>
      </c>
      <c r="G34" s="107" t="s">
        <v>29</v>
      </c>
    </row>
    <row r="35" spans="1:7" s="1" customFormat="1" ht="15">
      <c r="A35" s="11"/>
      <c r="B35" s="123" t="s">
        <v>15</v>
      </c>
      <c r="C35" s="64">
        <f>D35+E35</f>
        <v>499</v>
      </c>
      <c r="D35" s="64">
        <f>COUNTIF(ÁGUA!AE:AE,"Nc")</f>
        <v>60</v>
      </c>
      <c r="E35" s="64">
        <f>COUNTIF(ÁGUA!AE:AE,"c")</f>
        <v>439</v>
      </c>
      <c r="F35" s="16">
        <f>IFERROR(D35/C35,"-")</f>
        <v>0.12024048096192384</v>
      </c>
      <c r="G35" s="16">
        <f>IFERROR(E35/C35,"-")</f>
        <v>0.87975951903807614</v>
      </c>
    </row>
    <row r="36" spans="1:7" s="1" customFormat="1" ht="15">
      <c r="A36" s="11"/>
      <c r="B36" s="123" t="s">
        <v>16</v>
      </c>
      <c r="C36" s="64">
        <f>D36+E36</f>
        <v>236</v>
      </c>
      <c r="D36" s="64">
        <f>COUNTIF(ESGOTO!AE:AE,"NC")</f>
        <v>54</v>
      </c>
      <c r="E36" s="64">
        <f>COUNTIF(ESGOTO!AE:AE,"C")</f>
        <v>182</v>
      </c>
      <c r="F36" s="16">
        <f t="shared" ref="F36:F38" si="3">IFERROR(D36/C36,"-")</f>
        <v>0.2288135593220339</v>
      </c>
      <c r="G36" s="16">
        <f t="shared" ref="G36:G38" si="4">IFERROR(E36/C36,"-")</f>
        <v>0.77118644067796616</v>
      </c>
    </row>
    <row r="37" spans="1:7" s="1" customFormat="1" ht="15">
      <c r="A37" s="11"/>
      <c r="B37" s="123" t="s">
        <v>30</v>
      </c>
      <c r="C37" s="64">
        <f>D37+E37</f>
        <v>536</v>
      </c>
      <c r="D37" s="64">
        <f>COUNTIF(CAVALETE!Y:Y,"NC")</f>
        <v>46</v>
      </c>
      <c r="E37" s="64">
        <f>COUNTIF(CAVALETE!Y:Y,"C")</f>
        <v>490</v>
      </c>
      <c r="F37" s="16">
        <f t="shared" si="3"/>
        <v>8.5820895522388058E-2</v>
      </c>
      <c r="G37" s="16">
        <f t="shared" si="4"/>
        <v>0.91417910447761197</v>
      </c>
    </row>
    <row r="38" spans="1:7" s="1" customFormat="1" ht="15">
      <c r="A38" s="11"/>
      <c r="B38" s="123" t="s">
        <v>17</v>
      </c>
      <c r="C38" s="64">
        <f>D38+E38</f>
        <v>23</v>
      </c>
      <c r="D38" s="64">
        <f>COUNTIF(REPOSIÇÃO!AE:AE,"nC")</f>
        <v>2</v>
      </c>
      <c r="E38" s="64">
        <f>COUNTIF(REPOSIÇÃO!AE:AE,"c")</f>
        <v>21</v>
      </c>
      <c r="F38" s="16">
        <f t="shared" si="3"/>
        <v>8.6956521739130432E-2</v>
      </c>
      <c r="G38" s="16">
        <f t="shared" si="4"/>
        <v>0.91304347826086951</v>
      </c>
    </row>
    <row r="39" spans="1:7" s="1" customFormat="1" ht="15">
      <c r="A39" s="11"/>
      <c r="B39" s="11"/>
      <c r="C39" s="11"/>
      <c r="D39" s="11"/>
      <c r="E39" s="11"/>
      <c r="F39" s="17"/>
      <c r="G39" s="17"/>
    </row>
    <row r="40" spans="1:7" s="1" customFormat="1" ht="15">
      <c r="A40" s="11"/>
      <c r="B40" s="391" t="s">
        <v>38</v>
      </c>
      <c r="C40" s="391"/>
      <c r="D40" s="391"/>
      <c r="E40" s="391"/>
      <c r="F40" s="391"/>
      <c r="G40" s="391"/>
    </row>
    <row r="41" spans="1:7" s="1" customFormat="1" ht="15">
      <c r="A41" s="11"/>
      <c r="B41" s="106" t="s">
        <v>12</v>
      </c>
      <c r="C41" s="107" t="s">
        <v>35</v>
      </c>
      <c r="D41" s="107" t="s">
        <v>36</v>
      </c>
      <c r="E41" s="107" t="s">
        <v>37</v>
      </c>
      <c r="F41" s="107" t="s">
        <v>28</v>
      </c>
      <c r="G41" s="107" t="s">
        <v>29</v>
      </c>
    </row>
    <row r="42" spans="1:7" s="1" customFormat="1" ht="15">
      <c r="A42" s="11"/>
      <c r="B42" s="123" t="s">
        <v>15</v>
      </c>
      <c r="C42" s="64">
        <f>D42+E42</f>
        <v>434</v>
      </c>
      <c r="D42" s="64">
        <f>COUNTIF(ÁGUA!AH:AH,"Nc")</f>
        <v>0</v>
      </c>
      <c r="E42" s="64">
        <f>COUNTIF(ÁGUA!AH:AH,"c")</f>
        <v>434</v>
      </c>
      <c r="F42" s="84">
        <f>IFERROR(D42/C42,"-")</f>
        <v>0</v>
      </c>
      <c r="G42" s="16">
        <f>IFERROR(E42/C42,"-")</f>
        <v>1</v>
      </c>
    </row>
    <row r="43" spans="1:7" s="1" customFormat="1" ht="15">
      <c r="A43" s="11"/>
      <c r="B43" s="123" t="s">
        <v>16</v>
      </c>
      <c r="C43" s="64">
        <f>D43+E43</f>
        <v>205</v>
      </c>
      <c r="D43" s="64">
        <f>COUNTIF(ESGOTO!AH:AH,"NC")</f>
        <v>1</v>
      </c>
      <c r="E43" s="64">
        <f>COUNTIF(ESGOTO!AH:AH,"C")</f>
        <v>204</v>
      </c>
      <c r="F43" s="84">
        <f t="shared" ref="F43:F44" si="5">IFERROR(D43/C43,"-")</f>
        <v>4.8780487804878049E-3</v>
      </c>
      <c r="G43" s="16">
        <f t="shared" ref="G43:G44" si="6">IFERROR(E43/C43,"-")</f>
        <v>0.99512195121951219</v>
      </c>
    </row>
    <row r="44" spans="1:7" s="1" customFormat="1" ht="15">
      <c r="A44" s="11"/>
      <c r="B44" s="123" t="s">
        <v>30</v>
      </c>
      <c r="C44" s="64">
        <f>D44+E44</f>
        <v>575</v>
      </c>
      <c r="D44" s="64">
        <f>COUNTIF(CAVALETE!AB:AB,"NC")</f>
        <v>0</v>
      </c>
      <c r="E44" s="64">
        <f>COUNTIF(CAVALETE!AB:AB,"C")</f>
        <v>575</v>
      </c>
      <c r="F44" s="84">
        <f t="shared" si="5"/>
        <v>0</v>
      </c>
      <c r="G44" s="16">
        <f t="shared" si="6"/>
        <v>1</v>
      </c>
    </row>
    <row r="45" spans="1:7" s="1" customFormat="1" ht="15">
      <c r="A45" s="11"/>
      <c r="B45" s="11"/>
      <c r="C45" s="11"/>
      <c r="D45" s="11"/>
      <c r="E45" s="11"/>
      <c r="F45" s="17"/>
      <c r="G45" s="17"/>
    </row>
    <row r="46" spans="1:7" s="1" customFormat="1">
      <c r="A46" s="11"/>
      <c r="B46" s="386" t="s">
        <v>39</v>
      </c>
      <c r="C46" s="386"/>
      <c r="D46" s="386"/>
      <c r="E46" s="386"/>
      <c r="F46" s="386"/>
      <c r="G46" s="386"/>
    </row>
    <row r="47" spans="1:7" s="1" customFormat="1">
      <c r="A47" s="11"/>
      <c r="B47" s="76"/>
      <c r="C47" s="76"/>
      <c r="D47" s="76"/>
      <c r="E47" s="76"/>
      <c r="F47" s="76"/>
      <c r="G47" s="76"/>
    </row>
    <row r="48" spans="1:7" s="1" customFormat="1" ht="15">
      <c r="A48" s="11"/>
      <c r="B48" s="376" t="s">
        <v>34</v>
      </c>
      <c r="C48" s="377"/>
      <c r="D48" s="377"/>
      <c r="E48" s="377"/>
      <c r="F48" s="377"/>
      <c r="G48" s="378"/>
    </row>
    <row r="49" spans="1:7" s="1" customFormat="1" ht="15">
      <c r="A49" s="11"/>
      <c r="B49" s="106" t="s">
        <v>12</v>
      </c>
      <c r="C49" s="107" t="s">
        <v>35</v>
      </c>
      <c r="D49" s="107" t="s">
        <v>36</v>
      </c>
      <c r="E49" s="107" t="s">
        <v>37</v>
      </c>
      <c r="F49" s="107" t="s">
        <v>28</v>
      </c>
      <c r="G49" s="107" t="s">
        <v>29</v>
      </c>
    </row>
    <row r="50" spans="1:7" s="1" customFormat="1" ht="15">
      <c r="A50" s="11"/>
      <c r="B50" s="123" t="s">
        <v>15</v>
      </c>
      <c r="C50" s="64">
        <f>D50+E50</f>
        <v>499</v>
      </c>
      <c r="D50" s="64">
        <f>COUNTIF(ÁGUA!AE:AE,"NC")</f>
        <v>60</v>
      </c>
      <c r="E50" s="64">
        <f>COUNTIF(ÁGUA!AE:AE,"C")</f>
        <v>439</v>
      </c>
      <c r="F50" s="16">
        <f>IFERROR(D50/C50,"-")</f>
        <v>0.12024048096192384</v>
      </c>
      <c r="G50" s="16">
        <f>IFERROR(E50/C50,"-")</f>
        <v>0.87975951903807614</v>
      </c>
    </row>
    <row r="51" spans="1:7" s="1" customFormat="1" ht="15">
      <c r="A51" s="11"/>
      <c r="B51" s="11"/>
      <c r="C51" s="11"/>
      <c r="D51" s="11"/>
      <c r="E51" s="11"/>
      <c r="F51" s="17"/>
      <c r="G51" s="17"/>
    </row>
    <row r="52" spans="1:7" s="1" customFormat="1" ht="15">
      <c r="A52" s="11"/>
      <c r="B52" s="376" t="s">
        <v>24</v>
      </c>
      <c r="C52" s="377"/>
      <c r="D52" s="377"/>
      <c r="E52" s="377"/>
      <c r="F52" s="377"/>
      <c r="G52" s="378"/>
    </row>
    <row r="53" spans="1:7" s="1" customFormat="1" ht="15">
      <c r="A53" s="11"/>
      <c r="B53" s="106" t="s">
        <v>12</v>
      </c>
      <c r="C53" s="107" t="s">
        <v>25</v>
      </c>
      <c r="D53" s="107" t="s">
        <v>26</v>
      </c>
      <c r="E53" s="107" t="s">
        <v>27</v>
      </c>
      <c r="F53" s="107" t="s">
        <v>28</v>
      </c>
      <c r="G53" s="107" t="s">
        <v>29</v>
      </c>
    </row>
    <row r="54" spans="1:7" s="1" customFormat="1" ht="15">
      <c r="A54" s="11"/>
      <c r="B54" s="123" t="s">
        <v>15</v>
      </c>
      <c r="C54" s="64">
        <f>D54+E54</f>
        <v>505</v>
      </c>
      <c r="D54" s="64">
        <f>COUNTIF(ÁGUA!AF:AF,"NC")</f>
        <v>140</v>
      </c>
      <c r="E54" s="64">
        <f>COUNTIF(ÁGUA!AF:AF,"C")</f>
        <v>365</v>
      </c>
      <c r="F54" s="52">
        <f>IFERROR(D54/C54,"-")</f>
        <v>0.27722772277227725</v>
      </c>
      <c r="G54" s="52">
        <f>IFERROR(100%-F54,"-")</f>
        <v>0.72277227722772275</v>
      </c>
    </row>
    <row r="55" spans="1:7" s="1" customFormat="1" ht="15">
      <c r="A55" s="11"/>
      <c r="B55" s="11"/>
      <c r="C55" s="11"/>
      <c r="D55" s="11"/>
      <c r="E55" s="11"/>
      <c r="F55" s="17"/>
      <c r="G55" s="17"/>
    </row>
    <row r="56" spans="1:7" s="1" customFormat="1" ht="15">
      <c r="A56" s="11"/>
      <c r="B56" s="376" t="s">
        <v>38</v>
      </c>
      <c r="C56" s="377"/>
      <c r="D56" s="377"/>
      <c r="E56" s="377"/>
      <c r="F56" s="377"/>
      <c r="G56" s="378"/>
    </row>
    <row r="57" spans="1:7" s="1" customFormat="1" ht="15">
      <c r="A57" s="11"/>
      <c r="B57" s="106" t="s">
        <v>12</v>
      </c>
      <c r="C57" s="107" t="s">
        <v>35</v>
      </c>
      <c r="D57" s="107" t="s">
        <v>36</v>
      </c>
      <c r="E57" s="107" t="s">
        <v>37</v>
      </c>
      <c r="F57" s="107" t="s">
        <v>28</v>
      </c>
      <c r="G57" s="107" t="s">
        <v>29</v>
      </c>
    </row>
    <row r="58" spans="1:7" s="1" customFormat="1" ht="15">
      <c r="A58" s="11"/>
      <c r="B58" s="123" t="s">
        <v>15</v>
      </c>
      <c r="C58" s="64">
        <f>D58+E58</f>
        <v>434</v>
      </c>
      <c r="D58" s="64">
        <f>COUNTIF(ÁGUA!AH:AH,"NC")</f>
        <v>0</v>
      </c>
      <c r="E58" s="64">
        <f>COUNTIF(ÁGUA!AH:AH,"C")</f>
        <v>434</v>
      </c>
      <c r="F58" s="16">
        <f>IFERROR(D58/C58,"-")</f>
        <v>0</v>
      </c>
      <c r="G58" s="16">
        <f>IFERROR(E58/C58,"-")</f>
        <v>1</v>
      </c>
    </row>
    <row r="59" spans="1:7" s="1" customFormat="1">
      <c r="A59" s="11"/>
      <c r="B59" s="20"/>
      <c r="C59" s="20"/>
      <c r="D59" s="20"/>
      <c r="E59" s="20"/>
      <c r="F59" s="20"/>
      <c r="G59" s="20"/>
    </row>
    <row r="60" spans="1:7" s="1" customFormat="1">
      <c r="A60" s="11"/>
      <c r="B60" s="379" t="s">
        <v>40</v>
      </c>
      <c r="C60" s="380"/>
      <c r="D60" s="380"/>
      <c r="E60" s="380"/>
      <c r="F60" s="380"/>
      <c r="G60" s="381"/>
    </row>
    <row r="61" spans="1:7" ht="18" customHeight="1">
      <c r="B61" s="108" t="s">
        <v>6</v>
      </c>
      <c r="C61" s="109" t="s">
        <v>41</v>
      </c>
      <c r="D61" s="109" t="s">
        <v>42</v>
      </c>
      <c r="E61" s="109" t="s">
        <v>43</v>
      </c>
      <c r="F61" s="109" t="s">
        <v>44</v>
      </c>
      <c r="G61" s="109" t="s">
        <v>45</v>
      </c>
    </row>
    <row r="62" spans="1:7" ht="18" customHeight="1">
      <c r="B62" s="125" t="s">
        <v>46</v>
      </c>
      <c r="C62" s="69">
        <f>COUNTIF(ÁGUA!O:O,"c")</f>
        <v>447</v>
      </c>
      <c r="D62" s="69">
        <f>COUNTIF(ÁGUA!O:O,"Nc")</f>
        <v>18</v>
      </c>
      <c r="E62" s="69">
        <f>COUNTIF(ÁGUA!O:O,"SF")</f>
        <v>37</v>
      </c>
      <c r="F62" s="71">
        <f>IFERROR(C62/(C62+D62+E62),"-")</f>
        <v>0.89043824701195218</v>
      </c>
      <c r="G62" s="67">
        <f>IFERROR(100%-F62,"-")</f>
        <v>0.10956175298804782</v>
      </c>
    </row>
    <row r="63" spans="1:7">
      <c r="B63" s="125" t="s">
        <v>47</v>
      </c>
      <c r="C63" s="69">
        <f>COUNTIF(ÁGUA!Q:Q,"c")</f>
        <v>409</v>
      </c>
      <c r="D63" s="69">
        <f>COUNTIF(ÁGUA!Q:Q,"Nc")</f>
        <v>21</v>
      </c>
      <c r="E63" s="69">
        <f>COUNTIF(ÁGUA!Q:Q,"SF")</f>
        <v>48</v>
      </c>
      <c r="F63" s="71">
        <f t="shared" ref="F63:F68" si="7">IFERROR(C63/(C63+D63+E63),"-")</f>
        <v>0.85564853556485354</v>
      </c>
      <c r="G63" s="67">
        <f t="shared" ref="G63:G68" si="8">IFERROR(100%-F63,"-")</f>
        <v>0.14435146443514646</v>
      </c>
    </row>
    <row r="64" spans="1:7">
      <c r="B64" s="125" t="s">
        <v>48</v>
      </c>
      <c r="C64" s="69">
        <f>COUNTIF(ÁGUA!S:S,"c")</f>
        <v>378</v>
      </c>
      <c r="D64" s="69">
        <f>COUNTIF(ÁGUA!S:S,"Nc")</f>
        <v>17</v>
      </c>
      <c r="E64" s="69">
        <f>COUNTIF(ÁGUA!S:S,"SF")</f>
        <v>63</v>
      </c>
      <c r="F64" s="71">
        <f t="shared" si="7"/>
        <v>0.8253275109170306</v>
      </c>
      <c r="G64" s="67">
        <f t="shared" si="8"/>
        <v>0.1746724890829694</v>
      </c>
    </row>
    <row r="65" spans="2:7">
      <c r="B65" s="125" t="s">
        <v>49</v>
      </c>
      <c r="C65" s="69">
        <f>COUNTIF(ÁGUA!U:U,"c")</f>
        <v>381</v>
      </c>
      <c r="D65" s="69">
        <f>COUNTIF(ÁGUA!U:U,"Nc")</f>
        <v>17</v>
      </c>
      <c r="E65" s="69">
        <f>COUNTIF(ÁGUA!U:U,"SF")</f>
        <v>52</v>
      </c>
      <c r="F65" s="71">
        <f t="shared" ref="F65" si="9">IFERROR(C65/(C65+D65+E65),"-")</f>
        <v>0.84666666666666668</v>
      </c>
      <c r="G65" s="67">
        <f t="shared" ref="G65" si="10">IFERROR(100%-F65,"-")</f>
        <v>0.15333333333333332</v>
      </c>
    </row>
    <row r="66" spans="2:7">
      <c r="B66" s="125" t="s">
        <v>50</v>
      </c>
      <c r="C66" s="69">
        <f>COUNTIF(ÁGUA!W:W,"c")</f>
        <v>360</v>
      </c>
      <c r="D66" s="69">
        <f>COUNTIF(ÁGUA!W:W,"Nc")</f>
        <v>17</v>
      </c>
      <c r="E66" s="69">
        <f>COUNTIF(ÁGUA!W:W,"SF")</f>
        <v>65</v>
      </c>
      <c r="F66" s="71">
        <f t="shared" si="7"/>
        <v>0.81447963800904977</v>
      </c>
      <c r="G66" s="67">
        <f t="shared" si="8"/>
        <v>0.18552036199095023</v>
      </c>
    </row>
    <row r="67" spans="2:7">
      <c r="B67" s="125" t="s">
        <v>51</v>
      </c>
      <c r="C67" s="69">
        <f>COUNTIF(ÁGUA!Y:Y,"c")</f>
        <v>226</v>
      </c>
      <c r="D67" s="69">
        <f>COUNTIF(ÁGUA!Y:Y,"Nc")</f>
        <v>30</v>
      </c>
      <c r="E67" s="69">
        <f>COUNTIF(ÁGUA!Y:Y,"SF")</f>
        <v>47</v>
      </c>
      <c r="F67" s="71">
        <f t="shared" si="7"/>
        <v>0.74587458745874591</v>
      </c>
      <c r="G67" s="67">
        <f t="shared" si="8"/>
        <v>0.25412541254125409</v>
      </c>
    </row>
    <row r="68" spans="2:7">
      <c r="B68" s="125" t="s">
        <v>52</v>
      </c>
      <c r="C68" s="69">
        <f>COUNTIF(ÁGUA!AA:AA,"c")</f>
        <v>382</v>
      </c>
      <c r="D68" s="69">
        <f>COUNTIF(ÁGUA!AA:AA,"Nc")</f>
        <v>18</v>
      </c>
      <c r="E68" s="69">
        <f>COUNTIF(ÁGUA!AA:AA,"SF")</f>
        <v>63</v>
      </c>
      <c r="F68" s="71">
        <f t="shared" si="7"/>
        <v>0.82505399568034554</v>
      </c>
      <c r="G68" s="67">
        <f t="shared" si="8"/>
        <v>0.17494600431965446</v>
      </c>
    </row>
    <row r="69" spans="2:7">
      <c r="B69" s="125" t="s">
        <v>53</v>
      </c>
      <c r="C69" s="69">
        <f>COUNTIF(ÁGUA!AC:AC,"c")</f>
        <v>410</v>
      </c>
      <c r="D69" s="69">
        <f>COUNTIF(ÁGUA!AC:AC,"Nc")</f>
        <v>29</v>
      </c>
      <c r="E69" s="69">
        <f>COUNTIF(ÁGUA!AC:AC,"SF")</f>
        <v>65</v>
      </c>
      <c r="F69" s="71">
        <f t="shared" ref="F69" si="11">IFERROR(C69/(C69+D69+E69),"-")</f>
        <v>0.81349206349206349</v>
      </c>
      <c r="G69" s="67">
        <f t="shared" ref="G69" si="12">IFERROR(100%-F69,"-")</f>
        <v>0.18650793650793651</v>
      </c>
    </row>
    <row r="71" spans="2:7" ht="18.75" customHeight="1">
      <c r="B71" s="383" t="s">
        <v>54</v>
      </c>
      <c r="C71" s="384"/>
      <c r="D71" s="384"/>
      <c r="E71" s="384"/>
      <c r="F71" s="384"/>
      <c r="G71" s="385"/>
    </row>
    <row r="72" spans="2:7" ht="36">
      <c r="B72" s="110" t="s">
        <v>55</v>
      </c>
      <c r="C72" s="111" t="s">
        <v>56</v>
      </c>
      <c r="D72" s="112" t="s">
        <v>41</v>
      </c>
      <c r="E72" s="112" t="s">
        <v>42</v>
      </c>
      <c r="F72" s="112" t="s">
        <v>44</v>
      </c>
      <c r="G72" s="112" t="s">
        <v>57</v>
      </c>
    </row>
    <row r="73" spans="2:7">
      <c r="B73" s="60" t="s">
        <v>58</v>
      </c>
      <c r="C73" s="82">
        <f t="shared" ref="C73" si="13">D73+E73</f>
        <v>0</v>
      </c>
      <c r="D73" s="77">
        <f>COUNTIFS(ÁGUA!N:N,'DADOS - FREGUESIA DO Ó'!B73,ÁGUA!AE:AE,"c")</f>
        <v>0</v>
      </c>
      <c r="E73" s="77">
        <f>COUNTIFS(ÁGUA!N:N,'DADOS - FREGUESIA DO Ó'!B73,ÁGUA!AE:AE,"Nc")</f>
        <v>0</v>
      </c>
      <c r="F73" s="78" t="str">
        <f t="shared" ref="F73" si="14">IFERROR(D73/C73,"-")</f>
        <v>-</v>
      </c>
      <c r="G73" s="67" t="str">
        <f t="shared" ref="G73" si="15">IFERROR(100%-F73,"-")</f>
        <v>-</v>
      </c>
    </row>
    <row r="74" spans="2:7">
      <c r="B74" s="60" t="s">
        <v>58</v>
      </c>
      <c r="C74" s="82">
        <f t="shared" ref="C74:C112" si="16">D74+E74</f>
        <v>0</v>
      </c>
      <c r="D74" s="77">
        <f>COUNTIFS(ÁGUA!N:N,'DADOS - FREGUESIA DO Ó'!B74,ÁGUA!AE:AE,"c")</f>
        <v>0</v>
      </c>
      <c r="E74" s="77">
        <f>COUNTIFS(ÁGUA!N:N,'DADOS - FREGUESIA DO Ó'!B74,ÁGUA!AE:AE,"Nc")</f>
        <v>0</v>
      </c>
      <c r="F74" s="78" t="str">
        <f t="shared" ref="F74:F112" si="17">IFERROR(D74/C74,"-")</f>
        <v>-</v>
      </c>
      <c r="G74" s="67" t="str">
        <f t="shared" ref="G74:G112" si="18">IFERROR(100%-F74,"-")</f>
        <v>-</v>
      </c>
    </row>
    <row r="75" spans="2:7">
      <c r="B75" s="60" t="s">
        <v>58</v>
      </c>
      <c r="C75" s="82">
        <f t="shared" ref="C75:C110" si="19">D75+E75</f>
        <v>0</v>
      </c>
      <c r="D75" s="77">
        <f>COUNTIFS(ÁGUA!N:N,'DADOS - FREGUESIA DO Ó'!B75,ÁGUA!AE:AE,"c")</f>
        <v>0</v>
      </c>
      <c r="E75" s="77">
        <f>COUNTIFS(ÁGUA!N:N,'DADOS - FREGUESIA DO Ó'!B75,ÁGUA!AE:AE,"Nc")</f>
        <v>0</v>
      </c>
      <c r="F75" s="78" t="str">
        <f t="shared" ref="F75:F110" si="20">IFERROR(D75/C75,"-")</f>
        <v>-</v>
      </c>
      <c r="G75" s="67" t="str">
        <f t="shared" ref="G75:G110" si="21">IFERROR(100%-F75,"-")</f>
        <v>-</v>
      </c>
    </row>
    <row r="76" spans="2:7">
      <c r="B76" s="60" t="s">
        <v>58</v>
      </c>
      <c r="C76" s="82">
        <f t="shared" ref="C76:C106" si="22">D76+E76</f>
        <v>0</v>
      </c>
      <c r="D76" s="77">
        <f>COUNTIFS(ÁGUA!N:N,'DADOS - FREGUESIA DO Ó'!B76,ÁGUA!AE:AE,"c")</f>
        <v>0</v>
      </c>
      <c r="E76" s="77">
        <f>COUNTIFS(ÁGUA!N:N,'DADOS - FREGUESIA DO Ó'!B76,ÁGUA!AE:AE,"Nc")</f>
        <v>0</v>
      </c>
      <c r="F76" s="78" t="str">
        <f t="shared" ref="F76:F106" si="23">IFERROR(D76/C76,"-")</f>
        <v>-</v>
      </c>
      <c r="G76" s="67" t="str">
        <f t="shared" ref="G76:G106" si="24">IFERROR(100%-F76,"-")</f>
        <v>-</v>
      </c>
    </row>
    <row r="77" spans="2:7">
      <c r="B77" s="60" t="s">
        <v>58</v>
      </c>
      <c r="C77" s="82">
        <f t="shared" si="22"/>
        <v>0</v>
      </c>
      <c r="D77" s="77">
        <f>COUNTIFS(ÁGUA!N:N,'DADOS - FREGUESIA DO Ó'!B77,ÁGUA!AE:AE,"c")</f>
        <v>0</v>
      </c>
      <c r="E77" s="77">
        <f>COUNTIFS(ÁGUA!N:N,'DADOS - FREGUESIA DO Ó'!B77,ÁGUA!AE:AE,"Nc")</f>
        <v>0</v>
      </c>
      <c r="F77" s="78" t="str">
        <f t="shared" si="23"/>
        <v>-</v>
      </c>
      <c r="G77" s="67" t="str">
        <f t="shared" si="24"/>
        <v>-</v>
      </c>
    </row>
    <row r="78" spans="2:7">
      <c r="B78" s="60" t="s">
        <v>58</v>
      </c>
      <c r="C78" s="82">
        <f t="shared" si="22"/>
        <v>0</v>
      </c>
      <c r="D78" s="77">
        <f>COUNTIFS(ÁGUA!N:N,'DADOS - FREGUESIA DO Ó'!B78,ÁGUA!AE:AE,"c")</f>
        <v>0</v>
      </c>
      <c r="E78" s="77">
        <f>COUNTIFS(ÁGUA!N:N,'DADOS - FREGUESIA DO Ó'!B78,ÁGUA!AE:AE,"Nc")</f>
        <v>0</v>
      </c>
      <c r="F78" s="78" t="str">
        <f t="shared" si="23"/>
        <v>-</v>
      </c>
      <c r="G78" s="67" t="str">
        <f t="shared" si="24"/>
        <v>-</v>
      </c>
    </row>
    <row r="79" spans="2:7">
      <c r="B79" s="60" t="s">
        <v>58</v>
      </c>
      <c r="C79" s="82">
        <f t="shared" si="22"/>
        <v>0</v>
      </c>
      <c r="D79" s="77">
        <f>COUNTIFS(ÁGUA!N:N,'DADOS - FREGUESIA DO Ó'!B79,ÁGUA!AE:AE,"c")</f>
        <v>0</v>
      </c>
      <c r="E79" s="77">
        <f>COUNTIFS(ÁGUA!N:N,'DADOS - FREGUESIA DO Ó'!B79,ÁGUA!AE:AE,"Nc")</f>
        <v>0</v>
      </c>
      <c r="F79" s="78" t="str">
        <f t="shared" si="23"/>
        <v>-</v>
      </c>
      <c r="G79" s="67" t="str">
        <f t="shared" si="24"/>
        <v>-</v>
      </c>
    </row>
    <row r="80" spans="2:7">
      <c r="B80" s="60" t="s">
        <v>58</v>
      </c>
      <c r="C80" s="82">
        <f t="shared" si="22"/>
        <v>0</v>
      </c>
      <c r="D80" s="77">
        <f>COUNTIFS(ÁGUA!N:N,'DADOS - FREGUESIA DO Ó'!B80,ÁGUA!AE:AE,"c")</f>
        <v>0</v>
      </c>
      <c r="E80" s="77">
        <f>COUNTIFS(ÁGUA!N:N,'DADOS - FREGUESIA DO Ó'!B80,ÁGUA!AE:AE,"Nc")</f>
        <v>0</v>
      </c>
      <c r="F80" s="78" t="str">
        <f t="shared" si="23"/>
        <v>-</v>
      </c>
      <c r="G80" s="67" t="str">
        <f t="shared" si="24"/>
        <v>-</v>
      </c>
    </row>
    <row r="81" spans="2:7">
      <c r="B81" s="60" t="s">
        <v>58</v>
      </c>
      <c r="C81" s="82">
        <f t="shared" si="22"/>
        <v>0</v>
      </c>
      <c r="D81" s="77">
        <f>COUNTIFS(ÁGUA!N:N,'DADOS - FREGUESIA DO Ó'!B81,ÁGUA!AE:AE,"c")</f>
        <v>0</v>
      </c>
      <c r="E81" s="77">
        <f>COUNTIFS(ÁGUA!N:N,'DADOS - FREGUESIA DO Ó'!B81,ÁGUA!AE:AE,"Nc")</f>
        <v>0</v>
      </c>
      <c r="F81" s="78" t="str">
        <f t="shared" si="23"/>
        <v>-</v>
      </c>
      <c r="G81" s="67" t="str">
        <f t="shared" si="24"/>
        <v>-</v>
      </c>
    </row>
    <row r="82" spans="2:7">
      <c r="B82" s="60" t="s">
        <v>58</v>
      </c>
      <c r="C82" s="82">
        <f t="shared" si="22"/>
        <v>0</v>
      </c>
      <c r="D82" s="77">
        <f>COUNTIFS(ÁGUA!N:N,'DADOS - FREGUESIA DO Ó'!B82,ÁGUA!AE:AE,"c")</f>
        <v>0</v>
      </c>
      <c r="E82" s="77">
        <f>COUNTIFS(ÁGUA!N:N,'DADOS - FREGUESIA DO Ó'!B82,ÁGUA!AE:AE,"Nc")</f>
        <v>0</v>
      </c>
      <c r="F82" s="78" t="str">
        <f t="shared" si="23"/>
        <v>-</v>
      </c>
      <c r="G82" s="67" t="str">
        <f t="shared" si="24"/>
        <v>-</v>
      </c>
    </row>
    <row r="83" spans="2:7">
      <c r="B83" s="60" t="s">
        <v>58</v>
      </c>
      <c r="C83" s="82">
        <f t="shared" si="22"/>
        <v>0</v>
      </c>
      <c r="D83" s="77">
        <f>COUNTIFS(ÁGUA!N:N,'DADOS - FREGUESIA DO Ó'!B83,ÁGUA!AE:AE,"c")</f>
        <v>0</v>
      </c>
      <c r="E83" s="77">
        <f>COUNTIFS(ÁGUA!N:N,'DADOS - FREGUESIA DO Ó'!B83,ÁGUA!AE:AE,"Nc")</f>
        <v>0</v>
      </c>
      <c r="F83" s="78" t="str">
        <f t="shared" si="23"/>
        <v>-</v>
      </c>
      <c r="G83" s="67" t="str">
        <f t="shared" si="24"/>
        <v>-</v>
      </c>
    </row>
    <row r="84" spans="2:7">
      <c r="B84" s="60" t="s">
        <v>58</v>
      </c>
      <c r="C84" s="82">
        <f t="shared" si="22"/>
        <v>0</v>
      </c>
      <c r="D84" s="77">
        <f>COUNTIFS(ÁGUA!N:N,'DADOS - FREGUESIA DO Ó'!B84,ÁGUA!AE:AE,"c")</f>
        <v>0</v>
      </c>
      <c r="E84" s="77">
        <f>COUNTIFS(ÁGUA!N:N,'DADOS - FREGUESIA DO Ó'!B84,ÁGUA!AE:AE,"Nc")</f>
        <v>0</v>
      </c>
      <c r="F84" s="78" t="str">
        <f t="shared" si="23"/>
        <v>-</v>
      </c>
      <c r="G84" s="67" t="str">
        <f t="shared" si="24"/>
        <v>-</v>
      </c>
    </row>
    <row r="85" spans="2:7">
      <c r="B85" s="60" t="s">
        <v>58</v>
      </c>
      <c r="C85" s="82">
        <f t="shared" si="22"/>
        <v>0</v>
      </c>
      <c r="D85" s="77">
        <f>COUNTIFS(ÁGUA!N:N,'DADOS - FREGUESIA DO Ó'!B85,ÁGUA!AE:AE,"c")</f>
        <v>0</v>
      </c>
      <c r="E85" s="77">
        <f>COUNTIFS(ÁGUA!N:N,'DADOS - FREGUESIA DO Ó'!B85,ÁGUA!AE:AE,"Nc")</f>
        <v>0</v>
      </c>
      <c r="F85" s="78" t="str">
        <f t="shared" si="23"/>
        <v>-</v>
      </c>
      <c r="G85" s="67" t="str">
        <f t="shared" si="24"/>
        <v>-</v>
      </c>
    </row>
    <row r="86" spans="2:7">
      <c r="B86" s="60" t="s">
        <v>58</v>
      </c>
      <c r="C86" s="82">
        <f t="shared" si="22"/>
        <v>0</v>
      </c>
      <c r="D86" s="77">
        <f>COUNTIFS(ÁGUA!N:N,'DADOS - FREGUESIA DO Ó'!B86,ÁGUA!AE:AE,"c")</f>
        <v>0</v>
      </c>
      <c r="E86" s="77">
        <f>COUNTIFS(ÁGUA!N:N,'DADOS - FREGUESIA DO Ó'!B86,ÁGUA!AE:AE,"Nc")</f>
        <v>0</v>
      </c>
      <c r="F86" s="78" t="str">
        <f t="shared" si="23"/>
        <v>-</v>
      </c>
      <c r="G86" s="67" t="str">
        <f t="shared" si="24"/>
        <v>-</v>
      </c>
    </row>
    <row r="87" spans="2:7">
      <c r="B87" s="60" t="s">
        <v>58</v>
      </c>
      <c r="C87" s="82">
        <f t="shared" si="22"/>
        <v>0</v>
      </c>
      <c r="D87" s="77">
        <f>COUNTIFS(ÁGUA!N:N,'DADOS - FREGUESIA DO Ó'!B87,ÁGUA!AE:AE,"c")</f>
        <v>0</v>
      </c>
      <c r="E87" s="77">
        <f>COUNTIFS(ÁGUA!N:N,'DADOS - FREGUESIA DO Ó'!B87,ÁGUA!AE:AE,"Nc")</f>
        <v>0</v>
      </c>
      <c r="F87" s="78" t="str">
        <f t="shared" si="23"/>
        <v>-</v>
      </c>
      <c r="G87" s="67" t="str">
        <f t="shared" si="24"/>
        <v>-</v>
      </c>
    </row>
    <row r="88" spans="2:7">
      <c r="B88" s="60" t="s">
        <v>58</v>
      </c>
      <c r="C88" s="82">
        <f t="shared" si="22"/>
        <v>0</v>
      </c>
      <c r="D88" s="77">
        <f>COUNTIFS(ÁGUA!N:N,'DADOS - FREGUESIA DO Ó'!B88,ÁGUA!AE:AE,"c")</f>
        <v>0</v>
      </c>
      <c r="E88" s="77">
        <f>COUNTIFS(ÁGUA!N:N,'DADOS - FREGUESIA DO Ó'!B88,ÁGUA!AE:AE,"Nc")</f>
        <v>0</v>
      </c>
      <c r="F88" s="78" t="str">
        <f t="shared" si="23"/>
        <v>-</v>
      </c>
      <c r="G88" s="67" t="str">
        <f t="shared" si="24"/>
        <v>-</v>
      </c>
    </row>
    <row r="89" spans="2:7">
      <c r="B89" s="60" t="s">
        <v>58</v>
      </c>
      <c r="C89" s="82">
        <f t="shared" si="22"/>
        <v>0</v>
      </c>
      <c r="D89" s="77">
        <f>COUNTIFS(ÁGUA!N:N,'DADOS - FREGUESIA DO Ó'!B89,ÁGUA!AE:AE,"c")</f>
        <v>0</v>
      </c>
      <c r="E89" s="77">
        <f>COUNTIFS(ÁGUA!N:N,'DADOS - FREGUESIA DO Ó'!B89,ÁGUA!AE:AE,"Nc")</f>
        <v>0</v>
      </c>
      <c r="F89" s="78" t="str">
        <f t="shared" si="23"/>
        <v>-</v>
      </c>
      <c r="G89" s="67" t="str">
        <f t="shared" si="24"/>
        <v>-</v>
      </c>
    </row>
    <row r="90" spans="2:7">
      <c r="B90" s="60" t="s">
        <v>58</v>
      </c>
      <c r="C90" s="82">
        <f t="shared" si="22"/>
        <v>0</v>
      </c>
      <c r="D90" s="77">
        <f>COUNTIFS(ÁGUA!N:N,'DADOS - FREGUESIA DO Ó'!B90,ÁGUA!AE:AE,"c")</f>
        <v>0</v>
      </c>
      <c r="E90" s="77">
        <f>COUNTIFS(ÁGUA!N:N,'DADOS - FREGUESIA DO Ó'!B90,ÁGUA!AE:AE,"Nc")</f>
        <v>0</v>
      </c>
      <c r="F90" s="78" t="str">
        <f t="shared" si="23"/>
        <v>-</v>
      </c>
      <c r="G90" s="67" t="str">
        <f t="shared" si="24"/>
        <v>-</v>
      </c>
    </row>
    <row r="91" spans="2:7">
      <c r="B91" s="60" t="s">
        <v>58</v>
      </c>
      <c r="C91" s="82">
        <f t="shared" si="22"/>
        <v>0</v>
      </c>
      <c r="D91" s="77">
        <f>COUNTIFS(ÁGUA!N:N,'DADOS - FREGUESIA DO Ó'!B91,ÁGUA!AE:AE,"c")</f>
        <v>0</v>
      </c>
      <c r="E91" s="77">
        <f>COUNTIFS(ÁGUA!N:N,'DADOS - FREGUESIA DO Ó'!B91,ÁGUA!AE:AE,"Nc")</f>
        <v>0</v>
      </c>
      <c r="F91" s="78" t="str">
        <f t="shared" si="23"/>
        <v>-</v>
      </c>
      <c r="G91" s="67" t="str">
        <f t="shared" si="24"/>
        <v>-</v>
      </c>
    </row>
    <row r="92" spans="2:7">
      <c r="B92" s="60" t="s">
        <v>58</v>
      </c>
      <c r="C92" s="82">
        <f t="shared" si="22"/>
        <v>0</v>
      </c>
      <c r="D92" s="77">
        <f>COUNTIFS(ÁGUA!N:N,'DADOS - FREGUESIA DO Ó'!B92,ÁGUA!AE:AE,"c")</f>
        <v>0</v>
      </c>
      <c r="E92" s="77">
        <f>COUNTIFS(ÁGUA!N:N,'DADOS - FREGUESIA DO Ó'!B92,ÁGUA!AE:AE,"Nc")</f>
        <v>0</v>
      </c>
      <c r="F92" s="78" t="str">
        <f t="shared" si="23"/>
        <v>-</v>
      </c>
      <c r="G92" s="67" t="str">
        <f t="shared" si="24"/>
        <v>-</v>
      </c>
    </row>
    <row r="93" spans="2:7">
      <c r="B93" s="60" t="s">
        <v>58</v>
      </c>
      <c r="C93" s="82">
        <f t="shared" si="22"/>
        <v>0</v>
      </c>
      <c r="D93" s="77">
        <f>COUNTIFS(ÁGUA!N:N,'DADOS - FREGUESIA DO Ó'!B93,ÁGUA!AE:AE,"c")</f>
        <v>0</v>
      </c>
      <c r="E93" s="77">
        <f>COUNTIFS(ÁGUA!N:N,'DADOS - FREGUESIA DO Ó'!B93,ÁGUA!AE:AE,"Nc")</f>
        <v>0</v>
      </c>
      <c r="F93" s="78" t="str">
        <f t="shared" si="23"/>
        <v>-</v>
      </c>
      <c r="G93" s="67" t="str">
        <f t="shared" si="24"/>
        <v>-</v>
      </c>
    </row>
    <row r="94" spans="2:7">
      <c r="B94" s="60" t="s">
        <v>58</v>
      </c>
      <c r="C94" s="82">
        <f t="shared" si="22"/>
        <v>0</v>
      </c>
      <c r="D94" s="77">
        <f>COUNTIFS(ÁGUA!N:N,'DADOS - FREGUESIA DO Ó'!B94,ÁGUA!AE:AE,"c")</f>
        <v>0</v>
      </c>
      <c r="E94" s="77">
        <f>COUNTIFS(ÁGUA!N:N,'DADOS - FREGUESIA DO Ó'!B94,ÁGUA!AE:AE,"Nc")</f>
        <v>0</v>
      </c>
      <c r="F94" s="78" t="str">
        <f t="shared" si="23"/>
        <v>-</v>
      </c>
      <c r="G94" s="67" t="str">
        <f t="shared" si="24"/>
        <v>-</v>
      </c>
    </row>
    <row r="95" spans="2:7">
      <c r="B95" s="60" t="s">
        <v>58</v>
      </c>
      <c r="C95" s="82">
        <f t="shared" si="22"/>
        <v>0</v>
      </c>
      <c r="D95" s="77">
        <f>COUNTIFS(ÁGUA!N:N,'DADOS - FREGUESIA DO Ó'!B95,ÁGUA!AE:AE,"c")</f>
        <v>0</v>
      </c>
      <c r="E95" s="77">
        <f>COUNTIFS(ÁGUA!N:N,'DADOS - FREGUESIA DO Ó'!B95,ÁGUA!AE:AE,"Nc")</f>
        <v>0</v>
      </c>
      <c r="F95" s="78" t="str">
        <f t="shared" si="23"/>
        <v>-</v>
      </c>
      <c r="G95" s="67" t="str">
        <f t="shared" si="24"/>
        <v>-</v>
      </c>
    </row>
    <row r="96" spans="2:7">
      <c r="B96" s="60" t="s">
        <v>58</v>
      </c>
      <c r="C96" s="82">
        <f t="shared" si="22"/>
        <v>0</v>
      </c>
      <c r="D96" s="77">
        <f>COUNTIFS(ÁGUA!N:N,'DADOS - FREGUESIA DO Ó'!B96,ÁGUA!AE:AE,"c")</f>
        <v>0</v>
      </c>
      <c r="E96" s="77">
        <f>COUNTIFS(ÁGUA!N:N,'DADOS - FREGUESIA DO Ó'!B96,ÁGUA!AE:AE,"Nc")</f>
        <v>0</v>
      </c>
      <c r="F96" s="78" t="str">
        <f t="shared" si="23"/>
        <v>-</v>
      </c>
      <c r="G96" s="67" t="str">
        <f t="shared" si="24"/>
        <v>-</v>
      </c>
    </row>
    <row r="97" spans="2:7">
      <c r="B97" s="60" t="s">
        <v>58</v>
      </c>
      <c r="C97" s="82">
        <f t="shared" si="22"/>
        <v>0</v>
      </c>
      <c r="D97" s="77">
        <f>COUNTIFS(ÁGUA!N:N,'DADOS - FREGUESIA DO Ó'!B97,ÁGUA!AE:AE,"c")</f>
        <v>0</v>
      </c>
      <c r="E97" s="77">
        <f>COUNTIFS(ÁGUA!N:N,'DADOS - FREGUESIA DO Ó'!B97,ÁGUA!AE:AE,"Nc")</f>
        <v>0</v>
      </c>
      <c r="F97" s="78" t="str">
        <f t="shared" si="23"/>
        <v>-</v>
      </c>
      <c r="G97" s="67" t="str">
        <f t="shared" si="24"/>
        <v>-</v>
      </c>
    </row>
    <row r="98" spans="2:7">
      <c r="B98" s="60" t="s">
        <v>58</v>
      </c>
      <c r="C98" s="82">
        <f t="shared" si="22"/>
        <v>0</v>
      </c>
      <c r="D98" s="77">
        <f>COUNTIFS(ÁGUA!N:N,'DADOS - FREGUESIA DO Ó'!B98,ÁGUA!AE:AE,"c")</f>
        <v>0</v>
      </c>
      <c r="E98" s="77">
        <f>COUNTIFS(ÁGUA!N:N,'DADOS - FREGUESIA DO Ó'!B98,ÁGUA!AE:AE,"Nc")</f>
        <v>0</v>
      </c>
      <c r="F98" s="78" t="str">
        <f t="shared" si="23"/>
        <v>-</v>
      </c>
      <c r="G98" s="67" t="str">
        <f t="shared" si="24"/>
        <v>-</v>
      </c>
    </row>
    <row r="99" spans="2:7">
      <c r="B99" s="60" t="s">
        <v>58</v>
      </c>
      <c r="C99" s="82">
        <f t="shared" si="22"/>
        <v>0</v>
      </c>
      <c r="D99" s="77">
        <f>COUNTIFS(ÁGUA!N:N,'DADOS - FREGUESIA DO Ó'!B99,ÁGUA!AE:AE,"c")</f>
        <v>0</v>
      </c>
      <c r="E99" s="77">
        <f>COUNTIFS(ÁGUA!N:N,'DADOS - FREGUESIA DO Ó'!B99,ÁGUA!AE:AE,"Nc")</f>
        <v>0</v>
      </c>
      <c r="F99" s="78" t="str">
        <f t="shared" si="23"/>
        <v>-</v>
      </c>
      <c r="G99" s="67" t="str">
        <f t="shared" si="24"/>
        <v>-</v>
      </c>
    </row>
    <row r="100" spans="2:7">
      <c r="B100" s="60" t="s">
        <v>58</v>
      </c>
      <c r="C100" s="82">
        <f t="shared" si="22"/>
        <v>0</v>
      </c>
      <c r="D100" s="77">
        <f>COUNTIFS(ÁGUA!N:N,'DADOS - FREGUESIA DO Ó'!B100,ÁGUA!AE:AE,"c")</f>
        <v>0</v>
      </c>
      <c r="E100" s="77">
        <f>COUNTIFS(ÁGUA!N:N,'DADOS - FREGUESIA DO Ó'!B100,ÁGUA!AE:AE,"Nc")</f>
        <v>0</v>
      </c>
      <c r="F100" s="78" t="str">
        <f t="shared" si="23"/>
        <v>-</v>
      </c>
      <c r="G100" s="67" t="str">
        <f t="shared" si="24"/>
        <v>-</v>
      </c>
    </row>
    <row r="101" spans="2:7">
      <c r="B101" s="60" t="s">
        <v>58</v>
      </c>
      <c r="C101" s="82">
        <f t="shared" si="22"/>
        <v>0</v>
      </c>
      <c r="D101" s="77">
        <f>COUNTIFS(ÁGUA!N:N,'DADOS - FREGUESIA DO Ó'!B101,ÁGUA!AE:AE,"c")</f>
        <v>0</v>
      </c>
      <c r="E101" s="77">
        <f>COUNTIFS(ÁGUA!N:N,'DADOS - FREGUESIA DO Ó'!B101,ÁGUA!AE:AE,"Nc")</f>
        <v>0</v>
      </c>
      <c r="F101" s="78" t="str">
        <f t="shared" si="23"/>
        <v>-</v>
      </c>
      <c r="G101" s="67" t="str">
        <f t="shared" si="24"/>
        <v>-</v>
      </c>
    </row>
    <row r="102" spans="2:7">
      <c r="B102" s="60" t="s">
        <v>58</v>
      </c>
      <c r="C102" s="82">
        <f t="shared" si="22"/>
        <v>0</v>
      </c>
      <c r="D102" s="77">
        <f>COUNTIFS(ÁGUA!N:N,'DADOS - FREGUESIA DO Ó'!B102,ÁGUA!AE:AE,"c")</f>
        <v>0</v>
      </c>
      <c r="E102" s="77">
        <f>COUNTIFS(ÁGUA!N:N,'DADOS - FREGUESIA DO Ó'!B102,ÁGUA!AE:AE,"Nc")</f>
        <v>0</v>
      </c>
      <c r="F102" s="78" t="str">
        <f t="shared" si="23"/>
        <v>-</v>
      </c>
      <c r="G102" s="67" t="str">
        <f t="shared" si="24"/>
        <v>-</v>
      </c>
    </row>
    <row r="103" spans="2:7">
      <c r="B103" s="60" t="s">
        <v>58</v>
      </c>
      <c r="C103" s="82">
        <f t="shared" si="22"/>
        <v>0</v>
      </c>
      <c r="D103" s="77">
        <f>COUNTIFS(ÁGUA!N:N,'DADOS - FREGUESIA DO Ó'!B103,ÁGUA!AE:AE,"c")</f>
        <v>0</v>
      </c>
      <c r="E103" s="77">
        <f>COUNTIFS(ÁGUA!N:N,'DADOS - FREGUESIA DO Ó'!B103,ÁGUA!AE:AE,"Nc")</f>
        <v>0</v>
      </c>
      <c r="F103" s="78" t="str">
        <f t="shared" si="23"/>
        <v>-</v>
      </c>
      <c r="G103" s="67" t="str">
        <f t="shared" si="24"/>
        <v>-</v>
      </c>
    </row>
    <row r="104" spans="2:7">
      <c r="B104" s="60" t="s">
        <v>58</v>
      </c>
      <c r="C104" s="82">
        <f t="shared" si="22"/>
        <v>0</v>
      </c>
      <c r="D104" s="77">
        <f>COUNTIFS(ÁGUA!N:N,'DADOS - FREGUESIA DO Ó'!B104,ÁGUA!AE:AE,"c")</f>
        <v>0</v>
      </c>
      <c r="E104" s="77">
        <f>COUNTIFS(ÁGUA!N:N,'DADOS - FREGUESIA DO Ó'!B104,ÁGUA!AE:AE,"Nc")</f>
        <v>0</v>
      </c>
      <c r="F104" s="78" t="str">
        <f t="shared" si="23"/>
        <v>-</v>
      </c>
      <c r="G104" s="67" t="str">
        <f t="shared" si="24"/>
        <v>-</v>
      </c>
    </row>
    <row r="105" spans="2:7">
      <c r="B105" s="60" t="s">
        <v>58</v>
      </c>
      <c r="C105" s="82">
        <f t="shared" si="22"/>
        <v>0</v>
      </c>
      <c r="D105" s="77">
        <f>COUNTIFS(ÁGUA!N:N,'DADOS - FREGUESIA DO Ó'!B105,ÁGUA!AE:AE,"c")</f>
        <v>0</v>
      </c>
      <c r="E105" s="77">
        <f>COUNTIFS(ÁGUA!N:N,'DADOS - FREGUESIA DO Ó'!B105,ÁGUA!AE:AE,"Nc")</f>
        <v>0</v>
      </c>
      <c r="F105" s="78" t="str">
        <f t="shared" si="23"/>
        <v>-</v>
      </c>
      <c r="G105" s="67" t="str">
        <f t="shared" si="24"/>
        <v>-</v>
      </c>
    </row>
    <row r="106" spans="2:7">
      <c r="B106" s="60" t="s">
        <v>58</v>
      </c>
      <c r="C106" s="82">
        <f t="shared" si="22"/>
        <v>0</v>
      </c>
      <c r="D106" s="77">
        <f>COUNTIFS(ÁGUA!N:N,'DADOS - FREGUESIA DO Ó'!B106,ÁGUA!AE:AE,"c")</f>
        <v>0</v>
      </c>
      <c r="E106" s="77">
        <f>COUNTIFS(ÁGUA!N:N,'DADOS - FREGUESIA DO Ó'!B106,ÁGUA!AE:AE,"Nc")</f>
        <v>0</v>
      </c>
      <c r="F106" s="78" t="str">
        <f t="shared" si="23"/>
        <v>-</v>
      </c>
      <c r="G106" s="67" t="str">
        <f t="shared" si="24"/>
        <v>-</v>
      </c>
    </row>
    <row r="107" spans="2:7">
      <c r="B107" s="60" t="s">
        <v>58</v>
      </c>
      <c r="C107" s="82">
        <f t="shared" si="19"/>
        <v>0</v>
      </c>
      <c r="D107" s="77">
        <f>COUNTIFS(ÁGUA!N:N,'DADOS - FREGUESIA DO Ó'!B107,ÁGUA!AE:AE,"c")</f>
        <v>0</v>
      </c>
      <c r="E107" s="77">
        <f>COUNTIFS(ÁGUA!N:N,'DADOS - FREGUESIA DO Ó'!B107,ÁGUA!AE:AE,"Nc")</f>
        <v>0</v>
      </c>
      <c r="F107" s="78" t="str">
        <f t="shared" si="20"/>
        <v>-</v>
      </c>
      <c r="G107" s="67" t="str">
        <f t="shared" si="21"/>
        <v>-</v>
      </c>
    </row>
    <row r="108" spans="2:7">
      <c r="B108" s="60" t="s">
        <v>58</v>
      </c>
      <c r="C108" s="82">
        <f t="shared" si="19"/>
        <v>0</v>
      </c>
      <c r="D108" s="77">
        <f>COUNTIFS(ÁGUA!N:N,'DADOS - FREGUESIA DO Ó'!B108,ÁGUA!AE:AE,"c")</f>
        <v>0</v>
      </c>
      <c r="E108" s="77">
        <f>COUNTIFS(ÁGUA!N:N,'DADOS - FREGUESIA DO Ó'!B108,ÁGUA!AE:AE,"Nc")</f>
        <v>0</v>
      </c>
      <c r="F108" s="78" t="str">
        <f t="shared" si="20"/>
        <v>-</v>
      </c>
      <c r="G108" s="67" t="str">
        <f t="shared" si="21"/>
        <v>-</v>
      </c>
    </row>
    <row r="109" spans="2:7">
      <c r="B109" s="60" t="s">
        <v>58</v>
      </c>
      <c r="C109" s="82">
        <f t="shared" si="19"/>
        <v>0</v>
      </c>
      <c r="D109" s="77">
        <f>COUNTIFS(ÁGUA!N:N,'DADOS - FREGUESIA DO Ó'!B109,ÁGUA!AE:AE,"c")</f>
        <v>0</v>
      </c>
      <c r="E109" s="77">
        <f>COUNTIFS(ÁGUA!N:N,'DADOS - FREGUESIA DO Ó'!B109,ÁGUA!AE:AE,"Nc")</f>
        <v>0</v>
      </c>
      <c r="F109" s="78" t="str">
        <f t="shared" si="20"/>
        <v>-</v>
      </c>
      <c r="G109" s="67" t="str">
        <f t="shared" si="21"/>
        <v>-</v>
      </c>
    </row>
    <row r="110" spans="2:7">
      <c r="B110" s="60" t="s">
        <v>58</v>
      </c>
      <c r="C110" s="82">
        <f t="shared" si="19"/>
        <v>0</v>
      </c>
      <c r="D110" s="77">
        <f>COUNTIFS(ÁGUA!N:N,'DADOS - FREGUESIA DO Ó'!B110,ÁGUA!AE:AE,"c")</f>
        <v>0</v>
      </c>
      <c r="E110" s="77">
        <f>COUNTIFS(ÁGUA!N:N,'DADOS - FREGUESIA DO Ó'!B110,ÁGUA!AE:AE,"Nc")</f>
        <v>0</v>
      </c>
      <c r="F110" s="78" t="str">
        <f t="shared" si="20"/>
        <v>-</v>
      </c>
      <c r="G110" s="67" t="str">
        <f t="shared" si="21"/>
        <v>-</v>
      </c>
    </row>
    <row r="111" spans="2:7" ht="18.75" customHeight="1">
      <c r="B111" s="60" t="s">
        <v>58</v>
      </c>
      <c r="C111" s="82">
        <f t="shared" ref="C111" si="25">D111+E111</f>
        <v>0</v>
      </c>
      <c r="D111" s="77">
        <f>COUNTIFS(ÁGUA!N:N,'DADOS - FREGUESIA DO Ó'!B111,ÁGUA!AE:AE,"c")</f>
        <v>0</v>
      </c>
      <c r="E111" s="77">
        <f>COUNTIFS(ÁGUA!N:N,'DADOS - FREGUESIA DO Ó'!B111,ÁGUA!AE:AE,"Nc")</f>
        <v>0</v>
      </c>
      <c r="F111" s="78" t="str">
        <f t="shared" ref="F111" si="26">IFERROR(D111/C111,"-")</f>
        <v>-</v>
      </c>
      <c r="G111" s="67" t="str">
        <f t="shared" ref="G111" si="27">IFERROR(100%-F111,"-")</f>
        <v>-</v>
      </c>
    </row>
    <row r="112" spans="2:7">
      <c r="B112" s="60" t="s">
        <v>58</v>
      </c>
      <c r="C112" s="82">
        <f t="shared" si="16"/>
        <v>0</v>
      </c>
      <c r="D112" s="77">
        <f>COUNTIFS(ÁGUA!N:N,'DADOS - FREGUESIA DO Ó'!B112,ÁGUA!AE:AE,"c")</f>
        <v>0</v>
      </c>
      <c r="E112" s="77">
        <f>COUNTIFS(ÁGUA!N:N,'DADOS - FREGUESIA DO Ó'!B112,ÁGUA!AE:AE,"Nc")</f>
        <v>0</v>
      </c>
      <c r="F112" s="78" t="str">
        <f t="shared" si="17"/>
        <v>-</v>
      </c>
      <c r="G112" s="67" t="str">
        <f t="shared" si="18"/>
        <v>-</v>
      </c>
    </row>
    <row r="113" spans="2:7">
      <c r="C113" s="32"/>
      <c r="D113" s="32"/>
      <c r="E113" s="32"/>
      <c r="F113" s="32"/>
      <c r="G113" s="32"/>
    </row>
    <row r="114" spans="2:7">
      <c r="B114" s="383" t="s">
        <v>59</v>
      </c>
      <c r="C114" s="384"/>
      <c r="D114" s="384"/>
      <c r="E114" s="384"/>
      <c r="F114" s="384"/>
      <c r="G114" s="385"/>
    </row>
    <row r="115" spans="2:7" ht="36">
      <c r="B115" s="110" t="s">
        <v>55</v>
      </c>
      <c r="C115" s="113" t="s">
        <v>56</v>
      </c>
      <c r="D115" s="114" t="s">
        <v>41</v>
      </c>
      <c r="E115" s="114" t="s">
        <v>42</v>
      </c>
      <c r="F115" s="114" t="s">
        <v>44</v>
      </c>
      <c r="G115" s="114" t="s">
        <v>57</v>
      </c>
    </row>
    <row r="116" spans="2:7" ht="19.5" customHeight="1">
      <c r="B116" s="60" t="s">
        <v>58</v>
      </c>
      <c r="C116" s="72">
        <f t="shared" ref="C116:C117" si="28">D116+E116</f>
        <v>0</v>
      </c>
      <c r="D116" s="22">
        <f>COUNTIFS(ÁGUA!N:N,'DADOS - FREGUESIA DO Ó'!B116,ÁGUA!AF:AF,"c")</f>
        <v>0</v>
      </c>
      <c r="E116" s="72">
        <f>COUNTIFS(ÁGUA!N:N,'DADOS - FREGUESIA DO Ó'!B116,ÁGUA!AF:AF,"NC")</f>
        <v>0</v>
      </c>
      <c r="F116" s="73" t="str">
        <f>IFERROR(D116/C116,"-")</f>
        <v>-</v>
      </c>
      <c r="G116" s="74" t="str">
        <f>IFERROR(100%-F116,"-")</f>
        <v>-</v>
      </c>
    </row>
    <row r="117" spans="2:7" ht="19.5" customHeight="1">
      <c r="B117" s="60" t="s">
        <v>58</v>
      </c>
      <c r="C117" s="72">
        <f t="shared" si="28"/>
        <v>0</v>
      </c>
      <c r="D117" s="22">
        <f>COUNTIFS(ÁGUA!N:N,'DADOS - FREGUESIA DO Ó'!B117,ÁGUA!AF:AF,"c")</f>
        <v>0</v>
      </c>
      <c r="E117" s="72">
        <f>COUNTIFS(ÁGUA!N:N,'DADOS - FREGUESIA DO Ó'!B117,ÁGUA!AF:AF,"NC")</f>
        <v>0</v>
      </c>
      <c r="F117" s="73" t="str">
        <f t="shared" ref="F117" si="29">IFERROR(D117/C117,"-")</f>
        <v>-</v>
      </c>
      <c r="G117" s="74" t="str">
        <f t="shared" ref="G117" si="30">IFERROR(100%-F117,"-")</f>
        <v>-</v>
      </c>
    </row>
    <row r="118" spans="2:7" ht="19.5" customHeight="1">
      <c r="B118" s="60" t="s">
        <v>58</v>
      </c>
      <c r="C118" s="72">
        <f t="shared" ref="C118:C153" si="31">D118+E118</f>
        <v>0</v>
      </c>
      <c r="D118" s="22">
        <f>COUNTIFS(ÁGUA!N:N,'DADOS - FREGUESIA DO Ó'!B118,ÁGUA!AF:AF,"c")</f>
        <v>0</v>
      </c>
      <c r="E118" s="72">
        <f>COUNTIFS(ÁGUA!N:N,'DADOS - FREGUESIA DO Ó'!B118,ÁGUA!AF:AF,"NC")</f>
        <v>0</v>
      </c>
      <c r="F118" s="73" t="str">
        <f t="shared" ref="F118:F153" si="32">IFERROR(D118/C118,"-")</f>
        <v>-</v>
      </c>
      <c r="G118" s="74" t="str">
        <f t="shared" ref="G118:G153" si="33">IFERROR(100%-F118,"-")</f>
        <v>-</v>
      </c>
    </row>
    <row r="119" spans="2:7" ht="19.5" customHeight="1">
      <c r="B119" s="60" t="s">
        <v>58</v>
      </c>
      <c r="C119" s="72">
        <f t="shared" ref="C119:C149" si="34">D119+E119</f>
        <v>0</v>
      </c>
      <c r="D119" s="22">
        <f>COUNTIFS(ÁGUA!N:N,'DADOS - FREGUESIA DO Ó'!B119,ÁGUA!AF:AF,"c")</f>
        <v>0</v>
      </c>
      <c r="E119" s="72">
        <f>COUNTIFS(ÁGUA!N:N,'DADOS - FREGUESIA DO Ó'!B119,ÁGUA!AF:AF,"NC")</f>
        <v>0</v>
      </c>
      <c r="F119" s="73" t="str">
        <f t="shared" ref="F119:F149" si="35">IFERROR(D119/C119,"-")</f>
        <v>-</v>
      </c>
      <c r="G119" s="74" t="str">
        <f t="shared" ref="G119:G149" si="36">IFERROR(100%-F119,"-")</f>
        <v>-</v>
      </c>
    </row>
    <row r="120" spans="2:7" ht="19.5" customHeight="1">
      <c r="B120" s="60" t="s">
        <v>58</v>
      </c>
      <c r="C120" s="72">
        <f t="shared" si="34"/>
        <v>0</v>
      </c>
      <c r="D120" s="22">
        <f>COUNTIFS(ÁGUA!N:N,'DADOS - FREGUESIA DO Ó'!B120,ÁGUA!AF:AF,"c")</f>
        <v>0</v>
      </c>
      <c r="E120" s="72">
        <f>COUNTIFS(ÁGUA!N:N,'DADOS - FREGUESIA DO Ó'!B120,ÁGUA!AF:AF,"NC")</f>
        <v>0</v>
      </c>
      <c r="F120" s="73" t="str">
        <f t="shared" si="35"/>
        <v>-</v>
      </c>
      <c r="G120" s="74" t="str">
        <f t="shared" si="36"/>
        <v>-</v>
      </c>
    </row>
    <row r="121" spans="2:7" ht="19.5" customHeight="1">
      <c r="B121" s="60" t="s">
        <v>58</v>
      </c>
      <c r="C121" s="72">
        <f t="shared" si="34"/>
        <v>0</v>
      </c>
      <c r="D121" s="22">
        <f>COUNTIFS(ÁGUA!N:N,'DADOS - FREGUESIA DO Ó'!B121,ÁGUA!AF:AF,"c")</f>
        <v>0</v>
      </c>
      <c r="E121" s="72">
        <f>COUNTIFS(ÁGUA!N:N,'DADOS - FREGUESIA DO Ó'!B121,ÁGUA!AF:AF,"NC")</f>
        <v>0</v>
      </c>
      <c r="F121" s="73" t="str">
        <f t="shared" si="35"/>
        <v>-</v>
      </c>
      <c r="G121" s="74" t="str">
        <f t="shared" si="36"/>
        <v>-</v>
      </c>
    </row>
    <row r="122" spans="2:7" ht="19.5" customHeight="1">
      <c r="B122" s="60" t="s">
        <v>58</v>
      </c>
      <c r="C122" s="72">
        <f t="shared" si="34"/>
        <v>0</v>
      </c>
      <c r="D122" s="22">
        <f>COUNTIFS(ÁGUA!N:N,'DADOS - FREGUESIA DO Ó'!B122,ÁGUA!AF:AF,"c")</f>
        <v>0</v>
      </c>
      <c r="E122" s="72">
        <f>COUNTIFS(ÁGUA!N:N,'DADOS - FREGUESIA DO Ó'!B122,ÁGUA!AF:AF,"NC")</f>
        <v>0</v>
      </c>
      <c r="F122" s="73" t="str">
        <f t="shared" si="35"/>
        <v>-</v>
      </c>
      <c r="G122" s="74" t="str">
        <f t="shared" si="36"/>
        <v>-</v>
      </c>
    </row>
    <row r="123" spans="2:7" ht="19.5" customHeight="1">
      <c r="B123" s="60" t="s">
        <v>58</v>
      </c>
      <c r="C123" s="72">
        <f t="shared" si="34"/>
        <v>0</v>
      </c>
      <c r="D123" s="22">
        <f>COUNTIFS(ÁGUA!N:N,'DADOS - FREGUESIA DO Ó'!B123,ÁGUA!AF:AF,"c")</f>
        <v>0</v>
      </c>
      <c r="E123" s="72">
        <f>COUNTIFS(ÁGUA!N:N,'DADOS - FREGUESIA DO Ó'!B123,ÁGUA!AF:AF,"NC")</f>
        <v>0</v>
      </c>
      <c r="F123" s="73" t="str">
        <f t="shared" si="35"/>
        <v>-</v>
      </c>
      <c r="G123" s="74" t="str">
        <f t="shared" si="36"/>
        <v>-</v>
      </c>
    </row>
    <row r="124" spans="2:7" ht="19.5" customHeight="1">
      <c r="B124" s="60" t="s">
        <v>58</v>
      </c>
      <c r="C124" s="72">
        <f t="shared" si="34"/>
        <v>0</v>
      </c>
      <c r="D124" s="22">
        <f>COUNTIFS(ÁGUA!N:N,'DADOS - FREGUESIA DO Ó'!B124,ÁGUA!AF:AF,"c")</f>
        <v>0</v>
      </c>
      <c r="E124" s="72">
        <f>COUNTIFS(ÁGUA!N:N,'DADOS - FREGUESIA DO Ó'!B124,ÁGUA!AF:AF,"NC")</f>
        <v>0</v>
      </c>
      <c r="F124" s="73" t="str">
        <f t="shared" si="35"/>
        <v>-</v>
      </c>
      <c r="G124" s="74" t="str">
        <f t="shared" si="36"/>
        <v>-</v>
      </c>
    </row>
    <row r="125" spans="2:7" ht="19.5" customHeight="1">
      <c r="B125" s="60" t="s">
        <v>58</v>
      </c>
      <c r="C125" s="72">
        <f t="shared" si="34"/>
        <v>0</v>
      </c>
      <c r="D125" s="22">
        <f>COUNTIFS(ÁGUA!N:N,'DADOS - FREGUESIA DO Ó'!B125,ÁGUA!AF:AF,"c")</f>
        <v>0</v>
      </c>
      <c r="E125" s="72">
        <f>COUNTIFS(ÁGUA!N:N,'DADOS - FREGUESIA DO Ó'!B125,ÁGUA!AF:AF,"NC")</f>
        <v>0</v>
      </c>
      <c r="F125" s="73" t="str">
        <f t="shared" si="35"/>
        <v>-</v>
      </c>
      <c r="G125" s="74" t="str">
        <f t="shared" si="36"/>
        <v>-</v>
      </c>
    </row>
    <row r="126" spans="2:7" ht="19.5" customHeight="1">
      <c r="B126" s="60" t="s">
        <v>58</v>
      </c>
      <c r="C126" s="72">
        <f t="shared" si="34"/>
        <v>0</v>
      </c>
      <c r="D126" s="22">
        <f>COUNTIFS(ÁGUA!N:N,'DADOS - FREGUESIA DO Ó'!B126,ÁGUA!AF:AF,"c")</f>
        <v>0</v>
      </c>
      <c r="E126" s="72">
        <f>COUNTIFS(ÁGUA!N:N,'DADOS - FREGUESIA DO Ó'!B126,ÁGUA!AF:AF,"NC")</f>
        <v>0</v>
      </c>
      <c r="F126" s="73" t="str">
        <f t="shared" si="35"/>
        <v>-</v>
      </c>
      <c r="G126" s="74" t="str">
        <f t="shared" si="36"/>
        <v>-</v>
      </c>
    </row>
    <row r="127" spans="2:7" ht="19.5" customHeight="1">
      <c r="B127" s="60" t="s">
        <v>58</v>
      </c>
      <c r="C127" s="72">
        <f t="shared" si="34"/>
        <v>0</v>
      </c>
      <c r="D127" s="22">
        <f>COUNTIFS(ÁGUA!N:N,'DADOS - FREGUESIA DO Ó'!B127,ÁGUA!AF:AF,"c")</f>
        <v>0</v>
      </c>
      <c r="E127" s="72">
        <f>COUNTIFS(ÁGUA!N:N,'DADOS - FREGUESIA DO Ó'!B127,ÁGUA!AF:AF,"NC")</f>
        <v>0</v>
      </c>
      <c r="F127" s="73" t="str">
        <f t="shared" si="35"/>
        <v>-</v>
      </c>
      <c r="G127" s="74" t="str">
        <f t="shared" si="36"/>
        <v>-</v>
      </c>
    </row>
    <row r="128" spans="2:7" ht="19.5" customHeight="1">
      <c r="B128" s="60" t="s">
        <v>58</v>
      </c>
      <c r="C128" s="72">
        <f t="shared" si="34"/>
        <v>0</v>
      </c>
      <c r="D128" s="22">
        <f>COUNTIFS(ÁGUA!N:N,'DADOS - FREGUESIA DO Ó'!B128,ÁGUA!AF:AF,"c")</f>
        <v>0</v>
      </c>
      <c r="E128" s="72">
        <f>COUNTIFS(ÁGUA!N:N,'DADOS - FREGUESIA DO Ó'!B128,ÁGUA!AF:AF,"NC")</f>
        <v>0</v>
      </c>
      <c r="F128" s="73" t="str">
        <f t="shared" si="35"/>
        <v>-</v>
      </c>
      <c r="G128" s="74" t="str">
        <f t="shared" si="36"/>
        <v>-</v>
      </c>
    </row>
    <row r="129" spans="2:7" ht="19.5" customHeight="1">
      <c r="B129" s="60" t="s">
        <v>58</v>
      </c>
      <c r="C129" s="72">
        <f t="shared" si="34"/>
        <v>0</v>
      </c>
      <c r="D129" s="22">
        <f>COUNTIFS(ÁGUA!N:N,'DADOS - FREGUESIA DO Ó'!B129,ÁGUA!AF:AF,"c")</f>
        <v>0</v>
      </c>
      <c r="E129" s="72">
        <f>COUNTIFS(ÁGUA!N:N,'DADOS - FREGUESIA DO Ó'!B129,ÁGUA!AF:AF,"NC")</f>
        <v>0</v>
      </c>
      <c r="F129" s="73" t="str">
        <f t="shared" si="35"/>
        <v>-</v>
      </c>
      <c r="G129" s="74" t="str">
        <f t="shared" si="36"/>
        <v>-</v>
      </c>
    </row>
    <row r="130" spans="2:7" ht="19.5" customHeight="1">
      <c r="B130" s="60" t="s">
        <v>58</v>
      </c>
      <c r="C130" s="72">
        <f t="shared" si="34"/>
        <v>0</v>
      </c>
      <c r="D130" s="22">
        <f>COUNTIFS(ÁGUA!N:N,'DADOS - FREGUESIA DO Ó'!B130,ÁGUA!AF:AF,"c")</f>
        <v>0</v>
      </c>
      <c r="E130" s="72">
        <f>COUNTIFS(ÁGUA!N:N,'DADOS - FREGUESIA DO Ó'!B130,ÁGUA!AF:AF,"NC")</f>
        <v>0</v>
      </c>
      <c r="F130" s="73" t="str">
        <f t="shared" si="35"/>
        <v>-</v>
      </c>
      <c r="G130" s="74" t="str">
        <f t="shared" si="36"/>
        <v>-</v>
      </c>
    </row>
    <row r="131" spans="2:7" ht="19.5" customHeight="1">
      <c r="B131" s="60" t="s">
        <v>58</v>
      </c>
      <c r="C131" s="72">
        <f t="shared" si="34"/>
        <v>0</v>
      </c>
      <c r="D131" s="22">
        <f>COUNTIFS(ÁGUA!N:N,'DADOS - FREGUESIA DO Ó'!B131,ÁGUA!AF:AF,"c")</f>
        <v>0</v>
      </c>
      <c r="E131" s="72">
        <f>COUNTIFS(ÁGUA!N:N,'DADOS - FREGUESIA DO Ó'!B131,ÁGUA!AF:AF,"NC")</f>
        <v>0</v>
      </c>
      <c r="F131" s="73" t="str">
        <f t="shared" si="35"/>
        <v>-</v>
      </c>
      <c r="G131" s="74" t="str">
        <f t="shared" si="36"/>
        <v>-</v>
      </c>
    </row>
    <row r="132" spans="2:7" ht="19.5" customHeight="1">
      <c r="B132" s="60" t="s">
        <v>58</v>
      </c>
      <c r="C132" s="72">
        <f t="shared" si="34"/>
        <v>0</v>
      </c>
      <c r="D132" s="22">
        <f>COUNTIFS(ÁGUA!N:N,'DADOS - FREGUESIA DO Ó'!B132,ÁGUA!AF:AF,"c")</f>
        <v>0</v>
      </c>
      <c r="E132" s="72">
        <f>COUNTIFS(ÁGUA!N:N,'DADOS - FREGUESIA DO Ó'!B132,ÁGUA!AF:AF,"NC")</f>
        <v>0</v>
      </c>
      <c r="F132" s="73" t="str">
        <f t="shared" si="35"/>
        <v>-</v>
      </c>
      <c r="G132" s="74" t="str">
        <f t="shared" si="36"/>
        <v>-</v>
      </c>
    </row>
    <row r="133" spans="2:7" ht="19.5" customHeight="1">
      <c r="B133" s="60" t="s">
        <v>58</v>
      </c>
      <c r="C133" s="72">
        <f t="shared" si="34"/>
        <v>0</v>
      </c>
      <c r="D133" s="22">
        <f>COUNTIFS(ÁGUA!N:N,'DADOS - FREGUESIA DO Ó'!B133,ÁGUA!AF:AF,"c")</f>
        <v>0</v>
      </c>
      <c r="E133" s="72">
        <f>COUNTIFS(ÁGUA!N:N,'DADOS - FREGUESIA DO Ó'!B133,ÁGUA!AF:AF,"NC")</f>
        <v>0</v>
      </c>
      <c r="F133" s="73" t="str">
        <f t="shared" si="35"/>
        <v>-</v>
      </c>
      <c r="G133" s="74" t="str">
        <f t="shared" si="36"/>
        <v>-</v>
      </c>
    </row>
    <row r="134" spans="2:7" ht="19.5" customHeight="1">
      <c r="B134" s="60" t="s">
        <v>58</v>
      </c>
      <c r="C134" s="72">
        <f t="shared" si="34"/>
        <v>0</v>
      </c>
      <c r="D134" s="22">
        <f>COUNTIFS(ÁGUA!N:N,'DADOS - FREGUESIA DO Ó'!B134,ÁGUA!AF:AF,"c")</f>
        <v>0</v>
      </c>
      <c r="E134" s="72">
        <f>COUNTIFS(ÁGUA!N:N,'DADOS - FREGUESIA DO Ó'!B134,ÁGUA!AF:AF,"NC")</f>
        <v>0</v>
      </c>
      <c r="F134" s="73" t="str">
        <f t="shared" si="35"/>
        <v>-</v>
      </c>
      <c r="G134" s="74" t="str">
        <f t="shared" si="36"/>
        <v>-</v>
      </c>
    </row>
    <row r="135" spans="2:7" ht="19.5" customHeight="1">
      <c r="B135" s="60" t="s">
        <v>58</v>
      </c>
      <c r="C135" s="72">
        <f t="shared" si="34"/>
        <v>0</v>
      </c>
      <c r="D135" s="22">
        <f>COUNTIFS(ÁGUA!N:N,'DADOS - FREGUESIA DO Ó'!B135,ÁGUA!AF:AF,"c")</f>
        <v>0</v>
      </c>
      <c r="E135" s="72">
        <f>COUNTIFS(ÁGUA!N:N,'DADOS - FREGUESIA DO Ó'!B135,ÁGUA!AF:AF,"NC")</f>
        <v>0</v>
      </c>
      <c r="F135" s="73" t="str">
        <f t="shared" si="35"/>
        <v>-</v>
      </c>
      <c r="G135" s="74" t="str">
        <f t="shared" si="36"/>
        <v>-</v>
      </c>
    </row>
    <row r="136" spans="2:7" ht="19.5" customHeight="1">
      <c r="B136" s="60" t="s">
        <v>58</v>
      </c>
      <c r="C136" s="72">
        <f t="shared" si="34"/>
        <v>0</v>
      </c>
      <c r="D136" s="22">
        <f>COUNTIFS(ÁGUA!N:N,'DADOS - FREGUESIA DO Ó'!B136,ÁGUA!AF:AF,"c")</f>
        <v>0</v>
      </c>
      <c r="E136" s="72">
        <f>COUNTIFS(ÁGUA!N:N,'DADOS - FREGUESIA DO Ó'!B136,ÁGUA!AF:AF,"NC")</f>
        <v>0</v>
      </c>
      <c r="F136" s="73" t="str">
        <f t="shared" si="35"/>
        <v>-</v>
      </c>
      <c r="G136" s="74" t="str">
        <f t="shared" si="36"/>
        <v>-</v>
      </c>
    </row>
    <row r="137" spans="2:7" ht="19.5" customHeight="1">
      <c r="B137" s="60" t="s">
        <v>58</v>
      </c>
      <c r="C137" s="72">
        <f t="shared" si="34"/>
        <v>0</v>
      </c>
      <c r="D137" s="22">
        <f>COUNTIFS(ÁGUA!N:N,'DADOS - FREGUESIA DO Ó'!B137,ÁGUA!AF:AF,"c")</f>
        <v>0</v>
      </c>
      <c r="E137" s="72">
        <f>COUNTIFS(ÁGUA!N:N,'DADOS - FREGUESIA DO Ó'!B137,ÁGUA!AF:AF,"NC")</f>
        <v>0</v>
      </c>
      <c r="F137" s="73" t="str">
        <f t="shared" si="35"/>
        <v>-</v>
      </c>
      <c r="G137" s="74" t="str">
        <f t="shared" si="36"/>
        <v>-</v>
      </c>
    </row>
    <row r="138" spans="2:7" ht="19.5" customHeight="1">
      <c r="B138" s="60" t="s">
        <v>58</v>
      </c>
      <c r="C138" s="72">
        <f t="shared" si="34"/>
        <v>0</v>
      </c>
      <c r="D138" s="22">
        <f>COUNTIFS(ÁGUA!N:N,'DADOS - FREGUESIA DO Ó'!B138,ÁGUA!AF:AF,"c")</f>
        <v>0</v>
      </c>
      <c r="E138" s="72">
        <f>COUNTIFS(ÁGUA!N:N,'DADOS - FREGUESIA DO Ó'!B138,ÁGUA!AF:AF,"NC")</f>
        <v>0</v>
      </c>
      <c r="F138" s="73" t="str">
        <f t="shared" si="35"/>
        <v>-</v>
      </c>
      <c r="G138" s="74" t="str">
        <f t="shared" si="36"/>
        <v>-</v>
      </c>
    </row>
    <row r="139" spans="2:7" ht="19.5" customHeight="1">
      <c r="B139" s="60" t="s">
        <v>58</v>
      </c>
      <c r="C139" s="72">
        <f t="shared" si="34"/>
        <v>0</v>
      </c>
      <c r="D139" s="22">
        <f>COUNTIFS(ÁGUA!N:N,'DADOS - FREGUESIA DO Ó'!B139,ÁGUA!AF:AF,"c")</f>
        <v>0</v>
      </c>
      <c r="E139" s="72">
        <f>COUNTIFS(ÁGUA!N:N,'DADOS - FREGUESIA DO Ó'!B139,ÁGUA!AF:AF,"NC")</f>
        <v>0</v>
      </c>
      <c r="F139" s="73" t="str">
        <f t="shared" si="35"/>
        <v>-</v>
      </c>
      <c r="G139" s="74" t="str">
        <f t="shared" si="36"/>
        <v>-</v>
      </c>
    </row>
    <row r="140" spans="2:7" ht="19.5" customHeight="1">
      <c r="B140" s="60" t="s">
        <v>58</v>
      </c>
      <c r="C140" s="72">
        <f t="shared" si="34"/>
        <v>0</v>
      </c>
      <c r="D140" s="22">
        <f>COUNTIFS(ÁGUA!N:N,'DADOS - FREGUESIA DO Ó'!B140,ÁGUA!AF:AF,"c")</f>
        <v>0</v>
      </c>
      <c r="E140" s="72">
        <f>COUNTIFS(ÁGUA!N:N,'DADOS - FREGUESIA DO Ó'!B140,ÁGUA!AF:AF,"NC")</f>
        <v>0</v>
      </c>
      <c r="F140" s="73" t="str">
        <f t="shared" si="35"/>
        <v>-</v>
      </c>
      <c r="G140" s="74" t="str">
        <f t="shared" si="36"/>
        <v>-</v>
      </c>
    </row>
    <row r="141" spans="2:7" ht="19.5" customHeight="1">
      <c r="B141" s="60" t="s">
        <v>58</v>
      </c>
      <c r="C141" s="72">
        <f t="shared" si="34"/>
        <v>0</v>
      </c>
      <c r="D141" s="22">
        <f>COUNTIFS(ÁGUA!N:N,'DADOS - FREGUESIA DO Ó'!B141,ÁGUA!AF:AF,"c")</f>
        <v>0</v>
      </c>
      <c r="E141" s="72">
        <f>COUNTIFS(ÁGUA!N:N,'DADOS - FREGUESIA DO Ó'!B141,ÁGUA!AF:AF,"NC")</f>
        <v>0</v>
      </c>
      <c r="F141" s="73" t="str">
        <f t="shared" si="35"/>
        <v>-</v>
      </c>
      <c r="G141" s="74" t="str">
        <f t="shared" si="36"/>
        <v>-</v>
      </c>
    </row>
    <row r="142" spans="2:7" ht="19.5" customHeight="1">
      <c r="B142" s="60" t="s">
        <v>58</v>
      </c>
      <c r="C142" s="72">
        <f t="shared" si="34"/>
        <v>0</v>
      </c>
      <c r="D142" s="22">
        <f>COUNTIFS(ÁGUA!N:N,'DADOS - FREGUESIA DO Ó'!B142,ÁGUA!AF:AF,"c")</f>
        <v>0</v>
      </c>
      <c r="E142" s="72">
        <f>COUNTIFS(ÁGUA!N:N,'DADOS - FREGUESIA DO Ó'!B142,ÁGUA!AF:AF,"NC")</f>
        <v>0</v>
      </c>
      <c r="F142" s="73" t="str">
        <f t="shared" si="35"/>
        <v>-</v>
      </c>
      <c r="G142" s="74" t="str">
        <f t="shared" si="36"/>
        <v>-</v>
      </c>
    </row>
    <row r="143" spans="2:7" ht="19.5" customHeight="1">
      <c r="B143" s="60" t="s">
        <v>58</v>
      </c>
      <c r="C143" s="72">
        <f t="shared" si="34"/>
        <v>0</v>
      </c>
      <c r="D143" s="22">
        <f>COUNTIFS(ÁGUA!N:N,'DADOS - FREGUESIA DO Ó'!B143,ÁGUA!AF:AF,"c")</f>
        <v>0</v>
      </c>
      <c r="E143" s="72">
        <f>COUNTIFS(ÁGUA!N:N,'DADOS - FREGUESIA DO Ó'!B143,ÁGUA!AF:AF,"NC")</f>
        <v>0</v>
      </c>
      <c r="F143" s="73" t="str">
        <f t="shared" si="35"/>
        <v>-</v>
      </c>
      <c r="G143" s="74" t="str">
        <f t="shared" si="36"/>
        <v>-</v>
      </c>
    </row>
    <row r="144" spans="2:7" ht="19.5" customHeight="1">
      <c r="B144" s="60" t="s">
        <v>58</v>
      </c>
      <c r="C144" s="72">
        <f t="shared" si="34"/>
        <v>0</v>
      </c>
      <c r="D144" s="22">
        <f>COUNTIFS(ÁGUA!N:N,'DADOS - FREGUESIA DO Ó'!B144,ÁGUA!AF:AF,"c")</f>
        <v>0</v>
      </c>
      <c r="E144" s="72">
        <f>COUNTIFS(ÁGUA!N:N,'DADOS - FREGUESIA DO Ó'!B144,ÁGUA!AF:AF,"NC")</f>
        <v>0</v>
      </c>
      <c r="F144" s="73" t="str">
        <f t="shared" si="35"/>
        <v>-</v>
      </c>
      <c r="G144" s="74" t="str">
        <f t="shared" si="36"/>
        <v>-</v>
      </c>
    </row>
    <row r="145" spans="2:11" ht="19.5" customHeight="1">
      <c r="B145" s="60" t="s">
        <v>58</v>
      </c>
      <c r="C145" s="72">
        <f t="shared" si="34"/>
        <v>0</v>
      </c>
      <c r="D145" s="22">
        <f>COUNTIFS(ÁGUA!N:N,'DADOS - FREGUESIA DO Ó'!B145,ÁGUA!AF:AF,"c")</f>
        <v>0</v>
      </c>
      <c r="E145" s="72">
        <f>COUNTIFS(ÁGUA!N:N,'DADOS - FREGUESIA DO Ó'!B145,ÁGUA!AF:AF,"NC")</f>
        <v>0</v>
      </c>
      <c r="F145" s="73" t="str">
        <f t="shared" si="35"/>
        <v>-</v>
      </c>
      <c r="G145" s="74" t="str">
        <f t="shared" si="36"/>
        <v>-</v>
      </c>
    </row>
    <row r="146" spans="2:11" ht="19.5" customHeight="1">
      <c r="B146" s="60" t="s">
        <v>58</v>
      </c>
      <c r="C146" s="72">
        <f t="shared" si="34"/>
        <v>0</v>
      </c>
      <c r="D146" s="22">
        <f>COUNTIFS(ÁGUA!N:N,'DADOS - FREGUESIA DO Ó'!B146,ÁGUA!AF:AF,"c")</f>
        <v>0</v>
      </c>
      <c r="E146" s="72">
        <f>COUNTIFS(ÁGUA!N:N,'DADOS - FREGUESIA DO Ó'!B146,ÁGUA!AF:AF,"NC")</f>
        <v>0</v>
      </c>
      <c r="F146" s="73" t="str">
        <f t="shared" si="35"/>
        <v>-</v>
      </c>
      <c r="G146" s="74" t="str">
        <f t="shared" si="36"/>
        <v>-</v>
      </c>
    </row>
    <row r="147" spans="2:11" ht="19.5" customHeight="1">
      <c r="B147" s="60" t="s">
        <v>58</v>
      </c>
      <c r="C147" s="72">
        <f t="shared" si="34"/>
        <v>0</v>
      </c>
      <c r="D147" s="22">
        <f>COUNTIFS(ÁGUA!N:N,'DADOS - FREGUESIA DO Ó'!B147,ÁGUA!AF:AF,"c")</f>
        <v>0</v>
      </c>
      <c r="E147" s="72">
        <f>COUNTIFS(ÁGUA!N:N,'DADOS - FREGUESIA DO Ó'!B147,ÁGUA!AF:AF,"NC")</f>
        <v>0</v>
      </c>
      <c r="F147" s="73" t="str">
        <f t="shared" si="35"/>
        <v>-</v>
      </c>
      <c r="G147" s="74" t="str">
        <f t="shared" si="36"/>
        <v>-</v>
      </c>
    </row>
    <row r="148" spans="2:11" ht="19.5" customHeight="1">
      <c r="B148" s="60" t="s">
        <v>58</v>
      </c>
      <c r="C148" s="72">
        <f t="shared" si="34"/>
        <v>0</v>
      </c>
      <c r="D148" s="22">
        <f>COUNTIFS(ÁGUA!N:N,'DADOS - FREGUESIA DO Ó'!B148,ÁGUA!AF:AF,"c")</f>
        <v>0</v>
      </c>
      <c r="E148" s="72">
        <f>COUNTIFS(ÁGUA!N:N,'DADOS - FREGUESIA DO Ó'!B148,ÁGUA!AF:AF,"NC")</f>
        <v>0</v>
      </c>
      <c r="F148" s="73" t="str">
        <f t="shared" si="35"/>
        <v>-</v>
      </c>
      <c r="G148" s="74" t="str">
        <f t="shared" si="36"/>
        <v>-</v>
      </c>
    </row>
    <row r="149" spans="2:11" ht="16.5" customHeight="1">
      <c r="B149" s="60" t="s">
        <v>58</v>
      </c>
      <c r="C149" s="72">
        <f t="shared" si="34"/>
        <v>0</v>
      </c>
      <c r="D149" s="22">
        <f>COUNTIFS(ÁGUA!N:N,'DADOS - FREGUESIA DO Ó'!B149,ÁGUA!AF:AF,"c")</f>
        <v>0</v>
      </c>
      <c r="E149" s="72">
        <f>COUNTIFS(ÁGUA!N:N,'DADOS - FREGUESIA DO Ó'!B149,ÁGUA!AF:AF,"NC")</f>
        <v>0</v>
      </c>
      <c r="F149" s="73" t="str">
        <f t="shared" si="35"/>
        <v>-</v>
      </c>
      <c r="G149" s="74" t="str">
        <f t="shared" si="36"/>
        <v>-</v>
      </c>
    </row>
    <row r="150" spans="2:11" ht="19.5" customHeight="1">
      <c r="B150" s="60" t="s">
        <v>58</v>
      </c>
      <c r="C150" s="72">
        <f t="shared" si="31"/>
        <v>0</v>
      </c>
      <c r="D150" s="22">
        <f>COUNTIFS(ÁGUA!N:N,'DADOS - FREGUESIA DO Ó'!B150,ÁGUA!AF:AF,"c")</f>
        <v>0</v>
      </c>
      <c r="E150" s="72">
        <f>COUNTIFS(ÁGUA!N:N,'DADOS - FREGUESIA DO Ó'!B150,ÁGUA!AF:AF,"NC")</f>
        <v>0</v>
      </c>
      <c r="F150" s="73" t="str">
        <f t="shared" si="32"/>
        <v>-</v>
      </c>
      <c r="G150" s="74" t="str">
        <f t="shared" si="33"/>
        <v>-</v>
      </c>
    </row>
    <row r="151" spans="2:11" ht="19.5" customHeight="1">
      <c r="B151" s="60" t="s">
        <v>58</v>
      </c>
      <c r="C151" s="72">
        <f t="shared" si="31"/>
        <v>0</v>
      </c>
      <c r="D151" s="22">
        <f>COUNTIFS(ÁGUA!N:N,'DADOS - FREGUESIA DO Ó'!B151,ÁGUA!AF:AF,"c")</f>
        <v>0</v>
      </c>
      <c r="E151" s="72">
        <f>COUNTIFS(ÁGUA!N:N,'DADOS - FREGUESIA DO Ó'!B151,ÁGUA!AF:AF,"NC")</f>
        <v>0</v>
      </c>
      <c r="F151" s="73" t="str">
        <f t="shared" si="32"/>
        <v>-</v>
      </c>
      <c r="G151" s="74" t="str">
        <f t="shared" si="33"/>
        <v>-</v>
      </c>
    </row>
    <row r="152" spans="2:11" ht="16.5" customHeight="1">
      <c r="B152" s="60" t="s">
        <v>58</v>
      </c>
      <c r="C152" s="72">
        <f t="shared" ref="C152" si="37">D152+E152</f>
        <v>0</v>
      </c>
      <c r="D152" s="22">
        <f>COUNTIFS(ÁGUA!N:N,'DADOS - FREGUESIA DO Ó'!B152,ÁGUA!AF:AF,"c")</f>
        <v>0</v>
      </c>
      <c r="E152" s="72">
        <f>COUNTIFS(ÁGUA!N:N,'DADOS - FREGUESIA DO Ó'!B152,ÁGUA!AF:AF,"NC")</f>
        <v>0</v>
      </c>
      <c r="F152" s="73" t="str">
        <f t="shared" ref="F152" si="38">IFERROR(D152/C152,"-")</f>
        <v>-</v>
      </c>
      <c r="G152" s="74" t="str">
        <f t="shared" ref="G152" si="39">IFERROR(100%-F152,"-")</f>
        <v>-</v>
      </c>
    </row>
    <row r="153" spans="2:11" ht="19.5" customHeight="1">
      <c r="B153" s="60" t="s">
        <v>58</v>
      </c>
      <c r="C153" s="72">
        <f t="shared" si="31"/>
        <v>0</v>
      </c>
      <c r="D153" s="22">
        <f>COUNTIFS(ÁGUA!N:N,'DADOS - FREGUESIA DO Ó'!B153,ÁGUA!AF:AF,"c")</f>
        <v>0</v>
      </c>
      <c r="E153" s="72">
        <f>COUNTIFS(ÁGUA!N:N,'DADOS - FREGUESIA DO Ó'!B153,ÁGUA!AF:AF,"NC")</f>
        <v>0</v>
      </c>
      <c r="F153" s="73" t="str">
        <f t="shared" si="32"/>
        <v>-</v>
      </c>
      <c r="G153" s="74" t="str">
        <f t="shared" si="33"/>
        <v>-</v>
      </c>
    </row>
    <row r="154" spans="2:11">
      <c r="B154" s="60" t="s">
        <v>58</v>
      </c>
      <c r="C154" s="72">
        <f t="shared" ref="C154:C155" si="40">D154+E154</f>
        <v>0</v>
      </c>
      <c r="D154" s="22">
        <f>COUNTIFS(ÁGUA!N:N,'DADOS - FREGUESIA DO Ó'!B154,ÁGUA!AF:AF,"c")</f>
        <v>0</v>
      </c>
      <c r="E154" s="72">
        <f>COUNTIFS(ÁGUA!N:N,'DADOS - FREGUESIA DO Ó'!B154,ÁGUA!AF:AF,"NC")</f>
        <v>0</v>
      </c>
      <c r="F154" s="73" t="str">
        <f t="shared" ref="F154:F155" si="41">IFERROR(D154/C154,"-")</f>
        <v>-</v>
      </c>
      <c r="G154" s="74" t="str">
        <f t="shared" ref="G154:G155" si="42">IFERROR(100%-F154,"-")</f>
        <v>-</v>
      </c>
    </row>
    <row r="155" spans="2:11">
      <c r="B155" s="60" t="s">
        <v>58</v>
      </c>
      <c r="C155" s="72">
        <f t="shared" si="40"/>
        <v>0</v>
      </c>
      <c r="D155" s="22">
        <f>COUNTIFS(ÁGUA!N:N,'DADOS - FREGUESIA DO Ó'!B155,ÁGUA!AF:AF,"c")</f>
        <v>0</v>
      </c>
      <c r="E155" s="72">
        <f>COUNTIFS(ÁGUA!N:N,'DADOS - FREGUESIA DO Ó'!B155,ÁGUA!AF:AF,"NC")</f>
        <v>0</v>
      </c>
      <c r="F155" s="73" t="str">
        <f t="shared" si="41"/>
        <v>-</v>
      </c>
      <c r="G155" s="74" t="str">
        <f t="shared" si="42"/>
        <v>-</v>
      </c>
    </row>
    <row r="156" spans="2:11" ht="16.5" customHeight="1">
      <c r="B156" s="47"/>
      <c r="C156" s="47"/>
      <c r="D156" s="47"/>
      <c r="E156" s="47"/>
      <c r="F156" s="47"/>
      <c r="G156" s="47"/>
    </row>
    <row r="157" spans="2:11">
      <c r="B157" s="388" t="s">
        <v>60</v>
      </c>
      <c r="C157" s="388"/>
      <c r="D157" s="388"/>
      <c r="E157" s="388"/>
      <c r="F157" s="388"/>
      <c r="G157" s="388"/>
      <c r="I157" s="408" t="s">
        <v>61</v>
      </c>
      <c r="J157" s="408"/>
    </row>
    <row r="158" spans="2:11" ht="16.5" customHeight="1">
      <c r="B158" s="47"/>
      <c r="C158" s="47"/>
      <c r="D158" s="47"/>
      <c r="E158" s="47"/>
      <c r="F158" s="47"/>
      <c r="G158" s="47"/>
    </row>
    <row r="159" spans="2:11">
      <c r="B159" s="391" t="s">
        <v>34</v>
      </c>
      <c r="C159" s="391"/>
      <c r="D159" s="391"/>
      <c r="E159" s="391"/>
      <c r="F159" s="391"/>
      <c r="G159" s="391"/>
    </row>
    <row r="160" spans="2:11">
      <c r="B160" s="106" t="s">
        <v>12</v>
      </c>
      <c r="C160" s="107" t="s">
        <v>35</v>
      </c>
      <c r="D160" s="107" t="s">
        <v>36</v>
      </c>
      <c r="E160" s="107" t="s">
        <v>37</v>
      </c>
      <c r="F160" s="107" t="s">
        <v>28</v>
      </c>
      <c r="G160" s="107" t="s">
        <v>29</v>
      </c>
      <c r="I160" s="201" t="s">
        <v>31</v>
      </c>
      <c r="J160" s="201" t="s">
        <v>35</v>
      </c>
      <c r="K160" s="201" t="s">
        <v>62</v>
      </c>
    </row>
    <row r="161" spans="2:11">
      <c r="B161" s="123" t="s">
        <v>16</v>
      </c>
      <c r="C161" s="64">
        <f>D161+E161</f>
        <v>236</v>
      </c>
      <c r="D161" s="64">
        <f>COUNTIF(ESGOTO!AE:AE,"NC")</f>
        <v>54</v>
      </c>
      <c r="E161" s="64">
        <f>COUNTIF(ESGOTO!AE:AE,"C")</f>
        <v>182</v>
      </c>
      <c r="F161" s="16">
        <f>IFERROR(D161/C161,"-")</f>
        <v>0.2288135593220339</v>
      </c>
      <c r="G161" s="16">
        <f>IFERROR(E161/C161,"-")</f>
        <v>0.77118644067796616</v>
      </c>
      <c r="I161" s="69">
        <f>COUNTIFS(ESGOTO!D:D, "PI, PV, TL")</f>
        <v>83</v>
      </c>
      <c r="J161" s="69">
        <f>I161-K161</f>
        <v>67</v>
      </c>
      <c r="K161" s="69">
        <f>COUNTIFS(ESGOTO!D:D, "PI, PV, TL", ESGOTO!AF:AF, "NA")</f>
        <v>16</v>
      </c>
    </row>
    <row r="162" spans="2:11">
      <c r="B162" s="11"/>
      <c r="C162" s="11"/>
      <c r="D162" s="11"/>
      <c r="E162" s="11"/>
      <c r="F162" s="17"/>
      <c r="G162" s="17"/>
    </row>
    <row r="163" spans="2:11">
      <c r="B163" s="376" t="s">
        <v>24</v>
      </c>
      <c r="C163" s="377"/>
      <c r="D163" s="377"/>
      <c r="E163" s="377"/>
      <c r="F163" s="377"/>
      <c r="G163" s="378"/>
    </row>
    <row r="164" spans="2:11">
      <c r="B164" s="106" t="s">
        <v>12</v>
      </c>
      <c r="C164" s="107" t="s">
        <v>25</v>
      </c>
      <c r="D164" s="107" t="s">
        <v>26</v>
      </c>
      <c r="E164" s="107" t="s">
        <v>27</v>
      </c>
      <c r="F164" s="107" t="s">
        <v>28</v>
      </c>
      <c r="G164" s="107" t="s">
        <v>29</v>
      </c>
    </row>
    <row r="165" spans="2:11">
      <c r="B165" s="123" t="s">
        <v>16</v>
      </c>
      <c r="C165" s="64">
        <f>D165+E165</f>
        <v>236</v>
      </c>
      <c r="D165" s="64">
        <f>COUNTIF(ESGOTO!AF:AF,"NC")</f>
        <v>93</v>
      </c>
      <c r="E165" s="64">
        <f>COUNTIF(ESGOTO!AF:AF,"C")</f>
        <v>143</v>
      </c>
      <c r="F165" s="85">
        <f>IFERROR(D165/C165,"-")</f>
        <v>0.3940677966101695</v>
      </c>
      <c r="G165" s="52">
        <f>IFERROR(100%-F165,"-")</f>
        <v>0.60593220338983045</v>
      </c>
    </row>
    <row r="166" spans="2:11">
      <c r="B166" s="11"/>
      <c r="C166" s="11"/>
      <c r="D166" s="11"/>
      <c r="E166" s="11"/>
      <c r="F166" s="17"/>
      <c r="G166" s="17"/>
    </row>
    <row r="167" spans="2:11">
      <c r="B167" s="391" t="s">
        <v>38</v>
      </c>
      <c r="C167" s="391"/>
      <c r="D167" s="391"/>
      <c r="E167" s="391"/>
      <c r="F167" s="391"/>
      <c r="G167" s="391"/>
    </row>
    <row r="168" spans="2:11" ht="21" customHeight="1">
      <c r="B168" s="106" t="s">
        <v>12</v>
      </c>
      <c r="C168" s="107" t="s">
        <v>35</v>
      </c>
      <c r="D168" s="107" t="s">
        <v>36</v>
      </c>
      <c r="E168" s="107" t="s">
        <v>37</v>
      </c>
      <c r="F168" s="107" t="s">
        <v>28</v>
      </c>
      <c r="G168" s="107" t="s">
        <v>29</v>
      </c>
    </row>
    <row r="169" spans="2:11">
      <c r="B169" s="123" t="s">
        <v>16</v>
      </c>
      <c r="C169" s="64">
        <f>D169+E169</f>
        <v>205</v>
      </c>
      <c r="D169" s="64">
        <f>COUNTIF(ESGOTO!AH:AH,"NC")</f>
        <v>1</v>
      </c>
      <c r="E169" s="64">
        <f>COUNTIF(ESGOTO!AH:AH,"C")</f>
        <v>204</v>
      </c>
      <c r="F169" s="16">
        <f>IFERROR(D169/C169,"-")</f>
        <v>4.8780487804878049E-3</v>
      </c>
      <c r="G169" s="16">
        <f>IFERROR(E169/C169,"-")</f>
        <v>0.99512195121951219</v>
      </c>
    </row>
    <row r="170" spans="2:11">
      <c r="B170" s="11"/>
      <c r="C170" s="11"/>
      <c r="D170" s="11"/>
      <c r="E170" s="11"/>
      <c r="F170" s="11"/>
      <c r="G170" s="11"/>
    </row>
    <row r="171" spans="2:11">
      <c r="B171" s="382" t="s">
        <v>40</v>
      </c>
      <c r="C171" s="382"/>
      <c r="D171" s="382"/>
      <c r="E171" s="382"/>
      <c r="F171" s="382"/>
      <c r="G171" s="382"/>
    </row>
    <row r="172" spans="2:11">
      <c r="B172" s="115" t="s">
        <v>6</v>
      </c>
      <c r="C172" s="116" t="s">
        <v>41</v>
      </c>
      <c r="D172" s="116" t="s">
        <v>42</v>
      </c>
      <c r="E172" s="116" t="s">
        <v>43</v>
      </c>
      <c r="F172" s="116" t="s">
        <v>44</v>
      </c>
      <c r="G172" s="116" t="s">
        <v>45</v>
      </c>
    </row>
    <row r="173" spans="2:11">
      <c r="B173" s="126" t="s">
        <v>46</v>
      </c>
      <c r="C173" s="65">
        <f>COUNTIF(ESGOTO!O:O,"C")</f>
        <v>182</v>
      </c>
      <c r="D173" s="65">
        <f>COUNTIF(ESGOTO!O:O,"NC")</f>
        <v>1</v>
      </c>
      <c r="E173" s="65">
        <f>COUNTIF(ESGOTO!O:O,"SF")</f>
        <v>53</v>
      </c>
      <c r="F173" s="66">
        <f>IFERROR(C173/(C173+D173+E173),"-")</f>
        <v>0.77118644067796616</v>
      </c>
      <c r="G173" s="67">
        <f>IFERROR(100%-F173,"-")</f>
        <v>0.22881355932203384</v>
      </c>
    </row>
    <row r="174" spans="2:11">
      <c r="B174" s="126" t="s">
        <v>47</v>
      </c>
      <c r="C174" s="65">
        <f>COUNTIF(ESGOTO!Q:Q,"C")</f>
        <v>181</v>
      </c>
      <c r="D174" s="65">
        <f>COUNTIF(ESGOTO!Q:Q,"NC")</f>
        <v>1</v>
      </c>
      <c r="E174" s="65">
        <f>COUNTIF(ESGOTO!Q:Q,"SF")</f>
        <v>54</v>
      </c>
      <c r="F174" s="66">
        <f t="shared" ref="F174:F180" si="43">IFERROR(C174/(C174+D174+E174),"-")</f>
        <v>0.76694915254237284</v>
      </c>
      <c r="G174" s="67">
        <f t="shared" ref="G174:G180" si="44">IFERROR(100%-F174,"-")</f>
        <v>0.23305084745762716</v>
      </c>
    </row>
    <row r="175" spans="2:11">
      <c r="B175" s="126" t="s">
        <v>48</v>
      </c>
      <c r="C175" s="65">
        <f>COUNTIF(ESGOTO!S:S,"C")</f>
        <v>164</v>
      </c>
      <c r="D175" s="65">
        <f>COUNTIF(ESGOTO!S:S,"NC")</f>
        <v>0</v>
      </c>
      <c r="E175" s="65">
        <f>COUNTIF(ESGOTO!S:S,"SF")</f>
        <v>68</v>
      </c>
      <c r="F175" s="66">
        <f t="shared" si="43"/>
        <v>0.7068965517241379</v>
      </c>
      <c r="G175" s="67">
        <f t="shared" si="44"/>
        <v>0.2931034482758621</v>
      </c>
    </row>
    <row r="176" spans="2:11">
      <c r="B176" s="126" t="s">
        <v>49</v>
      </c>
      <c r="C176" s="65">
        <f>COUNTIF(ESGOTO!U:U,"C")</f>
        <v>130</v>
      </c>
      <c r="D176" s="65">
        <f>COUNTIF(ESGOTO!U:U,"NC")</f>
        <v>0</v>
      </c>
      <c r="E176" s="65">
        <f>COUNTIF(ESGOTO!U:U,"SF")</f>
        <v>52</v>
      </c>
      <c r="F176" s="66">
        <f>IFERROR(C176/(C176+D176+E176),"-")</f>
        <v>0.7142857142857143</v>
      </c>
      <c r="G176" s="67">
        <f t="shared" si="44"/>
        <v>0.2857142857142857</v>
      </c>
    </row>
    <row r="177" spans="2:7">
      <c r="B177" s="126" t="s">
        <v>50</v>
      </c>
      <c r="C177" s="65">
        <f>COUNTIF(ESGOTO!U:U,"C")</f>
        <v>130</v>
      </c>
      <c r="D177" s="65">
        <f>COUNTIF(ESGOTO!W:W,"NC")</f>
        <v>0</v>
      </c>
      <c r="E177" s="65">
        <f>COUNTIF(ESGOTO!W:W,"SF")</f>
        <v>54</v>
      </c>
      <c r="F177" s="66">
        <f t="shared" ref="F177:F178" si="45">IFERROR(C177/(C177+D177+E177),"-")</f>
        <v>0.70652173913043481</v>
      </c>
      <c r="G177" s="67">
        <f t="shared" ref="G177:G178" si="46">IFERROR(100%-F177,"-")</f>
        <v>0.29347826086956519</v>
      </c>
    </row>
    <row r="178" spans="2:7">
      <c r="B178" s="126" t="s">
        <v>63</v>
      </c>
      <c r="C178" s="65">
        <f>COUNTIF(ESGOTO!U:U,"C")</f>
        <v>130</v>
      </c>
      <c r="D178" s="65">
        <f>COUNTIF(ESGOTO!Y:Y,"NC")</f>
        <v>1</v>
      </c>
      <c r="E178" s="65">
        <f>COUNTIF(ESGOTO!Y:Y,"SF")</f>
        <v>53</v>
      </c>
      <c r="F178" s="66">
        <f t="shared" si="45"/>
        <v>0.70652173913043481</v>
      </c>
      <c r="G178" s="67">
        <f t="shared" si="46"/>
        <v>0.29347826086956519</v>
      </c>
    </row>
    <row r="179" spans="2:7">
      <c r="B179" s="126" t="s">
        <v>52</v>
      </c>
      <c r="C179" s="65">
        <f>COUNTIF(ESGOTO!W:W,"C")</f>
        <v>108</v>
      </c>
      <c r="D179" s="65">
        <f>COUNTIF(ESGOTO!AA:AA,"NC")</f>
        <v>0</v>
      </c>
      <c r="E179" s="65">
        <f>COUNTIF(ESGOTO!AA:AA,"SF")</f>
        <v>65</v>
      </c>
      <c r="F179" s="66">
        <f t="shared" si="43"/>
        <v>0.62427745664739887</v>
      </c>
      <c r="G179" s="67">
        <f t="shared" si="44"/>
        <v>0.37572254335260113</v>
      </c>
    </row>
    <row r="180" spans="2:7">
      <c r="B180" s="127" t="s">
        <v>53</v>
      </c>
      <c r="C180" s="68">
        <f>COUNTIF(ESGOTO!AC:AC,"C")</f>
        <v>169</v>
      </c>
      <c r="D180" s="68">
        <f>COUNTIF(ESGOTO!AC:AC,"NC")</f>
        <v>14</v>
      </c>
      <c r="E180" s="68">
        <f>COUNTIF(ESGOTO!AC:AC,"SF")</f>
        <v>53</v>
      </c>
      <c r="F180" s="66">
        <f t="shared" si="43"/>
        <v>0.71610169491525422</v>
      </c>
      <c r="G180" s="67">
        <f t="shared" si="44"/>
        <v>0.28389830508474578</v>
      </c>
    </row>
    <row r="182" spans="2:7">
      <c r="B182" s="383" t="s">
        <v>54</v>
      </c>
      <c r="C182" s="384"/>
      <c r="D182" s="384"/>
      <c r="E182" s="384"/>
      <c r="F182" s="384"/>
      <c r="G182" s="385"/>
    </row>
    <row r="183" spans="2:7" ht="36">
      <c r="B183" s="117" t="s">
        <v>55</v>
      </c>
      <c r="C183" s="112" t="s">
        <v>56</v>
      </c>
      <c r="D183" s="111" t="s">
        <v>41</v>
      </c>
      <c r="E183" s="112" t="s">
        <v>42</v>
      </c>
      <c r="F183" s="112" t="s">
        <v>44</v>
      </c>
      <c r="G183" s="112" t="s">
        <v>57</v>
      </c>
    </row>
    <row r="184" spans="2:7">
      <c r="B184" s="60" t="s">
        <v>58</v>
      </c>
      <c r="C184" s="83">
        <f t="shared" ref="C184:C185" si="47">D184+E184</f>
        <v>0</v>
      </c>
      <c r="D184" s="69">
        <f>COUNTIFS(ESGOTO!N:N,'DADOS - FREGUESIA DO Ó'!B184,ESGOTO!AE:AE,"c")</f>
        <v>0</v>
      </c>
      <c r="E184" s="69">
        <f>COUNTIFS(ESGOTO!N:N,'DADOS - FREGUESIA DO Ó'!B184,ESGOTO!AE:AE,"Nc")</f>
        <v>0</v>
      </c>
      <c r="F184" s="70" t="str">
        <f>IFERROR(D184/C184,"-")</f>
        <v>-</v>
      </c>
      <c r="G184" s="74" t="str">
        <f>IFERROR(100%-F184,"-")</f>
        <v>-</v>
      </c>
    </row>
    <row r="185" spans="2:7">
      <c r="B185" s="60" t="s">
        <v>58</v>
      </c>
      <c r="C185" s="83">
        <f t="shared" si="47"/>
        <v>0</v>
      </c>
      <c r="D185" s="69">
        <f>COUNTIFS(ESGOTO!N:N,'DADOS - FREGUESIA DO Ó'!B185,ESGOTO!AE:AE,"c")</f>
        <v>0</v>
      </c>
      <c r="E185" s="69">
        <f>COUNTIFS(ESGOTO!N:N,'DADOS - FREGUESIA DO Ó'!B185,ESGOTO!AE:AE,"Nc")</f>
        <v>0</v>
      </c>
      <c r="F185" s="70" t="str">
        <f t="shared" ref="F185" si="48">IFERROR(D185/C185,"-")</f>
        <v>-</v>
      </c>
      <c r="G185" s="74" t="str">
        <f t="shared" ref="G185" si="49">IFERROR(100%-F185,"-")</f>
        <v>-</v>
      </c>
    </row>
    <row r="186" spans="2:7">
      <c r="B186" s="60" t="s">
        <v>58</v>
      </c>
      <c r="C186" s="83">
        <f t="shared" ref="C186:C221" si="50">D186+E186</f>
        <v>0</v>
      </c>
      <c r="D186" s="69">
        <f>COUNTIFS(ESGOTO!N:N,'DADOS - FREGUESIA DO Ó'!B186,ESGOTO!AE:AE,"c")</f>
        <v>0</v>
      </c>
      <c r="E186" s="69">
        <f>COUNTIFS(ESGOTO!N:N,'DADOS - FREGUESIA DO Ó'!B186,ESGOTO!AE:AE,"Nc")</f>
        <v>0</v>
      </c>
      <c r="F186" s="70" t="str">
        <f t="shared" ref="F186:F221" si="51">IFERROR(D186/C186,"-")</f>
        <v>-</v>
      </c>
      <c r="G186" s="74" t="str">
        <f t="shared" ref="G186:G221" si="52">IFERROR(100%-F186,"-")</f>
        <v>-</v>
      </c>
    </row>
    <row r="187" spans="2:7">
      <c r="B187" s="60" t="s">
        <v>58</v>
      </c>
      <c r="C187" s="83">
        <f t="shared" si="50"/>
        <v>0</v>
      </c>
      <c r="D187" s="69">
        <f>COUNTIFS(ESGOTO!N:N,'DADOS - FREGUESIA DO Ó'!B187,ESGOTO!AE:AE,"c")</f>
        <v>0</v>
      </c>
      <c r="E187" s="69">
        <f>COUNTIFS(ESGOTO!N:N,'DADOS - FREGUESIA DO Ó'!B187,ESGOTO!AE:AE,"Nc")</f>
        <v>0</v>
      </c>
      <c r="F187" s="70" t="str">
        <f t="shared" si="51"/>
        <v>-</v>
      </c>
      <c r="G187" s="74" t="str">
        <f t="shared" si="52"/>
        <v>-</v>
      </c>
    </row>
    <row r="188" spans="2:7">
      <c r="B188" s="60" t="s">
        <v>58</v>
      </c>
      <c r="C188" s="83">
        <f t="shared" si="50"/>
        <v>0</v>
      </c>
      <c r="D188" s="69">
        <f>COUNTIFS(ESGOTO!N:N,'DADOS - FREGUESIA DO Ó'!B188,ESGOTO!AE:AE,"c")</f>
        <v>0</v>
      </c>
      <c r="E188" s="69">
        <f>COUNTIFS(ESGOTO!N:N,'DADOS - FREGUESIA DO Ó'!B188,ESGOTO!AE:AE,"Nc")</f>
        <v>0</v>
      </c>
      <c r="F188" s="70" t="str">
        <f t="shared" si="51"/>
        <v>-</v>
      </c>
      <c r="G188" s="74" t="str">
        <f t="shared" si="52"/>
        <v>-</v>
      </c>
    </row>
    <row r="189" spans="2:7">
      <c r="B189" s="60" t="s">
        <v>58</v>
      </c>
      <c r="C189" s="83">
        <f t="shared" si="50"/>
        <v>0</v>
      </c>
      <c r="D189" s="69">
        <f>COUNTIFS(ESGOTO!N:N,'DADOS - FREGUESIA DO Ó'!B189,ESGOTO!AE:AE,"c")</f>
        <v>0</v>
      </c>
      <c r="E189" s="69">
        <f>COUNTIFS(ESGOTO!N:N,'DADOS - FREGUESIA DO Ó'!B189,ESGOTO!AE:AE,"Nc")</f>
        <v>0</v>
      </c>
      <c r="F189" s="70" t="str">
        <f t="shared" si="51"/>
        <v>-</v>
      </c>
      <c r="G189" s="74" t="str">
        <f t="shared" si="52"/>
        <v>-</v>
      </c>
    </row>
    <row r="190" spans="2:7">
      <c r="B190" s="60" t="s">
        <v>58</v>
      </c>
      <c r="C190" s="83">
        <f t="shared" si="50"/>
        <v>0</v>
      </c>
      <c r="D190" s="69">
        <f>COUNTIFS(ESGOTO!N:N,'DADOS - FREGUESIA DO Ó'!B190,ESGOTO!AE:AE,"c")</f>
        <v>0</v>
      </c>
      <c r="E190" s="69">
        <f>COUNTIFS(ESGOTO!N:N,'DADOS - FREGUESIA DO Ó'!B190,ESGOTO!AE:AE,"Nc")</f>
        <v>0</v>
      </c>
      <c r="F190" s="70" t="str">
        <f t="shared" si="51"/>
        <v>-</v>
      </c>
      <c r="G190" s="74" t="str">
        <f t="shared" si="52"/>
        <v>-</v>
      </c>
    </row>
    <row r="191" spans="2:7">
      <c r="B191" s="60" t="s">
        <v>58</v>
      </c>
      <c r="C191" s="83">
        <f t="shared" si="50"/>
        <v>0</v>
      </c>
      <c r="D191" s="69">
        <f>COUNTIFS(ESGOTO!N:N,'DADOS - FREGUESIA DO Ó'!B191,ESGOTO!AE:AE,"c")</f>
        <v>0</v>
      </c>
      <c r="E191" s="69">
        <f>COUNTIFS(ESGOTO!N:N,'DADOS - FREGUESIA DO Ó'!B191,ESGOTO!AE:AE,"Nc")</f>
        <v>0</v>
      </c>
      <c r="F191" s="70" t="str">
        <f t="shared" si="51"/>
        <v>-</v>
      </c>
      <c r="G191" s="74" t="str">
        <f t="shared" si="52"/>
        <v>-</v>
      </c>
    </row>
    <row r="192" spans="2:7">
      <c r="B192" s="60" t="s">
        <v>58</v>
      </c>
      <c r="C192" s="83">
        <f t="shared" si="50"/>
        <v>0</v>
      </c>
      <c r="D192" s="69">
        <f>COUNTIFS(ESGOTO!N:N,'DADOS - FREGUESIA DO Ó'!B192,ESGOTO!AE:AE,"c")</f>
        <v>0</v>
      </c>
      <c r="E192" s="69">
        <f>COUNTIFS(ESGOTO!N:N,'DADOS - FREGUESIA DO Ó'!B192,ESGOTO!AE:AE,"Nc")</f>
        <v>0</v>
      </c>
      <c r="F192" s="70" t="str">
        <f t="shared" si="51"/>
        <v>-</v>
      </c>
      <c r="G192" s="74" t="str">
        <f t="shared" si="52"/>
        <v>-</v>
      </c>
    </row>
    <row r="193" spans="2:7">
      <c r="B193" s="60" t="s">
        <v>58</v>
      </c>
      <c r="C193" s="83">
        <f t="shared" si="50"/>
        <v>0</v>
      </c>
      <c r="D193" s="69">
        <f>COUNTIFS(ESGOTO!N:N,'DADOS - FREGUESIA DO Ó'!B193,ESGOTO!AE:AE,"c")</f>
        <v>0</v>
      </c>
      <c r="E193" s="69">
        <f>COUNTIFS(ESGOTO!N:N,'DADOS - FREGUESIA DO Ó'!B193,ESGOTO!AE:AE,"Nc")</f>
        <v>0</v>
      </c>
      <c r="F193" s="70" t="str">
        <f t="shared" si="51"/>
        <v>-</v>
      </c>
      <c r="G193" s="74" t="str">
        <f t="shared" si="52"/>
        <v>-</v>
      </c>
    </row>
    <row r="194" spans="2:7">
      <c r="B194" s="60" t="s">
        <v>58</v>
      </c>
      <c r="C194" s="83">
        <f t="shared" si="50"/>
        <v>0</v>
      </c>
      <c r="D194" s="69">
        <f>COUNTIFS(ESGOTO!N:N,'DADOS - FREGUESIA DO Ó'!B194,ESGOTO!AE:AE,"c")</f>
        <v>0</v>
      </c>
      <c r="E194" s="69">
        <f>COUNTIFS(ESGOTO!N:N,'DADOS - FREGUESIA DO Ó'!B194,ESGOTO!AE:AE,"Nc")</f>
        <v>0</v>
      </c>
      <c r="F194" s="70" t="str">
        <f t="shared" si="51"/>
        <v>-</v>
      </c>
      <c r="G194" s="74" t="str">
        <f t="shared" si="52"/>
        <v>-</v>
      </c>
    </row>
    <row r="195" spans="2:7">
      <c r="B195" s="60" t="s">
        <v>58</v>
      </c>
      <c r="C195" s="83">
        <f t="shared" si="50"/>
        <v>0</v>
      </c>
      <c r="D195" s="69">
        <f>COUNTIFS(ESGOTO!N:N,'DADOS - FREGUESIA DO Ó'!B195,ESGOTO!AE:AE,"c")</f>
        <v>0</v>
      </c>
      <c r="E195" s="69">
        <f>COUNTIFS(ESGOTO!N:N,'DADOS - FREGUESIA DO Ó'!B195,ESGOTO!AE:AE,"Nc")</f>
        <v>0</v>
      </c>
      <c r="F195" s="70" t="str">
        <f t="shared" si="51"/>
        <v>-</v>
      </c>
      <c r="G195" s="74" t="str">
        <f t="shared" si="52"/>
        <v>-</v>
      </c>
    </row>
    <row r="196" spans="2:7">
      <c r="B196" s="60" t="s">
        <v>58</v>
      </c>
      <c r="C196" s="83">
        <f t="shared" ref="C196:C206" si="53">D196+E196</f>
        <v>0</v>
      </c>
      <c r="D196" s="69">
        <f>COUNTIFS(ESGOTO!N:N,'DADOS - FREGUESIA DO Ó'!B196,ESGOTO!AE:AE,"c")</f>
        <v>0</v>
      </c>
      <c r="E196" s="69">
        <f>COUNTIFS(ESGOTO!N:N,'DADOS - FREGUESIA DO Ó'!B196,ESGOTO!AE:AE,"Nc")</f>
        <v>0</v>
      </c>
      <c r="F196" s="70" t="str">
        <f t="shared" ref="F196:F206" si="54">IFERROR(D196/C196,"-")</f>
        <v>-</v>
      </c>
      <c r="G196" s="74" t="str">
        <f t="shared" ref="G196:G206" si="55">IFERROR(100%-F196,"-")</f>
        <v>-</v>
      </c>
    </row>
    <row r="197" spans="2:7">
      <c r="B197" s="60" t="s">
        <v>58</v>
      </c>
      <c r="C197" s="83">
        <f t="shared" si="53"/>
        <v>0</v>
      </c>
      <c r="D197" s="69">
        <f>COUNTIFS(ESGOTO!N:N,'DADOS - FREGUESIA DO Ó'!B197,ESGOTO!AE:AE,"c")</f>
        <v>0</v>
      </c>
      <c r="E197" s="69">
        <f>COUNTIFS(ESGOTO!N:N,'DADOS - FREGUESIA DO Ó'!B197,ESGOTO!AE:AE,"Nc")</f>
        <v>0</v>
      </c>
      <c r="F197" s="70" t="str">
        <f t="shared" si="54"/>
        <v>-</v>
      </c>
      <c r="G197" s="74" t="str">
        <f t="shared" si="55"/>
        <v>-</v>
      </c>
    </row>
    <row r="198" spans="2:7">
      <c r="B198" s="60" t="s">
        <v>58</v>
      </c>
      <c r="C198" s="83">
        <f t="shared" si="53"/>
        <v>0</v>
      </c>
      <c r="D198" s="69">
        <f>COUNTIFS(ESGOTO!N:N,'DADOS - FREGUESIA DO Ó'!B198,ESGOTO!AE:AE,"c")</f>
        <v>0</v>
      </c>
      <c r="E198" s="69">
        <f>COUNTIFS(ESGOTO!N:N,'DADOS - FREGUESIA DO Ó'!B198,ESGOTO!AE:AE,"Nc")</f>
        <v>0</v>
      </c>
      <c r="F198" s="70" t="str">
        <f t="shared" si="54"/>
        <v>-</v>
      </c>
      <c r="G198" s="74" t="str">
        <f t="shared" si="55"/>
        <v>-</v>
      </c>
    </row>
    <row r="199" spans="2:7">
      <c r="B199" s="60" t="s">
        <v>58</v>
      </c>
      <c r="C199" s="83">
        <f t="shared" si="53"/>
        <v>0</v>
      </c>
      <c r="D199" s="69">
        <f>COUNTIFS(ESGOTO!N:N,'DADOS - FREGUESIA DO Ó'!B199,ESGOTO!AE:AE,"c")</f>
        <v>0</v>
      </c>
      <c r="E199" s="69">
        <f>COUNTIFS(ESGOTO!N:N,'DADOS - FREGUESIA DO Ó'!B199,ESGOTO!AE:AE,"Nc")</f>
        <v>0</v>
      </c>
      <c r="F199" s="70" t="str">
        <f t="shared" si="54"/>
        <v>-</v>
      </c>
      <c r="G199" s="74" t="str">
        <f t="shared" si="55"/>
        <v>-</v>
      </c>
    </row>
    <row r="200" spans="2:7">
      <c r="B200" s="60" t="s">
        <v>58</v>
      </c>
      <c r="C200" s="83">
        <f t="shared" si="53"/>
        <v>0</v>
      </c>
      <c r="D200" s="69">
        <f>COUNTIFS(ESGOTO!N:N,'DADOS - FREGUESIA DO Ó'!B200,ESGOTO!AE:AE,"c")</f>
        <v>0</v>
      </c>
      <c r="E200" s="69">
        <f>COUNTIFS(ESGOTO!N:N,'DADOS - FREGUESIA DO Ó'!B200,ESGOTO!AE:AE,"Nc")</f>
        <v>0</v>
      </c>
      <c r="F200" s="70" t="str">
        <f t="shared" si="54"/>
        <v>-</v>
      </c>
      <c r="G200" s="74" t="str">
        <f t="shared" si="55"/>
        <v>-</v>
      </c>
    </row>
    <row r="201" spans="2:7">
      <c r="B201" s="60" t="s">
        <v>58</v>
      </c>
      <c r="C201" s="83">
        <f t="shared" si="53"/>
        <v>0</v>
      </c>
      <c r="D201" s="69">
        <f>COUNTIFS(ESGOTO!N:N,'DADOS - FREGUESIA DO Ó'!B201,ESGOTO!AE:AE,"c")</f>
        <v>0</v>
      </c>
      <c r="E201" s="69">
        <f>COUNTIFS(ESGOTO!N:N,'DADOS - FREGUESIA DO Ó'!B201,ESGOTO!AE:AE,"Nc")</f>
        <v>0</v>
      </c>
      <c r="F201" s="70" t="str">
        <f t="shared" si="54"/>
        <v>-</v>
      </c>
      <c r="G201" s="74" t="str">
        <f t="shared" si="55"/>
        <v>-</v>
      </c>
    </row>
    <row r="202" spans="2:7">
      <c r="B202" s="60" t="s">
        <v>58</v>
      </c>
      <c r="C202" s="83">
        <f t="shared" si="53"/>
        <v>0</v>
      </c>
      <c r="D202" s="69">
        <f>COUNTIFS(ESGOTO!N:N,'DADOS - FREGUESIA DO Ó'!B202,ESGOTO!AE:AE,"c")</f>
        <v>0</v>
      </c>
      <c r="E202" s="69">
        <f>COUNTIFS(ESGOTO!N:N,'DADOS - FREGUESIA DO Ó'!B202,ESGOTO!AE:AE,"Nc")</f>
        <v>0</v>
      </c>
      <c r="F202" s="70" t="str">
        <f t="shared" si="54"/>
        <v>-</v>
      </c>
      <c r="G202" s="74" t="str">
        <f t="shared" si="55"/>
        <v>-</v>
      </c>
    </row>
    <row r="203" spans="2:7">
      <c r="B203" s="60" t="s">
        <v>58</v>
      </c>
      <c r="C203" s="83">
        <f t="shared" si="53"/>
        <v>0</v>
      </c>
      <c r="D203" s="69">
        <f>COUNTIFS(ESGOTO!N:N,'DADOS - FREGUESIA DO Ó'!B203,ESGOTO!AE:AE,"c")</f>
        <v>0</v>
      </c>
      <c r="E203" s="69">
        <f>COUNTIFS(ESGOTO!N:N,'DADOS - FREGUESIA DO Ó'!B203,ESGOTO!AE:AE,"Nc")</f>
        <v>0</v>
      </c>
      <c r="F203" s="70" t="str">
        <f t="shared" si="54"/>
        <v>-</v>
      </c>
      <c r="G203" s="74" t="str">
        <f t="shared" si="55"/>
        <v>-</v>
      </c>
    </row>
    <row r="204" spans="2:7">
      <c r="B204" s="60" t="s">
        <v>58</v>
      </c>
      <c r="C204" s="83">
        <f t="shared" si="53"/>
        <v>0</v>
      </c>
      <c r="D204" s="69">
        <f>COUNTIFS(ESGOTO!N:N,'DADOS - FREGUESIA DO Ó'!B204,ESGOTO!AE:AE,"c")</f>
        <v>0</v>
      </c>
      <c r="E204" s="69">
        <f>COUNTIFS(ESGOTO!N:N,'DADOS - FREGUESIA DO Ó'!B204,ESGOTO!AE:AE,"Nc")</f>
        <v>0</v>
      </c>
      <c r="F204" s="70" t="str">
        <f t="shared" si="54"/>
        <v>-</v>
      </c>
      <c r="G204" s="74" t="str">
        <f t="shared" si="55"/>
        <v>-</v>
      </c>
    </row>
    <row r="205" spans="2:7">
      <c r="B205" s="60" t="s">
        <v>58</v>
      </c>
      <c r="C205" s="83">
        <f t="shared" si="53"/>
        <v>0</v>
      </c>
      <c r="D205" s="69">
        <f>COUNTIFS(ESGOTO!N:N,'DADOS - FREGUESIA DO Ó'!B205,ESGOTO!AE:AE,"c")</f>
        <v>0</v>
      </c>
      <c r="E205" s="69">
        <f>COUNTIFS(ESGOTO!N:N,'DADOS - FREGUESIA DO Ó'!B205,ESGOTO!AE:AE,"Nc")</f>
        <v>0</v>
      </c>
      <c r="F205" s="70" t="str">
        <f t="shared" si="54"/>
        <v>-</v>
      </c>
      <c r="G205" s="74" t="str">
        <f t="shared" si="55"/>
        <v>-</v>
      </c>
    </row>
    <row r="206" spans="2:7">
      <c r="B206" s="60" t="s">
        <v>58</v>
      </c>
      <c r="C206" s="83">
        <f t="shared" si="53"/>
        <v>0</v>
      </c>
      <c r="D206" s="69">
        <f>COUNTIFS(ESGOTO!N:N,'DADOS - FREGUESIA DO Ó'!B206,ESGOTO!AE:AE,"c")</f>
        <v>0</v>
      </c>
      <c r="E206" s="69">
        <f>COUNTIFS(ESGOTO!N:N,'DADOS - FREGUESIA DO Ó'!B206,ESGOTO!AE:AE,"Nc")</f>
        <v>0</v>
      </c>
      <c r="F206" s="70" t="str">
        <f t="shared" si="54"/>
        <v>-</v>
      </c>
      <c r="G206" s="74" t="str">
        <f t="shared" si="55"/>
        <v>-</v>
      </c>
    </row>
    <row r="207" spans="2:7">
      <c r="B207" s="60" t="s">
        <v>58</v>
      </c>
      <c r="C207" s="83">
        <f t="shared" si="50"/>
        <v>0</v>
      </c>
      <c r="D207" s="69">
        <f>COUNTIFS(ESGOTO!N:N,'DADOS - FREGUESIA DO Ó'!B207,ESGOTO!AE:AE,"c")</f>
        <v>0</v>
      </c>
      <c r="E207" s="69">
        <f>COUNTIFS(ESGOTO!N:N,'DADOS - FREGUESIA DO Ó'!B207,ESGOTO!AE:AE,"Nc")</f>
        <v>0</v>
      </c>
      <c r="F207" s="70" t="str">
        <f t="shared" si="51"/>
        <v>-</v>
      </c>
      <c r="G207" s="74" t="str">
        <f t="shared" si="52"/>
        <v>-</v>
      </c>
    </row>
    <row r="208" spans="2:7">
      <c r="B208" s="60" t="s">
        <v>58</v>
      </c>
      <c r="C208" s="83">
        <f t="shared" si="50"/>
        <v>0</v>
      </c>
      <c r="D208" s="69">
        <f>COUNTIFS(ESGOTO!N:N,'DADOS - FREGUESIA DO Ó'!B208,ESGOTO!AE:AE,"c")</f>
        <v>0</v>
      </c>
      <c r="E208" s="69">
        <f>COUNTIFS(ESGOTO!N:N,'DADOS - FREGUESIA DO Ó'!B208,ESGOTO!AE:AE,"Nc")</f>
        <v>0</v>
      </c>
      <c r="F208" s="70" t="str">
        <f t="shared" si="51"/>
        <v>-</v>
      </c>
      <c r="G208" s="74" t="str">
        <f t="shared" si="52"/>
        <v>-</v>
      </c>
    </row>
    <row r="209" spans="2:7">
      <c r="B209" s="60" t="s">
        <v>58</v>
      </c>
      <c r="C209" s="83">
        <f t="shared" si="50"/>
        <v>0</v>
      </c>
      <c r="D209" s="69">
        <f>COUNTIFS(ESGOTO!N:N,'DADOS - FREGUESIA DO Ó'!B209,ESGOTO!AE:AE,"c")</f>
        <v>0</v>
      </c>
      <c r="E209" s="69">
        <f>COUNTIFS(ESGOTO!N:N,'DADOS - FREGUESIA DO Ó'!B209,ESGOTO!AE:AE,"Nc")</f>
        <v>0</v>
      </c>
      <c r="F209" s="70" t="str">
        <f t="shared" si="51"/>
        <v>-</v>
      </c>
      <c r="G209" s="74" t="str">
        <f t="shared" si="52"/>
        <v>-</v>
      </c>
    </row>
    <row r="210" spans="2:7">
      <c r="B210" s="60" t="s">
        <v>58</v>
      </c>
      <c r="C210" s="83">
        <f t="shared" si="50"/>
        <v>0</v>
      </c>
      <c r="D210" s="69">
        <f>COUNTIFS(ESGOTO!N:N,'DADOS - FREGUESIA DO Ó'!B210,ESGOTO!AE:AE,"c")</f>
        <v>0</v>
      </c>
      <c r="E210" s="69">
        <f>COUNTIFS(ESGOTO!N:N,'DADOS - FREGUESIA DO Ó'!B210,ESGOTO!AE:AE,"Nc")</f>
        <v>0</v>
      </c>
      <c r="F210" s="70" t="str">
        <f t="shared" si="51"/>
        <v>-</v>
      </c>
      <c r="G210" s="74" t="str">
        <f t="shared" si="52"/>
        <v>-</v>
      </c>
    </row>
    <row r="211" spans="2:7">
      <c r="B211" s="60" t="s">
        <v>58</v>
      </c>
      <c r="C211" s="83">
        <f t="shared" ref="C211" si="56">D211+E211</f>
        <v>0</v>
      </c>
      <c r="D211" s="69">
        <f>COUNTIFS(ESGOTO!N:N,'DADOS - FREGUESIA DO Ó'!B211,ESGOTO!AE:AE,"c")</f>
        <v>0</v>
      </c>
      <c r="E211" s="69">
        <f>COUNTIFS(ESGOTO!N:N,'DADOS - FREGUESIA DO Ó'!B211,ESGOTO!AE:AE,"Nc")</f>
        <v>0</v>
      </c>
      <c r="F211" s="70" t="str">
        <f t="shared" ref="F211" si="57">IFERROR(D211/C211,"-")</f>
        <v>-</v>
      </c>
      <c r="G211" s="74" t="str">
        <f t="shared" ref="G211" si="58">IFERROR(100%-F211,"-")</f>
        <v>-</v>
      </c>
    </row>
    <row r="212" spans="2:7">
      <c r="B212" s="60" t="s">
        <v>58</v>
      </c>
      <c r="C212" s="83">
        <f t="shared" si="50"/>
        <v>0</v>
      </c>
      <c r="D212" s="69">
        <f>COUNTIFS(ESGOTO!N:N,'DADOS - FREGUESIA DO Ó'!B212,ESGOTO!AE:AE,"c")</f>
        <v>0</v>
      </c>
      <c r="E212" s="69">
        <f>COUNTIFS(ESGOTO!N:N,'DADOS - FREGUESIA DO Ó'!B212,ESGOTO!AE:AE,"Nc")</f>
        <v>0</v>
      </c>
      <c r="F212" s="70" t="str">
        <f t="shared" si="51"/>
        <v>-</v>
      </c>
      <c r="G212" s="74" t="str">
        <f t="shared" si="52"/>
        <v>-</v>
      </c>
    </row>
    <row r="213" spans="2:7">
      <c r="B213" s="60" t="s">
        <v>58</v>
      </c>
      <c r="C213" s="83">
        <f t="shared" si="50"/>
        <v>0</v>
      </c>
      <c r="D213" s="69">
        <f>COUNTIFS(ESGOTO!N:N,'DADOS - FREGUESIA DO Ó'!B213,ESGOTO!AE:AE,"c")</f>
        <v>0</v>
      </c>
      <c r="E213" s="69">
        <f>COUNTIFS(ESGOTO!N:N,'DADOS - FREGUESIA DO Ó'!B213,ESGOTO!AE:AE,"Nc")</f>
        <v>0</v>
      </c>
      <c r="F213" s="70" t="str">
        <f t="shared" si="51"/>
        <v>-</v>
      </c>
      <c r="G213" s="74" t="str">
        <f t="shared" si="52"/>
        <v>-</v>
      </c>
    </row>
    <row r="214" spans="2:7">
      <c r="B214" s="60" t="s">
        <v>58</v>
      </c>
      <c r="C214" s="83">
        <f t="shared" si="50"/>
        <v>0</v>
      </c>
      <c r="D214" s="69">
        <f>COUNTIFS(ESGOTO!N:N,'DADOS - FREGUESIA DO Ó'!B214,ESGOTO!AE:AE,"c")</f>
        <v>0</v>
      </c>
      <c r="E214" s="69">
        <f>COUNTIFS(ESGOTO!N:N,'DADOS - FREGUESIA DO Ó'!B214,ESGOTO!AE:AE,"Nc")</f>
        <v>0</v>
      </c>
      <c r="F214" s="70" t="str">
        <f t="shared" si="51"/>
        <v>-</v>
      </c>
      <c r="G214" s="74" t="str">
        <f t="shared" si="52"/>
        <v>-</v>
      </c>
    </row>
    <row r="215" spans="2:7">
      <c r="B215" s="60" t="s">
        <v>58</v>
      </c>
      <c r="C215" s="83">
        <f t="shared" si="50"/>
        <v>0</v>
      </c>
      <c r="D215" s="69">
        <f>COUNTIFS(ESGOTO!N:N,'DADOS - FREGUESIA DO Ó'!B215,ESGOTO!AE:AE,"c")</f>
        <v>0</v>
      </c>
      <c r="E215" s="69">
        <f>COUNTIFS(ESGOTO!N:N,'DADOS - FREGUESIA DO Ó'!B215,ESGOTO!AE:AE,"Nc")</f>
        <v>0</v>
      </c>
      <c r="F215" s="70" t="str">
        <f t="shared" si="51"/>
        <v>-</v>
      </c>
      <c r="G215" s="74" t="str">
        <f t="shared" si="52"/>
        <v>-</v>
      </c>
    </row>
    <row r="216" spans="2:7">
      <c r="B216" s="60" t="s">
        <v>58</v>
      </c>
      <c r="C216" s="83">
        <f t="shared" si="50"/>
        <v>0</v>
      </c>
      <c r="D216" s="69">
        <f>COUNTIFS(ESGOTO!N:N,'DADOS - FREGUESIA DO Ó'!B216,ESGOTO!AE:AE,"c")</f>
        <v>0</v>
      </c>
      <c r="E216" s="69">
        <f>COUNTIFS(ESGOTO!N:N,'DADOS - FREGUESIA DO Ó'!B216,ESGOTO!AE:AE,"Nc")</f>
        <v>0</v>
      </c>
      <c r="F216" s="70" t="str">
        <f t="shared" si="51"/>
        <v>-</v>
      </c>
      <c r="G216" s="74" t="str">
        <f t="shared" si="52"/>
        <v>-</v>
      </c>
    </row>
    <row r="217" spans="2:7">
      <c r="B217" s="60" t="s">
        <v>58</v>
      </c>
      <c r="C217" s="83">
        <f t="shared" si="50"/>
        <v>0</v>
      </c>
      <c r="D217" s="69">
        <f>COUNTIFS(ESGOTO!N:N,'DADOS - FREGUESIA DO Ó'!B217,ESGOTO!AE:AE,"c")</f>
        <v>0</v>
      </c>
      <c r="E217" s="69">
        <f>COUNTIFS(ESGOTO!N:N,'DADOS - FREGUESIA DO Ó'!B217,ESGOTO!AE:AE,"Nc")</f>
        <v>0</v>
      </c>
      <c r="F217" s="70" t="str">
        <f t="shared" si="51"/>
        <v>-</v>
      </c>
      <c r="G217" s="74" t="str">
        <f t="shared" si="52"/>
        <v>-</v>
      </c>
    </row>
    <row r="218" spans="2:7">
      <c r="B218" s="60" t="s">
        <v>58</v>
      </c>
      <c r="C218" s="83">
        <f t="shared" si="50"/>
        <v>0</v>
      </c>
      <c r="D218" s="69">
        <f>COUNTIFS(ESGOTO!N:N,'DADOS - FREGUESIA DO Ó'!B218,ESGOTO!AE:AE,"c")</f>
        <v>0</v>
      </c>
      <c r="E218" s="69">
        <f>COUNTIFS(ESGOTO!N:N,'DADOS - FREGUESIA DO Ó'!B218,ESGOTO!AE:AE,"Nc")</f>
        <v>0</v>
      </c>
      <c r="F218" s="70" t="str">
        <f t="shared" si="51"/>
        <v>-</v>
      </c>
      <c r="G218" s="74" t="str">
        <f t="shared" si="52"/>
        <v>-</v>
      </c>
    </row>
    <row r="219" spans="2:7">
      <c r="B219" s="60" t="s">
        <v>58</v>
      </c>
      <c r="C219" s="83">
        <f t="shared" si="50"/>
        <v>0</v>
      </c>
      <c r="D219" s="69">
        <f>COUNTIFS(ESGOTO!N:N,'DADOS - FREGUESIA DO Ó'!B219,ESGOTO!AE:AE,"c")</f>
        <v>0</v>
      </c>
      <c r="E219" s="69">
        <f>COUNTIFS(ESGOTO!N:N,'DADOS - FREGUESIA DO Ó'!B219,ESGOTO!AE:AE,"Nc")</f>
        <v>0</v>
      </c>
      <c r="F219" s="70" t="str">
        <f t="shared" si="51"/>
        <v>-</v>
      </c>
      <c r="G219" s="74" t="str">
        <f t="shared" si="52"/>
        <v>-</v>
      </c>
    </row>
    <row r="220" spans="2:7">
      <c r="B220" s="60" t="s">
        <v>58</v>
      </c>
      <c r="C220" s="83">
        <f t="shared" si="50"/>
        <v>0</v>
      </c>
      <c r="D220" s="69">
        <f>COUNTIFS(ESGOTO!N:N,'DADOS - FREGUESIA DO Ó'!B220,ESGOTO!AE:AE,"c")</f>
        <v>0</v>
      </c>
      <c r="E220" s="69">
        <f>COUNTIFS(ESGOTO!N:N,'DADOS - FREGUESIA DO Ó'!B220,ESGOTO!AE:AE,"Nc")</f>
        <v>0</v>
      </c>
      <c r="F220" s="70" t="str">
        <f t="shared" si="51"/>
        <v>-</v>
      </c>
      <c r="G220" s="74" t="str">
        <f t="shared" si="52"/>
        <v>-</v>
      </c>
    </row>
    <row r="221" spans="2:7">
      <c r="B221" s="60" t="s">
        <v>58</v>
      </c>
      <c r="C221" s="83">
        <f t="shared" si="50"/>
        <v>0</v>
      </c>
      <c r="D221" s="69">
        <f>COUNTIFS(ESGOTO!N:N,'DADOS - FREGUESIA DO Ó'!B221,ESGOTO!AE:AE,"c")</f>
        <v>0</v>
      </c>
      <c r="E221" s="69">
        <f>COUNTIFS(ESGOTO!N:N,'DADOS - FREGUESIA DO Ó'!B221,ESGOTO!AE:AE,"Nc")</f>
        <v>0</v>
      </c>
      <c r="F221" s="70" t="str">
        <f t="shared" si="51"/>
        <v>-</v>
      </c>
      <c r="G221" s="74" t="str">
        <f t="shared" si="52"/>
        <v>-</v>
      </c>
    </row>
    <row r="222" spans="2:7">
      <c r="B222" s="60" t="s">
        <v>58</v>
      </c>
      <c r="C222" s="83">
        <f t="shared" ref="C222:C223" si="59">D222+E222</f>
        <v>0</v>
      </c>
      <c r="D222" s="69">
        <f>COUNTIFS(ESGOTO!N:N,'DADOS - FREGUESIA DO Ó'!B222,ESGOTO!AE:AE,"c")</f>
        <v>0</v>
      </c>
      <c r="E222" s="69">
        <f>COUNTIFS(ESGOTO!N:N,'DADOS - FREGUESIA DO Ó'!B222,ESGOTO!AE:AE,"Nc")</f>
        <v>0</v>
      </c>
      <c r="F222" s="70" t="str">
        <f t="shared" ref="F222:F223" si="60">IFERROR(D222/C222,"-")</f>
        <v>-</v>
      </c>
      <c r="G222" s="74" t="str">
        <f t="shared" ref="G222:G223" si="61">IFERROR(100%-F222,"-")</f>
        <v>-</v>
      </c>
    </row>
    <row r="223" spans="2:7">
      <c r="B223" s="60" t="s">
        <v>58</v>
      </c>
      <c r="C223" s="83">
        <f t="shared" si="59"/>
        <v>0</v>
      </c>
      <c r="D223" s="69">
        <f>COUNTIFS(ESGOTO!N:N,'DADOS - FREGUESIA DO Ó'!B223,ESGOTO!AE:AE,"c")</f>
        <v>0</v>
      </c>
      <c r="E223" s="69">
        <f>COUNTIFS(ESGOTO!N:N,'DADOS - FREGUESIA DO Ó'!B223,ESGOTO!AE:AE,"Nc")</f>
        <v>0</v>
      </c>
      <c r="F223" s="70" t="str">
        <f t="shared" si="60"/>
        <v>-</v>
      </c>
      <c r="G223" s="74" t="str">
        <f t="shared" si="61"/>
        <v>-</v>
      </c>
    </row>
    <row r="224" spans="2:7">
      <c r="B224" s="21"/>
    </row>
    <row r="225" spans="2:7">
      <c r="B225" s="383" t="s">
        <v>59</v>
      </c>
      <c r="C225" s="384"/>
      <c r="D225" s="384"/>
      <c r="E225" s="384"/>
      <c r="F225" s="384"/>
      <c r="G225" s="385"/>
    </row>
    <row r="226" spans="2:7" ht="36">
      <c r="B226" s="110" t="s">
        <v>55</v>
      </c>
      <c r="C226" s="114" t="s">
        <v>56</v>
      </c>
      <c r="D226" s="114" t="s">
        <v>41</v>
      </c>
      <c r="E226" s="114" t="s">
        <v>42</v>
      </c>
      <c r="F226" s="114" t="s">
        <v>44</v>
      </c>
      <c r="G226" s="114" t="s">
        <v>57</v>
      </c>
    </row>
    <row r="227" spans="2:7">
      <c r="B227" s="60" t="s">
        <v>58</v>
      </c>
      <c r="C227" s="83">
        <f>D227+E227</f>
        <v>0</v>
      </c>
      <c r="D227" s="69">
        <f>COUNTIFS(ESGOTO!N:N,'DADOS - FREGUESIA DO Ó'!B227,ESGOTO!AF:AF,"c")</f>
        <v>0</v>
      </c>
      <c r="E227" s="69">
        <f>COUNTIFS(ESGOTO!N:N,'DADOS - FREGUESIA DO Ó'!B227,ESGOTO!AF:AF,"Nc")</f>
        <v>0</v>
      </c>
      <c r="F227" s="70" t="str">
        <f>IFERROR(D227/C227,"-")</f>
        <v>-</v>
      </c>
      <c r="G227" s="74" t="str">
        <f>IFERROR(100%-F227,"-")</f>
        <v>-</v>
      </c>
    </row>
    <row r="228" spans="2:7">
      <c r="B228" s="60" t="s">
        <v>58</v>
      </c>
      <c r="C228" s="83">
        <f t="shared" ref="C228" si="62">D228+E228</f>
        <v>0</v>
      </c>
      <c r="D228" s="69">
        <f>COUNTIFS(ESGOTO!N:N,'DADOS - FREGUESIA DO Ó'!B228,ESGOTO!AF:AF,"c")</f>
        <v>0</v>
      </c>
      <c r="E228" s="69">
        <f>COUNTIFS(ESGOTO!N:N,'DADOS - FREGUESIA DO Ó'!B228,ESGOTO!AF:AF,"Nc")</f>
        <v>0</v>
      </c>
      <c r="F228" s="70" t="str">
        <f t="shared" ref="F228" si="63">IFERROR(D228/C228,"-")</f>
        <v>-</v>
      </c>
      <c r="G228" s="74" t="str">
        <f t="shared" ref="G228" si="64">IFERROR(100%-F228,"-")</f>
        <v>-</v>
      </c>
    </row>
    <row r="229" spans="2:7">
      <c r="B229" s="60" t="s">
        <v>58</v>
      </c>
      <c r="C229" s="83">
        <f t="shared" ref="C229:C264" si="65">D229+E229</f>
        <v>0</v>
      </c>
      <c r="D229" s="69">
        <f>COUNTIFS(ESGOTO!N:N,'DADOS - FREGUESIA DO Ó'!B229,ESGOTO!AF:AF,"c")</f>
        <v>0</v>
      </c>
      <c r="E229" s="69">
        <f>COUNTIFS(ESGOTO!N:N,'DADOS - FREGUESIA DO Ó'!B229,ESGOTO!AF:AF,"Nc")</f>
        <v>0</v>
      </c>
      <c r="F229" s="70" t="str">
        <f t="shared" ref="F229:F264" si="66">IFERROR(D229/C229,"-")</f>
        <v>-</v>
      </c>
      <c r="G229" s="74" t="str">
        <f t="shared" ref="G229:G264" si="67">IFERROR(100%-F229,"-")</f>
        <v>-</v>
      </c>
    </row>
    <row r="230" spans="2:7">
      <c r="B230" s="60" t="s">
        <v>58</v>
      </c>
      <c r="C230" s="83">
        <f t="shared" si="65"/>
        <v>0</v>
      </c>
      <c r="D230" s="69">
        <f>COUNTIFS(ESGOTO!N:N,'DADOS - FREGUESIA DO Ó'!B230,ESGOTO!AF:AF,"c")</f>
        <v>0</v>
      </c>
      <c r="E230" s="69">
        <f>COUNTIFS(ESGOTO!N:N,'DADOS - FREGUESIA DO Ó'!B230,ESGOTO!AF:AF,"Nc")</f>
        <v>0</v>
      </c>
      <c r="F230" s="70" t="str">
        <f t="shared" si="66"/>
        <v>-</v>
      </c>
      <c r="G230" s="74" t="str">
        <f t="shared" si="67"/>
        <v>-</v>
      </c>
    </row>
    <row r="231" spans="2:7">
      <c r="B231" s="60" t="s">
        <v>58</v>
      </c>
      <c r="C231" s="83">
        <f t="shared" si="65"/>
        <v>0</v>
      </c>
      <c r="D231" s="69">
        <f>COUNTIFS(ESGOTO!N:N,'DADOS - FREGUESIA DO Ó'!B231,ESGOTO!AF:AF,"c")</f>
        <v>0</v>
      </c>
      <c r="E231" s="69">
        <f>COUNTIFS(ESGOTO!N:N,'DADOS - FREGUESIA DO Ó'!B231,ESGOTO!AF:AF,"Nc")</f>
        <v>0</v>
      </c>
      <c r="F231" s="70" t="str">
        <f t="shared" si="66"/>
        <v>-</v>
      </c>
      <c r="G231" s="74" t="str">
        <f t="shared" si="67"/>
        <v>-</v>
      </c>
    </row>
    <row r="232" spans="2:7">
      <c r="B232" s="60" t="s">
        <v>58</v>
      </c>
      <c r="C232" s="83">
        <f t="shared" si="65"/>
        <v>0</v>
      </c>
      <c r="D232" s="69">
        <f>COUNTIFS(ESGOTO!N:N,'DADOS - FREGUESIA DO Ó'!B232,ESGOTO!AF:AF,"c")</f>
        <v>0</v>
      </c>
      <c r="E232" s="69">
        <f>COUNTIFS(ESGOTO!N:N,'DADOS - FREGUESIA DO Ó'!B232,ESGOTO!AF:AF,"Nc")</f>
        <v>0</v>
      </c>
      <c r="F232" s="70" t="str">
        <f t="shared" si="66"/>
        <v>-</v>
      </c>
      <c r="G232" s="74" t="str">
        <f t="shared" si="67"/>
        <v>-</v>
      </c>
    </row>
    <row r="233" spans="2:7">
      <c r="B233" s="60" t="s">
        <v>58</v>
      </c>
      <c r="C233" s="83">
        <f t="shared" si="65"/>
        <v>0</v>
      </c>
      <c r="D233" s="69">
        <f>COUNTIFS(ESGOTO!N:N,'DADOS - FREGUESIA DO Ó'!B233,ESGOTO!AF:AF,"c")</f>
        <v>0</v>
      </c>
      <c r="E233" s="69">
        <f>COUNTIFS(ESGOTO!N:N,'DADOS - FREGUESIA DO Ó'!B233,ESGOTO!AF:AF,"Nc")</f>
        <v>0</v>
      </c>
      <c r="F233" s="70" t="str">
        <f t="shared" si="66"/>
        <v>-</v>
      </c>
      <c r="G233" s="74" t="str">
        <f t="shared" si="67"/>
        <v>-</v>
      </c>
    </row>
    <row r="234" spans="2:7">
      <c r="B234" s="60" t="s">
        <v>58</v>
      </c>
      <c r="C234" s="83">
        <f t="shared" si="65"/>
        <v>0</v>
      </c>
      <c r="D234" s="69">
        <f>COUNTIFS(ESGOTO!N:N,'DADOS - FREGUESIA DO Ó'!B234,ESGOTO!AF:AF,"c")</f>
        <v>0</v>
      </c>
      <c r="E234" s="69">
        <f>COUNTIFS(ESGOTO!N:N,'DADOS - FREGUESIA DO Ó'!B234,ESGOTO!AF:AF,"Nc")</f>
        <v>0</v>
      </c>
      <c r="F234" s="70" t="str">
        <f t="shared" si="66"/>
        <v>-</v>
      </c>
      <c r="G234" s="74" t="str">
        <f t="shared" si="67"/>
        <v>-</v>
      </c>
    </row>
    <row r="235" spans="2:7">
      <c r="B235" s="60" t="s">
        <v>58</v>
      </c>
      <c r="C235" s="83">
        <f t="shared" si="65"/>
        <v>0</v>
      </c>
      <c r="D235" s="69">
        <f>COUNTIFS(ESGOTO!N:N,'DADOS - FREGUESIA DO Ó'!B235,ESGOTO!AF:AF,"c")</f>
        <v>0</v>
      </c>
      <c r="E235" s="69">
        <f>COUNTIFS(ESGOTO!N:N,'DADOS - FREGUESIA DO Ó'!B235,ESGOTO!AF:AF,"Nc")</f>
        <v>0</v>
      </c>
      <c r="F235" s="70" t="str">
        <f t="shared" si="66"/>
        <v>-</v>
      </c>
      <c r="G235" s="74" t="str">
        <f t="shared" si="67"/>
        <v>-</v>
      </c>
    </row>
    <row r="236" spans="2:7">
      <c r="B236" s="60" t="s">
        <v>58</v>
      </c>
      <c r="C236" s="83">
        <f t="shared" si="65"/>
        <v>0</v>
      </c>
      <c r="D236" s="69">
        <f>COUNTIFS(ESGOTO!N:N,'DADOS - FREGUESIA DO Ó'!B236,ESGOTO!AF:AF,"c")</f>
        <v>0</v>
      </c>
      <c r="E236" s="69">
        <f>COUNTIFS(ESGOTO!N:N,'DADOS - FREGUESIA DO Ó'!B236,ESGOTO!AF:AF,"Nc")</f>
        <v>0</v>
      </c>
      <c r="F236" s="70" t="str">
        <f t="shared" si="66"/>
        <v>-</v>
      </c>
      <c r="G236" s="74" t="str">
        <f t="shared" si="67"/>
        <v>-</v>
      </c>
    </row>
    <row r="237" spans="2:7">
      <c r="B237" s="60" t="s">
        <v>58</v>
      </c>
      <c r="C237" s="83">
        <f t="shared" si="65"/>
        <v>0</v>
      </c>
      <c r="D237" s="69">
        <f>COUNTIFS(ESGOTO!N:N,'DADOS - FREGUESIA DO Ó'!B237,ESGOTO!AF:AF,"c")</f>
        <v>0</v>
      </c>
      <c r="E237" s="69">
        <f>COUNTIFS(ESGOTO!N:N,'DADOS - FREGUESIA DO Ó'!B237,ESGOTO!AF:AF,"Nc")</f>
        <v>0</v>
      </c>
      <c r="F237" s="70" t="str">
        <f t="shared" si="66"/>
        <v>-</v>
      </c>
      <c r="G237" s="74" t="str">
        <f t="shared" si="67"/>
        <v>-</v>
      </c>
    </row>
    <row r="238" spans="2:7">
      <c r="B238" s="60" t="s">
        <v>58</v>
      </c>
      <c r="C238" s="83">
        <f t="shared" si="65"/>
        <v>0</v>
      </c>
      <c r="D238" s="69">
        <f>COUNTIFS(ESGOTO!N:N,'DADOS - FREGUESIA DO Ó'!B238,ESGOTO!AF:AF,"c")</f>
        <v>0</v>
      </c>
      <c r="E238" s="69">
        <f>COUNTIFS(ESGOTO!N:N,'DADOS - FREGUESIA DO Ó'!B238,ESGOTO!AF:AF,"Nc")</f>
        <v>0</v>
      </c>
      <c r="F238" s="70" t="str">
        <f t="shared" si="66"/>
        <v>-</v>
      </c>
      <c r="G238" s="74" t="str">
        <f t="shared" si="67"/>
        <v>-</v>
      </c>
    </row>
    <row r="239" spans="2:7">
      <c r="B239" s="60" t="s">
        <v>58</v>
      </c>
      <c r="C239" s="83">
        <f t="shared" si="65"/>
        <v>0</v>
      </c>
      <c r="D239" s="69">
        <f>COUNTIFS(ESGOTO!N:N,'DADOS - FREGUESIA DO Ó'!B239,ESGOTO!AF:AF,"c")</f>
        <v>0</v>
      </c>
      <c r="E239" s="69">
        <f>COUNTIFS(ESGOTO!N:N,'DADOS - FREGUESIA DO Ó'!B239,ESGOTO!AF:AF,"Nc")</f>
        <v>0</v>
      </c>
      <c r="F239" s="70" t="str">
        <f t="shared" si="66"/>
        <v>-</v>
      </c>
      <c r="G239" s="74" t="str">
        <f t="shared" si="67"/>
        <v>-</v>
      </c>
    </row>
    <row r="240" spans="2:7">
      <c r="B240" s="60" t="s">
        <v>58</v>
      </c>
      <c r="C240" s="83">
        <f t="shared" si="65"/>
        <v>0</v>
      </c>
      <c r="D240" s="69">
        <f>COUNTIFS(ESGOTO!N:N,'DADOS - FREGUESIA DO Ó'!B240,ESGOTO!AF:AF,"c")</f>
        <v>0</v>
      </c>
      <c r="E240" s="69">
        <f>COUNTIFS(ESGOTO!N:N,'DADOS - FREGUESIA DO Ó'!B240,ESGOTO!AF:AF,"Nc")</f>
        <v>0</v>
      </c>
      <c r="F240" s="70" t="str">
        <f t="shared" si="66"/>
        <v>-</v>
      </c>
      <c r="G240" s="74" t="str">
        <f t="shared" si="67"/>
        <v>-</v>
      </c>
    </row>
    <row r="241" spans="2:7">
      <c r="B241" s="60" t="s">
        <v>58</v>
      </c>
      <c r="C241" s="83">
        <f t="shared" si="65"/>
        <v>0</v>
      </c>
      <c r="D241" s="69">
        <f>COUNTIFS(ESGOTO!N:N,'DADOS - FREGUESIA DO Ó'!B241,ESGOTO!AF:AF,"c")</f>
        <v>0</v>
      </c>
      <c r="E241" s="69">
        <f>COUNTIFS(ESGOTO!N:N,'DADOS - FREGUESIA DO Ó'!B241,ESGOTO!AF:AF,"Nc")</f>
        <v>0</v>
      </c>
      <c r="F241" s="70" t="str">
        <f t="shared" si="66"/>
        <v>-</v>
      </c>
      <c r="G241" s="74" t="str">
        <f t="shared" si="67"/>
        <v>-</v>
      </c>
    </row>
    <row r="242" spans="2:7">
      <c r="B242" s="60" t="s">
        <v>58</v>
      </c>
      <c r="C242" s="83">
        <f t="shared" si="65"/>
        <v>0</v>
      </c>
      <c r="D242" s="69">
        <f>COUNTIFS(ESGOTO!N:N,'DADOS - FREGUESIA DO Ó'!B242,ESGOTO!AF:AF,"c")</f>
        <v>0</v>
      </c>
      <c r="E242" s="69">
        <f>COUNTIFS(ESGOTO!N:N,'DADOS - FREGUESIA DO Ó'!B242,ESGOTO!AF:AF,"Nc")</f>
        <v>0</v>
      </c>
      <c r="F242" s="70" t="str">
        <f t="shared" si="66"/>
        <v>-</v>
      </c>
      <c r="G242" s="74" t="str">
        <f t="shared" si="67"/>
        <v>-</v>
      </c>
    </row>
    <row r="243" spans="2:7">
      <c r="B243" s="60" t="s">
        <v>58</v>
      </c>
      <c r="C243" s="83">
        <f t="shared" si="65"/>
        <v>0</v>
      </c>
      <c r="D243" s="69">
        <f>COUNTIFS(ESGOTO!N:N,'DADOS - FREGUESIA DO Ó'!B243,ESGOTO!AF:AF,"c")</f>
        <v>0</v>
      </c>
      <c r="E243" s="69">
        <f>COUNTIFS(ESGOTO!N:N,'DADOS - FREGUESIA DO Ó'!B243,ESGOTO!AF:AF,"Nc")</f>
        <v>0</v>
      </c>
      <c r="F243" s="70" t="str">
        <f t="shared" si="66"/>
        <v>-</v>
      </c>
      <c r="G243" s="74" t="str">
        <f t="shared" si="67"/>
        <v>-</v>
      </c>
    </row>
    <row r="244" spans="2:7">
      <c r="B244" s="60" t="s">
        <v>58</v>
      </c>
      <c r="C244" s="83">
        <f t="shared" si="65"/>
        <v>0</v>
      </c>
      <c r="D244" s="69">
        <f>COUNTIFS(ESGOTO!N:N,'DADOS - FREGUESIA DO Ó'!B244,ESGOTO!AF:AF,"c")</f>
        <v>0</v>
      </c>
      <c r="E244" s="69">
        <f>COUNTIFS(ESGOTO!N:N,'DADOS - FREGUESIA DO Ó'!B244,ESGOTO!AF:AF,"Nc")</f>
        <v>0</v>
      </c>
      <c r="F244" s="70" t="str">
        <f t="shared" si="66"/>
        <v>-</v>
      </c>
      <c r="G244" s="74" t="str">
        <f t="shared" si="67"/>
        <v>-</v>
      </c>
    </row>
    <row r="245" spans="2:7">
      <c r="B245" s="60" t="s">
        <v>58</v>
      </c>
      <c r="C245" s="83">
        <f t="shared" si="65"/>
        <v>0</v>
      </c>
      <c r="D245" s="69">
        <f>COUNTIFS(ESGOTO!N:N,'DADOS - FREGUESIA DO Ó'!B245,ESGOTO!AF:AF,"c")</f>
        <v>0</v>
      </c>
      <c r="E245" s="69">
        <f>COUNTIFS(ESGOTO!N:N,'DADOS - FREGUESIA DO Ó'!B245,ESGOTO!AF:AF,"Nc")</f>
        <v>0</v>
      </c>
      <c r="F245" s="70" t="str">
        <f t="shared" si="66"/>
        <v>-</v>
      </c>
      <c r="G245" s="74" t="str">
        <f t="shared" si="67"/>
        <v>-</v>
      </c>
    </row>
    <row r="246" spans="2:7">
      <c r="B246" s="60" t="s">
        <v>58</v>
      </c>
      <c r="C246" s="83">
        <f t="shared" ref="C246" si="68">D246+E246</f>
        <v>0</v>
      </c>
      <c r="D246" s="69">
        <f>COUNTIFS(ESGOTO!N:N,'DADOS - FREGUESIA DO Ó'!B246,ESGOTO!AF:AF,"c")</f>
        <v>0</v>
      </c>
      <c r="E246" s="69">
        <f>COUNTIFS(ESGOTO!N:N,'DADOS - FREGUESIA DO Ó'!B246,ESGOTO!AF:AF,"Nc")</f>
        <v>0</v>
      </c>
      <c r="F246" s="70" t="str">
        <f t="shared" ref="F246" si="69">IFERROR(D246/C246,"-")</f>
        <v>-</v>
      </c>
      <c r="G246" s="74" t="str">
        <f t="shared" ref="G246" si="70">IFERROR(100%-F246,"-")</f>
        <v>-</v>
      </c>
    </row>
    <row r="247" spans="2:7">
      <c r="B247" s="60" t="s">
        <v>58</v>
      </c>
      <c r="C247" s="83">
        <f t="shared" si="65"/>
        <v>0</v>
      </c>
      <c r="D247" s="69">
        <f>COUNTIFS(ESGOTO!N:N,'DADOS - FREGUESIA DO Ó'!B247,ESGOTO!AF:AF,"c")</f>
        <v>0</v>
      </c>
      <c r="E247" s="69">
        <f>COUNTIFS(ESGOTO!N:N,'DADOS - FREGUESIA DO Ó'!B247,ESGOTO!AF:AF,"Nc")</f>
        <v>0</v>
      </c>
      <c r="F247" s="70" t="str">
        <f t="shared" si="66"/>
        <v>-</v>
      </c>
      <c r="G247" s="74" t="str">
        <f t="shared" si="67"/>
        <v>-</v>
      </c>
    </row>
    <row r="248" spans="2:7">
      <c r="B248" s="60" t="s">
        <v>58</v>
      </c>
      <c r="C248" s="83">
        <f t="shared" si="65"/>
        <v>0</v>
      </c>
      <c r="D248" s="69">
        <f>COUNTIFS(ESGOTO!N:N,'DADOS - FREGUESIA DO Ó'!B248,ESGOTO!AF:AF,"c")</f>
        <v>0</v>
      </c>
      <c r="E248" s="69">
        <f>COUNTIFS(ESGOTO!N:N,'DADOS - FREGUESIA DO Ó'!B248,ESGOTO!AF:AF,"Nc")</f>
        <v>0</v>
      </c>
      <c r="F248" s="70" t="str">
        <f t="shared" si="66"/>
        <v>-</v>
      </c>
      <c r="G248" s="74" t="str">
        <f t="shared" si="67"/>
        <v>-</v>
      </c>
    </row>
    <row r="249" spans="2:7">
      <c r="B249" s="60" t="s">
        <v>58</v>
      </c>
      <c r="C249" s="83">
        <f t="shared" si="65"/>
        <v>0</v>
      </c>
      <c r="D249" s="69">
        <f>COUNTIFS(ESGOTO!N:N,'DADOS - FREGUESIA DO Ó'!B249,ESGOTO!AF:AF,"c")</f>
        <v>0</v>
      </c>
      <c r="E249" s="69">
        <f>COUNTIFS(ESGOTO!N:N,'DADOS - FREGUESIA DO Ó'!B249,ESGOTO!AF:AF,"Nc")</f>
        <v>0</v>
      </c>
      <c r="F249" s="70" t="str">
        <f t="shared" si="66"/>
        <v>-</v>
      </c>
      <c r="G249" s="74" t="str">
        <f t="shared" si="67"/>
        <v>-</v>
      </c>
    </row>
    <row r="250" spans="2:7">
      <c r="B250" s="60" t="s">
        <v>58</v>
      </c>
      <c r="C250" s="83">
        <f t="shared" si="65"/>
        <v>0</v>
      </c>
      <c r="D250" s="69">
        <f>COUNTIFS(ESGOTO!N:N,'DADOS - FREGUESIA DO Ó'!B250,ESGOTO!AF:AF,"c")</f>
        <v>0</v>
      </c>
      <c r="E250" s="69">
        <f>COUNTIFS(ESGOTO!N:N,'DADOS - FREGUESIA DO Ó'!B250,ESGOTO!AF:AF,"Nc")</f>
        <v>0</v>
      </c>
      <c r="F250" s="70" t="str">
        <f t="shared" si="66"/>
        <v>-</v>
      </c>
      <c r="G250" s="74" t="str">
        <f t="shared" si="67"/>
        <v>-</v>
      </c>
    </row>
    <row r="251" spans="2:7">
      <c r="B251" s="60" t="s">
        <v>58</v>
      </c>
      <c r="C251" s="83">
        <f t="shared" si="65"/>
        <v>0</v>
      </c>
      <c r="D251" s="69">
        <f>COUNTIFS(ESGOTO!N:N,'DADOS - FREGUESIA DO Ó'!B251,ESGOTO!AF:AF,"c")</f>
        <v>0</v>
      </c>
      <c r="E251" s="69">
        <f>COUNTIFS(ESGOTO!N:N,'DADOS - FREGUESIA DO Ó'!B251,ESGOTO!AF:AF,"Nc")</f>
        <v>0</v>
      </c>
      <c r="F251" s="70" t="str">
        <f t="shared" si="66"/>
        <v>-</v>
      </c>
      <c r="G251" s="74" t="str">
        <f t="shared" si="67"/>
        <v>-</v>
      </c>
    </row>
    <row r="252" spans="2:7">
      <c r="B252" s="60" t="s">
        <v>58</v>
      </c>
      <c r="C252" s="83">
        <f t="shared" si="65"/>
        <v>0</v>
      </c>
      <c r="D252" s="69">
        <f>COUNTIFS(ESGOTO!N:N,'DADOS - FREGUESIA DO Ó'!B252,ESGOTO!AF:AF,"c")</f>
        <v>0</v>
      </c>
      <c r="E252" s="69">
        <f>COUNTIFS(ESGOTO!N:N,'DADOS - FREGUESIA DO Ó'!B252,ESGOTO!AF:AF,"Nc")</f>
        <v>0</v>
      </c>
      <c r="F252" s="70" t="str">
        <f t="shared" si="66"/>
        <v>-</v>
      </c>
      <c r="G252" s="74" t="str">
        <f t="shared" si="67"/>
        <v>-</v>
      </c>
    </row>
    <row r="253" spans="2:7">
      <c r="B253" s="60" t="s">
        <v>58</v>
      </c>
      <c r="C253" s="83">
        <f t="shared" si="65"/>
        <v>0</v>
      </c>
      <c r="D253" s="69">
        <f>COUNTIFS(ESGOTO!N:N,'DADOS - FREGUESIA DO Ó'!B253,ESGOTO!AF:AF,"c")</f>
        <v>0</v>
      </c>
      <c r="E253" s="69">
        <f>COUNTIFS(ESGOTO!N:N,'DADOS - FREGUESIA DO Ó'!B253,ESGOTO!AF:AF,"Nc")</f>
        <v>0</v>
      </c>
      <c r="F253" s="70" t="str">
        <f t="shared" si="66"/>
        <v>-</v>
      </c>
      <c r="G253" s="74" t="str">
        <f t="shared" si="67"/>
        <v>-</v>
      </c>
    </row>
    <row r="254" spans="2:7">
      <c r="B254" s="60" t="s">
        <v>58</v>
      </c>
      <c r="C254" s="83">
        <f t="shared" si="65"/>
        <v>0</v>
      </c>
      <c r="D254" s="69">
        <f>COUNTIFS(ESGOTO!N:N,'DADOS - FREGUESIA DO Ó'!B254,ESGOTO!AF:AF,"c")</f>
        <v>0</v>
      </c>
      <c r="E254" s="69">
        <f>COUNTIFS(ESGOTO!N:N,'DADOS - FREGUESIA DO Ó'!B254,ESGOTO!AF:AF,"Nc")</f>
        <v>0</v>
      </c>
      <c r="F254" s="70" t="str">
        <f t="shared" si="66"/>
        <v>-</v>
      </c>
      <c r="G254" s="74" t="str">
        <f t="shared" si="67"/>
        <v>-</v>
      </c>
    </row>
    <row r="255" spans="2:7">
      <c r="B255" s="60" t="s">
        <v>58</v>
      </c>
      <c r="C255" s="83">
        <f t="shared" si="65"/>
        <v>0</v>
      </c>
      <c r="D255" s="69">
        <f>COUNTIFS(ESGOTO!N:N,'DADOS - FREGUESIA DO Ó'!B255,ESGOTO!AF:AF,"c")</f>
        <v>0</v>
      </c>
      <c r="E255" s="69">
        <f>COUNTIFS(ESGOTO!N:N,'DADOS - FREGUESIA DO Ó'!B255,ESGOTO!AF:AF,"Nc")</f>
        <v>0</v>
      </c>
      <c r="F255" s="70" t="str">
        <f t="shared" si="66"/>
        <v>-</v>
      </c>
      <c r="G255" s="74" t="str">
        <f t="shared" si="67"/>
        <v>-</v>
      </c>
    </row>
    <row r="256" spans="2:7">
      <c r="B256" s="60" t="s">
        <v>58</v>
      </c>
      <c r="C256" s="83">
        <f t="shared" si="65"/>
        <v>0</v>
      </c>
      <c r="D256" s="69">
        <f>COUNTIFS(ESGOTO!N:N,'DADOS - FREGUESIA DO Ó'!B256,ESGOTO!AF:AF,"c")</f>
        <v>0</v>
      </c>
      <c r="E256" s="69">
        <f>COUNTIFS(ESGOTO!N:N,'DADOS - FREGUESIA DO Ó'!B256,ESGOTO!AF:AF,"Nc")</f>
        <v>0</v>
      </c>
      <c r="F256" s="70" t="str">
        <f t="shared" si="66"/>
        <v>-</v>
      </c>
      <c r="G256" s="74" t="str">
        <f t="shared" si="67"/>
        <v>-</v>
      </c>
    </row>
    <row r="257" spans="2:7">
      <c r="B257" s="60" t="s">
        <v>58</v>
      </c>
      <c r="C257" s="83">
        <f t="shared" si="65"/>
        <v>0</v>
      </c>
      <c r="D257" s="69">
        <f>COUNTIFS(ESGOTO!N:N,'DADOS - FREGUESIA DO Ó'!B257,ESGOTO!AF:AF,"c")</f>
        <v>0</v>
      </c>
      <c r="E257" s="69">
        <f>COUNTIFS(ESGOTO!N:N,'DADOS - FREGUESIA DO Ó'!B257,ESGOTO!AF:AF,"Nc")</f>
        <v>0</v>
      </c>
      <c r="F257" s="70" t="str">
        <f t="shared" si="66"/>
        <v>-</v>
      </c>
      <c r="G257" s="74" t="str">
        <f t="shared" si="67"/>
        <v>-</v>
      </c>
    </row>
    <row r="258" spans="2:7">
      <c r="B258" s="60" t="s">
        <v>58</v>
      </c>
      <c r="C258" s="83">
        <f t="shared" si="65"/>
        <v>0</v>
      </c>
      <c r="D258" s="69">
        <f>COUNTIFS(ESGOTO!N:N,'DADOS - FREGUESIA DO Ó'!B258,ESGOTO!AF:AF,"c")</f>
        <v>0</v>
      </c>
      <c r="E258" s="69">
        <f>COUNTIFS(ESGOTO!N:N,'DADOS - FREGUESIA DO Ó'!B258,ESGOTO!AF:AF,"Nc")</f>
        <v>0</v>
      </c>
      <c r="F258" s="70" t="str">
        <f t="shared" si="66"/>
        <v>-</v>
      </c>
      <c r="G258" s="74" t="str">
        <f t="shared" si="67"/>
        <v>-</v>
      </c>
    </row>
    <row r="259" spans="2:7">
      <c r="B259" s="60" t="s">
        <v>58</v>
      </c>
      <c r="C259" s="83">
        <f t="shared" si="65"/>
        <v>0</v>
      </c>
      <c r="D259" s="69">
        <f>COUNTIFS(ESGOTO!N:N,'DADOS - FREGUESIA DO Ó'!B259,ESGOTO!AF:AF,"c")</f>
        <v>0</v>
      </c>
      <c r="E259" s="69">
        <f>COUNTIFS(ESGOTO!N:N,'DADOS - FREGUESIA DO Ó'!B259,ESGOTO!AF:AF,"Nc")</f>
        <v>0</v>
      </c>
      <c r="F259" s="70" t="str">
        <f t="shared" si="66"/>
        <v>-</v>
      </c>
      <c r="G259" s="74" t="str">
        <f t="shared" si="67"/>
        <v>-</v>
      </c>
    </row>
    <row r="260" spans="2:7">
      <c r="B260" s="60" t="s">
        <v>58</v>
      </c>
      <c r="C260" s="83">
        <f t="shared" si="65"/>
        <v>0</v>
      </c>
      <c r="D260" s="69">
        <f>COUNTIFS(ESGOTO!N:N,'DADOS - FREGUESIA DO Ó'!B260,ESGOTO!AF:AF,"c")</f>
        <v>0</v>
      </c>
      <c r="E260" s="69">
        <f>COUNTIFS(ESGOTO!N:N,'DADOS - FREGUESIA DO Ó'!B260,ESGOTO!AF:AF,"Nc")</f>
        <v>0</v>
      </c>
      <c r="F260" s="70" t="str">
        <f t="shared" si="66"/>
        <v>-</v>
      </c>
      <c r="G260" s="74" t="str">
        <f t="shared" si="67"/>
        <v>-</v>
      </c>
    </row>
    <row r="261" spans="2:7">
      <c r="B261" s="60" t="s">
        <v>58</v>
      </c>
      <c r="C261" s="83">
        <f t="shared" si="65"/>
        <v>0</v>
      </c>
      <c r="D261" s="69">
        <f>COUNTIFS(ESGOTO!N:N,'DADOS - FREGUESIA DO Ó'!B261,ESGOTO!AF:AF,"c")</f>
        <v>0</v>
      </c>
      <c r="E261" s="69">
        <f>COUNTIFS(ESGOTO!N:N,'DADOS - FREGUESIA DO Ó'!B261,ESGOTO!AF:AF,"Nc")</f>
        <v>0</v>
      </c>
      <c r="F261" s="70" t="str">
        <f t="shared" si="66"/>
        <v>-</v>
      </c>
      <c r="G261" s="74" t="str">
        <f t="shared" si="67"/>
        <v>-</v>
      </c>
    </row>
    <row r="262" spans="2:7">
      <c r="B262" s="60" t="s">
        <v>58</v>
      </c>
      <c r="C262" s="83">
        <f t="shared" si="65"/>
        <v>0</v>
      </c>
      <c r="D262" s="69">
        <f>COUNTIFS(ESGOTO!N:N,'DADOS - FREGUESIA DO Ó'!B262,ESGOTO!AF:AF,"c")</f>
        <v>0</v>
      </c>
      <c r="E262" s="69">
        <f>COUNTIFS(ESGOTO!N:N,'DADOS - FREGUESIA DO Ó'!B262,ESGOTO!AF:AF,"Nc")</f>
        <v>0</v>
      </c>
      <c r="F262" s="70" t="str">
        <f t="shared" si="66"/>
        <v>-</v>
      </c>
      <c r="G262" s="74" t="str">
        <f t="shared" si="67"/>
        <v>-</v>
      </c>
    </row>
    <row r="263" spans="2:7">
      <c r="B263" s="60" t="s">
        <v>58</v>
      </c>
      <c r="C263" s="83">
        <f t="shared" si="65"/>
        <v>0</v>
      </c>
      <c r="D263" s="69">
        <f>COUNTIFS(ESGOTO!N:N,'DADOS - FREGUESIA DO Ó'!B263,ESGOTO!AF:AF,"c")</f>
        <v>0</v>
      </c>
      <c r="E263" s="69">
        <f>COUNTIFS(ESGOTO!N:N,'DADOS - FREGUESIA DO Ó'!B263,ESGOTO!AF:AF,"Nc")</f>
        <v>0</v>
      </c>
      <c r="F263" s="70" t="str">
        <f t="shared" si="66"/>
        <v>-</v>
      </c>
      <c r="G263" s="74" t="str">
        <f t="shared" si="67"/>
        <v>-</v>
      </c>
    </row>
    <row r="264" spans="2:7">
      <c r="B264" s="60" t="s">
        <v>58</v>
      </c>
      <c r="C264" s="83">
        <f t="shared" si="65"/>
        <v>0</v>
      </c>
      <c r="D264" s="69">
        <f>COUNTIFS(ESGOTO!N:N,'DADOS - FREGUESIA DO Ó'!B264,ESGOTO!AF:AF,"c")</f>
        <v>0</v>
      </c>
      <c r="E264" s="69">
        <f>COUNTIFS(ESGOTO!N:N,'DADOS - FREGUESIA DO Ó'!B264,ESGOTO!AF:AF,"Nc")</f>
        <v>0</v>
      </c>
      <c r="F264" s="70" t="str">
        <f t="shared" si="66"/>
        <v>-</v>
      </c>
      <c r="G264" s="74" t="str">
        <f t="shared" si="67"/>
        <v>-</v>
      </c>
    </row>
    <row r="265" spans="2:7">
      <c r="B265" s="60" t="s">
        <v>58</v>
      </c>
      <c r="C265" s="83">
        <f t="shared" ref="C265" si="71">D265+E265</f>
        <v>0</v>
      </c>
      <c r="D265" s="69">
        <f>COUNTIFS(ESGOTO!N:N,'DADOS - FREGUESIA DO Ó'!B265,ESGOTO!AF:AF,"c")</f>
        <v>0</v>
      </c>
      <c r="E265" s="69">
        <f>COUNTIFS(ESGOTO!N:N,'DADOS - FREGUESIA DO Ó'!B265,ESGOTO!AF:AF,"Nc")</f>
        <v>0</v>
      </c>
      <c r="F265" s="70" t="str">
        <f t="shared" ref="F265" si="72">IFERROR(D265/C265,"-")</f>
        <v>-</v>
      </c>
      <c r="G265" s="74" t="str">
        <f t="shared" ref="G265" si="73">IFERROR(100%-F265,"-")</f>
        <v>-</v>
      </c>
    </row>
    <row r="266" spans="2:7">
      <c r="B266" s="60" t="s">
        <v>58</v>
      </c>
      <c r="C266" s="83">
        <f t="shared" ref="C266" si="74">D266+E266</f>
        <v>0</v>
      </c>
      <c r="D266" s="69">
        <f>COUNTIFS(ESGOTO!N:N,'DADOS - FREGUESIA DO Ó'!B266,ESGOTO!AF:AF,"c")</f>
        <v>0</v>
      </c>
      <c r="E266" s="69">
        <f>COUNTIFS(ESGOTO!N:N,'DADOS - FREGUESIA DO Ó'!B266,ESGOTO!AF:AF,"Nc")</f>
        <v>0</v>
      </c>
      <c r="F266" s="70" t="str">
        <f t="shared" ref="F266" si="75">IFERROR(D266/C266,"-")</f>
        <v>-</v>
      </c>
      <c r="G266" s="74" t="str">
        <f t="shared" ref="G266" si="76">IFERROR(100%-F266,"-")</f>
        <v>-</v>
      </c>
    </row>
    <row r="268" spans="2:7">
      <c r="B268" s="386" t="s">
        <v>64</v>
      </c>
      <c r="C268" s="386"/>
      <c r="D268" s="386"/>
      <c r="E268" s="386"/>
      <c r="F268" s="386"/>
      <c r="G268" s="386"/>
    </row>
    <row r="270" spans="2:7" ht="19.5" customHeight="1">
      <c r="B270" s="376" t="s">
        <v>34</v>
      </c>
      <c r="C270" s="377"/>
      <c r="D270" s="377"/>
      <c r="E270" s="377"/>
      <c r="F270" s="377"/>
      <c r="G270" s="378"/>
    </row>
    <row r="271" spans="2:7" ht="19.5" customHeight="1">
      <c r="B271" s="106" t="s">
        <v>12</v>
      </c>
      <c r="C271" s="107" t="s">
        <v>35</v>
      </c>
      <c r="D271" s="107" t="s">
        <v>36</v>
      </c>
      <c r="E271" s="107" t="s">
        <v>37</v>
      </c>
      <c r="F271" s="107" t="s">
        <v>28</v>
      </c>
      <c r="G271" s="107" t="s">
        <v>29</v>
      </c>
    </row>
    <row r="272" spans="2:7" ht="19.5" customHeight="1">
      <c r="B272" s="123" t="s">
        <v>30</v>
      </c>
      <c r="C272" s="64">
        <f>D272+E272</f>
        <v>536</v>
      </c>
      <c r="D272" s="64">
        <f>COUNTIF(CAVALETE!Y:Y,"NC")</f>
        <v>46</v>
      </c>
      <c r="E272" s="64">
        <f>COUNTIF(CAVALETE!Y:Y,"C")</f>
        <v>490</v>
      </c>
      <c r="F272" s="16">
        <f>IFERROR(D272/C272,"-")</f>
        <v>8.5820895522388058E-2</v>
      </c>
      <c r="G272" s="16">
        <f>IFERROR(E272/C272,"-")</f>
        <v>0.91417910447761197</v>
      </c>
    </row>
    <row r="273" spans="2:7" ht="19.5" customHeight="1">
      <c r="B273" s="11"/>
      <c r="C273" s="11"/>
      <c r="D273" s="11"/>
      <c r="E273" s="11"/>
      <c r="F273" s="17"/>
      <c r="G273" s="17"/>
    </row>
    <row r="274" spans="2:7" ht="19.5" customHeight="1">
      <c r="B274" s="376" t="s">
        <v>24</v>
      </c>
      <c r="C274" s="377"/>
      <c r="D274" s="377"/>
      <c r="E274" s="377"/>
      <c r="F274" s="377"/>
      <c r="G274" s="378"/>
    </row>
    <row r="275" spans="2:7" ht="19.5" customHeight="1">
      <c r="B275" s="106" t="s">
        <v>12</v>
      </c>
      <c r="C275" s="107" t="s">
        <v>25</v>
      </c>
      <c r="D275" s="107" t="s">
        <v>26</v>
      </c>
      <c r="E275" s="107" t="s">
        <v>27</v>
      </c>
      <c r="F275" s="107" t="s">
        <v>28</v>
      </c>
      <c r="G275" s="107" t="s">
        <v>29</v>
      </c>
    </row>
    <row r="276" spans="2:7" ht="19.5" customHeight="1">
      <c r="B276" s="123" t="s">
        <v>30</v>
      </c>
      <c r="C276" s="64">
        <f>D276+E276</f>
        <v>536</v>
      </c>
      <c r="D276" s="64">
        <f>COUNTIF(CAVALETE!Z:Z,"nc")</f>
        <v>106</v>
      </c>
      <c r="E276" s="64">
        <f>COUNTIF(CAVALETE!Z:Z,"C")</f>
        <v>430</v>
      </c>
      <c r="F276" s="52">
        <f>IFERROR(D276/C276,"-")</f>
        <v>0.19776119402985073</v>
      </c>
      <c r="G276" s="52">
        <f>IFERROR(100%-F276,"-")</f>
        <v>0.80223880597014929</v>
      </c>
    </row>
    <row r="277" spans="2:7" ht="19.5" customHeight="1">
      <c r="B277" s="11"/>
      <c r="C277" s="11"/>
      <c r="D277" s="11"/>
      <c r="E277" s="11"/>
      <c r="F277" s="17"/>
      <c r="G277" s="17"/>
    </row>
    <row r="278" spans="2:7" ht="19.5" customHeight="1">
      <c r="B278" s="376" t="s">
        <v>38</v>
      </c>
      <c r="C278" s="377"/>
      <c r="D278" s="377"/>
      <c r="E278" s="377"/>
      <c r="F278" s="377"/>
      <c r="G278" s="378"/>
    </row>
    <row r="279" spans="2:7" ht="19.5" customHeight="1">
      <c r="B279" s="106" t="s">
        <v>12</v>
      </c>
      <c r="C279" s="107" t="s">
        <v>35</v>
      </c>
      <c r="D279" s="107" t="s">
        <v>36</v>
      </c>
      <c r="E279" s="107" t="s">
        <v>37</v>
      </c>
      <c r="F279" s="107" t="s">
        <v>28</v>
      </c>
      <c r="G279" s="107" t="s">
        <v>29</v>
      </c>
    </row>
    <row r="280" spans="2:7">
      <c r="B280" s="128" t="s">
        <v>30</v>
      </c>
      <c r="C280" s="64">
        <f>D280+E280</f>
        <v>575</v>
      </c>
      <c r="D280" s="64">
        <f>COUNTIF(CAVALETE!AB:AB,"NC")</f>
        <v>0</v>
      </c>
      <c r="E280" s="64">
        <f>COUNTIF(CAVALETE!AB:AB,"C")</f>
        <v>575</v>
      </c>
      <c r="F280" s="16">
        <f>IFERROR(D280/C280,"-")</f>
        <v>0</v>
      </c>
      <c r="G280" s="16">
        <f>IFERROR(E280/C280,"-")</f>
        <v>1</v>
      </c>
    </row>
    <row r="282" spans="2:7">
      <c r="B282" s="379" t="s">
        <v>40</v>
      </c>
      <c r="C282" s="380"/>
      <c r="D282" s="380"/>
      <c r="E282" s="380"/>
      <c r="F282" s="380"/>
      <c r="G282" s="381"/>
    </row>
    <row r="283" spans="2:7">
      <c r="B283" s="108" t="s">
        <v>6</v>
      </c>
      <c r="C283" s="109" t="s">
        <v>41</v>
      </c>
      <c r="D283" s="109" t="s">
        <v>42</v>
      </c>
      <c r="E283" s="109" t="s">
        <v>43</v>
      </c>
      <c r="F283" s="109" t="s">
        <v>44</v>
      </c>
      <c r="G283" s="109" t="s">
        <v>45</v>
      </c>
    </row>
    <row r="284" spans="2:7">
      <c r="B284" s="125" t="s">
        <v>46</v>
      </c>
      <c r="C284" s="69">
        <f>COUNTIF(CAVALETE!O:O,"C")</f>
        <v>493</v>
      </c>
      <c r="D284" s="69">
        <f>COUNTIF(CAVALETE!O:O,"NC")</f>
        <v>1</v>
      </c>
      <c r="E284" s="69">
        <f>COUNTIF(CAVALETE!O:O,"SF")</f>
        <v>42</v>
      </c>
      <c r="F284" s="71">
        <f>IFERROR(C284/(C284+D284+E284),"-")</f>
        <v>0.91977611940298509</v>
      </c>
      <c r="G284" s="67">
        <f>IFERROR(100%-F284,"-")</f>
        <v>8.0223880597014907E-2</v>
      </c>
    </row>
    <row r="285" spans="2:7">
      <c r="B285" s="125" t="s">
        <v>65</v>
      </c>
      <c r="C285" s="69">
        <f>COUNTIF(CAVALETE!Q:Q,"C")</f>
        <v>454</v>
      </c>
      <c r="D285" s="69">
        <f>COUNTIF(CAVALETE!Q:Q,"NC")</f>
        <v>1</v>
      </c>
      <c r="E285" s="69">
        <f>COUNTIF(CAVALETE!Q:Q,"SF")</f>
        <v>81</v>
      </c>
      <c r="F285" s="71">
        <f t="shared" ref="F285:F287" si="77">IFERROR(C285/(C285+D285+E285),"-")</f>
        <v>0.84701492537313428</v>
      </c>
      <c r="G285" s="67">
        <f t="shared" ref="G285:G288" si="78">IFERROR(100%-F285,"-")</f>
        <v>0.15298507462686572</v>
      </c>
    </row>
    <row r="286" spans="2:7">
      <c r="B286" s="125" t="s">
        <v>66</v>
      </c>
      <c r="C286" s="69">
        <f>COUNTIF(CAVALETE!S:S,"c")</f>
        <v>474</v>
      </c>
      <c r="D286" s="69">
        <f>COUNTIF(CAVALETE!S:S,"nc")</f>
        <v>1</v>
      </c>
      <c r="E286" s="69">
        <f>COUNTIF(CAVALETE!S:S,"SF")</f>
        <v>60</v>
      </c>
      <c r="F286" s="71">
        <f t="shared" si="77"/>
        <v>0.88598130841121492</v>
      </c>
      <c r="G286" s="67">
        <f t="shared" si="78"/>
        <v>0.11401869158878508</v>
      </c>
    </row>
    <row r="287" spans="2:7">
      <c r="B287" s="125" t="s">
        <v>67</v>
      </c>
      <c r="C287" s="69">
        <f>COUNTIF(CAVALETE!U:U,"c")</f>
        <v>481</v>
      </c>
      <c r="D287" s="69">
        <f>COUNTIF(CAVALETE!U:U,"NC")</f>
        <v>1</v>
      </c>
      <c r="E287" s="69">
        <f>COUNTIF(CAVALETE!U:U,"SF")</f>
        <v>53</v>
      </c>
      <c r="F287" s="71">
        <f t="shared" si="77"/>
        <v>0.89906542056074767</v>
      </c>
      <c r="G287" s="67">
        <f t="shared" si="78"/>
        <v>0.10093457943925233</v>
      </c>
    </row>
    <row r="288" spans="2:7">
      <c r="B288" s="125" t="s">
        <v>53</v>
      </c>
      <c r="C288" s="69">
        <f>COUNTIF(CAVALETE!W:W,"C")</f>
        <v>473</v>
      </c>
      <c r="D288" s="69">
        <f>COUNTIF(CAVALETE!W:W,"NC")</f>
        <v>3</v>
      </c>
      <c r="E288" s="69">
        <f>COUNTIF(CAVALETE!W:W,"SF")</f>
        <v>59</v>
      </c>
      <c r="F288" s="71">
        <f>IFERROR(C288/(C288+D288+E288),"-")</f>
        <v>0.88411214953271033</v>
      </c>
      <c r="G288" s="67">
        <f t="shared" si="78"/>
        <v>0.11588785046728967</v>
      </c>
    </row>
    <row r="290" spans="2:7">
      <c r="B290" s="387" t="s">
        <v>54</v>
      </c>
      <c r="C290" s="384"/>
      <c r="D290" s="384"/>
      <c r="E290" s="384"/>
      <c r="F290" s="384"/>
      <c r="G290" s="385"/>
    </row>
    <row r="291" spans="2:7" ht="36">
      <c r="B291" s="118" t="s">
        <v>55</v>
      </c>
      <c r="C291" s="111" t="s">
        <v>56</v>
      </c>
      <c r="D291" s="112" t="s">
        <v>41</v>
      </c>
      <c r="E291" s="112" t="s">
        <v>42</v>
      </c>
      <c r="F291" s="112" t="s">
        <v>44</v>
      </c>
      <c r="G291" s="112" t="s">
        <v>57</v>
      </c>
    </row>
    <row r="292" spans="2:7">
      <c r="B292" s="63" t="s">
        <v>58</v>
      </c>
      <c r="C292" s="83">
        <f t="shared" ref="C292" si="79">D292+E292</f>
        <v>0</v>
      </c>
      <c r="D292" s="69">
        <f>COUNTIFS(CAVALETE!N:N,'DADOS - FREGUESIA DO Ó'!B292,CAVALETE!Y:Y,"C")</f>
        <v>0</v>
      </c>
      <c r="E292" s="69">
        <f>COUNTIFS(CAVALETE!N:N,'DADOS - FREGUESIA DO Ó'!B292,CAVALETE!Y:Y,"NC")</f>
        <v>0</v>
      </c>
      <c r="F292" s="70" t="str">
        <f t="shared" ref="F292" si="80">IFERROR(D292/C292,"-")</f>
        <v>-</v>
      </c>
      <c r="G292" s="74" t="str">
        <f t="shared" ref="G292:G331" si="81">IFERROR(100%-F292,"-")</f>
        <v>-</v>
      </c>
    </row>
    <row r="293" spans="2:7">
      <c r="B293" s="63" t="s">
        <v>58</v>
      </c>
      <c r="C293" s="83">
        <f t="shared" ref="C293:C331" si="82">D293+E293</f>
        <v>0</v>
      </c>
      <c r="D293" s="69">
        <f>COUNTIFS(CAVALETE!N:N,'DADOS - FREGUESIA DO Ó'!B293,CAVALETE!Y:Y,"C")</f>
        <v>0</v>
      </c>
      <c r="E293" s="69">
        <f>COUNTIFS(CAVALETE!N:N,'DADOS - FREGUESIA DO Ó'!B293,CAVALETE!Y:Y,"NC")</f>
        <v>0</v>
      </c>
      <c r="F293" s="70" t="str">
        <f t="shared" ref="F293:F331" si="83">IFERROR(D293/C293,"-")</f>
        <v>-</v>
      </c>
      <c r="G293" s="74" t="str">
        <f t="shared" si="81"/>
        <v>-</v>
      </c>
    </row>
    <row r="294" spans="2:7">
      <c r="B294" s="63" t="s">
        <v>58</v>
      </c>
      <c r="C294" s="83">
        <f t="shared" si="82"/>
        <v>0</v>
      </c>
      <c r="D294" s="69">
        <f>COUNTIFS(CAVALETE!N:N,'DADOS - FREGUESIA DO Ó'!B294,CAVALETE!Y:Y,"C")</f>
        <v>0</v>
      </c>
      <c r="E294" s="69">
        <f>COUNTIFS(CAVALETE!N:N,'DADOS - FREGUESIA DO Ó'!B294,CAVALETE!Y:Y,"NC")</f>
        <v>0</v>
      </c>
      <c r="F294" s="70" t="str">
        <f t="shared" si="83"/>
        <v>-</v>
      </c>
      <c r="G294" s="74" t="str">
        <f t="shared" si="81"/>
        <v>-</v>
      </c>
    </row>
    <row r="295" spans="2:7">
      <c r="B295" s="63" t="s">
        <v>58</v>
      </c>
      <c r="C295" s="83">
        <f t="shared" si="82"/>
        <v>0</v>
      </c>
      <c r="D295" s="69">
        <f>COUNTIFS(CAVALETE!N:N,'DADOS - FREGUESIA DO Ó'!B295,CAVALETE!Y:Y,"C")</f>
        <v>0</v>
      </c>
      <c r="E295" s="69">
        <f>COUNTIFS(CAVALETE!N:N,'DADOS - FREGUESIA DO Ó'!B295,CAVALETE!Y:Y,"NC")</f>
        <v>0</v>
      </c>
      <c r="F295" s="70" t="str">
        <f t="shared" si="83"/>
        <v>-</v>
      </c>
      <c r="G295" s="74" t="str">
        <f t="shared" si="81"/>
        <v>-</v>
      </c>
    </row>
    <row r="296" spans="2:7">
      <c r="B296" s="63" t="s">
        <v>58</v>
      </c>
      <c r="C296" s="83">
        <f t="shared" si="82"/>
        <v>0</v>
      </c>
      <c r="D296" s="69">
        <f>COUNTIFS(CAVALETE!N:N,'DADOS - FREGUESIA DO Ó'!B296,CAVALETE!Y:Y,"C")</f>
        <v>0</v>
      </c>
      <c r="E296" s="69">
        <f>COUNTIFS(CAVALETE!N:N,'DADOS - FREGUESIA DO Ó'!B296,CAVALETE!Y:Y,"NC")</f>
        <v>0</v>
      </c>
      <c r="F296" s="70" t="str">
        <f t="shared" si="83"/>
        <v>-</v>
      </c>
      <c r="G296" s="74" t="str">
        <f t="shared" si="81"/>
        <v>-</v>
      </c>
    </row>
    <row r="297" spans="2:7">
      <c r="B297" s="63" t="s">
        <v>58</v>
      </c>
      <c r="C297" s="83">
        <f t="shared" ref="C297:C325" si="84">D297+E297</f>
        <v>0</v>
      </c>
      <c r="D297" s="69">
        <f>COUNTIFS(CAVALETE!N:N,'DADOS - FREGUESIA DO Ó'!B297,CAVALETE!Y:Y,"C")</f>
        <v>0</v>
      </c>
      <c r="E297" s="69">
        <f>COUNTIFS(CAVALETE!N:N,'DADOS - FREGUESIA DO Ó'!B297,CAVALETE!Y:Y,"NC")</f>
        <v>0</v>
      </c>
      <c r="F297" s="70" t="str">
        <f t="shared" ref="F297:F325" si="85">IFERROR(D297/C297,"-")</f>
        <v>-</v>
      </c>
      <c r="G297" s="74" t="str">
        <f t="shared" ref="G297:G325" si="86">IFERROR(100%-F297,"-")</f>
        <v>-</v>
      </c>
    </row>
    <row r="298" spans="2:7">
      <c r="B298" s="63" t="s">
        <v>58</v>
      </c>
      <c r="C298" s="83">
        <f t="shared" ref="C298:C323" si="87">D298+E298</f>
        <v>0</v>
      </c>
      <c r="D298" s="69">
        <f>COUNTIFS(CAVALETE!N:N,'DADOS - FREGUESIA DO Ó'!B298,CAVALETE!Y:Y,"C")</f>
        <v>0</v>
      </c>
      <c r="E298" s="69">
        <f>COUNTIFS(CAVALETE!N:N,'DADOS - FREGUESIA DO Ó'!B298,CAVALETE!Y:Y,"NC")</f>
        <v>0</v>
      </c>
      <c r="F298" s="70" t="str">
        <f t="shared" ref="F298:F323" si="88">IFERROR(D298/C298,"-")</f>
        <v>-</v>
      </c>
      <c r="G298" s="74" t="str">
        <f t="shared" ref="G298:G323" si="89">IFERROR(100%-F298,"-")</f>
        <v>-</v>
      </c>
    </row>
    <row r="299" spans="2:7">
      <c r="B299" s="63" t="s">
        <v>58</v>
      </c>
      <c r="C299" s="83">
        <f t="shared" si="87"/>
        <v>0</v>
      </c>
      <c r="D299" s="69">
        <f>COUNTIFS(CAVALETE!N:N,'DADOS - FREGUESIA DO Ó'!B299,CAVALETE!Y:Y,"C")</f>
        <v>0</v>
      </c>
      <c r="E299" s="69">
        <f>COUNTIFS(CAVALETE!N:N,'DADOS - FREGUESIA DO Ó'!B299,CAVALETE!Y:Y,"NC")</f>
        <v>0</v>
      </c>
      <c r="F299" s="70" t="str">
        <f t="shared" si="88"/>
        <v>-</v>
      </c>
      <c r="G299" s="74" t="str">
        <f t="shared" si="89"/>
        <v>-</v>
      </c>
    </row>
    <row r="300" spans="2:7">
      <c r="B300" s="63" t="s">
        <v>58</v>
      </c>
      <c r="C300" s="83">
        <f t="shared" si="87"/>
        <v>0</v>
      </c>
      <c r="D300" s="69">
        <f>COUNTIFS(CAVALETE!N:N,'DADOS - FREGUESIA DO Ó'!B300,CAVALETE!Y:Y,"C")</f>
        <v>0</v>
      </c>
      <c r="E300" s="69">
        <f>COUNTIFS(CAVALETE!N:N,'DADOS - FREGUESIA DO Ó'!B300,CAVALETE!Y:Y,"NC")</f>
        <v>0</v>
      </c>
      <c r="F300" s="70" t="str">
        <f t="shared" si="88"/>
        <v>-</v>
      </c>
      <c r="G300" s="74" t="str">
        <f t="shared" si="89"/>
        <v>-</v>
      </c>
    </row>
    <row r="301" spans="2:7">
      <c r="B301" s="63" t="s">
        <v>58</v>
      </c>
      <c r="C301" s="83">
        <f t="shared" si="87"/>
        <v>0</v>
      </c>
      <c r="D301" s="69">
        <f>COUNTIFS(CAVALETE!N:N,'DADOS - FREGUESIA DO Ó'!B301,CAVALETE!Y:Y,"C")</f>
        <v>0</v>
      </c>
      <c r="E301" s="69">
        <f>COUNTIFS(CAVALETE!N:N,'DADOS - FREGUESIA DO Ó'!B301,CAVALETE!Y:Y,"NC")</f>
        <v>0</v>
      </c>
      <c r="F301" s="70" t="str">
        <f t="shared" si="88"/>
        <v>-</v>
      </c>
      <c r="G301" s="74" t="str">
        <f t="shared" si="89"/>
        <v>-</v>
      </c>
    </row>
    <row r="302" spans="2:7">
      <c r="B302" s="63" t="s">
        <v>58</v>
      </c>
      <c r="C302" s="83">
        <f t="shared" si="87"/>
        <v>0</v>
      </c>
      <c r="D302" s="69">
        <f>COUNTIFS(CAVALETE!N:N,'DADOS - FREGUESIA DO Ó'!B302,CAVALETE!Y:Y,"C")</f>
        <v>0</v>
      </c>
      <c r="E302" s="69">
        <f>COUNTIFS(CAVALETE!N:N,'DADOS - FREGUESIA DO Ó'!B302,CAVALETE!Y:Y,"NC")</f>
        <v>0</v>
      </c>
      <c r="F302" s="70" t="str">
        <f t="shared" si="88"/>
        <v>-</v>
      </c>
      <c r="G302" s="74" t="str">
        <f t="shared" si="89"/>
        <v>-</v>
      </c>
    </row>
    <row r="303" spans="2:7">
      <c r="B303" s="63" t="s">
        <v>58</v>
      </c>
      <c r="C303" s="83">
        <f t="shared" si="87"/>
        <v>0</v>
      </c>
      <c r="D303" s="69">
        <f>COUNTIFS(CAVALETE!N:N,'DADOS - FREGUESIA DO Ó'!B303,CAVALETE!Y:Y,"C")</f>
        <v>0</v>
      </c>
      <c r="E303" s="69">
        <f>COUNTIFS(CAVALETE!N:N,'DADOS - FREGUESIA DO Ó'!B303,CAVALETE!Y:Y,"NC")</f>
        <v>0</v>
      </c>
      <c r="F303" s="70" t="str">
        <f t="shared" si="88"/>
        <v>-</v>
      </c>
      <c r="G303" s="74" t="str">
        <f t="shared" si="89"/>
        <v>-</v>
      </c>
    </row>
    <row r="304" spans="2:7">
      <c r="B304" s="63" t="s">
        <v>58</v>
      </c>
      <c r="C304" s="83">
        <f t="shared" si="87"/>
        <v>0</v>
      </c>
      <c r="D304" s="69">
        <f>COUNTIFS(CAVALETE!N:N,'DADOS - FREGUESIA DO Ó'!B304,CAVALETE!Y:Y,"C")</f>
        <v>0</v>
      </c>
      <c r="E304" s="69">
        <f>COUNTIFS(CAVALETE!N:N,'DADOS - FREGUESIA DO Ó'!B304,CAVALETE!Y:Y,"NC")</f>
        <v>0</v>
      </c>
      <c r="F304" s="70" t="str">
        <f t="shared" si="88"/>
        <v>-</v>
      </c>
      <c r="G304" s="74" t="str">
        <f t="shared" si="89"/>
        <v>-</v>
      </c>
    </row>
    <row r="305" spans="2:7">
      <c r="B305" s="63" t="s">
        <v>58</v>
      </c>
      <c r="C305" s="83">
        <f t="shared" si="87"/>
        <v>0</v>
      </c>
      <c r="D305" s="69">
        <f>COUNTIFS(CAVALETE!N:N,'DADOS - FREGUESIA DO Ó'!B305,CAVALETE!Y:Y,"C")</f>
        <v>0</v>
      </c>
      <c r="E305" s="69">
        <f>COUNTIFS(CAVALETE!N:N,'DADOS - FREGUESIA DO Ó'!B305,CAVALETE!Y:Y,"NC")</f>
        <v>0</v>
      </c>
      <c r="F305" s="70" t="str">
        <f t="shared" si="88"/>
        <v>-</v>
      </c>
      <c r="G305" s="74" t="str">
        <f t="shared" si="89"/>
        <v>-</v>
      </c>
    </row>
    <row r="306" spans="2:7">
      <c r="B306" s="63" t="s">
        <v>58</v>
      </c>
      <c r="C306" s="83">
        <f t="shared" si="87"/>
        <v>0</v>
      </c>
      <c r="D306" s="69">
        <f>COUNTIFS(CAVALETE!N:N,'DADOS - FREGUESIA DO Ó'!B306,CAVALETE!Y:Y,"C")</f>
        <v>0</v>
      </c>
      <c r="E306" s="69">
        <f>COUNTIFS(CAVALETE!N:N,'DADOS - FREGUESIA DO Ó'!B306,CAVALETE!Y:Y,"NC")</f>
        <v>0</v>
      </c>
      <c r="F306" s="70" t="str">
        <f t="shared" si="88"/>
        <v>-</v>
      </c>
      <c r="G306" s="74" t="str">
        <f t="shared" si="89"/>
        <v>-</v>
      </c>
    </row>
    <row r="307" spans="2:7">
      <c r="B307" s="63" t="s">
        <v>58</v>
      </c>
      <c r="C307" s="83">
        <f t="shared" si="87"/>
        <v>0</v>
      </c>
      <c r="D307" s="69">
        <f>COUNTIFS(CAVALETE!N:N,'DADOS - FREGUESIA DO Ó'!B307,CAVALETE!Y:Y,"C")</f>
        <v>0</v>
      </c>
      <c r="E307" s="69">
        <f>COUNTIFS(CAVALETE!N:N,'DADOS - FREGUESIA DO Ó'!B307,CAVALETE!Y:Y,"NC")</f>
        <v>0</v>
      </c>
      <c r="F307" s="70" t="str">
        <f t="shared" si="88"/>
        <v>-</v>
      </c>
      <c r="G307" s="74" t="str">
        <f t="shared" si="89"/>
        <v>-</v>
      </c>
    </row>
    <row r="308" spans="2:7">
      <c r="B308" s="63" t="s">
        <v>58</v>
      </c>
      <c r="C308" s="83">
        <f t="shared" si="87"/>
        <v>0</v>
      </c>
      <c r="D308" s="69">
        <f>COUNTIFS(CAVALETE!N:N,'DADOS - FREGUESIA DO Ó'!B308,CAVALETE!Y:Y,"C")</f>
        <v>0</v>
      </c>
      <c r="E308" s="69">
        <f>COUNTIFS(CAVALETE!N:N,'DADOS - FREGUESIA DO Ó'!B308,CAVALETE!Y:Y,"NC")</f>
        <v>0</v>
      </c>
      <c r="F308" s="70" t="str">
        <f t="shared" si="88"/>
        <v>-</v>
      </c>
      <c r="G308" s="74" t="str">
        <f t="shared" si="89"/>
        <v>-</v>
      </c>
    </row>
    <row r="309" spans="2:7">
      <c r="B309" s="63" t="s">
        <v>58</v>
      </c>
      <c r="C309" s="83">
        <f t="shared" si="87"/>
        <v>0</v>
      </c>
      <c r="D309" s="69">
        <f>COUNTIFS(CAVALETE!N:N,'DADOS - FREGUESIA DO Ó'!B309,CAVALETE!Y:Y,"C")</f>
        <v>0</v>
      </c>
      <c r="E309" s="69">
        <f>COUNTIFS(CAVALETE!N:N,'DADOS - FREGUESIA DO Ó'!B309,CAVALETE!Y:Y,"NC")</f>
        <v>0</v>
      </c>
      <c r="F309" s="70" t="str">
        <f t="shared" si="88"/>
        <v>-</v>
      </c>
      <c r="G309" s="74" t="str">
        <f t="shared" si="89"/>
        <v>-</v>
      </c>
    </row>
    <row r="310" spans="2:7">
      <c r="B310" s="63" t="s">
        <v>58</v>
      </c>
      <c r="C310" s="83">
        <f t="shared" si="87"/>
        <v>0</v>
      </c>
      <c r="D310" s="69">
        <f>COUNTIFS(CAVALETE!N:N,'DADOS - FREGUESIA DO Ó'!B310,CAVALETE!Y:Y,"C")</f>
        <v>0</v>
      </c>
      <c r="E310" s="69">
        <f>COUNTIFS(CAVALETE!N:N,'DADOS - FREGUESIA DO Ó'!B310,CAVALETE!Y:Y,"NC")</f>
        <v>0</v>
      </c>
      <c r="F310" s="70" t="str">
        <f t="shared" si="88"/>
        <v>-</v>
      </c>
      <c r="G310" s="74" t="str">
        <f t="shared" si="89"/>
        <v>-</v>
      </c>
    </row>
    <row r="311" spans="2:7">
      <c r="B311" s="63" t="s">
        <v>58</v>
      </c>
      <c r="C311" s="83">
        <f t="shared" si="87"/>
        <v>0</v>
      </c>
      <c r="D311" s="69">
        <f>COUNTIFS(CAVALETE!N:N,'DADOS - FREGUESIA DO Ó'!B311,CAVALETE!Y:Y,"C")</f>
        <v>0</v>
      </c>
      <c r="E311" s="69">
        <f>COUNTIFS(CAVALETE!N:N,'DADOS - FREGUESIA DO Ó'!B311,CAVALETE!Y:Y,"NC")</f>
        <v>0</v>
      </c>
      <c r="F311" s="70" t="str">
        <f t="shared" si="88"/>
        <v>-</v>
      </c>
      <c r="G311" s="74" t="str">
        <f t="shared" si="89"/>
        <v>-</v>
      </c>
    </row>
    <row r="312" spans="2:7">
      <c r="B312" s="63" t="s">
        <v>58</v>
      </c>
      <c r="C312" s="83">
        <f t="shared" si="87"/>
        <v>0</v>
      </c>
      <c r="D312" s="69">
        <f>COUNTIFS(CAVALETE!N:N,'DADOS - FREGUESIA DO Ó'!B312,CAVALETE!Y:Y,"C")</f>
        <v>0</v>
      </c>
      <c r="E312" s="69">
        <f>COUNTIFS(CAVALETE!N:N,'DADOS - FREGUESIA DO Ó'!B312,CAVALETE!Y:Y,"NC")</f>
        <v>0</v>
      </c>
      <c r="F312" s="70" t="str">
        <f t="shared" si="88"/>
        <v>-</v>
      </c>
      <c r="G312" s="74" t="str">
        <f t="shared" si="89"/>
        <v>-</v>
      </c>
    </row>
    <row r="313" spans="2:7">
      <c r="B313" s="63" t="s">
        <v>58</v>
      </c>
      <c r="C313" s="83">
        <f t="shared" si="87"/>
        <v>0</v>
      </c>
      <c r="D313" s="69">
        <f>COUNTIFS(CAVALETE!N:N,'DADOS - FREGUESIA DO Ó'!B313,CAVALETE!Y:Y,"C")</f>
        <v>0</v>
      </c>
      <c r="E313" s="69">
        <f>COUNTIFS(CAVALETE!N:N,'DADOS - FREGUESIA DO Ó'!B313,CAVALETE!Y:Y,"NC")</f>
        <v>0</v>
      </c>
      <c r="F313" s="70" t="str">
        <f t="shared" si="88"/>
        <v>-</v>
      </c>
      <c r="G313" s="74" t="str">
        <f t="shared" si="89"/>
        <v>-</v>
      </c>
    </row>
    <row r="314" spans="2:7">
      <c r="B314" s="63" t="s">
        <v>58</v>
      </c>
      <c r="C314" s="83">
        <f t="shared" si="87"/>
        <v>0</v>
      </c>
      <c r="D314" s="69">
        <f>COUNTIFS(CAVALETE!N:N,'DADOS - FREGUESIA DO Ó'!B314,CAVALETE!Y:Y,"C")</f>
        <v>0</v>
      </c>
      <c r="E314" s="69">
        <f>COUNTIFS(CAVALETE!N:N,'DADOS - FREGUESIA DO Ó'!B314,CAVALETE!Y:Y,"NC")</f>
        <v>0</v>
      </c>
      <c r="F314" s="70" t="str">
        <f t="shared" si="88"/>
        <v>-</v>
      </c>
      <c r="G314" s="74" t="str">
        <f t="shared" si="89"/>
        <v>-</v>
      </c>
    </row>
    <row r="315" spans="2:7">
      <c r="B315" s="63" t="s">
        <v>58</v>
      </c>
      <c r="C315" s="83">
        <f t="shared" si="87"/>
        <v>0</v>
      </c>
      <c r="D315" s="69">
        <f>COUNTIFS(CAVALETE!N:N,'DADOS - FREGUESIA DO Ó'!B315,CAVALETE!Y:Y,"C")</f>
        <v>0</v>
      </c>
      <c r="E315" s="69">
        <f>COUNTIFS(CAVALETE!N:N,'DADOS - FREGUESIA DO Ó'!B315,CAVALETE!Y:Y,"NC")</f>
        <v>0</v>
      </c>
      <c r="F315" s="70" t="str">
        <f t="shared" si="88"/>
        <v>-</v>
      </c>
      <c r="G315" s="74" t="str">
        <f t="shared" si="89"/>
        <v>-</v>
      </c>
    </row>
    <row r="316" spans="2:7">
      <c r="B316" s="63" t="s">
        <v>58</v>
      </c>
      <c r="C316" s="83">
        <f t="shared" si="87"/>
        <v>0</v>
      </c>
      <c r="D316" s="69">
        <f>COUNTIFS(CAVALETE!N:N,'DADOS - FREGUESIA DO Ó'!B316,CAVALETE!Y:Y,"C")</f>
        <v>0</v>
      </c>
      <c r="E316" s="69">
        <f>COUNTIFS(CAVALETE!N:N,'DADOS - FREGUESIA DO Ó'!B316,CAVALETE!Y:Y,"NC")</f>
        <v>0</v>
      </c>
      <c r="F316" s="70" t="str">
        <f t="shared" si="88"/>
        <v>-</v>
      </c>
      <c r="G316" s="74" t="str">
        <f t="shared" si="89"/>
        <v>-</v>
      </c>
    </row>
    <row r="317" spans="2:7">
      <c r="B317" s="63" t="s">
        <v>58</v>
      </c>
      <c r="C317" s="83">
        <f t="shared" si="87"/>
        <v>0</v>
      </c>
      <c r="D317" s="69">
        <f>COUNTIFS(CAVALETE!N:N,'DADOS - FREGUESIA DO Ó'!B317,CAVALETE!Y:Y,"C")</f>
        <v>0</v>
      </c>
      <c r="E317" s="69">
        <f>COUNTIFS(CAVALETE!N:N,'DADOS - FREGUESIA DO Ó'!B317,CAVALETE!Y:Y,"NC")</f>
        <v>0</v>
      </c>
      <c r="F317" s="70" t="str">
        <f t="shared" si="88"/>
        <v>-</v>
      </c>
      <c r="G317" s="74" t="str">
        <f t="shared" si="89"/>
        <v>-</v>
      </c>
    </row>
    <row r="318" spans="2:7">
      <c r="B318" s="63" t="s">
        <v>58</v>
      </c>
      <c r="C318" s="83">
        <f t="shared" si="87"/>
        <v>0</v>
      </c>
      <c r="D318" s="69">
        <f>COUNTIFS(CAVALETE!N:N,'DADOS - FREGUESIA DO Ó'!B318,CAVALETE!Y:Y,"C")</f>
        <v>0</v>
      </c>
      <c r="E318" s="69">
        <f>COUNTIFS(CAVALETE!N:N,'DADOS - FREGUESIA DO Ó'!B318,CAVALETE!Y:Y,"NC")</f>
        <v>0</v>
      </c>
      <c r="F318" s="70" t="str">
        <f t="shared" si="88"/>
        <v>-</v>
      </c>
      <c r="G318" s="74" t="str">
        <f t="shared" si="89"/>
        <v>-</v>
      </c>
    </row>
    <row r="319" spans="2:7">
      <c r="B319" s="63" t="s">
        <v>58</v>
      </c>
      <c r="C319" s="83">
        <f t="shared" si="87"/>
        <v>0</v>
      </c>
      <c r="D319" s="69">
        <f>COUNTIFS(CAVALETE!N:N,'DADOS - FREGUESIA DO Ó'!B319,CAVALETE!Y:Y,"C")</f>
        <v>0</v>
      </c>
      <c r="E319" s="69">
        <f>COUNTIFS(CAVALETE!N:N,'DADOS - FREGUESIA DO Ó'!B319,CAVALETE!Y:Y,"NC")</f>
        <v>0</v>
      </c>
      <c r="F319" s="70" t="str">
        <f t="shared" si="88"/>
        <v>-</v>
      </c>
      <c r="G319" s="74" t="str">
        <f t="shared" si="89"/>
        <v>-</v>
      </c>
    </row>
    <row r="320" spans="2:7">
      <c r="B320" s="63" t="s">
        <v>58</v>
      </c>
      <c r="C320" s="83">
        <f t="shared" si="87"/>
        <v>0</v>
      </c>
      <c r="D320" s="69">
        <f>COUNTIFS(CAVALETE!N:N,'DADOS - FREGUESIA DO Ó'!B320,CAVALETE!Y:Y,"C")</f>
        <v>0</v>
      </c>
      <c r="E320" s="69">
        <f>COUNTIFS(CAVALETE!N:N,'DADOS - FREGUESIA DO Ó'!B320,CAVALETE!Y:Y,"NC")</f>
        <v>0</v>
      </c>
      <c r="F320" s="70" t="str">
        <f t="shared" si="88"/>
        <v>-</v>
      </c>
      <c r="G320" s="74" t="str">
        <f t="shared" si="89"/>
        <v>-</v>
      </c>
    </row>
    <row r="321" spans="2:7">
      <c r="B321" s="63" t="s">
        <v>58</v>
      </c>
      <c r="C321" s="83">
        <f t="shared" si="87"/>
        <v>0</v>
      </c>
      <c r="D321" s="69">
        <f>COUNTIFS(CAVALETE!N:N,'DADOS - FREGUESIA DO Ó'!B321,CAVALETE!Y:Y,"C")</f>
        <v>0</v>
      </c>
      <c r="E321" s="69">
        <f>COUNTIFS(CAVALETE!N:N,'DADOS - FREGUESIA DO Ó'!B321,CAVALETE!Y:Y,"NC")</f>
        <v>0</v>
      </c>
      <c r="F321" s="70" t="str">
        <f t="shared" si="88"/>
        <v>-</v>
      </c>
      <c r="G321" s="74" t="str">
        <f t="shared" si="89"/>
        <v>-</v>
      </c>
    </row>
    <row r="322" spans="2:7">
      <c r="B322" s="63" t="s">
        <v>58</v>
      </c>
      <c r="C322" s="83">
        <f t="shared" si="87"/>
        <v>0</v>
      </c>
      <c r="D322" s="69">
        <f>COUNTIFS(CAVALETE!N:N,'DADOS - FREGUESIA DO Ó'!B322,CAVALETE!Y:Y,"C")</f>
        <v>0</v>
      </c>
      <c r="E322" s="69">
        <f>COUNTIFS(CAVALETE!N:N,'DADOS - FREGUESIA DO Ó'!B322,CAVALETE!Y:Y,"NC")</f>
        <v>0</v>
      </c>
      <c r="F322" s="70" t="str">
        <f t="shared" si="88"/>
        <v>-</v>
      </c>
      <c r="G322" s="74" t="str">
        <f t="shared" si="89"/>
        <v>-</v>
      </c>
    </row>
    <row r="323" spans="2:7">
      <c r="B323" s="63" t="s">
        <v>58</v>
      </c>
      <c r="C323" s="83">
        <f t="shared" si="87"/>
        <v>0</v>
      </c>
      <c r="D323" s="69">
        <f>COUNTIFS(CAVALETE!N:N,'DADOS - FREGUESIA DO Ó'!B323,CAVALETE!Y:Y,"C")</f>
        <v>0</v>
      </c>
      <c r="E323" s="69">
        <f>COUNTIFS(CAVALETE!N:N,'DADOS - FREGUESIA DO Ó'!B323,CAVALETE!Y:Y,"NC")</f>
        <v>0</v>
      </c>
      <c r="F323" s="70" t="str">
        <f t="shared" si="88"/>
        <v>-</v>
      </c>
      <c r="G323" s="74" t="str">
        <f t="shared" si="89"/>
        <v>-</v>
      </c>
    </row>
    <row r="324" spans="2:7">
      <c r="B324" s="63" t="s">
        <v>58</v>
      </c>
      <c r="C324" s="83">
        <f t="shared" si="84"/>
        <v>0</v>
      </c>
      <c r="D324" s="69">
        <f>COUNTIFS(CAVALETE!N:N,'DADOS - FREGUESIA DO Ó'!B324,CAVALETE!Y:Y,"C")</f>
        <v>0</v>
      </c>
      <c r="E324" s="69">
        <f>COUNTIFS(CAVALETE!N:N,'DADOS - FREGUESIA DO Ó'!B324,CAVALETE!Y:Y,"NC")</f>
        <v>0</v>
      </c>
      <c r="F324" s="70" t="str">
        <f t="shared" si="85"/>
        <v>-</v>
      </c>
      <c r="G324" s="74" t="str">
        <f t="shared" si="86"/>
        <v>-</v>
      </c>
    </row>
    <row r="325" spans="2:7">
      <c r="B325" s="63" t="s">
        <v>58</v>
      </c>
      <c r="C325" s="83">
        <f t="shared" si="84"/>
        <v>0</v>
      </c>
      <c r="D325" s="69">
        <f>COUNTIFS(CAVALETE!N:N,'DADOS - FREGUESIA DO Ó'!B325,CAVALETE!Y:Y,"C")</f>
        <v>0</v>
      </c>
      <c r="E325" s="69">
        <f>COUNTIFS(CAVALETE!N:N,'DADOS - FREGUESIA DO Ó'!B325,CAVALETE!Y:Y,"NC")</f>
        <v>0</v>
      </c>
      <c r="F325" s="70" t="str">
        <f t="shared" si="85"/>
        <v>-</v>
      </c>
      <c r="G325" s="74" t="str">
        <f t="shared" si="86"/>
        <v>-</v>
      </c>
    </row>
    <row r="326" spans="2:7">
      <c r="B326" s="63" t="s">
        <v>58</v>
      </c>
      <c r="C326" s="83">
        <f t="shared" si="82"/>
        <v>0</v>
      </c>
      <c r="D326" s="69">
        <f>COUNTIFS(CAVALETE!N:N,'DADOS - FREGUESIA DO Ó'!B326,CAVALETE!Y:Y,"C")</f>
        <v>0</v>
      </c>
      <c r="E326" s="69">
        <f>COUNTIFS(CAVALETE!N:N,'DADOS - FREGUESIA DO Ó'!B326,CAVALETE!Y:Y,"NC")</f>
        <v>0</v>
      </c>
      <c r="F326" s="70" t="str">
        <f t="shared" si="83"/>
        <v>-</v>
      </c>
      <c r="G326" s="74" t="str">
        <f t="shared" si="81"/>
        <v>-</v>
      </c>
    </row>
    <row r="327" spans="2:7">
      <c r="B327" s="63" t="s">
        <v>58</v>
      </c>
      <c r="C327" s="83">
        <f t="shared" si="82"/>
        <v>0</v>
      </c>
      <c r="D327" s="69">
        <f>COUNTIFS(CAVALETE!N:N,'DADOS - FREGUESIA DO Ó'!B327,CAVALETE!Y:Y,"C")</f>
        <v>0</v>
      </c>
      <c r="E327" s="69">
        <f>COUNTIFS(CAVALETE!N:N,'DADOS - FREGUESIA DO Ó'!B327,CAVALETE!Y:Y,"NC")</f>
        <v>0</v>
      </c>
      <c r="F327" s="70" t="str">
        <f t="shared" si="83"/>
        <v>-</v>
      </c>
      <c r="G327" s="74" t="str">
        <f t="shared" si="81"/>
        <v>-</v>
      </c>
    </row>
    <row r="328" spans="2:7">
      <c r="B328" s="63" t="s">
        <v>58</v>
      </c>
      <c r="C328" s="83">
        <f t="shared" si="82"/>
        <v>0</v>
      </c>
      <c r="D328" s="69">
        <f>COUNTIFS(CAVALETE!N:N,'DADOS - FREGUESIA DO Ó'!B328,CAVALETE!Y:Y,"C")</f>
        <v>0</v>
      </c>
      <c r="E328" s="69">
        <f>COUNTIFS(CAVALETE!N:N,'DADOS - FREGUESIA DO Ó'!B328,CAVALETE!Y:Y,"NC")</f>
        <v>0</v>
      </c>
      <c r="F328" s="70" t="str">
        <f t="shared" si="83"/>
        <v>-</v>
      </c>
      <c r="G328" s="74" t="str">
        <f t="shared" si="81"/>
        <v>-</v>
      </c>
    </row>
    <row r="329" spans="2:7">
      <c r="B329" s="63" t="s">
        <v>58</v>
      </c>
      <c r="C329" s="83">
        <f t="shared" si="82"/>
        <v>0</v>
      </c>
      <c r="D329" s="69">
        <f>COUNTIFS(CAVALETE!N:N,'DADOS - FREGUESIA DO Ó'!B329,CAVALETE!Y:Y,"C")</f>
        <v>0</v>
      </c>
      <c r="E329" s="69">
        <f>COUNTIFS(CAVALETE!N:N,'DADOS - FREGUESIA DO Ó'!B329,CAVALETE!Y:Y,"NC")</f>
        <v>0</v>
      </c>
      <c r="F329" s="70" t="str">
        <f t="shared" si="83"/>
        <v>-</v>
      </c>
      <c r="G329" s="74" t="str">
        <f t="shared" si="81"/>
        <v>-</v>
      </c>
    </row>
    <row r="330" spans="2:7">
      <c r="B330" s="63" t="s">
        <v>58</v>
      </c>
      <c r="C330" s="83">
        <f t="shared" si="82"/>
        <v>0</v>
      </c>
      <c r="D330" s="69">
        <f>COUNTIFS(CAVALETE!N:N,'DADOS - FREGUESIA DO Ó'!B330,CAVALETE!Y:Y,"C")</f>
        <v>0</v>
      </c>
      <c r="E330" s="69">
        <f>COUNTIFS(CAVALETE!N:N,'DADOS - FREGUESIA DO Ó'!B330,CAVALETE!Y:Y,"NC")</f>
        <v>0</v>
      </c>
      <c r="F330" s="70" t="str">
        <f t="shared" si="83"/>
        <v>-</v>
      </c>
      <c r="G330" s="74" t="str">
        <f t="shared" si="81"/>
        <v>-</v>
      </c>
    </row>
    <row r="331" spans="2:7">
      <c r="B331" s="63" t="s">
        <v>58</v>
      </c>
      <c r="C331" s="83">
        <f t="shared" si="82"/>
        <v>0</v>
      </c>
      <c r="D331" s="69">
        <f>COUNTIFS(CAVALETE!N:N,'DADOS - FREGUESIA DO Ó'!B331,CAVALETE!Y:Y,"C")</f>
        <v>0</v>
      </c>
      <c r="E331" s="69">
        <f>COUNTIFS(CAVALETE!N:N,'DADOS - FREGUESIA DO Ó'!B331,CAVALETE!Y:Y,"NC")</f>
        <v>0</v>
      </c>
      <c r="F331" s="70" t="str">
        <f t="shared" si="83"/>
        <v>-</v>
      </c>
      <c r="G331" s="74" t="str">
        <f t="shared" si="81"/>
        <v>-</v>
      </c>
    </row>
    <row r="333" spans="2:7">
      <c r="B333" s="387" t="s">
        <v>59</v>
      </c>
      <c r="C333" s="384"/>
      <c r="D333" s="384"/>
      <c r="E333" s="384"/>
      <c r="F333" s="384"/>
      <c r="G333" s="385"/>
    </row>
    <row r="334" spans="2:7" ht="36">
      <c r="B334" s="118" t="s">
        <v>55</v>
      </c>
      <c r="C334" s="111" t="s">
        <v>56</v>
      </c>
      <c r="D334" s="112" t="s">
        <v>41</v>
      </c>
      <c r="E334" s="112" t="s">
        <v>42</v>
      </c>
      <c r="F334" s="112" t="s">
        <v>44</v>
      </c>
      <c r="G334" s="112" t="s">
        <v>57</v>
      </c>
    </row>
    <row r="335" spans="2:7" ht="20.25" customHeight="1">
      <c r="B335" s="63" t="s">
        <v>58</v>
      </c>
      <c r="C335" s="83">
        <f t="shared" ref="C335" si="90">D335+E335</f>
        <v>0</v>
      </c>
      <c r="D335" s="69">
        <f>COUNTIFS(CAVALETE!N:N,'DADOS - FREGUESIA DO Ó'!B335,CAVALETE!Z:Z,"C")</f>
        <v>0</v>
      </c>
      <c r="E335" s="69">
        <f>COUNTIFS(CAVALETE!N:N,'DADOS - FREGUESIA DO Ó'!B335,CAVALETE!Z:Z,"NC")</f>
        <v>0</v>
      </c>
      <c r="F335" s="70" t="str">
        <f t="shared" ref="F335" si="91">IFERROR(D335/C335,"-")</f>
        <v>-</v>
      </c>
      <c r="G335" s="74" t="str">
        <f t="shared" ref="G335:G374" si="92">IFERROR(100%-F335,"-")</f>
        <v>-</v>
      </c>
    </row>
    <row r="336" spans="2:7">
      <c r="B336" s="63" t="s">
        <v>58</v>
      </c>
      <c r="C336" s="83">
        <f t="shared" ref="C336:C374" si="93">D336+E336</f>
        <v>0</v>
      </c>
      <c r="D336" s="69">
        <f>COUNTIFS(CAVALETE!N:N,'DADOS - FREGUESIA DO Ó'!B336,CAVALETE!Z:Z,"C")</f>
        <v>0</v>
      </c>
      <c r="E336" s="69">
        <f>COUNTIFS(CAVALETE!N:N,'DADOS - FREGUESIA DO Ó'!B336,CAVALETE!Z:Z,"NC")</f>
        <v>0</v>
      </c>
      <c r="F336" s="70" t="str">
        <f t="shared" ref="F336:F374" si="94">IFERROR(D336/C336,"-")</f>
        <v>-</v>
      </c>
      <c r="G336" s="74" t="str">
        <f t="shared" si="92"/>
        <v>-</v>
      </c>
    </row>
    <row r="337" spans="2:7">
      <c r="B337" s="63" t="s">
        <v>58</v>
      </c>
      <c r="C337" s="83">
        <f t="shared" si="93"/>
        <v>0</v>
      </c>
      <c r="D337" s="69">
        <f>COUNTIFS(CAVALETE!N:N,'DADOS - FREGUESIA DO Ó'!B337,CAVALETE!Z:Z,"C")</f>
        <v>0</v>
      </c>
      <c r="E337" s="69">
        <f>COUNTIFS(CAVALETE!N:N,'DADOS - FREGUESIA DO Ó'!B337,CAVALETE!Z:Z,"NC")</f>
        <v>0</v>
      </c>
      <c r="F337" s="70" t="str">
        <f t="shared" si="94"/>
        <v>-</v>
      </c>
      <c r="G337" s="74" t="str">
        <f t="shared" si="92"/>
        <v>-</v>
      </c>
    </row>
    <row r="338" spans="2:7">
      <c r="B338" s="63" t="s">
        <v>58</v>
      </c>
      <c r="C338" s="83">
        <f t="shared" si="93"/>
        <v>0</v>
      </c>
      <c r="D338" s="69">
        <f>COUNTIFS(CAVALETE!N:N,'DADOS - FREGUESIA DO Ó'!B338,CAVALETE!Z:Z,"C")</f>
        <v>0</v>
      </c>
      <c r="E338" s="69">
        <f>COUNTIFS(CAVALETE!N:N,'DADOS - FREGUESIA DO Ó'!B338,CAVALETE!Z:Z,"NC")</f>
        <v>0</v>
      </c>
      <c r="F338" s="70" t="str">
        <f t="shared" si="94"/>
        <v>-</v>
      </c>
      <c r="G338" s="74" t="str">
        <f t="shared" si="92"/>
        <v>-</v>
      </c>
    </row>
    <row r="339" spans="2:7">
      <c r="B339" s="63" t="s">
        <v>58</v>
      </c>
      <c r="C339" s="83">
        <f t="shared" ref="C339:C364" si="95">D339+E339</f>
        <v>0</v>
      </c>
      <c r="D339" s="69">
        <f>COUNTIFS(CAVALETE!N:N,'DADOS - FREGUESIA DO Ó'!B339,CAVALETE!Z:Z,"C")</f>
        <v>0</v>
      </c>
      <c r="E339" s="69">
        <f>COUNTIFS(CAVALETE!N:N,'DADOS - FREGUESIA DO Ó'!B339,CAVALETE!Z:Z,"NC")</f>
        <v>0</v>
      </c>
      <c r="F339" s="70" t="str">
        <f t="shared" ref="F339:F364" si="96">IFERROR(D339/C339,"-")</f>
        <v>-</v>
      </c>
      <c r="G339" s="74" t="str">
        <f t="shared" ref="G339:G364" si="97">IFERROR(100%-F339,"-")</f>
        <v>-</v>
      </c>
    </row>
    <row r="340" spans="2:7">
      <c r="B340" s="63" t="s">
        <v>58</v>
      </c>
      <c r="C340" s="83">
        <f t="shared" si="95"/>
        <v>0</v>
      </c>
      <c r="D340" s="69">
        <f>COUNTIFS(CAVALETE!N:N,'DADOS - FREGUESIA DO Ó'!B340,CAVALETE!Z:Z,"C")</f>
        <v>0</v>
      </c>
      <c r="E340" s="69">
        <f>COUNTIFS(CAVALETE!N:N,'DADOS - FREGUESIA DO Ó'!B340,CAVALETE!Z:Z,"NC")</f>
        <v>0</v>
      </c>
      <c r="F340" s="70" t="str">
        <f t="shared" si="96"/>
        <v>-</v>
      </c>
      <c r="G340" s="74" t="str">
        <f t="shared" si="97"/>
        <v>-</v>
      </c>
    </row>
    <row r="341" spans="2:7">
      <c r="B341" s="63" t="s">
        <v>58</v>
      </c>
      <c r="C341" s="83">
        <f t="shared" si="95"/>
        <v>0</v>
      </c>
      <c r="D341" s="69">
        <f>COUNTIFS(CAVALETE!N:N,'DADOS - FREGUESIA DO Ó'!B341,CAVALETE!Z:Z,"C")</f>
        <v>0</v>
      </c>
      <c r="E341" s="69">
        <f>COUNTIFS(CAVALETE!N:N,'DADOS - FREGUESIA DO Ó'!B341,CAVALETE!Z:Z,"NC")</f>
        <v>0</v>
      </c>
      <c r="F341" s="70" t="str">
        <f t="shared" si="96"/>
        <v>-</v>
      </c>
      <c r="G341" s="74" t="str">
        <f t="shared" si="97"/>
        <v>-</v>
      </c>
    </row>
    <row r="342" spans="2:7">
      <c r="B342" s="63" t="s">
        <v>58</v>
      </c>
      <c r="C342" s="83">
        <f t="shared" si="95"/>
        <v>0</v>
      </c>
      <c r="D342" s="69">
        <f>COUNTIFS(CAVALETE!N:N,'DADOS - FREGUESIA DO Ó'!B342,CAVALETE!Z:Z,"C")</f>
        <v>0</v>
      </c>
      <c r="E342" s="69">
        <f>COUNTIFS(CAVALETE!N:N,'DADOS - FREGUESIA DO Ó'!B342,CAVALETE!Z:Z,"NC")</f>
        <v>0</v>
      </c>
      <c r="F342" s="70" t="str">
        <f t="shared" si="96"/>
        <v>-</v>
      </c>
      <c r="G342" s="74" t="str">
        <f t="shared" si="97"/>
        <v>-</v>
      </c>
    </row>
    <row r="343" spans="2:7">
      <c r="B343" s="63" t="s">
        <v>58</v>
      </c>
      <c r="C343" s="83">
        <f t="shared" si="95"/>
        <v>0</v>
      </c>
      <c r="D343" s="69">
        <f>COUNTIFS(CAVALETE!N:N,'DADOS - FREGUESIA DO Ó'!B343,CAVALETE!Z:Z,"C")</f>
        <v>0</v>
      </c>
      <c r="E343" s="69">
        <f>COUNTIFS(CAVALETE!N:N,'DADOS - FREGUESIA DO Ó'!B343,CAVALETE!Z:Z,"NC")</f>
        <v>0</v>
      </c>
      <c r="F343" s="70" t="str">
        <f t="shared" si="96"/>
        <v>-</v>
      </c>
      <c r="G343" s="74" t="str">
        <f t="shared" si="97"/>
        <v>-</v>
      </c>
    </row>
    <row r="344" spans="2:7">
      <c r="B344" s="63" t="s">
        <v>58</v>
      </c>
      <c r="C344" s="83">
        <f t="shared" si="95"/>
        <v>0</v>
      </c>
      <c r="D344" s="69">
        <f>COUNTIFS(CAVALETE!N:N,'DADOS - FREGUESIA DO Ó'!B344,CAVALETE!Z:Z,"C")</f>
        <v>0</v>
      </c>
      <c r="E344" s="69">
        <f>COUNTIFS(CAVALETE!N:N,'DADOS - FREGUESIA DO Ó'!B344,CAVALETE!Z:Z,"NC")</f>
        <v>0</v>
      </c>
      <c r="F344" s="70" t="str">
        <f t="shared" si="96"/>
        <v>-</v>
      </c>
      <c r="G344" s="74" t="str">
        <f t="shared" si="97"/>
        <v>-</v>
      </c>
    </row>
    <row r="345" spans="2:7">
      <c r="B345" s="63" t="s">
        <v>58</v>
      </c>
      <c r="C345" s="83">
        <f t="shared" si="95"/>
        <v>0</v>
      </c>
      <c r="D345" s="69">
        <f>COUNTIFS(CAVALETE!N:N,'DADOS - FREGUESIA DO Ó'!B345,CAVALETE!Z:Z,"C")</f>
        <v>0</v>
      </c>
      <c r="E345" s="69">
        <f>COUNTIFS(CAVALETE!N:N,'DADOS - FREGUESIA DO Ó'!B345,CAVALETE!Z:Z,"NC")</f>
        <v>0</v>
      </c>
      <c r="F345" s="70" t="str">
        <f t="shared" si="96"/>
        <v>-</v>
      </c>
      <c r="G345" s="74" t="str">
        <f t="shared" si="97"/>
        <v>-</v>
      </c>
    </row>
    <row r="346" spans="2:7">
      <c r="B346" s="63" t="s">
        <v>58</v>
      </c>
      <c r="C346" s="83">
        <f t="shared" si="95"/>
        <v>0</v>
      </c>
      <c r="D346" s="69">
        <f>COUNTIFS(CAVALETE!N:N,'DADOS - FREGUESIA DO Ó'!B346,CAVALETE!Z:Z,"C")</f>
        <v>0</v>
      </c>
      <c r="E346" s="69">
        <f>COUNTIFS(CAVALETE!N:N,'DADOS - FREGUESIA DO Ó'!B346,CAVALETE!Z:Z,"NC")</f>
        <v>0</v>
      </c>
      <c r="F346" s="70" t="str">
        <f t="shared" si="96"/>
        <v>-</v>
      </c>
      <c r="G346" s="74" t="str">
        <f t="shared" si="97"/>
        <v>-</v>
      </c>
    </row>
    <row r="347" spans="2:7">
      <c r="B347" s="63" t="s">
        <v>58</v>
      </c>
      <c r="C347" s="83">
        <f t="shared" si="95"/>
        <v>0</v>
      </c>
      <c r="D347" s="69">
        <f>COUNTIFS(CAVALETE!N:N,'DADOS - FREGUESIA DO Ó'!B347,CAVALETE!Z:Z,"C")</f>
        <v>0</v>
      </c>
      <c r="E347" s="69">
        <f>COUNTIFS(CAVALETE!N:N,'DADOS - FREGUESIA DO Ó'!B347,CAVALETE!Z:Z,"NC")</f>
        <v>0</v>
      </c>
      <c r="F347" s="70" t="str">
        <f t="shared" si="96"/>
        <v>-</v>
      </c>
      <c r="G347" s="74" t="str">
        <f t="shared" si="97"/>
        <v>-</v>
      </c>
    </row>
    <row r="348" spans="2:7">
      <c r="B348" s="63" t="s">
        <v>58</v>
      </c>
      <c r="C348" s="83">
        <f t="shared" si="95"/>
        <v>0</v>
      </c>
      <c r="D348" s="69">
        <f>COUNTIFS(CAVALETE!N:N,'DADOS - FREGUESIA DO Ó'!B348,CAVALETE!Z:Z,"C")</f>
        <v>0</v>
      </c>
      <c r="E348" s="69">
        <f>COUNTIFS(CAVALETE!N:N,'DADOS - FREGUESIA DO Ó'!B348,CAVALETE!Z:Z,"NC")</f>
        <v>0</v>
      </c>
      <c r="F348" s="70" t="str">
        <f t="shared" si="96"/>
        <v>-</v>
      </c>
      <c r="G348" s="74" t="str">
        <f t="shared" si="97"/>
        <v>-</v>
      </c>
    </row>
    <row r="349" spans="2:7">
      <c r="B349" s="63" t="s">
        <v>58</v>
      </c>
      <c r="C349" s="83">
        <f t="shared" si="95"/>
        <v>0</v>
      </c>
      <c r="D349" s="69">
        <f>COUNTIFS(CAVALETE!N:N,'DADOS - FREGUESIA DO Ó'!B349,CAVALETE!Z:Z,"C")</f>
        <v>0</v>
      </c>
      <c r="E349" s="69">
        <f>COUNTIFS(CAVALETE!N:N,'DADOS - FREGUESIA DO Ó'!B349,CAVALETE!Z:Z,"NC")</f>
        <v>0</v>
      </c>
      <c r="F349" s="70" t="str">
        <f t="shared" si="96"/>
        <v>-</v>
      </c>
      <c r="G349" s="74" t="str">
        <f t="shared" si="97"/>
        <v>-</v>
      </c>
    </row>
    <row r="350" spans="2:7">
      <c r="B350" s="63" t="s">
        <v>58</v>
      </c>
      <c r="C350" s="83">
        <f t="shared" si="95"/>
        <v>0</v>
      </c>
      <c r="D350" s="69">
        <f>COUNTIFS(CAVALETE!N:N,'DADOS - FREGUESIA DO Ó'!B350,CAVALETE!Z:Z,"C")</f>
        <v>0</v>
      </c>
      <c r="E350" s="69">
        <f>COUNTIFS(CAVALETE!N:N,'DADOS - FREGUESIA DO Ó'!B350,CAVALETE!Z:Z,"NC")</f>
        <v>0</v>
      </c>
      <c r="F350" s="70" t="str">
        <f t="shared" si="96"/>
        <v>-</v>
      </c>
      <c r="G350" s="74" t="str">
        <f t="shared" si="97"/>
        <v>-</v>
      </c>
    </row>
    <row r="351" spans="2:7">
      <c r="B351" s="63" t="s">
        <v>58</v>
      </c>
      <c r="C351" s="83">
        <f t="shared" si="95"/>
        <v>0</v>
      </c>
      <c r="D351" s="69">
        <f>COUNTIFS(CAVALETE!N:N,'DADOS - FREGUESIA DO Ó'!B351,CAVALETE!Z:Z,"C")</f>
        <v>0</v>
      </c>
      <c r="E351" s="69">
        <f>COUNTIFS(CAVALETE!N:N,'DADOS - FREGUESIA DO Ó'!B351,CAVALETE!Z:Z,"NC")</f>
        <v>0</v>
      </c>
      <c r="F351" s="70" t="str">
        <f t="shared" si="96"/>
        <v>-</v>
      </c>
      <c r="G351" s="74" t="str">
        <f t="shared" si="97"/>
        <v>-</v>
      </c>
    </row>
    <row r="352" spans="2:7">
      <c r="B352" s="63" t="s">
        <v>58</v>
      </c>
      <c r="C352" s="83">
        <f t="shared" si="95"/>
        <v>0</v>
      </c>
      <c r="D352" s="69">
        <f>COUNTIFS(CAVALETE!N:N,'DADOS - FREGUESIA DO Ó'!B352,CAVALETE!Z:Z,"C")</f>
        <v>0</v>
      </c>
      <c r="E352" s="69">
        <f>COUNTIFS(CAVALETE!N:N,'DADOS - FREGUESIA DO Ó'!B352,CAVALETE!Z:Z,"NC")</f>
        <v>0</v>
      </c>
      <c r="F352" s="70" t="str">
        <f t="shared" si="96"/>
        <v>-</v>
      </c>
      <c r="G352" s="74" t="str">
        <f t="shared" si="97"/>
        <v>-</v>
      </c>
    </row>
    <row r="353" spans="2:7">
      <c r="B353" s="63" t="s">
        <v>58</v>
      </c>
      <c r="C353" s="83">
        <f t="shared" si="95"/>
        <v>0</v>
      </c>
      <c r="D353" s="69">
        <f>COUNTIFS(CAVALETE!N:N,'DADOS - FREGUESIA DO Ó'!B353,CAVALETE!Z:Z,"C")</f>
        <v>0</v>
      </c>
      <c r="E353" s="69">
        <f>COUNTIFS(CAVALETE!N:N,'DADOS - FREGUESIA DO Ó'!B353,CAVALETE!Z:Z,"NC")</f>
        <v>0</v>
      </c>
      <c r="F353" s="70" t="str">
        <f t="shared" si="96"/>
        <v>-</v>
      </c>
      <c r="G353" s="74" t="str">
        <f t="shared" si="97"/>
        <v>-</v>
      </c>
    </row>
    <row r="354" spans="2:7">
      <c r="B354" s="63" t="s">
        <v>58</v>
      </c>
      <c r="C354" s="83">
        <f t="shared" si="95"/>
        <v>0</v>
      </c>
      <c r="D354" s="69">
        <f>COUNTIFS(CAVALETE!N:N,'DADOS - FREGUESIA DO Ó'!B354,CAVALETE!Z:Z,"C")</f>
        <v>0</v>
      </c>
      <c r="E354" s="69">
        <f>COUNTIFS(CAVALETE!N:N,'DADOS - FREGUESIA DO Ó'!B354,CAVALETE!Z:Z,"NC")</f>
        <v>0</v>
      </c>
      <c r="F354" s="70" t="str">
        <f t="shared" si="96"/>
        <v>-</v>
      </c>
      <c r="G354" s="74" t="str">
        <f t="shared" si="97"/>
        <v>-</v>
      </c>
    </row>
    <row r="355" spans="2:7">
      <c r="B355" s="63" t="s">
        <v>58</v>
      </c>
      <c r="C355" s="83">
        <f t="shared" si="95"/>
        <v>0</v>
      </c>
      <c r="D355" s="69">
        <f>COUNTIFS(CAVALETE!N:N,'DADOS - FREGUESIA DO Ó'!B355,CAVALETE!Z:Z,"C")</f>
        <v>0</v>
      </c>
      <c r="E355" s="69">
        <f>COUNTIFS(CAVALETE!N:N,'DADOS - FREGUESIA DO Ó'!B355,CAVALETE!Z:Z,"NC")</f>
        <v>0</v>
      </c>
      <c r="F355" s="70" t="str">
        <f t="shared" si="96"/>
        <v>-</v>
      </c>
      <c r="G355" s="74" t="str">
        <f t="shared" si="97"/>
        <v>-</v>
      </c>
    </row>
    <row r="356" spans="2:7">
      <c r="B356" s="63" t="s">
        <v>58</v>
      </c>
      <c r="C356" s="83">
        <f t="shared" si="95"/>
        <v>0</v>
      </c>
      <c r="D356" s="69">
        <f>COUNTIFS(CAVALETE!N:N,'DADOS - FREGUESIA DO Ó'!B356,CAVALETE!Z:Z,"C")</f>
        <v>0</v>
      </c>
      <c r="E356" s="69">
        <f>COUNTIFS(CAVALETE!N:N,'DADOS - FREGUESIA DO Ó'!B356,CAVALETE!Z:Z,"NC")</f>
        <v>0</v>
      </c>
      <c r="F356" s="70" t="str">
        <f t="shared" si="96"/>
        <v>-</v>
      </c>
      <c r="G356" s="74" t="str">
        <f t="shared" si="97"/>
        <v>-</v>
      </c>
    </row>
    <row r="357" spans="2:7">
      <c r="B357" s="63" t="s">
        <v>58</v>
      </c>
      <c r="C357" s="83">
        <f t="shared" si="95"/>
        <v>0</v>
      </c>
      <c r="D357" s="69">
        <f>COUNTIFS(CAVALETE!N:N,'DADOS - FREGUESIA DO Ó'!B357,CAVALETE!Z:Z,"C")</f>
        <v>0</v>
      </c>
      <c r="E357" s="69">
        <f>COUNTIFS(CAVALETE!N:N,'DADOS - FREGUESIA DO Ó'!B357,CAVALETE!Z:Z,"NC")</f>
        <v>0</v>
      </c>
      <c r="F357" s="70" t="str">
        <f t="shared" si="96"/>
        <v>-</v>
      </c>
      <c r="G357" s="74" t="str">
        <f t="shared" si="97"/>
        <v>-</v>
      </c>
    </row>
    <row r="358" spans="2:7">
      <c r="B358" s="63" t="s">
        <v>58</v>
      </c>
      <c r="C358" s="83">
        <f t="shared" si="95"/>
        <v>0</v>
      </c>
      <c r="D358" s="69">
        <f>COUNTIFS(CAVALETE!N:N,'DADOS - FREGUESIA DO Ó'!B358,CAVALETE!Z:Z,"C")</f>
        <v>0</v>
      </c>
      <c r="E358" s="69">
        <f>COUNTIFS(CAVALETE!N:N,'DADOS - FREGUESIA DO Ó'!B358,CAVALETE!Z:Z,"NC")</f>
        <v>0</v>
      </c>
      <c r="F358" s="70" t="str">
        <f t="shared" si="96"/>
        <v>-</v>
      </c>
      <c r="G358" s="74" t="str">
        <f t="shared" si="97"/>
        <v>-</v>
      </c>
    </row>
    <row r="359" spans="2:7">
      <c r="B359" s="63" t="s">
        <v>58</v>
      </c>
      <c r="C359" s="83">
        <f t="shared" si="95"/>
        <v>0</v>
      </c>
      <c r="D359" s="69">
        <f>COUNTIFS(CAVALETE!N:N,'DADOS - FREGUESIA DO Ó'!B359,CAVALETE!Z:Z,"C")</f>
        <v>0</v>
      </c>
      <c r="E359" s="69">
        <f>COUNTIFS(CAVALETE!N:N,'DADOS - FREGUESIA DO Ó'!B359,CAVALETE!Z:Z,"NC")</f>
        <v>0</v>
      </c>
      <c r="F359" s="70" t="str">
        <f t="shared" si="96"/>
        <v>-</v>
      </c>
      <c r="G359" s="74" t="str">
        <f t="shared" si="97"/>
        <v>-</v>
      </c>
    </row>
    <row r="360" spans="2:7">
      <c r="B360" s="63" t="s">
        <v>58</v>
      </c>
      <c r="C360" s="83">
        <f t="shared" si="95"/>
        <v>0</v>
      </c>
      <c r="D360" s="69">
        <f>COUNTIFS(CAVALETE!N:N,'DADOS - FREGUESIA DO Ó'!B360,CAVALETE!Z:Z,"C")</f>
        <v>0</v>
      </c>
      <c r="E360" s="69">
        <f>COUNTIFS(CAVALETE!N:N,'DADOS - FREGUESIA DO Ó'!B360,CAVALETE!Z:Z,"NC")</f>
        <v>0</v>
      </c>
      <c r="F360" s="70" t="str">
        <f t="shared" si="96"/>
        <v>-</v>
      </c>
      <c r="G360" s="74" t="str">
        <f t="shared" si="97"/>
        <v>-</v>
      </c>
    </row>
    <row r="361" spans="2:7">
      <c r="B361" s="63" t="s">
        <v>58</v>
      </c>
      <c r="C361" s="83">
        <f t="shared" si="95"/>
        <v>0</v>
      </c>
      <c r="D361" s="69">
        <f>COUNTIFS(CAVALETE!N:N,'DADOS - FREGUESIA DO Ó'!B361,CAVALETE!Z:Z,"C")</f>
        <v>0</v>
      </c>
      <c r="E361" s="69">
        <f>COUNTIFS(CAVALETE!N:N,'DADOS - FREGUESIA DO Ó'!B361,CAVALETE!Z:Z,"NC")</f>
        <v>0</v>
      </c>
      <c r="F361" s="70" t="str">
        <f t="shared" si="96"/>
        <v>-</v>
      </c>
      <c r="G361" s="74" t="str">
        <f t="shared" si="97"/>
        <v>-</v>
      </c>
    </row>
    <row r="362" spans="2:7">
      <c r="B362" s="63" t="s">
        <v>58</v>
      </c>
      <c r="C362" s="83">
        <f t="shared" si="95"/>
        <v>0</v>
      </c>
      <c r="D362" s="69">
        <f>COUNTIFS(CAVALETE!N:N,'DADOS - FREGUESIA DO Ó'!B362,CAVALETE!Z:Z,"C")</f>
        <v>0</v>
      </c>
      <c r="E362" s="69">
        <f>COUNTIFS(CAVALETE!N:N,'DADOS - FREGUESIA DO Ó'!B362,CAVALETE!Z:Z,"NC")</f>
        <v>0</v>
      </c>
      <c r="F362" s="70" t="str">
        <f t="shared" si="96"/>
        <v>-</v>
      </c>
      <c r="G362" s="74" t="str">
        <f t="shared" si="97"/>
        <v>-</v>
      </c>
    </row>
    <row r="363" spans="2:7">
      <c r="B363" s="63" t="s">
        <v>58</v>
      </c>
      <c r="C363" s="83">
        <f t="shared" si="95"/>
        <v>0</v>
      </c>
      <c r="D363" s="69">
        <f>COUNTIFS(CAVALETE!N:N,'DADOS - FREGUESIA DO Ó'!B363,CAVALETE!Z:Z,"C")</f>
        <v>0</v>
      </c>
      <c r="E363" s="69">
        <f>COUNTIFS(CAVALETE!N:N,'DADOS - FREGUESIA DO Ó'!B363,CAVALETE!Z:Z,"NC")</f>
        <v>0</v>
      </c>
      <c r="F363" s="70" t="str">
        <f t="shared" si="96"/>
        <v>-</v>
      </c>
      <c r="G363" s="74" t="str">
        <f t="shared" si="97"/>
        <v>-</v>
      </c>
    </row>
    <row r="364" spans="2:7">
      <c r="B364" s="63" t="s">
        <v>58</v>
      </c>
      <c r="C364" s="83">
        <f t="shared" si="95"/>
        <v>0</v>
      </c>
      <c r="D364" s="69">
        <f>COUNTIFS(CAVALETE!N:N,'DADOS - FREGUESIA DO Ó'!B364,CAVALETE!Z:Z,"C")</f>
        <v>0</v>
      </c>
      <c r="E364" s="69">
        <f>COUNTIFS(CAVALETE!N:N,'DADOS - FREGUESIA DO Ó'!B364,CAVALETE!Z:Z,"NC")</f>
        <v>0</v>
      </c>
      <c r="F364" s="70" t="str">
        <f t="shared" si="96"/>
        <v>-</v>
      </c>
      <c r="G364" s="74" t="str">
        <f t="shared" si="97"/>
        <v>-</v>
      </c>
    </row>
    <row r="365" spans="2:7">
      <c r="B365" s="63" t="s">
        <v>58</v>
      </c>
      <c r="C365" s="83">
        <f t="shared" si="93"/>
        <v>0</v>
      </c>
      <c r="D365" s="69">
        <f>COUNTIFS(CAVALETE!N:N,'DADOS - FREGUESIA DO Ó'!B365,CAVALETE!Z:Z,"C")</f>
        <v>0</v>
      </c>
      <c r="E365" s="69">
        <f>COUNTIFS(CAVALETE!N:N,'DADOS - FREGUESIA DO Ó'!B365,CAVALETE!Z:Z,"NC")</f>
        <v>0</v>
      </c>
      <c r="F365" s="70" t="str">
        <f t="shared" si="94"/>
        <v>-</v>
      </c>
      <c r="G365" s="74" t="str">
        <f t="shared" si="92"/>
        <v>-</v>
      </c>
    </row>
    <row r="366" spans="2:7">
      <c r="B366" s="63" t="s">
        <v>58</v>
      </c>
      <c r="C366" s="83">
        <f t="shared" si="93"/>
        <v>0</v>
      </c>
      <c r="D366" s="69">
        <f>COUNTIFS(CAVALETE!N:N,'DADOS - FREGUESIA DO Ó'!B366,CAVALETE!Z:Z,"C")</f>
        <v>0</v>
      </c>
      <c r="E366" s="69">
        <f>COUNTIFS(CAVALETE!N:N,'DADOS - FREGUESIA DO Ó'!B366,CAVALETE!Z:Z,"NC")</f>
        <v>0</v>
      </c>
      <c r="F366" s="70" t="str">
        <f t="shared" si="94"/>
        <v>-</v>
      </c>
      <c r="G366" s="74" t="str">
        <f t="shared" si="92"/>
        <v>-</v>
      </c>
    </row>
    <row r="367" spans="2:7">
      <c r="B367" s="63" t="s">
        <v>58</v>
      </c>
      <c r="C367" s="83">
        <f t="shared" si="93"/>
        <v>0</v>
      </c>
      <c r="D367" s="69">
        <f>COUNTIFS(CAVALETE!N:N,'DADOS - FREGUESIA DO Ó'!B367,CAVALETE!Z:Z,"C")</f>
        <v>0</v>
      </c>
      <c r="E367" s="69">
        <f>COUNTIFS(CAVALETE!N:N,'DADOS - FREGUESIA DO Ó'!B367,CAVALETE!Z:Z,"NC")</f>
        <v>0</v>
      </c>
      <c r="F367" s="70" t="str">
        <f t="shared" si="94"/>
        <v>-</v>
      </c>
      <c r="G367" s="74" t="str">
        <f t="shared" si="92"/>
        <v>-</v>
      </c>
    </row>
    <row r="368" spans="2:7">
      <c r="B368" s="63" t="s">
        <v>58</v>
      </c>
      <c r="C368" s="83">
        <f t="shared" ref="C368" si="98">D368+E368</f>
        <v>0</v>
      </c>
      <c r="D368" s="69">
        <f>COUNTIFS(CAVALETE!N:N,'DADOS - FREGUESIA DO Ó'!B368,CAVALETE!Z:Z,"C")</f>
        <v>0</v>
      </c>
      <c r="E368" s="69">
        <f>COUNTIFS(CAVALETE!N:N,'DADOS - FREGUESIA DO Ó'!B368,CAVALETE!Z:Z,"NC")</f>
        <v>0</v>
      </c>
      <c r="F368" s="70" t="str">
        <f t="shared" ref="F368" si="99">IFERROR(D368/C368,"-")</f>
        <v>-</v>
      </c>
      <c r="G368" s="74" t="str">
        <f t="shared" ref="G368" si="100">IFERROR(100%-F368,"-")</f>
        <v>-</v>
      </c>
    </row>
    <row r="369" spans="2:7">
      <c r="B369" s="63" t="s">
        <v>58</v>
      </c>
      <c r="C369" s="83">
        <f t="shared" si="93"/>
        <v>0</v>
      </c>
      <c r="D369" s="69">
        <f>COUNTIFS(CAVALETE!N:N,'DADOS - FREGUESIA DO Ó'!B369,CAVALETE!Z:Z,"C")</f>
        <v>0</v>
      </c>
      <c r="E369" s="69">
        <f>COUNTIFS(CAVALETE!N:N,'DADOS - FREGUESIA DO Ó'!B369,CAVALETE!Z:Z,"NC")</f>
        <v>0</v>
      </c>
      <c r="F369" s="70" t="str">
        <f t="shared" si="94"/>
        <v>-</v>
      </c>
      <c r="G369" s="74" t="str">
        <f t="shared" si="92"/>
        <v>-</v>
      </c>
    </row>
    <row r="370" spans="2:7">
      <c r="B370" s="63" t="s">
        <v>58</v>
      </c>
      <c r="C370" s="83">
        <f t="shared" si="93"/>
        <v>0</v>
      </c>
      <c r="D370" s="69">
        <f>COUNTIFS(CAVALETE!N:N,'DADOS - FREGUESIA DO Ó'!B370,CAVALETE!Z:Z,"C")</f>
        <v>0</v>
      </c>
      <c r="E370" s="69">
        <f>COUNTIFS(CAVALETE!N:N,'DADOS - FREGUESIA DO Ó'!B370,CAVALETE!Z:Z,"NC")</f>
        <v>0</v>
      </c>
      <c r="F370" s="70" t="str">
        <f t="shared" si="94"/>
        <v>-</v>
      </c>
      <c r="G370" s="74" t="str">
        <f t="shared" si="92"/>
        <v>-</v>
      </c>
    </row>
    <row r="371" spans="2:7">
      <c r="B371" s="63" t="s">
        <v>58</v>
      </c>
      <c r="C371" s="83">
        <f t="shared" si="93"/>
        <v>0</v>
      </c>
      <c r="D371" s="69">
        <f>COUNTIFS(CAVALETE!N:N,'DADOS - FREGUESIA DO Ó'!B371,CAVALETE!Z:Z,"C")</f>
        <v>0</v>
      </c>
      <c r="E371" s="69">
        <f>COUNTIFS(CAVALETE!N:N,'DADOS - FREGUESIA DO Ó'!B371,CAVALETE!Z:Z,"NC")</f>
        <v>0</v>
      </c>
      <c r="F371" s="70" t="str">
        <f t="shared" si="94"/>
        <v>-</v>
      </c>
      <c r="G371" s="74" t="str">
        <f t="shared" si="92"/>
        <v>-</v>
      </c>
    </row>
    <row r="372" spans="2:7">
      <c r="B372" s="63" t="s">
        <v>58</v>
      </c>
      <c r="C372" s="83">
        <f t="shared" si="93"/>
        <v>0</v>
      </c>
      <c r="D372" s="69">
        <f>COUNTIFS(CAVALETE!N:N,'DADOS - FREGUESIA DO Ó'!B372,CAVALETE!Z:Z,"C")</f>
        <v>0</v>
      </c>
      <c r="E372" s="69">
        <f>COUNTIFS(CAVALETE!N:N,'DADOS - FREGUESIA DO Ó'!B372,CAVALETE!Z:Z,"NC")</f>
        <v>0</v>
      </c>
      <c r="F372" s="70" t="str">
        <f t="shared" si="94"/>
        <v>-</v>
      </c>
      <c r="G372" s="74" t="str">
        <f t="shared" si="92"/>
        <v>-</v>
      </c>
    </row>
    <row r="373" spans="2:7">
      <c r="B373" s="63" t="s">
        <v>58</v>
      </c>
      <c r="C373" s="83">
        <f t="shared" si="93"/>
        <v>0</v>
      </c>
      <c r="D373" s="69">
        <f>COUNTIFS(CAVALETE!N:N,'DADOS - FREGUESIA DO Ó'!B373,CAVALETE!Z:Z,"C")</f>
        <v>0</v>
      </c>
      <c r="E373" s="69">
        <f>COUNTIFS(CAVALETE!N:N,'DADOS - FREGUESIA DO Ó'!B373,CAVALETE!Z:Z,"NC")</f>
        <v>0</v>
      </c>
      <c r="F373" s="70" t="str">
        <f t="shared" si="94"/>
        <v>-</v>
      </c>
      <c r="G373" s="74" t="str">
        <f t="shared" si="92"/>
        <v>-</v>
      </c>
    </row>
    <row r="374" spans="2:7">
      <c r="B374" s="63" t="s">
        <v>58</v>
      </c>
      <c r="C374" s="83">
        <f t="shared" si="93"/>
        <v>0</v>
      </c>
      <c r="D374" s="69">
        <f>COUNTIFS(CAVALETE!N:N,'DADOS - FREGUESIA DO Ó'!B374,CAVALETE!Z:Z,"C")</f>
        <v>0</v>
      </c>
      <c r="E374" s="69">
        <f>COUNTIFS(CAVALETE!N:N,'DADOS - FREGUESIA DO Ó'!B374,CAVALETE!Z:Z,"NC")</f>
        <v>0</v>
      </c>
      <c r="F374" s="70" t="str">
        <f t="shared" si="94"/>
        <v>-</v>
      </c>
      <c r="G374" s="74" t="str">
        <f t="shared" si="92"/>
        <v>-</v>
      </c>
    </row>
    <row r="376" spans="2:7">
      <c r="B376" s="386" t="s">
        <v>68</v>
      </c>
      <c r="C376" s="386"/>
      <c r="D376" s="386"/>
      <c r="E376" s="386"/>
      <c r="F376" s="386"/>
      <c r="G376" s="386"/>
    </row>
    <row r="378" spans="2:7">
      <c r="B378" s="391" t="s">
        <v>34</v>
      </c>
      <c r="C378" s="391"/>
      <c r="D378" s="391"/>
      <c r="E378" s="391"/>
      <c r="F378" s="391"/>
      <c r="G378" s="391"/>
    </row>
    <row r="379" spans="2:7">
      <c r="B379" s="106" t="s">
        <v>12</v>
      </c>
      <c r="C379" s="107" t="s">
        <v>35</v>
      </c>
      <c r="D379" s="107" t="s">
        <v>36</v>
      </c>
      <c r="E379" s="107" t="s">
        <v>37</v>
      </c>
      <c r="F379" s="107" t="s">
        <v>28</v>
      </c>
      <c r="G379" s="107" t="s">
        <v>29</v>
      </c>
    </row>
    <row r="380" spans="2:7">
      <c r="B380" s="123" t="s">
        <v>17</v>
      </c>
      <c r="C380" s="64">
        <f>D380+E380</f>
        <v>23</v>
      </c>
      <c r="D380" s="64">
        <f>COUNTIF(REPOSIÇÃO!AE:AE,"nc")</f>
        <v>2</v>
      </c>
      <c r="E380" s="64">
        <f>COUNTIF(REPOSIÇÃO!AE:AE,"c")</f>
        <v>21</v>
      </c>
      <c r="F380" s="16">
        <f>IFERROR(D380/C380,"-")</f>
        <v>8.6956521739130432E-2</v>
      </c>
      <c r="G380" s="16">
        <f>IFERROR(E380/C380,"-")</f>
        <v>0.91304347826086951</v>
      </c>
    </row>
    <row r="381" spans="2:7">
      <c r="B381" s="11"/>
      <c r="C381" s="11"/>
      <c r="D381" s="11"/>
      <c r="E381" s="11"/>
      <c r="F381" s="17"/>
      <c r="G381" s="17"/>
    </row>
    <row r="382" spans="2:7">
      <c r="B382" s="376" t="s">
        <v>24</v>
      </c>
      <c r="C382" s="377"/>
      <c r="D382" s="377"/>
      <c r="E382" s="377"/>
      <c r="F382" s="377"/>
      <c r="G382" s="378"/>
    </row>
    <row r="383" spans="2:7">
      <c r="B383" s="106" t="s">
        <v>12</v>
      </c>
      <c r="C383" s="107" t="s">
        <v>25</v>
      </c>
      <c r="D383" s="107" t="s">
        <v>26</v>
      </c>
      <c r="E383" s="107" t="s">
        <v>27</v>
      </c>
      <c r="F383" s="107" t="s">
        <v>28</v>
      </c>
      <c r="G383" s="107" t="s">
        <v>29</v>
      </c>
    </row>
    <row r="384" spans="2:7">
      <c r="B384" s="123" t="s">
        <v>17</v>
      </c>
      <c r="C384" s="64">
        <f>D384+E384</f>
        <v>23</v>
      </c>
      <c r="D384" s="64">
        <f>COUNTIF(REPOSIÇÃO!AF:AF,"nc")</f>
        <v>16</v>
      </c>
      <c r="E384" s="64">
        <f>COUNTIF(REPOSIÇÃO!AF:AF,"c")</f>
        <v>7</v>
      </c>
      <c r="F384" s="52">
        <f>IFERROR(D384/C384,"-")</f>
        <v>0.69565217391304346</v>
      </c>
      <c r="G384" s="52">
        <f>IFERROR(100%-F384,"-")</f>
        <v>0.30434782608695654</v>
      </c>
    </row>
    <row r="385" spans="2:7">
      <c r="B385" s="11"/>
      <c r="C385" s="11"/>
      <c r="D385" s="11"/>
      <c r="E385" s="11"/>
      <c r="F385" s="17"/>
      <c r="G385" s="17"/>
    </row>
    <row r="386" spans="2:7">
      <c r="B386" s="382" t="s">
        <v>40</v>
      </c>
      <c r="C386" s="382"/>
      <c r="D386" s="382"/>
      <c r="E386" s="382"/>
      <c r="F386" s="382"/>
      <c r="G386" s="382"/>
    </row>
    <row r="387" spans="2:7">
      <c r="B387" s="108" t="s">
        <v>6</v>
      </c>
      <c r="C387" s="109" t="s">
        <v>41</v>
      </c>
      <c r="D387" s="109" t="s">
        <v>42</v>
      </c>
      <c r="E387" s="109" t="s">
        <v>43</v>
      </c>
      <c r="F387" s="109" t="s">
        <v>44</v>
      </c>
      <c r="G387" s="109" t="s">
        <v>45</v>
      </c>
    </row>
    <row r="388" spans="2:7">
      <c r="B388" s="125" t="s">
        <v>46</v>
      </c>
      <c r="C388" s="22">
        <f>COUNTIF(REPOSIÇÃO!O:O,"C")</f>
        <v>21</v>
      </c>
      <c r="D388" s="22">
        <f>COUNTIF(REPOSIÇÃO!O:O,"NC")</f>
        <v>0</v>
      </c>
      <c r="E388" s="22">
        <f>COUNTIF(REPOSIÇÃO!O:O,"SF")</f>
        <v>2</v>
      </c>
      <c r="F388" s="71">
        <f>IFERROR(C388/(C388+D388+E388),"-")</f>
        <v>0.91304347826086951</v>
      </c>
      <c r="G388" s="74">
        <f>IFERROR(100%-F388,"-")</f>
        <v>8.6956521739130488E-2</v>
      </c>
    </row>
    <row r="389" spans="2:7">
      <c r="B389" s="125" t="s">
        <v>47</v>
      </c>
      <c r="C389" s="22">
        <f>COUNTIF(REPOSIÇÃO!Q:Q,"C")</f>
        <v>20</v>
      </c>
      <c r="D389" s="22">
        <f>COUNTIF(REPOSIÇÃO!Q:Q,"NC")</f>
        <v>1</v>
      </c>
      <c r="E389" s="22">
        <f>COUNTIF(REPOSIÇÃO!Q:Q,"SF")</f>
        <v>2</v>
      </c>
      <c r="F389" s="71">
        <f t="shared" ref="F389:F395" si="101">IFERROR(C389/(C389+D389+E389),"-")</f>
        <v>0.86956521739130432</v>
      </c>
      <c r="G389" s="74">
        <f t="shared" ref="G389:G395" si="102">IFERROR(100%-F389,"-")</f>
        <v>0.13043478260869568</v>
      </c>
    </row>
    <row r="390" spans="2:7">
      <c r="B390" s="125" t="s">
        <v>69</v>
      </c>
      <c r="C390" s="22">
        <f>COUNTIF(REPOSIÇÃO!S:S,"C")</f>
        <v>21</v>
      </c>
      <c r="D390" s="22">
        <f>COUNTIF(REPOSIÇÃO!S:S,"NC")</f>
        <v>0</v>
      </c>
      <c r="E390" s="22">
        <f>COUNTIF(REPOSIÇÃO!S:S,"SF")</f>
        <v>2</v>
      </c>
      <c r="F390" s="71">
        <f t="shared" si="101"/>
        <v>0.91304347826086951</v>
      </c>
      <c r="G390" s="74">
        <f t="shared" si="102"/>
        <v>8.6956521739130488E-2</v>
      </c>
    </row>
    <row r="391" spans="2:7">
      <c r="B391" s="125" t="s">
        <v>70</v>
      </c>
      <c r="C391" s="22">
        <f>COUNTIF(REPOSIÇÃO!U:U,"C")</f>
        <v>16</v>
      </c>
      <c r="D391" s="22">
        <f>COUNTIF(REPOSIÇÃO!U:U,"NC")</f>
        <v>1</v>
      </c>
      <c r="E391" s="22">
        <f>COUNTIF(REPOSIÇÃO!U:U,"SF")</f>
        <v>6</v>
      </c>
      <c r="F391" s="71">
        <f t="shared" si="101"/>
        <v>0.69565217391304346</v>
      </c>
      <c r="G391" s="74">
        <f t="shared" si="102"/>
        <v>0.30434782608695654</v>
      </c>
    </row>
    <row r="392" spans="2:7">
      <c r="B392" s="125" t="s">
        <v>71</v>
      </c>
      <c r="C392" s="22">
        <f>COUNTIF(REPOSIÇÃO!W:W,"C")</f>
        <v>18</v>
      </c>
      <c r="D392" s="22">
        <f>COUNTIF(REPOSIÇÃO!W:W,"NC")</f>
        <v>0</v>
      </c>
      <c r="E392" s="22">
        <f>COUNTIF(REPOSIÇÃO!W:W,"SF")</f>
        <v>5</v>
      </c>
      <c r="F392" s="71">
        <f t="shared" si="101"/>
        <v>0.78260869565217395</v>
      </c>
      <c r="G392" s="74">
        <f t="shared" si="102"/>
        <v>0.21739130434782605</v>
      </c>
    </row>
    <row r="393" spans="2:7">
      <c r="B393" s="125" t="s">
        <v>72</v>
      </c>
      <c r="C393" s="22">
        <f>COUNTIF(REPOSIÇÃO!Y:Y,"C")</f>
        <v>13</v>
      </c>
      <c r="D393" s="22">
        <f>COUNTIF(REPOSIÇÃO!Y:Y,"NC")</f>
        <v>0</v>
      </c>
      <c r="E393" s="22">
        <f>COUNTIF(REPOSIÇÃO!Y:Y,"SF")</f>
        <v>10</v>
      </c>
      <c r="F393" s="71">
        <f t="shared" si="101"/>
        <v>0.56521739130434778</v>
      </c>
      <c r="G393" s="74">
        <f t="shared" si="102"/>
        <v>0.43478260869565222</v>
      </c>
    </row>
    <row r="394" spans="2:7">
      <c r="B394" s="125" t="s">
        <v>73</v>
      </c>
      <c r="C394" s="22">
        <f>COUNTIF(REPOSIÇÃO!AA:AA,"C")</f>
        <v>20</v>
      </c>
      <c r="D394" s="22">
        <f>COUNTIF(REPOSIÇÃO!AA:AA,"NC")</f>
        <v>0</v>
      </c>
      <c r="E394" s="22">
        <f>COUNTIF(REPOSIÇÃO!AA:AA,"SF")</f>
        <v>3</v>
      </c>
      <c r="F394" s="71">
        <f t="shared" ref="F394" si="103">IFERROR(C394/(C394+D394+E394),"-")</f>
        <v>0.86956521739130432</v>
      </c>
      <c r="G394" s="74">
        <f t="shared" ref="G394" si="104">IFERROR(100%-F394,"-")</f>
        <v>0.13043478260869568</v>
      </c>
    </row>
    <row r="395" spans="2:7">
      <c r="B395" s="125" t="s">
        <v>53</v>
      </c>
      <c r="C395" s="22">
        <f>COUNTIF(REPOSIÇÃO!AC:AC,"C")</f>
        <v>11</v>
      </c>
      <c r="D395" s="22">
        <f>COUNTIF(REPOSIÇÃO!AC:AC,"NC")</f>
        <v>10</v>
      </c>
      <c r="E395" s="22">
        <f>COUNTIF(REPOSIÇÃO!AC:AC,"SF")</f>
        <v>2</v>
      </c>
      <c r="F395" s="71">
        <f t="shared" si="101"/>
        <v>0.47826086956521741</v>
      </c>
      <c r="G395" s="74">
        <f t="shared" si="102"/>
        <v>0.52173913043478259</v>
      </c>
    </row>
    <row r="398" spans="2:7">
      <c r="B398" s="387" t="s">
        <v>54</v>
      </c>
      <c r="C398" s="389"/>
      <c r="D398" s="389"/>
      <c r="E398" s="389"/>
      <c r="F398" s="389"/>
      <c r="G398" s="390"/>
    </row>
    <row r="399" spans="2:7" ht="36">
      <c r="B399" s="118" t="s">
        <v>55</v>
      </c>
      <c r="C399" s="119" t="s">
        <v>56</v>
      </c>
      <c r="D399" s="119" t="s">
        <v>41</v>
      </c>
      <c r="E399" s="119" t="s">
        <v>42</v>
      </c>
      <c r="F399" s="119" t="s">
        <v>44</v>
      </c>
      <c r="G399" s="119" t="s">
        <v>57</v>
      </c>
    </row>
    <row r="400" spans="2:7">
      <c r="B400" s="60" t="s">
        <v>58</v>
      </c>
      <c r="C400" s="82">
        <f t="shared" ref="C400" si="105">D400+E400</f>
        <v>0</v>
      </c>
      <c r="D400" s="77">
        <f>COUNTIFS(REPOSIÇÃO!N:N,'DADOS - FREGUESIA DO Ó'!B400,REPOSIÇÃO!AE:AE,"C")</f>
        <v>0</v>
      </c>
      <c r="E400" s="77">
        <f>COUNTIFS(REPOSIÇÃO!N:N,'DADOS - FREGUESIA DO Ó'!B400,REPOSIÇÃO!AE:AE,"NC")</f>
        <v>0</v>
      </c>
      <c r="F400" s="78" t="str">
        <f t="shared" ref="F400" si="106">IFERROR(D400/C400,"-")</f>
        <v>-</v>
      </c>
      <c r="G400" s="67" t="str">
        <f t="shared" ref="G400" si="107">IFERROR(100%-F400,"-")</f>
        <v>-</v>
      </c>
    </row>
    <row r="401" spans="2:7">
      <c r="B401" s="60" t="s">
        <v>58</v>
      </c>
      <c r="C401" s="82">
        <f t="shared" ref="C401" si="108">D401+E401</f>
        <v>0</v>
      </c>
      <c r="D401" s="77">
        <f>COUNTIFS(REPOSIÇÃO!N:N,'DADOS - FREGUESIA DO Ó'!B401,REPOSIÇÃO!AE:AE,"C")</f>
        <v>0</v>
      </c>
      <c r="E401" s="77">
        <f>COUNTIFS(REPOSIÇÃO!N:N,'DADOS - FREGUESIA DO Ó'!B401,REPOSIÇÃO!AE:AE,"NC")</f>
        <v>0</v>
      </c>
      <c r="F401" s="78" t="str">
        <f t="shared" ref="F401" si="109">IFERROR(D401/C401,"-")</f>
        <v>-</v>
      </c>
      <c r="G401" s="67" t="str">
        <f t="shared" ref="G401" si="110">IFERROR(100%-F401,"-")</f>
        <v>-</v>
      </c>
    </row>
    <row r="402" spans="2:7">
      <c r="B402" s="60" t="s">
        <v>58</v>
      </c>
      <c r="C402" s="82">
        <f t="shared" ref="C402:C439" si="111">D402+E402</f>
        <v>0</v>
      </c>
      <c r="D402" s="77">
        <f>COUNTIFS(REPOSIÇÃO!N:N,'DADOS - FREGUESIA DO Ó'!B402,REPOSIÇÃO!AE:AE,"C")</f>
        <v>0</v>
      </c>
      <c r="E402" s="77">
        <f>COUNTIFS(REPOSIÇÃO!N:N,'DADOS - FREGUESIA DO Ó'!B402,REPOSIÇÃO!AE:AE,"NC")</f>
        <v>0</v>
      </c>
      <c r="F402" s="78" t="str">
        <f t="shared" ref="F402:F439" si="112">IFERROR(D402/C402,"-")</f>
        <v>-</v>
      </c>
      <c r="G402" s="67" t="str">
        <f t="shared" ref="G402:G439" si="113">IFERROR(100%-F402,"-")</f>
        <v>-</v>
      </c>
    </row>
    <row r="403" spans="2:7">
      <c r="B403" s="60" t="s">
        <v>58</v>
      </c>
      <c r="C403" s="82">
        <f t="shared" si="111"/>
        <v>0</v>
      </c>
      <c r="D403" s="77">
        <f>COUNTIFS(REPOSIÇÃO!N:N,'DADOS - FREGUESIA DO Ó'!B403,REPOSIÇÃO!AE:AE,"C")</f>
        <v>0</v>
      </c>
      <c r="E403" s="77">
        <f>COUNTIFS(REPOSIÇÃO!N:N,'DADOS - FREGUESIA DO Ó'!B403,REPOSIÇÃO!AE:AE,"NC")</f>
        <v>0</v>
      </c>
      <c r="F403" s="78" t="str">
        <f t="shared" si="112"/>
        <v>-</v>
      </c>
      <c r="G403" s="67" t="str">
        <f t="shared" si="113"/>
        <v>-</v>
      </c>
    </row>
    <row r="404" spans="2:7">
      <c r="B404" s="60" t="s">
        <v>58</v>
      </c>
      <c r="C404" s="82">
        <f t="shared" si="111"/>
        <v>0</v>
      </c>
      <c r="D404" s="77">
        <f>COUNTIFS(REPOSIÇÃO!N:N,'DADOS - FREGUESIA DO Ó'!B404,REPOSIÇÃO!AE:AE,"C")</f>
        <v>0</v>
      </c>
      <c r="E404" s="77">
        <f>COUNTIFS(REPOSIÇÃO!N:N,'DADOS - FREGUESIA DO Ó'!B404,REPOSIÇÃO!AE:AE,"NC")</f>
        <v>0</v>
      </c>
      <c r="F404" s="78" t="str">
        <f t="shared" si="112"/>
        <v>-</v>
      </c>
      <c r="G404" s="67" t="str">
        <f t="shared" si="113"/>
        <v>-</v>
      </c>
    </row>
    <row r="405" spans="2:7">
      <c r="B405" s="60" t="s">
        <v>58</v>
      </c>
      <c r="C405" s="82">
        <f t="shared" si="111"/>
        <v>0</v>
      </c>
      <c r="D405" s="77">
        <f>COUNTIFS(REPOSIÇÃO!N:N,'DADOS - FREGUESIA DO Ó'!B405,REPOSIÇÃO!AE:AE,"C")</f>
        <v>0</v>
      </c>
      <c r="E405" s="77">
        <f>COUNTIFS(REPOSIÇÃO!N:N,'DADOS - FREGUESIA DO Ó'!B405,REPOSIÇÃO!AE:AE,"NC")</f>
        <v>0</v>
      </c>
      <c r="F405" s="78" t="str">
        <f t="shared" si="112"/>
        <v>-</v>
      </c>
      <c r="G405" s="67" t="str">
        <f t="shared" si="113"/>
        <v>-</v>
      </c>
    </row>
    <row r="406" spans="2:7">
      <c r="B406" s="60" t="s">
        <v>58</v>
      </c>
      <c r="C406" s="82">
        <f t="shared" si="111"/>
        <v>0</v>
      </c>
      <c r="D406" s="77">
        <f>COUNTIFS(REPOSIÇÃO!N:N,'DADOS - FREGUESIA DO Ó'!B406,REPOSIÇÃO!AE:AE,"C")</f>
        <v>0</v>
      </c>
      <c r="E406" s="77">
        <f>COUNTIFS(REPOSIÇÃO!N:N,'DADOS - FREGUESIA DO Ó'!B406,REPOSIÇÃO!AE:AE,"NC")</f>
        <v>0</v>
      </c>
      <c r="F406" s="78" t="str">
        <f t="shared" si="112"/>
        <v>-</v>
      </c>
      <c r="G406" s="67" t="str">
        <f t="shared" si="113"/>
        <v>-</v>
      </c>
    </row>
    <row r="407" spans="2:7">
      <c r="B407" s="60" t="s">
        <v>58</v>
      </c>
      <c r="C407" s="82">
        <f t="shared" si="111"/>
        <v>0</v>
      </c>
      <c r="D407" s="77">
        <f>COUNTIFS(REPOSIÇÃO!N:N,'DADOS - FREGUESIA DO Ó'!B407,REPOSIÇÃO!AE:AE,"C")</f>
        <v>0</v>
      </c>
      <c r="E407" s="77">
        <f>COUNTIFS(REPOSIÇÃO!N:N,'DADOS - FREGUESIA DO Ó'!B407,REPOSIÇÃO!AE:AE,"NC")</f>
        <v>0</v>
      </c>
      <c r="F407" s="78" t="str">
        <f t="shared" si="112"/>
        <v>-</v>
      </c>
      <c r="G407" s="67" t="str">
        <f t="shared" si="113"/>
        <v>-</v>
      </c>
    </row>
    <row r="408" spans="2:7">
      <c r="B408" s="60" t="s">
        <v>58</v>
      </c>
      <c r="C408" s="82">
        <f t="shared" si="111"/>
        <v>0</v>
      </c>
      <c r="D408" s="77">
        <f>COUNTIFS(REPOSIÇÃO!N:N,'DADOS - FREGUESIA DO Ó'!B408,REPOSIÇÃO!AE:AE,"C")</f>
        <v>0</v>
      </c>
      <c r="E408" s="77">
        <f>COUNTIFS(REPOSIÇÃO!N:N,'DADOS - FREGUESIA DO Ó'!B408,REPOSIÇÃO!AE:AE,"NC")</f>
        <v>0</v>
      </c>
      <c r="F408" s="78" t="str">
        <f t="shared" si="112"/>
        <v>-</v>
      </c>
      <c r="G408" s="67" t="str">
        <f t="shared" si="113"/>
        <v>-</v>
      </c>
    </row>
    <row r="409" spans="2:7">
      <c r="B409" s="60" t="s">
        <v>58</v>
      </c>
      <c r="C409" s="82">
        <f t="shared" si="111"/>
        <v>0</v>
      </c>
      <c r="D409" s="77">
        <f>COUNTIFS(REPOSIÇÃO!N:N,'DADOS - FREGUESIA DO Ó'!B409,REPOSIÇÃO!AE:AE,"C")</f>
        <v>0</v>
      </c>
      <c r="E409" s="77">
        <f>COUNTIFS(REPOSIÇÃO!N:N,'DADOS - FREGUESIA DO Ó'!B409,REPOSIÇÃO!AE:AE,"NC")</f>
        <v>0</v>
      </c>
      <c r="F409" s="78" t="str">
        <f t="shared" si="112"/>
        <v>-</v>
      </c>
      <c r="G409" s="67" t="str">
        <f t="shared" si="113"/>
        <v>-</v>
      </c>
    </row>
    <row r="410" spans="2:7">
      <c r="B410" s="60" t="s">
        <v>58</v>
      </c>
      <c r="C410" s="82">
        <f t="shared" si="111"/>
        <v>0</v>
      </c>
      <c r="D410" s="77">
        <f>COUNTIFS(REPOSIÇÃO!N:N,'DADOS - FREGUESIA DO Ó'!B410,REPOSIÇÃO!AE:AE,"C")</f>
        <v>0</v>
      </c>
      <c r="E410" s="77">
        <f>COUNTIFS(REPOSIÇÃO!N:N,'DADOS - FREGUESIA DO Ó'!B410,REPOSIÇÃO!AE:AE,"NC")</f>
        <v>0</v>
      </c>
      <c r="F410" s="78" t="str">
        <f t="shared" si="112"/>
        <v>-</v>
      </c>
      <c r="G410" s="67" t="str">
        <f t="shared" si="113"/>
        <v>-</v>
      </c>
    </row>
    <row r="411" spans="2:7">
      <c r="B411" s="60" t="s">
        <v>58</v>
      </c>
      <c r="C411" s="82">
        <f t="shared" si="111"/>
        <v>0</v>
      </c>
      <c r="D411" s="77">
        <f>COUNTIFS(REPOSIÇÃO!N:N,'DADOS - FREGUESIA DO Ó'!B411,REPOSIÇÃO!AE:AE,"C")</f>
        <v>0</v>
      </c>
      <c r="E411" s="77">
        <f>COUNTIFS(REPOSIÇÃO!N:N,'DADOS - FREGUESIA DO Ó'!B411,REPOSIÇÃO!AE:AE,"NC")</f>
        <v>0</v>
      </c>
      <c r="F411" s="78" t="str">
        <f t="shared" si="112"/>
        <v>-</v>
      </c>
      <c r="G411" s="67" t="str">
        <f t="shared" si="113"/>
        <v>-</v>
      </c>
    </row>
    <row r="412" spans="2:7">
      <c r="B412" s="60" t="s">
        <v>58</v>
      </c>
      <c r="C412" s="82">
        <f t="shared" si="111"/>
        <v>0</v>
      </c>
      <c r="D412" s="77">
        <f>COUNTIFS(REPOSIÇÃO!N:N,'DADOS - FREGUESIA DO Ó'!B412,REPOSIÇÃO!AE:AE,"C")</f>
        <v>0</v>
      </c>
      <c r="E412" s="77">
        <f>COUNTIFS(REPOSIÇÃO!N:N,'DADOS - FREGUESIA DO Ó'!B412,REPOSIÇÃO!AE:AE,"NC")</f>
        <v>0</v>
      </c>
      <c r="F412" s="78" t="str">
        <f t="shared" si="112"/>
        <v>-</v>
      </c>
      <c r="G412" s="67" t="str">
        <f t="shared" si="113"/>
        <v>-</v>
      </c>
    </row>
    <row r="413" spans="2:7">
      <c r="B413" s="60" t="s">
        <v>58</v>
      </c>
      <c r="C413" s="82">
        <f t="shared" si="111"/>
        <v>0</v>
      </c>
      <c r="D413" s="77">
        <f>COUNTIFS(REPOSIÇÃO!N:N,'DADOS - FREGUESIA DO Ó'!B413,REPOSIÇÃO!AE:AE,"C")</f>
        <v>0</v>
      </c>
      <c r="E413" s="77">
        <f>COUNTIFS(REPOSIÇÃO!N:N,'DADOS - FREGUESIA DO Ó'!B413,REPOSIÇÃO!AE:AE,"NC")</f>
        <v>0</v>
      </c>
      <c r="F413" s="78" t="str">
        <f t="shared" si="112"/>
        <v>-</v>
      </c>
      <c r="G413" s="67" t="str">
        <f t="shared" si="113"/>
        <v>-</v>
      </c>
    </row>
    <row r="414" spans="2:7">
      <c r="B414" s="60" t="s">
        <v>58</v>
      </c>
      <c r="C414" s="82">
        <f t="shared" si="111"/>
        <v>0</v>
      </c>
      <c r="D414" s="77">
        <f>COUNTIFS(REPOSIÇÃO!N:N,'DADOS - FREGUESIA DO Ó'!B414,REPOSIÇÃO!AE:AE,"C")</f>
        <v>0</v>
      </c>
      <c r="E414" s="77">
        <f>COUNTIFS(REPOSIÇÃO!N:N,'DADOS - FREGUESIA DO Ó'!B414,REPOSIÇÃO!AE:AE,"NC")</f>
        <v>0</v>
      </c>
      <c r="F414" s="78" t="str">
        <f t="shared" si="112"/>
        <v>-</v>
      </c>
      <c r="G414" s="67" t="str">
        <f t="shared" si="113"/>
        <v>-</v>
      </c>
    </row>
    <row r="415" spans="2:7">
      <c r="B415" s="60" t="s">
        <v>58</v>
      </c>
      <c r="C415" s="82">
        <f t="shared" si="111"/>
        <v>0</v>
      </c>
      <c r="D415" s="77">
        <f>COUNTIFS(REPOSIÇÃO!N:N,'DADOS - FREGUESIA DO Ó'!B415,REPOSIÇÃO!AE:AE,"C")</f>
        <v>0</v>
      </c>
      <c r="E415" s="77">
        <f>COUNTIFS(REPOSIÇÃO!N:N,'DADOS - FREGUESIA DO Ó'!B415,REPOSIÇÃO!AE:AE,"NC")</f>
        <v>0</v>
      </c>
      <c r="F415" s="78" t="str">
        <f t="shared" si="112"/>
        <v>-</v>
      </c>
      <c r="G415" s="67" t="str">
        <f t="shared" si="113"/>
        <v>-</v>
      </c>
    </row>
    <row r="416" spans="2:7">
      <c r="B416" s="60" t="s">
        <v>58</v>
      </c>
      <c r="C416" s="82">
        <f t="shared" si="111"/>
        <v>0</v>
      </c>
      <c r="D416" s="77">
        <f>COUNTIFS(REPOSIÇÃO!N:N,'DADOS - FREGUESIA DO Ó'!B416,REPOSIÇÃO!AE:AE,"C")</f>
        <v>0</v>
      </c>
      <c r="E416" s="77">
        <f>COUNTIFS(REPOSIÇÃO!N:N,'DADOS - FREGUESIA DO Ó'!B416,REPOSIÇÃO!AE:AE,"NC")</f>
        <v>0</v>
      </c>
      <c r="F416" s="78" t="str">
        <f t="shared" si="112"/>
        <v>-</v>
      </c>
      <c r="G416" s="67" t="str">
        <f t="shared" si="113"/>
        <v>-</v>
      </c>
    </row>
    <row r="417" spans="2:7">
      <c r="B417" s="60" t="s">
        <v>58</v>
      </c>
      <c r="C417" s="82">
        <f t="shared" si="111"/>
        <v>0</v>
      </c>
      <c r="D417" s="77">
        <f>COUNTIFS(REPOSIÇÃO!N:N,'DADOS - FREGUESIA DO Ó'!B417,REPOSIÇÃO!AE:AE,"C")</f>
        <v>0</v>
      </c>
      <c r="E417" s="77">
        <f>COUNTIFS(REPOSIÇÃO!N:N,'DADOS - FREGUESIA DO Ó'!B417,REPOSIÇÃO!AE:AE,"NC")</f>
        <v>0</v>
      </c>
      <c r="F417" s="78" t="str">
        <f t="shared" si="112"/>
        <v>-</v>
      </c>
      <c r="G417" s="67" t="str">
        <f t="shared" si="113"/>
        <v>-</v>
      </c>
    </row>
    <row r="418" spans="2:7">
      <c r="B418" s="60" t="s">
        <v>58</v>
      </c>
      <c r="C418" s="82">
        <f t="shared" si="111"/>
        <v>0</v>
      </c>
      <c r="D418" s="77">
        <f>COUNTIFS(REPOSIÇÃO!N:N,'DADOS - FREGUESIA DO Ó'!B418,REPOSIÇÃO!AE:AE,"C")</f>
        <v>0</v>
      </c>
      <c r="E418" s="77">
        <f>COUNTIFS(REPOSIÇÃO!N:N,'DADOS - FREGUESIA DO Ó'!B418,REPOSIÇÃO!AE:AE,"NC")</f>
        <v>0</v>
      </c>
      <c r="F418" s="78" t="str">
        <f t="shared" si="112"/>
        <v>-</v>
      </c>
      <c r="G418" s="67" t="str">
        <f t="shared" si="113"/>
        <v>-</v>
      </c>
    </row>
    <row r="419" spans="2:7">
      <c r="B419" s="60" t="s">
        <v>58</v>
      </c>
      <c r="C419" s="82">
        <f t="shared" si="111"/>
        <v>0</v>
      </c>
      <c r="D419" s="77">
        <f>COUNTIFS(REPOSIÇÃO!N:N,'DADOS - FREGUESIA DO Ó'!B419,REPOSIÇÃO!AE:AE,"C")</f>
        <v>0</v>
      </c>
      <c r="E419" s="77">
        <f>COUNTIFS(REPOSIÇÃO!N:N,'DADOS - FREGUESIA DO Ó'!B419,REPOSIÇÃO!AE:AE,"NC")</f>
        <v>0</v>
      </c>
      <c r="F419" s="78" t="str">
        <f t="shared" si="112"/>
        <v>-</v>
      </c>
      <c r="G419" s="67" t="str">
        <f t="shared" si="113"/>
        <v>-</v>
      </c>
    </row>
    <row r="420" spans="2:7">
      <c r="B420" s="60" t="s">
        <v>58</v>
      </c>
      <c r="C420" s="82">
        <f t="shared" si="111"/>
        <v>0</v>
      </c>
      <c r="D420" s="77">
        <f>COUNTIFS(REPOSIÇÃO!N:N,'DADOS - FREGUESIA DO Ó'!B420,REPOSIÇÃO!AE:AE,"C")</f>
        <v>0</v>
      </c>
      <c r="E420" s="77">
        <f>COUNTIFS(REPOSIÇÃO!N:N,'DADOS - FREGUESIA DO Ó'!B420,REPOSIÇÃO!AE:AE,"NC")</f>
        <v>0</v>
      </c>
      <c r="F420" s="78" t="str">
        <f t="shared" si="112"/>
        <v>-</v>
      </c>
      <c r="G420" s="67" t="str">
        <f t="shared" si="113"/>
        <v>-</v>
      </c>
    </row>
    <row r="421" spans="2:7">
      <c r="B421" s="60" t="s">
        <v>58</v>
      </c>
      <c r="C421" s="82">
        <f t="shared" si="111"/>
        <v>0</v>
      </c>
      <c r="D421" s="77">
        <f>COUNTIFS(REPOSIÇÃO!N:N,'DADOS - FREGUESIA DO Ó'!B421,REPOSIÇÃO!AE:AE,"C")</f>
        <v>0</v>
      </c>
      <c r="E421" s="77">
        <f>COUNTIFS(REPOSIÇÃO!N:N,'DADOS - FREGUESIA DO Ó'!B421,REPOSIÇÃO!AE:AE,"NC")</f>
        <v>0</v>
      </c>
      <c r="F421" s="78" t="str">
        <f t="shared" si="112"/>
        <v>-</v>
      </c>
      <c r="G421" s="67" t="str">
        <f t="shared" si="113"/>
        <v>-</v>
      </c>
    </row>
    <row r="422" spans="2:7">
      <c r="B422" s="60" t="s">
        <v>58</v>
      </c>
      <c r="C422" s="82">
        <f t="shared" si="111"/>
        <v>0</v>
      </c>
      <c r="D422" s="77">
        <f>COUNTIFS(REPOSIÇÃO!N:N,'DADOS - FREGUESIA DO Ó'!B422,REPOSIÇÃO!AE:AE,"C")</f>
        <v>0</v>
      </c>
      <c r="E422" s="77">
        <f>COUNTIFS(REPOSIÇÃO!N:N,'DADOS - FREGUESIA DO Ó'!B422,REPOSIÇÃO!AE:AE,"NC")</f>
        <v>0</v>
      </c>
      <c r="F422" s="78" t="str">
        <f t="shared" si="112"/>
        <v>-</v>
      </c>
      <c r="G422" s="67" t="str">
        <f t="shared" si="113"/>
        <v>-</v>
      </c>
    </row>
    <row r="423" spans="2:7">
      <c r="B423" s="60" t="s">
        <v>58</v>
      </c>
      <c r="C423" s="82">
        <f t="shared" si="111"/>
        <v>0</v>
      </c>
      <c r="D423" s="77">
        <f>COUNTIFS(REPOSIÇÃO!N:N,'DADOS - FREGUESIA DO Ó'!B423,REPOSIÇÃO!AE:AE,"C")</f>
        <v>0</v>
      </c>
      <c r="E423" s="77">
        <f>COUNTIFS(REPOSIÇÃO!N:N,'DADOS - FREGUESIA DO Ó'!B423,REPOSIÇÃO!AE:AE,"NC")</f>
        <v>0</v>
      </c>
      <c r="F423" s="78" t="str">
        <f t="shared" si="112"/>
        <v>-</v>
      </c>
      <c r="G423" s="67" t="str">
        <f t="shared" si="113"/>
        <v>-</v>
      </c>
    </row>
    <row r="424" spans="2:7">
      <c r="B424" s="60" t="s">
        <v>58</v>
      </c>
      <c r="C424" s="82">
        <f t="shared" si="111"/>
        <v>0</v>
      </c>
      <c r="D424" s="77">
        <f>COUNTIFS(REPOSIÇÃO!N:N,'DADOS - FREGUESIA DO Ó'!B424,REPOSIÇÃO!AE:AE,"C")</f>
        <v>0</v>
      </c>
      <c r="E424" s="77">
        <f>COUNTIFS(REPOSIÇÃO!N:N,'DADOS - FREGUESIA DO Ó'!B424,REPOSIÇÃO!AE:AE,"NC")</f>
        <v>0</v>
      </c>
      <c r="F424" s="78" t="str">
        <f t="shared" si="112"/>
        <v>-</v>
      </c>
      <c r="G424" s="67" t="str">
        <f t="shared" si="113"/>
        <v>-</v>
      </c>
    </row>
    <row r="425" spans="2:7">
      <c r="B425" s="60" t="s">
        <v>58</v>
      </c>
      <c r="C425" s="82">
        <f t="shared" si="111"/>
        <v>0</v>
      </c>
      <c r="D425" s="77">
        <f>COUNTIFS(REPOSIÇÃO!N:N,'DADOS - FREGUESIA DO Ó'!B425,REPOSIÇÃO!AE:AE,"C")</f>
        <v>0</v>
      </c>
      <c r="E425" s="77">
        <f>COUNTIFS(REPOSIÇÃO!N:N,'DADOS - FREGUESIA DO Ó'!B425,REPOSIÇÃO!AE:AE,"NC")</f>
        <v>0</v>
      </c>
      <c r="F425" s="78" t="str">
        <f t="shared" si="112"/>
        <v>-</v>
      </c>
      <c r="G425" s="67" t="str">
        <f t="shared" si="113"/>
        <v>-</v>
      </c>
    </row>
    <row r="426" spans="2:7">
      <c r="B426" s="60" t="s">
        <v>58</v>
      </c>
      <c r="C426" s="82">
        <f t="shared" si="111"/>
        <v>0</v>
      </c>
      <c r="D426" s="77">
        <f>COUNTIFS(REPOSIÇÃO!N:N,'DADOS - FREGUESIA DO Ó'!B426,REPOSIÇÃO!AE:AE,"C")</f>
        <v>0</v>
      </c>
      <c r="E426" s="77">
        <f>COUNTIFS(REPOSIÇÃO!N:N,'DADOS - FREGUESIA DO Ó'!B426,REPOSIÇÃO!AE:AE,"NC")</f>
        <v>0</v>
      </c>
      <c r="F426" s="78" t="str">
        <f t="shared" si="112"/>
        <v>-</v>
      </c>
      <c r="G426" s="67" t="str">
        <f t="shared" si="113"/>
        <v>-</v>
      </c>
    </row>
    <row r="427" spans="2:7">
      <c r="B427" s="60" t="s">
        <v>58</v>
      </c>
      <c r="C427" s="82">
        <f t="shared" si="111"/>
        <v>0</v>
      </c>
      <c r="D427" s="77">
        <f>COUNTIFS(REPOSIÇÃO!N:N,'DADOS - FREGUESIA DO Ó'!B427,REPOSIÇÃO!AE:AE,"C")</f>
        <v>0</v>
      </c>
      <c r="E427" s="77">
        <f>COUNTIFS(REPOSIÇÃO!N:N,'DADOS - FREGUESIA DO Ó'!B427,REPOSIÇÃO!AE:AE,"NC")</f>
        <v>0</v>
      </c>
      <c r="F427" s="78" t="str">
        <f t="shared" si="112"/>
        <v>-</v>
      </c>
      <c r="G427" s="67" t="str">
        <f t="shared" si="113"/>
        <v>-</v>
      </c>
    </row>
    <row r="428" spans="2:7">
      <c r="B428" s="60" t="s">
        <v>58</v>
      </c>
      <c r="C428" s="82">
        <f t="shared" si="111"/>
        <v>0</v>
      </c>
      <c r="D428" s="77">
        <f>COUNTIFS(REPOSIÇÃO!N:N,'DADOS - FREGUESIA DO Ó'!B428,REPOSIÇÃO!AE:AE,"C")</f>
        <v>0</v>
      </c>
      <c r="E428" s="77">
        <f>COUNTIFS(REPOSIÇÃO!N:N,'DADOS - FREGUESIA DO Ó'!B428,REPOSIÇÃO!AE:AE,"NC")</f>
        <v>0</v>
      </c>
      <c r="F428" s="78" t="str">
        <f t="shared" si="112"/>
        <v>-</v>
      </c>
      <c r="G428" s="67" t="str">
        <f t="shared" si="113"/>
        <v>-</v>
      </c>
    </row>
    <row r="429" spans="2:7">
      <c r="B429" s="60" t="s">
        <v>58</v>
      </c>
      <c r="C429" s="82">
        <f t="shared" si="111"/>
        <v>0</v>
      </c>
      <c r="D429" s="77">
        <f>COUNTIFS(REPOSIÇÃO!N:N,'DADOS - FREGUESIA DO Ó'!B429,REPOSIÇÃO!AE:AE,"C")</f>
        <v>0</v>
      </c>
      <c r="E429" s="77">
        <f>COUNTIFS(REPOSIÇÃO!N:N,'DADOS - FREGUESIA DO Ó'!B429,REPOSIÇÃO!AE:AE,"NC")</f>
        <v>0</v>
      </c>
      <c r="F429" s="78" t="str">
        <f t="shared" si="112"/>
        <v>-</v>
      </c>
      <c r="G429" s="67" t="str">
        <f t="shared" si="113"/>
        <v>-</v>
      </c>
    </row>
    <row r="430" spans="2:7">
      <c r="B430" s="60" t="s">
        <v>58</v>
      </c>
      <c r="C430" s="82">
        <f t="shared" si="111"/>
        <v>0</v>
      </c>
      <c r="D430" s="77">
        <f>COUNTIFS(REPOSIÇÃO!N:N,'DADOS - FREGUESIA DO Ó'!B430,REPOSIÇÃO!AE:AE,"C")</f>
        <v>0</v>
      </c>
      <c r="E430" s="77">
        <f>COUNTIFS(REPOSIÇÃO!N:N,'DADOS - FREGUESIA DO Ó'!B430,REPOSIÇÃO!AE:AE,"NC")</f>
        <v>0</v>
      </c>
      <c r="F430" s="78" t="str">
        <f t="shared" si="112"/>
        <v>-</v>
      </c>
      <c r="G430" s="67" t="str">
        <f t="shared" si="113"/>
        <v>-</v>
      </c>
    </row>
    <row r="431" spans="2:7">
      <c r="B431" s="60" t="s">
        <v>58</v>
      </c>
      <c r="C431" s="82">
        <f t="shared" si="111"/>
        <v>0</v>
      </c>
      <c r="D431" s="77">
        <f>COUNTIFS(REPOSIÇÃO!N:N,'DADOS - FREGUESIA DO Ó'!B431,REPOSIÇÃO!AE:AE,"C")</f>
        <v>0</v>
      </c>
      <c r="E431" s="77">
        <f>COUNTIFS(REPOSIÇÃO!N:N,'DADOS - FREGUESIA DO Ó'!B431,REPOSIÇÃO!AE:AE,"NC")</f>
        <v>0</v>
      </c>
      <c r="F431" s="78" t="str">
        <f t="shared" si="112"/>
        <v>-</v>
      </c>
      <c r="G431" s="67" t="str">
        <f t="shared" si="113"/>
        <v>-</v>
      </c>
    </row>
    <row r="432" spans="2:7">
      <c r="B432" s="60" t="s">
        <v>58</v>
      </c>
      <c r="C432" s="82">
        <f t="shared" si="111"/>
        <v>0</v>
      </c>
      <c r="D432" s="77">
        <f>COUNTIFS(REPOSIÇÃO!N:N,'DADOS - FREGUESIA DO Ó'!B432,REPOSIÇÃO!AE:AE,"C")</f>
        <v>0</v>
      </c>
      <c r="E432" s="77">
        <f>COUNTIFS(REPOSIÇÃO!N:N,'DADOS - FREGUESIA DO Ó'!B432,REPOSIÇÃO!AE:AE,"NC")</f>
        <v>0</v>
      </c>
      <c r="F432" s="78" t="str">
        <f t="shared" si="112"/>
        <v>-</v>
      </c>
      <c r="G432" s="67" t="str">
        <f t="shared" si="113"/>
        <v>-</v>
      </c>
    </row>
    <row r="433" spans="2:7">
      <c r="B433" s="60" t="s">
        <v>58</v>
      </c>
      <c r="C433" s="82">
        <f t="shared" si="111"/>
        <v>0</v>
      </c>
      <c r="D433" s="77">
        <f>COUNTIFS(REPOSIÇÃO!N:N,'DADOS - FREGUESIA DO Ó'!B433,REPOSIÇÃO!AE:AE,"C")</f>
        <v>0</v>
      </c>
      <c r="E433" s="77">
        <f>COUNTIFS(REPOSIÇÃO!N:N,'DADOS - FREGUESIA DO Ó'!B433,REPOSIÇÃO!AE:AE,"NC")</f>
        <v>0</v>
      </c>
      <c r="F433" s="78" t="str">
        <f t="shared" si="112"/>
        <v>-</v>
      </c>
      <c r="G433" s="67" t="str">
        <f t="shared" si="113"/>
        <v>-</v>
      </c>
    </row>
    <row r="434" spans="2:7">
      <c r="B434" s="60" t="s">
        <v>58</v>
      </c>
      <c r="C434" s="82">
        <f t="shared" si="111"/>
        <v>0</v>
      </c>
      <c r="D434" s="77">
        <f>COUNTIFS(REPOSIÇÃO!N:N,'DADOS - FREGUESIA DO Ó'!B434,REPOSIÇÃO!AE:AE,"C")</f>
        <v>0</v>
      </c>
      <c r="E434" s="77">
        <f>COUNTIFS(REPOSIÇÃO!N:N,'DADOS - FREGUESIA DO Ó'!B434,REPOSIÇÃO!AE:AE,"NC")</f>
        <v>0</v>
      </c>
      <c r="F434" s="78" t="str">
        <f t="shared" si="112"/>
        <v>-</v>
      </c>
      <c r="G434" s="67" t="str">
        <f t="shared" si="113"/>
        <v>-</v>
      </c>
    </row>
    <row r="435" spans="2:7">
      <c r="B435" s="60" t="s">
        <v>58</v>
      </c>
      <c r="C435" s="82">
        <f t="shared" si="111"/>
        <v>0</v>
      </c>
      <c r="D435" s="77">
        <f>COUNTIFS(REPOSIÇÃO!N:N,'DADOS - FREGUESIA DO Ó'!B435,REPOSIÇÃO!AE:AE,"C")</f>
        <v>0</v>
      </c>
      <c r="E435" s="77">
        <f>COUNTIFS(REPOSIÇÃO!N:N,'DADOS - FREGUESIA DO Ó'!B435,REPOSIÇÃO!AE:AE,"NC")</f>
        <v>0</v>
      </c>
      <c r="F435" s="78" t="str">
        <f t="shared" si="112"/>
        <v>-</v>
      </c>
      <c r="G435" s="67" t="str">
        <f t="shared" si="113"/>
        <v>-</v>
      </c>
    </row>
    <row r="436" spans="2:7">
      <c r="B436" s="60" t="s">
        <v>58</v>
      </c>
      <c r="C436" s="82">
        <f t="shared" si="111"/>
        <v>0</v>
      </c>
      <c r="D436" s="77">
        <f>COUNTIFS(REPOSIÇÃO!N:N,'DADOS - FREGUESIA DO Ó'!B436,REPOSIÇÃO!AE:AE,"C")</f>
        <v>0</v>
      </c>
      <c r="E436" s="77">
        <f>COUNTIFS(REPOSIÇÃO!N:N,'DADOS - FREGUESIA DO Ó'!B436,REPOSIÇÃO!AE:AE,"NC")</f>
        <v>0</v>
      </c>
      <c r="F436" s="78" t="str">
        <f t="shared" si="112"/>
        <v>-</v>
      </c>
      <c r="G436" s="67" t="str">
        <f t="shared" si="113"/>
        <v>-</v>
      </c>
    </row>
    <row r="437" spans="2:7">
      <c r="B437" s="60" t="s">
        <v>58</v>
      </c>
      <c r="C437" s="82">
        <f t="shared" si="111"/>
        <v>0</v>
      </c>
      <c r="D437" s="77">
        <f>COUNTIFS(REPOSIÇÃO!N:N,'DADOS - FREGUESIA DO Ó'!B437,REPOSIÇÃO!AE:AE,"C")</f>
        <v>0</v>
      </c>
      <c r="E437" s="77">
        <f>COUNTIFS(REPOSIÇÃO!N:N,'DADOS - FREGUESIA DO Ó'!B437,REPOSIÇÃO!AE:AE,"NC")</f>
        <v>0</v>
      </c>
      <c r="F437" s="78" t="str">
        <f t="shared" si="112"/>
        <v>-</v>
      </c>
      <c r="G437" s="67" t="str">
        <f t="shared" si="113"/>
        <v>-</v>
      </c>
    </row>
    <row r="438" spans="2:7">
      <c r="B438" s="60" t="s">
        <v>58</v>
      </c>
      <c r="C438" s="82">
        <f t="shared" si="111"/>
        <v>0</v>
      </c>
      <c r="D438" s="77">
        <f>COUNTIFS(REPOSIÇÃO!N:N,'DADOS - FREGUESIA DO Ó'!B438,REPOSIÇÃO!AE:AE,"C")</f>
        <v>0</v>
      </c>
      <c r="E438" s="77">
        <f>COUNTIFS(REPOSIÇÃO!N:N,'DADOS - FREGUESIA DO Ó'!B438,REPOSIÇÃO!AE:AE,"NC")</f>
        <v>0</v>
      </c>
      <c r="F438" s="78" t="str">
        <f t="shared" si="112"/>
        <v>-</v>
      </c>
      <c r="G438" s="67" t="str">
        <f t="shared" si="113"/>
        <v>-</v>
      </c>
    </row>
    <row r="439" spans="2:7">
      <c r="B439" s="60" t="s">
        <v>58</v>
      </c>
      <c r="C439" s="82">
        <f t="shared" si="111"/>
        <v>0</v>
      </c>
      <c r="D439" s="77">
        <f>COUNTIFS(REPOSIÇÃO!N:N,'DADOS - FREGUESIA DO Ó'!B439,REPOSIÇÃO!AE:AE,"C")</f>
        <v>0</v>
      </c>
      <c r="E439" s="77">
        <f>COUNTIFS(REPOSIÇÃO!N:N,'DADOS - FREGUESIA DO Ó'!B439,REPOSIÇÃO!AE:AE,"NC")</f>
        <v>0</v>
      </c>
      <c r="F439" s="78" t="str">
        <f t="shared" si="112"/>
        <v>-</v>
      </c>
      <c r="G439" s="67" t="str">
        <f t="shared" si="113"/>
        <v>-</v>
      </c>
    </row>
    <row r="442" spans="2:7">
      <c r="B442" s="387" t="s">
        <v>59</v>
      </c>
      <c r="C442" s="389"/>
      <c r="D442" s="389"/>
      <c r="E442" s="389"/>
      <c r="F442" s="389"/>
      <c r="G442" s="390"/>
    </row>
    <row r="443" spans="2:7" ht="36">
      <c r="B443" s="118" t="s">
        <v>55</v>
      </c>
      <c r="C443" s="119" t="s">
        <v>56</v>
      </c>
      <c r="D443" s="119" t="s">
        <v>41</v>
      </c>
      <c r="E443" s="119" t="s">
        <v>42</v>
      </c>
      <c r="F443" s="119" t="s">
        <v>44</v>
      </c>
      <c r="G443" s="119" t="s">
        <v>57</v>
      </c>
    </row>
    <row r="444" spans="2:7">
      <c r="B444" s="60" t="s">
        <v>58</v>
      </c>
      <c r="C444" s="82">
        <f t="shared" ref="C444" si="114">D444+E444</f>
        <v>0</v>
      </c>
      <c r="D444" s="79">
        <f>COUNTIFS(REPOSIÇÃO!N:N,'DADOS - FREGUESIA DO Ó'!B444,REPOSIÇÃO!AF:AF,"C")</f>
        <v>0</v>
      </c>
      <c r="E444" s="80">
        <f>COUNTIFS(REPOSIÇÃO!N:N,'DADOS - FREGUESIA DO Ó'!B444,REPOSIÇÃO!AF:AF,"NC")</f>
        <v>0</v>
      </c>
      <c r="F444" s="81" t="str">
        <f t="shared" ref="F444" si="115">IFERROR(D444/C444,"-")</f>
        <v>-</v>
      </c>
      <c r="G444" s="67" t="str">
        <f t="shared" ref="G444" si="116">IFERROR(100%-F444,"-")</f>
        <v>-</v>
      </c>
    </row>
    <row r="445" spans="2:7">
      <c r="B445" s="60" t="s">
        <v>58</v>
      </c>
      <c r="C445" s="82">
        <f t="shared" ref="C445:C483" si="117">D445+E445</f>
        <v>0</v>
      </c>
      <c r="D445" s="79">
        <f>COUNTIFS(REPOSIÇÃO!N:N,'DADOS - FREGUESIA DO Ó'!B445,REPOSIÇÃO!AF:AF,"C")</f>
        <v>0</v>
      </c>
      <c r="E445" s="80">
        <f>COUNTIFS(REPOSIÇÃO!N:N,'DADOS - FREGUESIA DO Ó'!B445,REPOSIÇÃO!AF:AF,"NC")</f>
        <v>0</v>
      </c>
      <c r="F445" s="81" t="str">
        <f t="shared" ref="F445:F483" si="118">IFERROR(D445/C445,"-")</f>
        <v>-</v>
      </c>
      <c r="G445" s="67" t="str">
        <f t="shared" ref="G445:G483" si="119">IFERROR(100%-F445,"-")</f>
        <v>-</v>
      </c>
    </row>
    <row r="446" spans="2:7">
      <c r="B446" s="60" t="s">
        <v>58</v>
      </c>
      <c r="C446" s="82">
        <f t="shared" ref="C446:C482" si="120">D446+E446</f>
        <v>0</v>
      </c>
      <c r="D446" s="79">
        <f>COUNTIFS(REPOSIÇÃO!N:N,'DADOS - FREGUESIA DO Ó'!B446,REPOSIÇÃO!AF:AF,"C")</f>
        <v>0</v>
      </c>
      <c r="E446" s="80">
        <f>COUNTIFS(REPOSIÇÃO!N:N,'DADOS - FREGUESIA DO Ó'!B446,REPOSIÇÃO!AF:AF,"NC")</f>
        <v>0</v>
      </c>
      <c r="F446" s="81" t="str">
        <f t="shared" ref="F446:F482" si="121">IFERROR(D446/C446,"-")</f>
        <v>-</v>
      </c>
      <c r="G446" s="67" t="str">
        <f t="shared" ref="G446:G482" si="122">IFERROR(100%-F446,"-")</f>
        <v>-</v>
      </c>
    </row>
    <row r="447" spans="2:7">
      <c r="B447" s="60" t="s">
        <v>58</v>
      </c>
      <c r="C447" s="82">
        <f t="shared" ref="C447:C481" si="123">D447+E447</f>
        <v>0</v>
      </c>
      <c r="D447" s="79">
        <f>COUNTIFS(REPOSIÇÃO!N:N,'DADOS - FREGUESIA DO Ó'!B447,REPOSIÇÃO!AF:AF,"C")</f>
        <v>0</v>
      </c>
      <c r="E447" s="80">
        <f>COUNTIFS(REPOSIÇÃO!N:N,'DADOS - FREGUESIA DO Ó'!B447,REPOSIÇÃO!AF:AF,"NC")</f>
        <v>0</v>
      </c>
      <c r="F447" s="81" t="str">
        <f t="shared" ref="F447:F481" si="124">IFERROR(D447/C447,"-")</f>
        <v>-</v>
      </c>
      <c r="G447" s="67" t="str">
        <f t="shared" ref="G447:G481" si="125">IFERROR(100%-F447,"-")</f>
        <v>-</v>
      </c>
    </row>
    <row r="448" spans="2:7">
      <c r="B448" s="60" t="s">
        <v>58</v>
      </c>
      <c r="C448" s="82">
        <f t="shared" si="123"/>
        <v>0</v>
      </c>
      <c r="D448" s="79">
        <f>COUNTIFS(REPOSIÇÃO!N:N,'DADOS - FREGUESIA DO Ó'!B448,REPOSIÇÃO!AF:AF,"C")</f>
        <v>0</v>
      </c>
      <c r="E448" s="80">
        <f>COUNTIFS(REPOSIÇÃO!N:N,'DADOS - FREGUESIA DO Ó'!B448,REPOSIÇÃO!AF:AF,"NC")</f>
        <v>0</v>
      </c>
      <c r="F448" s="81" t="str">
        <f t="shared" si="124"/>
        <v>-</v>
      </c>
      <c r="G448" s="67" t="str">
        <f t="shared" si="125"/>
        <v>-</v>
      </c>
    </row>
    <row r="449" spans="2:7">
      <c r="B449" s="60" t="s">
        <v>58</v>
      </c>
      <c r="C449" s="82">
        <f t="shared" si="123"/>
        <v>0</v>
      </c>
      <c r="D449" s="79">
        <f>COUNTIFS(REPOSIÇÃO!N:N,'DADOS - FREGUESIA DO Ó'!B449,REPOSIÇÃO!AF:AF,"C")</f>
        <v>0</v>
      </c>
      <c r="E449" s="80">
        <f>COUNTIFS(REPOSIÇÃO!N:N,'DADOS - FREGUESIA DO Ó'!B449,REPOSIÇÃO!AF:AF,"NC")</f>
        <v>0</v>
      </c>
      <c r="F449" s="81" t="str">
        <f t="shared" si="124"/>
        <v>-</v>
      </c>
      <c r="G449" s="67" t="str">
        <f t="shared" si="125"/>
        <v>-</v>
      </c>
    </row>
    <row r="450" spans="2:7">
      <c r="B450" s="60" t="s">
        <v>58</v>
      </c>
      <c r="C450" s="82">
        <f t="shared" si="123"/>
        <v>0</v>
      </c>
      <c r="D450" s="79">
        <f>COUNTIFS(REPOSIÇÃO!N:N,'DADOS - FREGUESIA DO Ó'!B450,REPOSIÇÃO!AF:AF,"C")</f>
        <v>0</v>
      </c>
      <c r="E450" s="80">
        <f>COUNTIFS(REPOSIÇÃO!N:N,'DADOS - FREGUESIA DO Ó'!B450,REPOSIÇÃO!AF:AF,"NC")</f>
        <v>0</v>
      </c>
      <c r="F450" s="81" t="str">
        <f t="shared" si="124"/>
        <v>-</v>
      </c>
      <c r="G450" s="67" t="str">
        <f t="shared" si="125"/>
        <v>-</v>
      </c>
    </row>
    <row r="451" spans="2:7">
      <c r="B451" s="60" t="s">
        <v>58</v>
      </c>
      <c r="C451" s="82">
        <f t="shared" si="123"/>
        <v>0</v>
      </c>
      <c r="D451" s="79">
        <f>COUNTIFS(REPOSIÇÃO!N:N,'DADOS - FREGUESIA DO Ó'!B451,REPOSIÇÃO!AF:AF,"C")</f>
        <v>0</v>
      </c>
      <c r="E451" s="80">
        <f>COUNTIFS(REPOSIÇÃO!N:N,'DADOS - FREGUESIA DO Ó'!B451,REPOSIÇÃO!AF:AF,"NC")</f>
        <v>0</v>
      </c>
      <c r="F451" s="81" t="str">
        <f t="shared" si="124"/>
        <v>-</v>
      </c>
      <c r="G451" s="67" t="str">
        <f t="shared" si="125"/>
        <v>-</v>
      </c>
    </row>
    <row r="452" spans="2:7">
      <c r="B452" s="60" t="s">
        <v>58</v>
      </c>
      <c r="C452" s="82">
        <f t="shared" si="123"/>
        <v>0</v>
      </c>
      <c r="D452" s="79">
        <f>COUNTIFS(REPOSIÇÃO!N:N,'DADOS - FREGUESIA DO Ó'!B452,REPOSIÇÃO!AF:AF,"C")</f>
        <v>0</v>
      </c>
      <c r="E452" s="80">
        <f>COUNTIFS(REPOSIÇÃO!N:N,'DADOS - FREGUESIA DO Ó'!B452,REPOSIÇÃO!AF:AF,"NC")</f>
        <v>0</v>
      </c>
      <c r="F452" s="81" t="str">
        <f t="shared" si="124"/>
        <v>-</v>
      </c>
      <c r="G452" s="67" t="str">
        <f t="shared" si="125"/>
        <v>-</v>
      </c>
    </row>
    <row r="453" spans="2:7">
      <c r="B453" s="60" t="s">
        <v>58</v>
      </c>
      <c r="C453" s="82">
        <f t="shared" si="123"/>
        <v>0</v>
      </c>
      <c r="D453" s="79">
        <f>COUNTIFS(REPOSIÇÃO!N:N,'DADOS - FREGUESIA DO Ó'!B453,REPOSIÇÃO!AF:AF,"C")</f>
        <v>0</v>
      </c>
      <c r="E453" s="80">
        <f>COUNTIFS(REPOSIÇÃO!N:N,'DADOS - FREGUESIA DO Ó'!B453,REPOSIÇÃO!AF:AF,"NC")</f>
        <v>0</v>
      </c>
      <c r="F453" s="81" t="str">
        <f t="shared" si="124"/>
        <v>-</v>
      </c>
      <c r="G453" s="67" t="str">
        <f t="shared" si="125"/>
        <v>-</v>
      </c>
    </row>
    <row r="454" spans="2:7">
      <c r="B454" s="60" t="s">
        <v>58</v>
      </c>
      <c r="C454" s="82">
        <f t="shared" si="123"/>
        <v>0</v>
      </c>
      <c r="D454" s="79">
        <f>COUNTIFS(REPOSIÇÃO!N:N,'DADOS - FREGUESIA DO Ó'!B454,REPOSIÇÃO!AF:AF,"C")</f>
        <v>0</v>
      </c>
      <c r="E454" s="80">
        <f>COUNTIFS(REPOSIÇÃO!N:N,'DADOS - FREGUESIA DO Ó'!B454,REPOSIÇÃO!AF:AF,"NC")</f>
        <v>0</v>
      </c>
      <c r="F454" s="81" t="str">
        <f t="shared" si="124"/>
        <v>-</v>
      </c>
      <c r="G454" s="67" t="str">
        <f t="shared" si="125"/>
        <v>-</v>
      </c>
    </row>
    <row r="455" spans="2:7">
      <c r="B455" s="60" t="s">
        <v>58</v>
      </c>
      <c r="C455" s="82">
        <f t="shared" si="123"/>
        <v>0</v>
      </c>
      <c r="D455" s="79">
        <f>COUNTIFS(REPOSIÇÃO!N:N,'DADOS - FREGUESIA DO Ó'!B455,REPOSIÇÃO!AF:AF,"C")</f>
        <v>0</v>
      </c>
      <c r="E455" s="80">
        <f>COUNTIFS(REPOSIÇÃO!N:N,'DADOS - FREGUESIA DO Ó'!B455,REPOSIÇÃO!AF:AF,"NC")</f>
        <v>0</v>
      </c>
      <c r="F455" s="81" t="str">
        <f t="shared" si="124"/>
        <v>-</v>
      </c>
      <c r="G455" s="67" t="str">
        <f t="shared" si="125"/>
        <v>-</v>
      </c>
    </row>
    <row r="456" spans="2:7">
      <c r="B456" s="60" t="s">
        <v>58</v>
      </c>
      <c r="C456" s="82">
        <f t="shared" si="123"/>
        <v>0</v>
      </c>
      <c r="D456" s="79">
        <f>COUNTIFS(REPOSIÇÃO!N:N,'DADOS - FREGUESIA DO Ó'!B456,REPOSIÇÃO!AF:AF,"C")</f>
        <v>0</v>
      </c>
      <c r="E456" s="80">
        <f>COUNTIFS(REPOSIÇÃO!N:N,'DADOS - FREGUESIA DO Ó'!B456,REPOSIÇÃO!AF:AF,"NC")</f>
        <v>0</v>
      </c>
      <c r="F456" s="81" t="str">
        <f t="shared" si="124"/>
        <v>-</v>
      </c>
      <c r="G456" s="67" t="str">
        <f t="shared" si="125"/>
        <v>-</v>
      </c>
    </row>
    <row r="457" spans="2:7">
      <c r="B457" s="60" t="s">
        <v>58</v>
      </c>
      <c r="C457" s="82">
        <f t="shared" si="123"/>
        <v>0</v>
      </c>
      <c r="D457" s="79">
        <f>COUNTIFS(REPOSIÇÃO!N:N,'DADOS - FREGUESIA DO Ó'!B457,REPOSIÇÃO!AF:AF,"C")</f>
        <v>0</v>
      </c>
      <c r="E457" s="80">
        <f>COUNTIFS(REPOSIÇÃO!N:N,'DADOS - FREGUESIA DO Ó'!B457,REPOSIÇÃO!AF:AF,"NC")</f>
        <v>0</v>
      </c>
      <c r="F457" s="81" t="str">
        <f t="shared" si="124"/>
        <v>-</v>
      </c>
      <c r="G457" s="67" t="str">
        <f t="shared" si="125"/>
        <v>-</v>
      </c>
    </row>
    <row r="458" spans="2:7">
      <c r="B458" s="60" t="s">
        <v>58</v>
      </c>
      <c r="C458" s="82">
        <f t="shared" si="123"/>
        <v>0</v>
      </c>
      <c r="D458" s="79">
        <f>COUNTIFS(REPOSIÇÃO!N:N,'DADOS - FREGUESIA DO Ó'!B458,REPOSIÇÃO!AF:AF,"C")</f>
        <v>0</v>
      </c>
      <c r="E458" s="80">
        <f>COUNTIFS(REPOSIÇÃO!N:N,'DADOS - FREGUESIA DO Ó'!B458,REPOSIÇÃO!AF:AF,"NC")</f>
        <v>0</v>
      </c>
      <c r="F458" s="81" t="str">
        <f t="shared" si="124"/>
        <v>-</v>
      </c>
      <c r="G458" s="67" t="str">
        <f t="shared" si="125"/>
        <v>-</v>
      </c>
    </row>
    <row r="459" spans="2:7">
      <c r="B459" s="60" t="s">
        <v>58</v>
      </c>
      <c r="C459" s="82">
        <f t="shared" si="123"/>
        <v>0</v>
      </c>
      <c r="D459" s="79">
        <f>COUNTIFS(REPOSIÇÃO!N:N,'DADOS - FREGUESIA DO Ó'!B459,REPOSIÇÃO!AF:AF,"C")</f>
        <v>0</v>
      </c>
      <c r="E459" s="80">
        <f>COUNTIFS(REPOSIÇÃO!N:N,'DADOS - FREGUESIA DO Ó'!B459,REPOSIÇÃO!AF:AF,"NC")</f>
        <v>0</v>
      </c>
      <c r="F459" s="81" t="str">
        <f t="shared" si="124"/>
        <v>-</v>
      </c>
      <c r="G459" s="67" t="str">
        <f t="shared" si="125"/>
        <v>-</v>
      </c>
    </row>
    <row r="460" spans="2:7">
      <c r="B460" s="60" t="s">
        <v>58</v>
      </c>
      <c r="C460" s="82">
        <f t="shared" si="123"/>
        <v>0</v>
      </c>
      <c r="D460" s="79">
        <f>COUNTIFS(REPOSIÇÃO!N:N,'DADOS - FREGUESIA DO Ó'!B460,REPOSIÇÃO!AF:AF,"C")</f>
        <v>0</v>
      </c>
      <c r="E460" s="80">
        <f>COUNTIFS(REPOSIÇÃO!N:N,'DADOS - FREGUESIA DO Ó'!B460,REPOSIÇÃO!AF:AF,"NC")</f>
        <v>0</v>
      </c>
      <c r="F460" s="81" t="str">
        <f t="shared" si="124"/>
        <v>-</v>
      </c>
      <c r="G460" s="67" t="str">
        <f t="shared" si="125"/>
        <v>-</v>
      </c>
    </row>
    <row r="461" spans="2:7">
      <c r="B461" s="60" t="s">
        <v>58</v>
      </c>
      <c r="C461" s="82">
        <f t="shared" si="123"/>
        <v>0</v>
      </c>
      <c r="D461" s="79">
        <f>COUNTIFS(REPOSIÇÃO!N:N,'DADOS - FREGUESIA DO Ó'!B461,REPOSIÇÃO!AF:AF,"C")</f>
        <v>0</v>
      </c>
      <c r="E461" s="80">
        <f>COUNTIFS(REPOSIÇÃO!N:N,'DADOS - FREGUESIA DO Ó'!B461,REPOSIÇÃO!AF:AF,"NC")</f>
        <v>0</v>
      </c>
      <c r="F461" s="81" t="str">
        <f t="shared" si="124"/>
        <v>-</v>
      </c>
      <c r="G461" s="67" t="str">
        <f t="shared" si="125"/>
        <v>-</v>
      </c>
    </row>
    <row r="462" spans="2:7">
      <c r="B462" s="60" t="s">
        <v>58</v>
      </c>
      <c r="C462" s="82">
        <f t="shared" si="123"/>
        <v>0</v>
      </c>
      <c r="D462" s="79">
        <f>COUNTIFS(REPOSIÇÃO!N:N,'DADOS - FREGUESIA DO Ó'!B462,REPOSIÇÃO!AF:AF,"C")</f>
        <v>0</v>
      </c>
      <c r="E462" s="80">
        <f>COUNTIFS(REPOSIÇÃO!N:N,'DADOS - FREGUESIA DO Ó'!B462,REPOSIÇÃO!AF:AF,"NC")</f>
        <v>0</v>
      </c>
      <c r="F462" s="81" t="str">
        <f t="shared" si="124"/>
        <v>-</v>
      </c>
      <c r="G462" s="67" t="str">
        <f t="shared" si="125"/>
        <v>-</v>
      </c>
    </row>
    <row r="463" spans="2:7">
      <c r="B463" s="60" t="s">
        <v>58</v>
      </c>
      <c r="C463" s="82">
        <f t="shared" si="123"/>
        <v>0</v>
      </c>
      <c r="D463" s="79">
        <f>COUNTIFS(REPOSIÇÃO!N:N,'DADOS - FREGUESIA DO Ó'!B463,REPOSIÇÃO!AF:AF,"C")</f>
        <v>0</v>
      </c>
      <c r="E463" s="80">
        <f>COUNTIFS(REPOSIÇÃO!N:N,'DADOS - FREGUESIA DO Ó'!B463,REPOSIÇÃO!AF:AF,"NC")</f>
        <v>0</v>
      </c>
      <c r="F463" s="81" t="str">
        <f t="shared" si="124"/>
        <v>-</v>
      </c>
      <c r="G463" s="67" t="str">
        <f t="shared" si="125"/>
        <v>-</v>
      </c>
    </row>
    <row r="464" spans="2:7">
      <c r="B464" s="60" t="s">
        <v>58</v>
      </c>
      <c r="C464" s="82">
        <f t="shared" si="123"/>
        <v>0</v>
      </c>
      <c r="D464" s="79">
        <f>COUNTIFS(REPOSIÇÃO!N:N,'DADOS - FREGUESIA DO Ó'!B464,REPOSIÇÃO!AF:AF,"C")</f>
        <v>0</v>
      </c>
      <c r="E464" s="80">
        <f>COUNTIFS(REPOSIÇÃO!N:N,'DADOS - FREGUESIA DO Ó'!B464,REPOSIÇÃO!AF:AF,"NC")</f>
        <v>0</v>
      </c>
      <c r="F464" s="81" t="str">
        <f t="shared" si="124"/>
        <v>-</v>
      </c>
      <c r="G464" s="67" t="str">
        <f t="shared" si="125"/>
        <v>-</v>
      </c>
    </row>
    <row r="465" spans="2:7">
      <c r="B465" s="60" t="s">
        <v>58</v>
      </c>
      <c r="C465" s="82">
        <f t="shared" si="123"/>
        <v>0</v>
      </c>
      <c r="D465" s="79">
        <f>COUNTIFS(REPOSIÇÃO!N:N,'DADOS - FREGUESIA DO Ó'!B465,REPOSIÇÃO!AF:AF,"C")</f>
        <v>0</v>
      </c>
      <c r="E465" s="80">
        <f>COUNTIFS(REPOSIÇÃO!N:N,'DADOS - FREGUESIA DO Ó'!B465,REPOSIÇÃO!AF:AF,"NC")</f>
        <v>0</v>
      </c>
      <c r="F465" s="81" t="str">
        <f t="shared" si="124"/>
        <v>-</v>
      </c>
      <c r="G465" s="67" t="str">
        <f t="shared" si="125"/>
        <v>-</v>
      </c>
    </row>
    <row r="466" spans="2:7">
      <c r="B466" s="60" t="s">
        <v>58</v>
      </c>
      <c r="C466" s="82">
        <f t="shared" si="123"/>
        <v>0</v>
      </c>
      <c r="D466" s="79">
        <f>COUNTIFS(REPOSIÇÃO!N:N,'DADOS - FREGUESIA DO Ó'!B466,REPOSIÇÃO!AF:AF,"C")</f>
        <v>0</v>
      </c>
      <c r="E466" s="80">
        <f>COUNTIFS(REPOSIÇÃO!N:N,'DADOS - FREGUESIA DO Ó'!B466,REPOSIÇÃO!AF:AF,"NC")</f>
        <v>0</v>
      </c>
      <c r="F466" s="81" t="str">
        <f t="shared" si="124"/>
        <v>-</v>
      </c>
      <c r="G466" s="67" t="str">
        <f t="shared" si="125"/>
        <v>-</v>
      </c>
    </row>
    <row r="467" spans="2:7">
      <c r="B467" s="60" t="s">
        <v>58</v>
      </c>
      <c r="C467" s="82">
        <f t="shared" si="123"/>
        <v>0</v>
      </c>
      <c r="D467" s="79">
        <f>COUNTIFS(REPOSIÇÃO!N:N,'DADOS - FREGUESIA DO Ó'!B467,REPOSIÇÃO!AF:AF,"C")</f>
        <v>0</v>
      </c>
      <c r="E467" s="80">
        <f>COUNTIFS(REPOSIÇÃO!N:N,'DADOS - FREGUESIA DO Ó'!B467,REPOSIÇÃO!AF:AF,"NC")</f>
        <v>0</v>
      </c>
      <c r="F467" s="81" t="str">
        <f t="shared" si="124"/>
        <v>-</v>
      </c>
      <c r="G467" s="67" t="str">
        <f t="shared" si="125"/>
        <v>-</v>
      </c>
    </row>
    <row r="468" spans="2:7">
      <c r="B468" s="60" t="s">
        <v>58</v>
      </c>
      <c r="C468" s="82">
        <f t="shared" si="123"/>
        <v>0</v>
      </c>
      <c r="D468" s="79">
        <f>COUNTIFS(REPOSIÇÃO!N:N,'DADOS - FREGUESIA DO Ó'!B468,REPOSIÇÃO!AF:AF,"C")</f>
        <v>0</v>
      </c>
      <c r="E468" s="80">
        <f>COUNTIFS(REPOSIÇÃO!N:N,'DADOS - FREGUESIA DO Ó'!B468,REPOSIÇÃO!AF:AF,"NC")</f>
        <v>0</v>
      </c>
      <c r="F468" s="81" t="str">
        <f t="shared" si="124"/>
        <v>-</v>
      </c>
      <c r="G468" s="67" t="str">
        <f t="shared" si="125"/>
        <v>-</v>
      </c>
    </row>
    <row r="469" spans="2:7">
      <c r="B469" s="60" t="s">
        <v>58</v>
      </c>
      <c r="C469" s="82">
        <f t="shared" si="123"/>
        <v>0</v>
      </c>
      <c r="D469" s="79">
        <f>COUNTIFS(REPOSIÇÃO!N:N,'DADOS - FREGUESIA DO Ó'!B469,REPOSIÇÃO!AF:AF,"C")</f>
        <v>0</v>
      </c>
      <c r="E469" s="80">
        <f>COUNTIFS(REPOSIÇÃO!N:N,'DADOS - FREGUESIA DO Ó'!B469,REPOSIÇÃO!AF:AF,"NC")</f>
        <v>0</v>
      </c>
      <c r="F469" s="81" t="str">
        <f t="shared" si="124"/>
        <v>-</v>
      </c>
      <c r="G469" s="67" t="str">
        <f t="shared" si="125"/>
        <v>-</v>
      </c>
    </row>
    <row r="470" spans="2:7">
      <c r="B470" s="60" t="s">
        <v>58</v>
      </c>
      <c r="C470" s="82">
        <f t="shared" si="123"/>
        <v>0</v>
      </c>
      <c r="D470" s="79">
        <f>COUNTIFS(REPOSIÇÃO!N:N,'DADOS - FREGUESIA DO Ó'!B470,REPOSIÇÃO!AF:AF,"C")</f>
        <v>0</v>
      </c>
      <c r="E470" s="80">
        <f>COUNTIFS(REPOSIÇÃO!N:N,'DADOS - FREGUESIA DO Ó'!B470,REPOSIÇÃO!AF:AF,"NC")</f>
        <v>0</v>
      </c>
      <c r="F470" s="81" t="str">
        <f t="shared" si="124"/>
        <v>-</v>
      </c>
      <c r="G470" s="67" t="str">
        <f t="shared" si="125"/>
        <v>-</v>
      </c>
    </row>
    <row r="471" spans="2:7">
      <c r="B471" s="60" t="s">
        <v>58</v>
      </c>
      <c r="C471" s="82">
        <f t="shared" si="123"/>
        <v>0</v>
      </c>
      <c r="D471" s="79">
        <f>COUNTIFS(REPOSIÇÃO!N:N,'DADOS - FREGUESIA DO Ó'!B471,REPOSIÇÃO!AF:AF,"C")</f>
        <v>0</v>
      </c>
      <c r="E471" s="80">
        <f>COUNTIFS(REPOSIÇÃO!N:N,'DADOS - FREGUESIA DO Ó'!B471,REPOSIÇÃO!AF:AF,"NC")</f>
        <v>0</v>
      </c>
      <c r="F471" s="81" t="str">
        <f t="shared" si="124"/>
        <v>-</v>
      </c>
      <c r="G471" s="67" t="str">
        <f t="shared" si="125"/>
        <v>-</v>
      </c>
    </row>
    <row r="472" spans="2:7">
      <c r="B472" s="60" t="s">
        <v>58</v>
      </c>
      <c r="C472" s="82">
        <f t="shared" si="123"/>
        <v>0</v>
      </c>
      <c r="D472" s="79">
        <f>COUNTIFS(REPOSIÇÃO!N:N,'DADOS - FREGUESIA DO Ó'!B472,REPOSIÇÃO!AF:AF,"C")</f>
        <v>0</v>
      </c>
      <c r="E472" s="80">
        <f>COUNTIFS(REPOSIÇÃO!N:N,'DADOS - FREGUESIA DO Ó'!B472,REPOSIÇÃO!AF:AF,"NC")</f>
        <v>0</v>
      </c>
      <c r="F472" s="81" t="str">
        <f t="shared" si="124"/>
        <v>-</v>
      </c>
      <c r="G472" s="67" t="str">
        <f t="shared" si="125"/>
        <v>-</v>
      </c>
    </row>
    <row r="473" spans="2:7">
      <c r="B473" s="60" t="s">
        <v>58</v>
      </c>
      <c r="C473" s="82">
        <f t="shared" si="123"/>
        <v>0</v>
      </c>
      <c r="D473" s="79">
        <f>COUNTIFS(REPOSIÇÃO!N:N,'DADOS - FREGUESIA DO Ó'!B473,REPOSIÇÃO!AF:AF,"C")</f>
        <v>0</v>
      </c>
      <c r="E473" s="80">
        <f>COUNTIFS(REPOSIÇÃO!N:N,'DADOS - FREGUESIA DO Ó'!B473,REPOSIÇÃO!AF:AF,"NC")</f>
        <v>0</v>
      </c>
      <c r="F473" s="81" t="str">
        <f t="shared" si="124"/>
        <v>-</v>
      </c>
      <c r="G473" s="67" t="str">
        <f t="shared" si="125"/>
        <v>-</v>
      </c>
    </row>
    <row r="474" spans="2:7">
      <c r="B474" s="60" t="s">
        <v>58</v>
      </c>
      <c r="C474" s="82">
        <f t="shared" si="123"/>
        <v>0</v>
      </c>
      <c r="D474" s="79">
        <f>COUNTIFS(REPOSIÇÃO!N:N,'DADOS - FREGUESIA DO Ó'!B474,REPOSIÇÃO!AF:AF,"C")</f>
        <v>0</v>
      </c>
      <c r="E474" s="80">
        <f>COUNTIFS(REPOSIÇÃO!N:N,'DADOS - FREGUESIA DO Ó'!B474,REPOSIÇÃO!AF:AF,"NC")</f>
        <v>0</v>
      </c>
      <c r="F474" s="81" t="str">
        <f t="shared" si="124"/>
        <v>-</v>
      </c>
      <c r="G474" s="67" t="str">
        <f t="shared" si="125"/>
        <v>-</v>
      </c>
    </row>
    <row r="475" spans="2:7">
      <c r="B475" s="60" t="s">
        <v>58</v>
      </c>
      <c r="C475" s="82">
        <f t="shared" si="123"/>
        <v>0</v>
      </c>
      <c r="D475" s="79">
        <f>COUNTIFS(REPOSIÇÃO!N:N,'DADOS - FREGUESIA DO Ó'!B475,REPOSIÇÃO!AF:AF,"C")</f>
        <v>0</v>
      </c>
      <c r="E475" s="80">
        <f>COUNTIFS(REPOSIÇÃO!N:N,'DADOS - FREGUESIA DO Ó'!B475,REPOSIÇÃO!AF:AF,"NC")</f>
        <v>0</v>
      </c>
      <c r="F475" s="81" t="str">
        <f t="shared" si="124"/>
        <v>-</v>
      </c>
      <c r="G475" s="67" t="str">
        <f t="shared" si="125"/>
        <v>-</v>
      </c>
    </row>
    <row r="476" spans="2:7">
      <c r="B476" s="60" t="s">
        <v>58</v>
      </c>
      <c r="C476" s="82">
        <f t="shared" si="123"/>
        <v>0</v>
      </c>
      <c r="D476" s="79">
        <f>COUNTIFS(REPOSIÇÃO!N:N,'DADOS - FREGUESIA DO Ó'!B476,REPOSIÇÃO!AF:AF,"C")</f>
        <v>0</v>
      </c>
      <c r="E476" s="80">
        <f>COUNTIFS(REPOSIÇÃO!N:N,'DADOS - FREGUESIA DO Ó'!B476,REPOSIÇÃO!AF:AF,"NC")</f>
        <v>0</v>
      </c>
      <c r="F476" s="81" t="str">
        <f t="shared" si="124"/>
        <v>-</v>
      </c>
      <c r="G476" s="67" t="str">
        <f t="shared" si="125"/>
        <v>-</v>
      </c>
    </row>
    <row r="477" spans="2:7">
      <c r="B477" s="60" t="s">
        <v>58</v>
      </c>
      <c r="C477" s="82">
        <f t="shared" si="123"/>
        <v>0</v>
      </c>
      <c r="D477" s="79">
        <f>COUNTIFS(REPOSIÇÃO!N:N,'DADOS - FREGUESIA DO Ó'!B477,REPOSIÇÃO!AF:AF,"C")</f>
        <v>0</v>
      </c>
      <c r="E477" s="80">
        <f>COUNTIFS(REPOSIÇÃO!N:N,'DADOS - FREGUESIA DO Ó'!B477,REPOSIÇÃO!AF:AF,"NC")</f>
        <v>0</v>
      </c>
      <c r="F477" s="81" t="str">
        <f t="shared" si="124"/>
        <v>-</v>
      </c>
      <c r="G477" s="67" t="str">
        <f t="shared" si="125"/>
        <v>-</v>
      </c>
    </row>
    <row r="478" spans="2:7">
      <c r="B478" s="60" t="s">
        <v>58</v>
      </c>
      <c r="C478" s="82">
        <f t="shared" si="123"/>
        <v>0</v>
      </c>
      <c r="D478" s="79">
        <f>COUNTIFS(REPOSIÇÃO!N:N,'DADOS - FREGUESIA DO Ó'!B478,REPOSIÇÃO!AF:AF,"C")</f>
        <v>0</v>
      </c>
      <c r="E478" s="80">
        <f>COUNTIFS(REPOSIÇÃO!N:N,'DADOS - FREGUESIA DO Ó'!B478,REPOSIÇÃO!AF:AF,"NC")</f>
        <v>0</v>
      </c>
      <c r="F478" s="81" t="str">
        <f t="shared" si="124"/>
        <v>-</v>
      </c>
      <c r="G478" s="67" t="str">
        <f t="shared" si="125"/>
        <v>-</v>
      </c>
    </row>
    <row r="479" spans="2:7">
      <c r="B479" s="60" t="s">
        <v>58</v>
      </c>
      <c r="C479" s="82">
        <f t="shared" si="123"/>
        <v>0</v>
      </c>
      <c r="D479" s="79">
        <f>COUNTIFS(REPOSIÇÃO!N:N,'DADOS - FREGUESIA DO Ó'!B479,REPOSIÇÃO!AF:AF,"C")</f>
        <v>0</v>
      </c>
      <c r="E479" s="80">
        <f>COUNTIFS(REPOSIÇÃO!N:N,'DADOS - FREGUESIA DO Ó'!B479,REPOSIÇÃO!AF:AF,"NC")</f>
        <v>0</v>
      </c>
      <c r="F479" s="81" t="str">
        <f t="shared" si="124"/>
        <v>-</v>
      </c>
      <c r="G479" s="67" t="str">
        <f t="shared" si="125"/>
        <v>-</v>
      </c>
    </row>
    <row r="480" spans="2:7">
      <c r="B480" s="60" t="s">
        <v>58</v>
      </c>
      <c r="C480" s="82">
        <f t="shared" si="123"/>
        <v>0</v>
      </c>
      <c r="D480" s="79">
        <f>COUNTIFS(REPOSIÇÃO!N:N,'DADOS - FREGUESIA DO Ó'!B480,REPOSIÇÃO!AF:AF,"C")</f>
        <v>0</v>
      </c>
      <c r="E480" s="80">
        <f>COUNTIFS(REPOSIÇÃO!N:N,'DADOS - FREGUESIA DO Ó'!B480,REPOSIÇÃO!AF:AF,"NC")</f>
        <v>0</v>
      </c>
      <c r="F480" s="81" t="str">
        <f t="shared" si="124"/>
        <v>-</v>
      </c>
      <c r="G480" s="67" t="str">
        <f t="shared" si="125"/>
        <v>-</v>
      </c>
    </row>
    <row r="481" spans="2:7">
      <c r="B481" s="60" t="s">
        <v>58</v>
      </c>
      <c r="C481" s="82">
        <f t="shared" si="123"/>
        <v>0</v>
      </c>
      <c r="D481" s="79">
        <f>COUNTIFS(REPOSIÇÃO!N:N,'DADOS - FREGUESIA DO Ó'!B481,REPOSIÇÃO!AF:AF,"C")</f>
        <v>0</v>
      </c>
      <c r="E481" s="80">
        <f>COUNTIFS(REPOSIÇÃO!N:N,'DADOS - FREGUESIA DO Ó'!B481,REPOSIÇÃO!AF:AF,"NC")</f>
        <v>0</v>
      </c>
      <c r="F481" s="81" t="str">
        <f t="shared" si="124"/>
        <v>-</v>
      </c>
      <c r="G481" s="67" t="str">
        <f t="shared" si="125"/>
        <v>-</v>
      </c>
    </row>
    <row r="482" spans="2:7">
      <c r="B482" s="60" t="s">
        <v>58</v>
      </c>
      <c r="C482" s="82">
        <f t="shared" si="120"/>
        <v>0</v>
      </c>
      <c r="D482" s="79">
        <f>COUNTIFS(REPOSIÇÃO!N:N,'DADOS - FREGUESIA DO Ó'!B482,REPOSIÇÃO!AF:AF,"C")</f>
        <v>0</v>
      </c>
      <c r="E482" s="80">
        <f>COUNTIFS(REPOSIÇÃO!N:N,'DADOS - FREGUESIA DO Ó'!B482,REPOSIÇÃO!AF:AF,"NC")</f>
        <v>0</v>
      </c>
      <c r="F482" s="81" t="str">
        <f t="shared" si="121"/>
        <v>-</v>
      </c>
      <c r="G482" s="67" t="str">
        <f t="shared" si="122"/>
        <v>-</v>
      </c>
    </row>
    <row r="483" spans="2:7">
      <c r="B483" s="60" t="s">
        <v>58</v>
      </c>
      <c r="C483" s="82">
        <f t="shared" si="117"/>
        <v>0</v>
      </c>
      <c r="D483" s="79">
        <f>COUNTIFS(REPOSIÇÃO!N:N,'DADOS - FREGUESIA DO Ó'!B483,REPOSIÇÃO!AF:AF,"C")</f>
        <v>0</v>
      </c>
      <c r="E483" s="80">
        <f>COUNTIFS(REPOSIÇÃO!N:N,'DADOS - FREGUESIA DO Ó'!B483,REPOSIÇÃO!AF:AF,"NC")</f>
        <v>0</v>
      </c>
      <c r="F483" s="81" t="str">
        <f t="shared" si="118"/>
        <v>-</v>
      </c>
      <c r="G483" s="67" t="str">
        <f t="shared" si="119"/>
        <v>-</v>
      </c>
    </row>
    <row r="485" spans="2:7">
      <c r="B485" s="375" t="s">
        <v>74</v>
      </c>
      <c r="C485" s="375"/>
      <c r="D485" s="375"/>
      <c r="E485" s="375"/>
      <c r="F485" s="375"/>
      <c r="G485" s="375"/>
    </row>
    <row r="487" spans="2:7">
      <c r="B487" s="171" t="s">
        <v>75</v>
      </c>
      <c r="C487" s="171" t="s">
        <v>31</v>
      </c>
      <c r="D487" s="171" t="s">
        <v>37</v>
      </c>
      <c r="E487" s="171" t="s">
        <v>36</v>
      </c>
      <c r="F487" s="171" t="s">
        <v>76</v>
      </c>
    </row>
    <row r="488" spans="2:7">
      <c r="B488" s="172" t="s">
        <v>77</v>
      </c>
      <c r="C488" s="69">
        <f>D488+E488</f>
        <v>132</v>
      </c>
      <c r="D488" s="92">
        <f>COUNTIFS(ÁGUA!D:D,B488,ÁGUA!AF:AF,"c")</f>
        <v>109</v>
      </c>
      <c r="E488" s="92">
        <f>COUNTIFS(ÁGUA!D:D,B488,ÁGUA!AF:AF,"nc")</f>
        <v>23</v>
      </c>
      <c r="F488" s="74">
        <f>IFERROR(E488/(E488+D488),"0%")</f>
        <v>0.17424242424242425</v>
      </c>
    </row>
    <row r="489" spans="2:7">
      <c r="B489" s="172" t="s">
        <v>78</v>
      </c>
      <c r="C489" s="69">
        <f t="shared" ref="C489:C492" si="126">D489+E489</f>
        <v>42</v>
      </c>
      <c r="D489" s="92">
        <f>COUNTIFS(ÁGUA!D:D,B489,ÁGUA!AF:AF,"c")</f>
        <v>22</v>
      </c>
      <c r="E489" s="92">
        <f>COUNTIFS(ÁGUA!D:D,B489,ÁGUA!AF:AF,"nc")</f>
        <v>20</v>
      </c>
      <c r="F489" s="74">
        <f t="shared" ref="F489:F492" si="127">IFERROR(E489/(E489+D489),"0%")</f>
        <v>0.47619047619047616</v>
      </c>
    </row>
    <row r="490" spans="2:7">
      <c r="B490" s="172" t="s">
        <v>79</v>
      </c>
      <c r="C490" s="69">
        <f t="shared" si="126"/>
        <v>65</v>
      </c>
      <c r="D490" s="92">
        <f>COUNTIFS(ÁGUA!D:D,B490,ÁGUA!AF:AF,"c")</f>
        <v>53</v>
      </c>
      <c r="E490" s="92">
        <f>COUNTIFS(ÁGUA!D:D,B490,ÁGUA!AF:AF,"nc")</f>
        <v>12</v>
      </c>
      <c r="F490" s="74">
        <f t="shared" si="127"/>
        <v>0.18461538461538463</v>
      </c>
    </row>
    <row r="491" spans="2:7">
      <c r="B491" s="172" t="s">
        <v>80</v>
      </c>
      <c r="C491" s="69">
        <f t="shared" si="126"/>
        <v>23</v>
      </c>
      <c r="D491" s="92">
        <f>COUNTIFS(ÁGUA!D:D,B491,ÁGUA!AF:AF,"c")</f>
        <v>12</v>
      </c>
      <c r="E491" s="92">
        <f>COUNTIFS(ÁGUA!D:D,B491,ÁGUA!AF:AF,"nc")</f>
        <v>11</v>
      </c>
      <c r="F491" s="74">
        <f t="shared" si="127"/>
        <v>0.47826086956521741</v>
      </c>
    </row>
    <row r="492" spans="2:7">
      <c r="B492" s="172" t="s">
        <v>81</v>
      </c>
      <c r="C492" s="69">
        <f t="shared" si="126"/>
        <v>243</v>
      </c>
      <c r="D492" s="92">
        <f>COUNTIFS(ÁGUA!D:D,B492,ÁGUA!AF:AF,"c")</f>
        <v>169</v>
      </c>
      <c r="E492" s="92">
        <f>COUNTIFS(ÁGUA!D:D,B492,ÁGUA!AF:AF,"nc")</f>
        <v>74</v>
      </c>
      <c r="F492" s="74">
        <f t="shared" si="127"/>
        <v>0.30452674897119342</v>
      </c>
    </row>
    <row r="494" spans="2:7">
      <c r="B494" s="171" t="s">
        <v>82</v>
      </c>
      <c r="C494" s="171" t="s">
        <v>31</v>
      </c>
      <c r="D494" s="171" t="s">
        <v>37</v>
      </c>
      <c r="E494" s="171" t="s">
        <v>36</v>
      </c>
      <c r="F494" s="171" t="s">
        <v>76</v>
      </c>
    </row>
    <row r="495" spans="2:7">
      <c r="B495" s="158" t="s">
        <v>83</v>
      </c>
      <c r="C495" s="69">
        <f>D495+E495</f>
        <v>0</v>
      </c>
      <c r="D495" s="92">
        <f>COUNTIFS(ÁGUA!C:C,B495,ÁGUA!AF:AF,"c")</f>
        <v>0</v>
      </c>
      <c r="E495" s="92">
        <f>COUNTIFS(ÁGUA!C:C,B495,ÁGUA!AF:AF,"nc")</f>
        <v>0</v>
      </c>
      <c r="F495" s="74" t="str">
        <f>IFERROR(E495/(E495+D495),"0%")</f>
        <v>0%</v>
      </c>
    </row>
    <row r="496" spans="2:7">
      <c r="B496" s="100" t="s">
        <v>84</v>
      </c>
      <c r="C496" s="69">
        <f t="shared" ref="C496:C519" si="128">D496+E496</f>
        <v>25</v>
      </c>
      <c r="D496" s="92">
        <f>COUNTIFS(ÁGUA!C:C,B496,ÁGUA!AF:AF,"c")</f>
        <v>24</v>
      </c>
      <c r="E496" s="92">
        <f>COUNTIFS(ÁGUA!C:C,B496,ÁGUA!AF:AF,"nc")</f>
        <v>1</v>
      </c>
      <c r="F496" s="74">
        <f t="shared" ref="F496:F519" si="129">IFERROR(E496/(E496+D496),"0%")</f>
        <v>0.04</v>
      </c>
    </row>
    <row r="497" spans="2:6">
      <c r="B497" s="158" t="s">
        <v>85</v>
      </c>
      <c r="C497" s="69">
        <f t="shared" si="128"/>
        <v>3</v>
      </c>
      <c r="D497" s="92">
        <f>COUNTIFS(ÁGUA!C:C,B497,ÁGUA!AF:AF,"c")</f>
        <v>1</v>
      </c>
      <c r="E497" s="92">
        <f>COUNTIFS(ÁGUA!C:C,B497,ÁGUA!AF:AF,"nc")</f>
        <v>2</v>
      </c>
      <c r="F497" s="74">
        <f t="shared" si="129"/>
        <v>0.66666666666666663</v>
      </c>
    </row>
    <row r="498" spans="2:6">
      <c r="B498" s="158" t="s">
        <v>86</v>
      </c>
      <c r="C498" s="69">
        <f t="shared" si="128"/>
        <v>13</v>
      </c>
      <c r="D498" s="92">
        <f>COUNTIFS(ÁGUA!C:C,B498,ÁGUA!AF:AF,"c")</f>
        <v>9</v>
      </c>
      <c r="E498" s="92">
        <f>COUNTIFS(ÁGUA!C:C,B498,ÁGUA!AF:AF,"nc")</f>
        <v>4</v>
      </c>
      <c r="F498" s="74">
        <f t="shared" si="129"/>
        <v>0.30769230769230771</v>
      </c>
    </row>
    <row r="499" spans="2:6">
      <c r="B499" s="158" t="s">
        <v>87</v>
      </c>
      <c r="C499" s="69">
        <f t="shared" si="128"/>
        <v>6</v>
      </c>
      <c r="D499" s="92">
        <f>COUNTIFS(ÁGUA!C:C,B499,ÁGUA!AF:AF,"c")</f>
        <v>4</v>
      </c>
      <c r="E499" s="92">
        <f>COUNTIFS(ÁGUA!C:C,B499,ÁGUA!AF:AF,"nc")</f>
        <v>2</v>
      </c>
      <c r="F499" s="74">
        <f t="shared" si="129"/>
        <v>0.33333333333333331</v>
      </c>
    </row>
    <row r="500" spans="2:6">
      <c r="B500" s="100" t="s">
        <v>88</v>
      </c>
      <c r="C500" s="69">
        <f t="shared" si="128"/>
        <v>1</v>
      </c>
      <c r="D500" s="92">
        <f>COUNTIFS(ÁGUA!C:C,B500,ÁGUA!AF:AF,"c")</f>
        <v>1</v>
      </c>
      <c r="E500" s="92">
        <f>COUNTIFS(ÁGUA!C:C,B500,ÁGUA!AF:AF,"nc")</f>
        <v>0</v>
      </c>
      <c r="F500" s="74">
        <f t="shared" si="129"/>
        <v>0</v>
      </c>
    </row>
    <row r="501" spans="2:6">
      <c r="B501" s="100" t="s">
        <v>89</v>
      </c>
      <c r="C501" s="69">
        <f t="shared" si="128"/>
        <v>30</v>
      </c>
      <c r="D501" s="92">
        <f>COUNTIFS(ÁGUA!C:C,B501,ÁGUA!AF:AF,"c")</f>
        <v>14</v>
      </c>
      <c r="E501" s="92">
        <f>COUNTIFS(ÁGUA!C:C,B501,ÁGUA!AF:AF,"nc")</f>
        <v>16</v>
      </c>
      <c r="F501" s="74">
        <f t="shared" si="129"/>
        <v>0.53333333333333333</v>
      </c>
    </row>
    <row r="502" spans="2:6">
      <c r="B502" s="158" t="s">
        <v>90</v>
      </c>
      <c r="C502" s="69">
        <f t="shared" si="128"/>
        <v>12</v>
      </c>
      <c r="D502" s="92">
        <f>COUNTIFS(ÁGUA!C:C,B502,ÁGUA!AF:AF,"c")</f>
        <v>8</v>
      </c>
      <c r="E502" s="92">
        <f>COUNTIFS(ÁGUA!C:C,B502,ÁGUA!AF:AF,"nc")</f>
        <v>4</v>
      </c>
      <c r="F502" s="74">
        <f t="shared" si="129"/>
        <v>0.33333333333333331</v>
      </c>
    </row>
    <row r="503" spans="2:6">
      <c r="B503" s="158" t="s">
        <v>91</v>
      </c>
      <c r="C503" s="69">
        <f t="shared" si="128"/>
        <v>1</v>
      </c>
      <c r="D503" s="92">
        <f>COUNTIFS(ÁGUA!C:C,B503,ÁGUA!AF:AF,"c")</f>
        <v>1</v>
      </c>
      <c r="E503" s="92">
        <f>COUNTIFS(ÁGUA!C:C,B503,ÁGUA!AF:AF,"nc")</f>
        <v>0</v>
      </c>
      <c r="F503" s="74">
        <f t="shared" si="129"/>
        <v>0</v>
      </c>
    </row>
    <row r="504" spans="2:6">
      <c r="B504" s="100" t="s">
        <v>92</v>
      </c>
      <c r="C504" s="69">
        <f t="shared" si="128"/>
        <v>8</v>
      </c>
      <c r="D504" s="92">
        <f>COUNTIFS(ÁGUA!C:C,B504,ÁGUA!AF:AF,"c")</f>
        <v>8</v>
      </c>
      <c r="E504" s="92">
        <f>COUNTIFS(ÁGUA!C:C,B504,ÁGUA!AF:AF,"nc")</f>
        <v>0</v>
      </c>
      <c r="F504" s="74">
        <f t="shared" si="129"/>
        <v>0</v>
      </c>
    </row>
    <row r="505" spans="2:6">
      <c r="B505" s="174" t="s">
        <v>93</v>
      </c>
      <c r="C505" s="69">
        <f t="shared" si="128"/>
        <v>0</v>
      </c>
      <c r="D505" s="92">
        <f>COUNTIFS(ÁGUA!C:C,B505,ÁGUA!AF:AF,"c")</f>
        <v>0</v>
      </c>
      <c r="E505" s="92">
        <f>COUNTIFS(ÁGUA!C:C,B505,ÁGUA!AF:AF,"nc")</f>
        <v>0</v>
      </c>
      <c r="F505" s="74" t="str">
        <f t="shared" si="129"/>
        <v>0%</v>
      </c>
    </row>
    <row r="506" spans="2:6">
      <c r="B506" s="158" t="s">
        <v>94</v>
      </c>
      <c r="C506" s="69">
        <f t="shared" si="128"/>
        <v>11</v>
      </c>
      <c r="D506" s="92">
        <f>COUNTIFS(ÁGUA!C:C,B506,ÁGUA!AF:AF,"c")</f>
        <v>8</v>
      </c>
      <c r="E506" s="92">
        <f>COUNTIFS(ÁGUA!C:C,B506,ÁGUA!AF:AF,"nc")</f>
        <v>3</v>
      </c>
      <c r="F506" s="74">
        <f t="shared" si="129"/>
        <v>0.27272727272727271</v>
      </c>
    </row>
    <row r="507" spans="2:6">
      <c r="B507" s="100" t="s">
        <v>95</v>
      </c>
      <c r="C507" s="69">
        <f t="shared" si="128"/>
        <v>5</v>
      </c>
      <c r="D507" s="92">
        <f>COUNTIFS(ÁGUA!C:C,B507,ÁGUA!AF:AF,"c")</f>
        <v>4</v>
      </c>
      <c r="E507" s="92">
        <f>COUNTIFS(ÁGUA!C:C,B507,ÁGUA!AF:AF,"nc")</f>
        <v>1</v>
      </c>
      <c r="F507" s="74">
        <f t="shared" si="129"/>
        <v>0.2</v>
      </c>
    </row>
    <row r="508" spans="2:6">
      <c r="B508" s="100" t="s">
        <v>96</v>
      </c>
      <c r="C508" s="69">
        <f t="shared" si="128"/>
        <v>15</v>
      </c>
      <c r="D508" s="92">
        <f>COUNTIFS(ÁGUA!C:C,B508,ÁGUA!AF:AF,"c")</f>
        <v>8</v>
      </c>
      <c r="E508" s="92">
        <f>COUNTIFS(ÁGUA!C:C,B508,ÁGUA!AF:AF,"nc")</f>
        <v>7</v>
      </c>
      <c r="F508" s="74">
        <f t="shared" si="129"/>
        <v>0.46666666666666667</v>
      </c>
    </row>
    <row r="509" spans="2:6">
      <c r="B509" s="100" t="s">
        <v>97</v>
      </c>
      <c r="C509" s="69">
        <f t="shared" si="128"/>
        <v>12</v>
      </c>
      <c r="D509" s="92">
        <f>COUNTIFS(ÁGUA!C:C,B509,ÁGUA!AF:AF,"c")</f>
        <v>6</v>
      </c>
      <c r="E509" s="92">
        <f>COUNTIFS(ÁGUA!C:C,B509,ÁGUA!AF:AF,"nc")</f>
        <v>6</v>
      </c>
      <c r="F509" s="74">
        <f t="shared" si="129"/>
        <v>0.5</v>
      </c>
    </row>
    <row r="510" spans="2:6">
      <c r="B510" s="100" t="s">
        <v>98</v>
      </c>
      <c r="C510" s="69">
        <f t="shared" si="128"/>
        <v>0</v>
      </c>
      <c r="D510" s="92">
        <f>COUNTIFS(ÁGUA!C:C,B510,ÁGUA!AF:AF,"c")</f>
        <v>0</v>
      </c>
      <c r="E510" s="92">
        <f>COUNTIFS(ÁGUA!C:C,B510,ÁGUA!AF:AF,"nc")</f>
        <v>0</v>
      </c>
      <c r="F510" s="74" t="str">
        <f t="shared" si="129"/>
        <v>0%</v>
      </c>
    </row>
    <row r="511" spans="2:6">
      <c r="B511" s="100" t="s">
        <v>99</v>
      </c>
      <c r="C511" s="69">
        <f t="shared" si="128"/>
        <v>47</v>
      </c>
      <c r="D511" s="92">
        <f>COUNTIFS(ÁGUA!C:C,B511,ÁGUA!AF:AF,"c")</f>
        <v>32</v>
      </c>
      <c r="E511" s="92">
        <f>COUNTIFS(ÁGUA!C:C,B511,ÁGUA!AF:AF,"nc")</f>
        <v>15</v>
      </c>
      <c r="F511" s="74">
        <f t="shared" si="129"/>
        <v>0.31914893617021278</v>
      </c>
    </row>
    <row r="512" spans="2:6">
      <c r="B512" s="158" t="s">
        <v>100</v>
      </c>
      <c r="C512" s="69">
        <f t="shared" si="128"/>
        <v>55</v>
      </c>
      <c r="D512" s="92">
        <f>COUNTIFS(ÁGUA!C:C,B512,ÁGUA!AF:AF,"c")</f>
        <v>35</v>
      </c>
      <c r="E512" s="92">
        <f>COUNTIFS(ÁGUA!C:C,B512,ÁGUA!AF:AF,"nc")</f>
        <v>20</v>
      </c>
      <c r="F512" s="74">
        <f t="shared" si="129"/>
        <v>0.36363636363636365</v>
      </c>
    </row>
    <row r="513" spans="2:6">
      <c r="B513" s="100" t="s">
        <v>101</v>
      </c>
      <c r="C513" s="69">
        <f t="shared" si="128"/>
        <v>16</v>
      </c>
      <c r="D513" s="92">
        <f>COUNTIFS(ÁGUA!C:C,B513,ÁGUA!AF:AF,"c")</f>
        <v>12</v>
      </c>
      <c r="E513" s="92">
        <f>COUNTIFS(ÁGUA!C:C,B513,ÁGUA!AF:AF,"nc")</f>
        <v>4</v>
      </c>
      <c r="F513" s="74">
        <f t="shared" si="129"/>
        <v>0.25</v>
      </c>
    </row>
    <row r="514" spans="2:6">
      <c r="B514" s="158" t="s">
        <v>102</v>
      </c>
      <c r="C514" s="69">
        <f t="shared" si="128"/>
        <v>6</v>
      </c>
      <c r="D514" s="92">
        <f>COUNTIFS(ÁGUA!C:C,B514,ÁGUA!AF:AF,"c")</f>
        <v>5</v>
      </c>
      <c r="E514" s="92">
        <f>COUNTIFS(ÁGUA!C:C,B514,ÁGUA!AF:AF,"nc")</f>
        <v>1</v>
      </c>
      <c r="F514" s="74">
        <f t="shared" si="129"/>
        <v>0.16666666666666666</v>
      </c>
    </row>
    <row r="515" spans="2:6">
      <c r="B515" s="100" t="s">
        <v>103</v>
      </c>
      <c r="C515" s="69">
        <f t="shared" si="128"/>
        <v>33</v>
      </c>
      <c r="D515" s="92">
        <f>COUNTIFS(ÁGUA!C:C,B515,ÁGUA!AF:AF,"c")</f>
        <v>28</v>
      </c>
      <c r="E515" s="92">
        <f>COUNTIFS(ÁGUA!C:C,B515,ÁGUA!AF:AF,"nc")</f>
        <v>5</v>
      </c>
      <c r="F515" s="74">
        <f t="shared" si="129"/>
        <v>0.15151515151515152</v>
      </c>
    </row>
    <row r="516" spans="2:6">
      <c r="B516" s="158" t="s">
        <v>104</v>
      </c>
      <c r="C516" s="69">
        <f t="shared" si="128"/>
        <v>3</v>
      </c>
      <c r="D516" s="92">
        <f>COUNTIFS(ÁGUA!C:C,B516,ÁGUA!AF:AF,"c")</f>
        <v>2</v>
      </c>
      <c r="E516" s="92">
        <f>COUNTIFS(ÁGUA!C:C,B516,ÁGUA!AF:AF,"nc")</f>
        <v>1</v>
      </c>
      <c r="F516" s="74">
        <f t="shared" si="129"/>
        <v>0.33333333333333331</v>
      </c>
    </row>
    <row r="517" spans="2:6">
      <c r="B517" s="158" t="s">
        <v>105</v>
      </c>
      <c r="C517" s="69">
        <f t="shared" si="128"/>
        <v>39</v>
      </c>
      <c r="D517" s="92">
        <f>COUNTIFS(ÁGUA!C:C,B517,ÁGUA!AF:AF,"c")</f>
        <v>25</v>
      </c>
      <c r="E517" s="92">
        <f>COUNTIFS(ÁGUA!C:C,B517,ÁGUA!AF:AF,"nc")</f>
        <v>14</v>
      </c>
      <c r="F517" s="74">
        <f t="shared" si="129"/>
        <v>0.35897435897435898</v>
      </c>
    </row>
    <row r="518" spans="2:6">
      <c r="B518" s="158" t="s">
        <v>106</v>
      </c>
      <c r="C518" s="69">
        <f t="shared" si="128"/>
        <v>16</v>
      </c>
      <c r="D518" s="92">
        <f>COUNTIFS(ÁGUA!C:C,B518,ÁGUA!AF:AF,"c")</f>
        <v>12</v>
      </c>
      <c r="E518" s="92">
        <f>COUNTIFS(ÁGUA!C:C,B518,ÁGUA!AF:AF,"nc")</f>
        <v>4</v>
      </c>
      <c r="F518" s="74">
        <f t="shared" si="129"/>
        <v>0.25</v>
      </c>
    </row>
    <row r="519" spans="2:6">
      <c r="B519" s="100" t="s">
        <v>107</v>
      </c>
      <c r="C519" s="69">
        <f t="shared" si="128"/>
        <v>27</v>
      </c>
      <c r="D519" s="92">
        <f>COUNTIFS(ÁGUA!C:C,B519,ÁGUA!AF:AF,"c")</f>
        <v>19</v>
      </c>
      <c r="E519" s="92">
        <f>COUNTIFS(ÁGUA!C:C,B519,ÁGUA!AF:AF,"nc")</f>
        <v>8</v>
      </c>
      <c r="F519" s="74">
        <f t="shared" si="129"/>
        <v>0.29629629629629628</v>
      </c>
    </row>
    <row r="521" spans="2:6">
      <c r="B521" s="171" t="s">
        <v>108</v>
      </c>
      <c r="C521" s="171" t="s">
        <v>31</v>
      </c>
      <c r="D521" s="171" t="s">
        <v>37</v>
      </c>
      <c r="E521" s="171" t="s">
        <v>36</v>
      </c>
      <c r="F521" s="171" t="s">
        <v>76</v>
      </c>
    </row>
    <row r="522" spans="2:6">
      <c r="B522" s="175" t="s">
        <v>109</v>
      </c>
      <c r="C522" s="69">
        <f>D522+E522</f>
        <v>79</v>
      </c>
      <c r="D522" s="92">
        <f>COUNTIFS(ESGOTO!D:D,B522,ESGOTO!AF:AF,"c")</f>
        <v>75</v>
      </c>
      <c r="E522" s="92">
        <f>COUNTIFS(ESGOTO!D:D,B522,ESGOTO!AF:AF,"nc")</f>
        <v>4</v>
      </c>
      <c r="F522" s="74">
        <f>IFERROR(E522/(E522+D522),"0%")</f>
        <v>5.0632911392405063E-2</v>
      </c>
    </row>
    <row r="523" spans="2:6">
      <c r="B523" s="175" t="s">
        <v>110</v>
      </c>
      <c r="C523" s="69">
        <f t="shared" ref="C523:C526" si="130">D523+E523</f>
        <v>21</v>
      </c>
      <c r="D523" s="92">
        <f>COUNTIFS(ESGOTO!D:D,B523,ESGOTO!AF:AF,"c")</f>
        <v>18</v>
      </c>
      <c r="E523" s="92">
        <f>COUNTIFS(ESGOTO!D:D,B523,ESGOTO!AF:AF,"nc")</f>
        <v>3</v>
      </c>
      <c r="F523" s="74">
        <f t="shared" ref="F523:F526" si="131">IFERROR(E523/(E523+D523),"0%")</f>
        <v>0.14285714285714285</v>
      </c>
    </row>
    <row r="524" spans="2:6">
      <c r="B524" s="176" t="s">
        <v>111</v>
      </c>
      <c r="C524" s="69">
        <f t="shared" si="130"/>
        <v>65</v>
      </c>
      <c r="D524" s="92">
        <f>COUNTIFS(ESGOTO!D:D,B524,ESGOTO!AF:AF,"c")</f>
        <v>16</v>
      </c>
      <c r="E524" s="92">
        <f>COUNTIFS(ESGOTO!D:D,B524,ESGOTO!AF:AF,"nc")</f>
        <v>49</v>
      </c>
      <c r="F524" s="74">
        <f t="shared" si="131"/>
        <v>0.75384615384615383</v>
      </c>
    </row>
    <row r="525" spans="2:6">
      <c r="B525" s="175" t="s">
        <v>112</v>
      </c>
      <c r="C525" s="69">
        <f t="shared" si="130"/>
        <v>67</v>
      </c>
      <c r="D525" s="92">
        <f>COUNTIFS(ESGOTO!D:D,B525,ESGOTO!AF:AF,"c")</f>
        <v>33</v>
      </c>
      <c r="E525" s="92">
        <f>COUNTIFS(ESGOTO!D:D,B525,ESGOTO!AF:AF,"nc")</f>
        <v>34</v>
      </c>
      <c r="F525" s="74">
        <f t="shared" si="131"/>
        <v>0.5074626865671642</v>
      </c>
    </row>
    <row r="526" spans="2:6">
      <c r="B526" s="175" t="s">
        <v>113</v>
      </c>
      <c r="C526" s="69">
        <f t="shared" si="130"/>
        <v>4</v>
      </c>
      <c r="D526" s="92">
        <f>COUNTIFS(ESGOTO!D:D,B526,ESGOTO!AF:AF,"c")</f>
        <v>1</v>
      </c>
      <c r="E526" s="92">
        <f>COUNTIFS(ESGOTO!D:D,B526,ESGOTO!AF:AF,"nc")</f>
        <v>3</v>
      </c>
      <c r="F526" s="74">
        <f t="shared" si="131"/>
        <v>0.75</v>
      </c>
    </row>
    <row r="528" spans="2:6">
      <c r="B528" s="171" t="s">
        <v>114</v>
      </c>
      <c r="C528" s="171" t="s">
        <v>31</v>
      </c>
      <c r="D528" s="171" t="s">
        <v>37</v>
      </c>
      <c r="E528" s="171" t="s">
        <v>36</v>
      </c>
      <c r="F528" s="171" t="s">
        <v>76</v>
      </c>
    </row>
    <row r="529" spans="2:6">
      <c r="B529" s="173" t="s">
        <v>115</v>
      </c>
      <c r="C529" s="69">
        <f>D529+E529</f>
        <v>0</v>
      </c>
      <c r="D529" s="92">
        <f>COUNTIFS(ESGOTO!C:C,B529,ESGOTO!AF:AF,"c")</f>
        <v>0</v>
      </c>
      <c r="E529" s="92">
        <f>COUNTIFS(ESGOTO!C:C,B529,ESGOTO!AF:AF,"nc")</f>
        <v>0</v>
      </c>
      <c r="F529" s="74" t="str">
        <f>IFERROR(E529/(E529+D529),"0%")</f>
        <v>0%</v>
      </c>
    </row>
    <row r="530" spans="2:6">
      <c r="B530" s="141" t="s">
        <v>116</v>
      </c>
      <c r="C530" s="69">
        <f t="shared" ref="C530:C537" si="132">D530+E530</f>
        <v>14</v>
      </c>
      <c r="D530" s="92">
        <f>COUNTIFS(ESGOTO!C:C,B530,ESGOTO!AF:AF,"c")</f>
        <v>14</v>
      </c>
      <c r="E530" s="92">
        <f>COUNTIFS(ESGOTO!C:C,B530,ESGOTO!AF:AF,"nc")</f>
        <v>0</v>
      </c>
      <c r="F530" s="74">
        <f t="shared" ref="F530:F537" si="133">IFERROR(E530/(E530+D530),"0%")</f>
        <v>0</v>
      </c>
    </row>
    <row r="531" spans="2:6">
      <c r="B531" s="173" t="s">
        <v>117</v>
      </c>
      <c r="C531" s="69">
        <f t="shared" si="132"/>
        <v>1</v>
      </c>
      <c r="D531" s="92">
        <f>COUNTIFS(ESGOTO!C:C,B531,ESGOTO!AF:AF,"c")</f>
        <v>0</v>
      </c>
      <c r="E531" s="92">
        <f>COUNTIFS(ESGOTO!C:C,B531,ESGOTO!AF:AF,"nc")</f>
        <v>1</v>
      </c>
      <c r="F531" s="74">
        <f t="shared" si="133"/>
        <v>1</v>
      </c>
    </row>
    <row r="532" spans="2:6">
      <c r="B532" s="60" t="s">
        <v>118</v>
      </c>
      <c r="C532" s="69">
        <f t="shared" si="132"/>
        <v>9</v>
      </c>
      <c r="D532" s="92">
        <f>COUNTIFS(ESGOTO!C:C,B532,ESGOTO!AF:AF,"c")</f>
        <v>7</v>
      </c>
      <c r="E532" s="92">
        <f>COUNTIFS(ESGOTO!C:C,B532,ESGOTO!AF:AF,"nc")</f>
        <v>2</v>
      </c>
      <c r="F532" s="74">
        <f t="shared" si="133"/>
        <v>0.22222222222222221</v>
      </c>
    </row>
    <row r="533" spans="2:6">
      <c r="B533" s="173" t="s">
        <v>119</v>
      </c>
      <c r="C533" s="69">
        <f t="shared" si="132"/>
        <v>1</v>
      </c>
      <c r="D533" s="92">
        <f>COUNTIFS(ESGOTO!C:C,B533,ESGOTO!AF:AF,"c")</f>
        <v>1</v>
      </c>
      <c r="E533" s="92">
        <f>COUNTIFS(ESGOTO!C:C,B533,ESGOTO!AF:AF,"nc")</f>
        <v>0</v>
      </c>
      <c r="F533" s="74">
        <f t="shared" si="133"/>
        <v>0</v>
      </c>
    </row>
    <row r="534" spans="2:6">
      <c r="B534" s="60" t="s">
        <v>120</v>
      </c>
      <c r="C534" s="69">
        <f t="shared" si="132"/>
        <v>5</v>
      </c>
      <c r="D534" s="92">
        <f>COUNTIFS(ESGOTO!C:C,B534,ESGOTO!AF:AF,"c")</f>
        <v>5</v>
      </c>
      <c r="E534" s="92">
        <f>COUNTIFS(ESGOTO!C:C,B534,ESGOTO!AF:AF,"nc")</f>
        <v>0</v>
      </c>
      <c r="F534" s="74">
        <f t="shared" si="133"/>
        <v>0</v>
      </c>
    </row>
    <row r="535" spans="2:6">
      <c r="B535" s="141" t="s">
        <v>121</v>
      </c>
      <c r="C535" s="69">
        <f t="shared" si="132"/>
        <v>52</v>
      </c>
      <c r="D535" s="92">
        <f>COUNTIFS(ESGOTO!C:C,B535,ESGOTO!AF:AF,"c")</f>
        <v>24</v>
      </c>
      <c r="E535" s="92">
        <f>COUNTIFS(ESGOTO!C:C,B535,ESGOTO!AF:AF,"nc")</f>
        <v>28</v>
      </c>
      <c r="F535" s="74">
        <f t="shared" si="133"/>
        <v>0.53846153846153844</v>
      </c>
    </row>
    <row r="536" spans="2:6">
      <c r="B536" s="60" t="s">
        <v>122</v>
      </c>
      <c r="C536" s="69">
        <f t="shared" si="132"/>
        <v>11</v>
      </c>
      <c r="D536" s="92">
        <f>COUNTIFS(ESGOTO!C:C,B536,ESGOTO!AF:AF,"c")</f>
        <v>10</v>
      </c>
      <c r="E536" s="92">
        <f>COUNTIFS(ESGOTO!C:C,B536,ESGOTO!AF:AF,"nc")</f>
        <v>1</v>
      </c>
      <c r="F536" s="74">
        <f t="shared" si="133"/>
        <v>9.0909090909090912E-2</v>
      </c>
    </row>
    <row r="537" spans="2:6">
      <c r="B537" s="141" t="s">
        <v>123</v>
      </c>
      <c r="C537" s="69">
        <f t="shared" si="132"/>
        <v>47</v>
      </c>
      <c r="D537" s="92">
        <f>COUNTIFS(ESGOTO!C:C,B537,ESGOTO!AF:AF,"c")</f>
        <v>45</v>
      </c>
      <c r="E537" s="92">
        <f>COUNTIFS(ESGOTO!C:C,B537,ESGOTO!AF:AF,"nc")</f>
        <v>2</v>
      </c>
      <c r="F537" s="74">
        <f t="shared" si="133"/>
        <v>4.2553191489361701E-2</v>
      </c>
    </row>
    <row r="540" spans="2:6">
      <c r="B540" s="171" t="s">
        <v>124</v>
      </c>
      <c r="C540" s="171" t="s">
        <v>31</v>
      </c>
      <c r="D540" s="171" t="s">
        <v>37</v>
      </c>
      <c r="E540" s="171" t="s">
        <v>36</v>
      </c>
      <c r="F540" s="171" t="s">
        <v>76</v>
      </c>
    </row>
    <row r="541" spans="2:6">
      <c r="B541" s="177" t="s">
        <v>64</v>
      </c>
      <c r="C541" s="69">
        <f>D541+E541</f>
        <v>456</v>
      </c>
      <c r="D541" s="92">
        <f>COUNTIFS(CAVALETE!D:D,B541,CAVALETE!Z:Z,"c")</f>
        <v>370</v>
      </c>
      <c r="E541" s="92">
        <f>COUNTIFS(CAVALETE!D:D,B541,CAVALETE!Z:Z,"nc")</f>
        <v>86</v>
      </c>
      <c r="F541" s="74">
        <f>IFERROR(E541/(E541+D541),"0%")</f>
        <v>0.18859649122807018</v>
      </c>
    </row>
    <row r="542" spans="2:6">
      <c r="B542" s="177" t="s">
        <v>125</v>
      </c>
      <c r="C542" s="69">
        <f>D542+E542</f>
        <v>80</v>
      </c>
      <c r="D542" s="92">
        <f>COUNTIFS(CAVALETE!D:D,B542,CAVALETE!Z:Z,"c")</f>
        <v>60</v>
      </c>
      <c r="E542" s="92">
        <f>COUNTIFS(CAVALETE!D:D,B542,CAVALETE!Z:Z,"nc")</f>
        <v>20</v>
      </c>
      <c r="F542" s="74">
        <f>IFERROR(E542/(E542+D542),"0%")</f>
        <v>0.25</v>
      </c>
    </row>
    <row r="544" spans="2:6">
      <c r="B544" s="171" t="s">
        <v>126</v>
      </c>
      <c r="C544" s="171" t="s">
        <v>31</v>
      </c>
      <c r="D544" s="171" t="s">
        <v>37</v>
      </c>
      <c r="E544" s="171" t="s">
        <v>36</v>
      </c>
      <c r="F544" s="171" t="s">
        <v>76</v>
      </c>
    </row>
    <row r="545" spans="2:6">
      <c r="B545" s="60" t="s">
        <v>127</v>
      </c>
      <c r="C545" s="69">
        <f>D545+E545</f>
        <v>19</v>
      </c>
      <c r="D545" s="69">
        <f>COUNTIFS(CAVALETE!C:C,B545,CAVALETE!Z:Z,"c")</f>
        <v>15</v>
      </c>
      <c r="E545" s="69">
        <f>COUNTIFS(CAVALETE!C:C,B545,CAVALETE!Z:Z,"nc")</f>
        <v>4</v>
      </c>
      <c r="F545" s="74">
        <f>IFERROR(E545/(E545+D545),"0%")</f>
        <v>0.21052631578947367</v>
      </c>
    </row>
    <row r="546" spans="2:6">
      <c r="B546" s="60" t="s">
        <v>128</v>
      </c>
      <c r="C546" s="69">
        <f t="shared" ref="C546:C554" si="134">D546+E546</f>
        <v>272</v>
      </c>
      <c r="D546" s="69">
        <f>COUNTIFS(CAVALETE!C:C,B546,CAVALETE!Z:Z,"c")</f>
        <v>222</v>
      </c>
      <c r="E546" s="69">
        <f>COUNTIFS(CAVALETE!C:C,B546,CAVALETE!Z:Z,"nc")</f>
        <v>50</v>
      </c>
      <c r="F546" s="74">
        <f t="shared" ref="F546:F554" si="135">IFERROR(E546/(E546+D546),"0%")</f>
        <v>0.18382352941176472</v>
      </c>
    </row>
    <row r="547" spans="2:6">
      <c r="B547" s="158" t="s">
        <v>129</v>
      </c>
      <c r="C547" s="69">
        <f t="shared" si="134"/>
        <v>31</v>
      </c>
      <c r="D547" s="69">
        <f>COUNTIFS(CAVALETE!C:C,B547,CAVALETE!Z:Z,"c")</f>
        <v>25</v>
      </c>
      <c r="E547" s="69">
        <f>COUNTIFS(CAVALETE!C:C,B547,CAVALETE!Z:Z,"nc")</f>
        <v>6</v>
      </c>
      <c r="F547" s="74">
        <f t="shared" si="135"/>
        <v>0.19354838709677419</v>
      </c>
    </row>
    <row r="548" spans="2:6">
      <c r="B548" s="60" t="s">
        <v>130</v>
      </c>
      <c r="C548" s="69">
        <f t="shared" si="134"/>
        <v>8</v>
      </c>
      <c r="D548" s="69">
        <f>COUNTIFS(CAVALETE!C:C,B548,CAVALETE!Z:Z,"c")</f>
        <v>4</v>
      </c>
      <c r="E548" s="69">
        <f>COUNTIFS(CAVALETE!C:C,B548,CAVALETE!Z:Z,"nc")</f>
        <v>4</v>
      </c>
      <c r="F548" s="74">
        <f t="shared" si="135"/>
        <v>0.5</v>
      </c>
    </row>
    <row r="549" spans="2:6">
      <c r="B549" s="158" t="s">
        <v>131</v>
      </c>
      <c r="C549" s="69">
        <f t="shared" si="134"/>
        <v>95</v>
      </c>
      <c r="D549" s="69">
        <f>COUNTIFS(CAVALETE!C:C,B549,CAVALETE!Z:Z,"c")</f>
        <v>80</v>
      </c>
      <c r="E549" s="69">
        <f>COUNTIFS(CAVALETE!C:C,B549,CAVALETE!Z:Z,"nc")</f>
        <v>15</v>
      </c>
      <c r="F549" s="74">
        <f t="shared" si="135"/>
        <v>0.15789473684210525</v>
      </c>
    </row>
    <row r="550" spans="2:6">
      <c r="B550" s="60" t="s">
        <v>132</v>
      </c>
      <c r="C550" s="69">
        <f t="shared" si="134"/>
        <v>69</v>
      </c>
      <c r="D550" s="69">
        <f>COUNTIFS(CAVALETE!C:C,B550,CAVALETE!Z:Z,"c")</f>
        <v>52</v>
      </c>
      <c r="E550" s="69">
        <f>COUNTIFS(CAVALETE!C:C,B550,CAVALETE!Z:Z,"nc")</f>
        <v>17</v>
      </c>
      <c r="F550" s="74">
        <f t="shared" si="135"/>
        <v>0.24637681159420291</v>
      </c>
    </row>
    <row r="551" spans="2:6">
      <c r="B551" s="173" t="s">
        <v>133</v>
      </c>
      <c r="C551" s="69">
        <f t="shared" si="134"/>
        <v>0</v>
      </c>
      <c r="D551" s="69">
        <f>COUNTIFS(CAVALETE!C:C,B551,CAVALETE!Z:Z,"c")</f>
        <v>0</v>
      </c>
      <c r="E551" s="69">
        <f>COUNTIFS(CAVALETE!C:C,B551,CAVALETE!Z:Z,"nc")</f>
        <v>0</v>
      </c>
      <c r="F551" s="74" t="str">
        <f t="shared" si="135"/>
        <v>0%</v>
      </c>
    </row>
    <row r="552" spans="2:6">
      <c r="B552" s="60" t="s">
        <v>134</v>
      </c>
      <c r="C552" s="69">
        <f t="shared" si="134"/>
        <v>5</v>
      </c>
      <c r="D552" s="69">
        <f>COUNTIFS(CAVALETE!C:C,B552,CAVALETE!Z:Z,"c")</f>
        <v>3</v>
      </c>
      <c r="E552" s="69">
        <f>COUNTIFS(CAVALETE!C:C,B552,CAVALETE!Z:Z,"nc")</f>
        <v>2</v>
      </c>
      <c r="F552" s="74">
        <f t="shared" si="135"/>
        <v>0.4</v>
      </c>
    </row>
    <row r="553" spans="2:6">
      <c r="B553" s="60" t="s">
        <v>135</v>
      </c>
      <c r="C553" s="69">
        <f t="shared" si="134"/>
        <v>30</v>
      </c>
      <c r="D553" s="69">
        <f>COUNTIFS(CAVALETE!C:C,B553,CAVALETE!Z:Z,"c")</f>
        <v>24</v>
      </c>
      <c r="E553" s="69">
        <f>COUNTIFS(CAVALETE!C:C,B553,CAVALETE!Z:Z,"nc")</f>
        <v>6</v>
      </c>
      <c r="F553" s="74">
        <f t="shared" si="135"/>
        <v>0.2</v>
      </c>
    </row>
    <row r="554" spans="2:6">
      <c r="B554" s="60" t="s">
        <v>136</v>
      </c>
      <c r="C554" s="69">
        <f t="shared" si="134"/>
        <v>2</v>
      </c>
      <c r="D554" s="69">
        <f>COUNTIFS(CAVALETE!C:C,B554,CAVALETE!Z:Z,"c")</f>
        <v>1</v>
      </c>
      <c r="E554" s="69">
        <f>COUNTIFS(CAVALETE!C:C,B554,CAVALETE!Z:Z,"nc")</f>
        <v>1</v>
      </c>
      <c r="F554" s="74">
        <f t="shared" si="135"/>
        <v>0.5</v>
      </c>
    </row>
    <row r="556" spans="2:6">
      <c r="B556" s="171" t="s">
        <v>137</v>
      </c>
      <c r="C556" s="171" t="s">
        <v>31</v>
      </c>
      <c r="D556" s="171" t="s">
        <v>37</v>
      </c>
      <c r="E556" s="171" t="s">
        <v>36</v>
      </c>
      <c r="F556" s="171" t="s">
        <v>76</v>
      </c>
    </row>
    <row r="557" spans="2:6">
      <c r="B557" s="177" t="s">
        <v>68</v>
      </c>
      <c r="C557" s="69">
        <f>D557+E557</f>
        <v>23</v>
      </c>
      <c r="D557" s="92">
        <f>COUNTIFS(REPOSIÇÃO!D:D,B557,REPOSIÇÃO!AF:AF,"c")</f>
        <v>7</v>
      </c>
      <c r="E557" s="92">
        <f>COUNTIFS(REPOSIÇÃO!D:D,B557,REPOSIÇÃO!AF:AF,"nc")</f>
        <v>16</v>
      </c>
      <c r="F557" s="74">
        <f>IFERROR(E557/(E557+D557),"0")</f>
        <v>0.69565217391304346</v>
      </c>
    </row>
    <row r="559" spans="2:6">
      <c r="B559" s="171" t="s">
        <v>138</v>
      </c>
      <c r="C559" s="171" t="s">
        <v>31</v>
      </c>
      <c r="D559" s="171" t="s">
        <v>37</v>
      </c>
      <c r="E559" s="171" t="s">
        <v>36</v>
      </c>
      <c r="F559" s="171" t="s">
        <v>76</v>
      </c>
    </row>
    <row r="560" spans="2:6">
      <c r="B560" s="60" t="s">
        <v>139</v>
      </c>
      <c r="C560" s="69">
        <f>D560+E560</f>
        <v>5</v>
      </c>
      <c r="D560" s="69">
        <f>COUNTIFS(REPOSIÇÃO!C:C,B560,REPOSIÇÃO!AF:AF,"c")</f>
        <v>1</v>
      </c>
      <c r="E560" s="69">
        <f>COUNTIFS(REPOSIÇÃO!C:C,B560,REPOSIÇÃO!AF:AF,"NC")</f>
        <v>4</v>
      </c>
      <c r="F560" s="74">
        <f>IFERROR(E560/(E560+D560),"0%")</f>
        <v>0.8</v>
      </c>
    </row>
    <row r="561" spans="2:6">
      <c r="B561" s="141" t="s">
        <v>140</v>
      </c>
      <c r="C561" s="69">
        <f t="shared" ref="C561:C563" si="136">D561+E561</f>
        <v>1</v>
      </c>
      <c r="D561" s="69">
        <f>COUNTIFS(REPOSIÇÃO!C:C,B561,REPOSIÇÃO!AF:AF,"c")</f>
        <v>0</v>
      </c>
      <c r="E561" s="69">
        <f>COUNTIFS(REPOSIÇÃO!C:C,B561,REPOSIÇÃO!AF:AF,"NC")</f>
        <v>1</v>
      </c>
      <c r="F561" s="74">
        <f>IFERROR(E561/(E561+D561),"0%")</f>
        <v>1</v>
      </c>
    </row>
    <row r="562" spans="2:6">
      <c r="B562" s="173" t="s">
        <v>141</v>
      </c>
      <c r="C562" s="69">
        <f t="shared" si="136"/>
        <v>16</v>
      </c>
      <c r="D562" s="69">
        <f>COUNTIFS(REPOSIÇÃO!C:C,B562,REPOSIÇÃO!AF:AF,"c")</f>
        <v>6</v>
      </c>
      <c r="E562" s="69">
        <f>COUNTIFS(REPOSIÇÃO!C:C,B562,REPOSIÇÃO!AF:AF,"NC")</f>
        <v>10</v>
      </c>
      <c r="F562" s="74">
        <f t="shared" ref="F562:F563" si="137">IFERROR(E562/(E562+D562),"0%")</f>
        <v>0.625</v>
      </c>
    </row>
    <row r="563" spans="2:6">
      <c r="B563" s="141" t="s">
        <v>142</v>
      </c>
      <c r="C563" s="69">
        <f t="shared" si="136"/>
        <v>1</v>
      </c>
      <c r="D563" s="69">
        <f>COUNTIFS(REPOSIÇÃO!C:C,B563,REPOSIÇÃO!AF:AF,"c")</f>
        <v>0</v>
      </c>
      <c r="E563" s="69">
        <f>COUNTIFS(REPOSIÇÃO!C:C,B563,REPOSIÇÃO!AF:AF,"NC")</f>
        <v>1</v>
      </c>
      <c r="F563" s="74">
        <f t="shared" si="137"/>
        <v>1</v>
      </c>
    </row>
  </sheetData>
  <sortState xmlns:xlrd2="http://schemas.microsoft.com/office/spreadsheetml/2017/richdata2" ref="B335:G374">
    <sortCondition ref="B335:B374"/>
  </sortState>
  <mergeCells count="47">
    <mergeCell ref="I157:J157"/>
    <mergeCell ref="B24:G24"/>
    <mergeCell ref="B40:G40"/>
    <mergeCell ref="B171:G171"/>
    <mergeCell ref="B33:G33"/>
    <mergeCell ref="B46:G46"/>
    <mergeCell ref="B48:G48"/>
    <mergeCell ref="B52:G52"/>
    <mergeCell ref="B56:G56"/>
    <mergeCell ref="B378:G378"/>
    <mergeCell ref="B225:G225"/>
    <mergeCell ref="B268:G268"/>
    <mergeCell ref="B282:G282"/>
    <mergeCell ref="B270:G270"/>
    <mergeCell ref="B274:G274"/>
    <mergeCell ref="B278:G278"/>
    <mergeCell ref="B2:G2"/>
    <mergeCell ref="B22:G22"/>
    <mergeCell ref="B3:G3"/>
    <mergeCell ref="B4:G4"/>
    <mergeCell ref="E10:G10"/>
    <mergeCell ref="B15:C15"/>
    <mergeCell ref="E11:G11"/>
    <mergeCell ref="E12:G12"/>
    <mergeCell ref="E13:G13"/>
    <mergeCell ref="C10:D10"/>
    <mergeCell ref="D9:F9"/>
    <mergeCell ref="C11:D11"/>
    <mergeCell ref="C12:D12"/>
    <mergeCell ref="C13:D13"/>
    <mergeCell ref="B6:G6"/>
    <mergeCell ref="B485:G485"/>
    <mergeCell ref="B382:G382"/>
    <mergeCell ref="B60:G60"/>
    <mergeCell ref="B386:G386"/>
    <mergeCell ref="B71:G71"/>
    <mergeCell ref="B114:G114"/>
    <mergeCell ref="B376:G376"/>
    <mergeCell ref="B333:G333"/>
    <mergeCell ref="B157:G157"/>
    <mergeCell ref="B398:G398"/>
    <mergeCell ref="B442:G442"/>
    <mergeCell ref="B290:G290"/>
    <mergeCell ref="B182:G182"/>
    <mergeCell ref="B159:G159"/>
    <mergeCell ref="B163:G163"/>
    <mergeCell ref="B167:G167"/>
  </mergeCells>
  <pageMargins left="0.511811024" right="0.511811024" top="0.78740157499999996" bottom="0.78740157499999996" header="0.31496062000000002" footer="0.31496062000000002"/>
  <pageSetup paperSize="9" orientation="portrait" horizontalDpi="120" verticalDpi="7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07"/>
  <sheetViews>
    <sheetView topLeftCell="A65" zoomScale="115" zoomScaleNormal="115" zoomScaleSheetLayoutView="100" workbookViewId="0">
      <selection activeCell="B87" sqref="B87"/>
    </sheetView>
  </sheetViews>
  <sheetFormatPr defaultColWidth="9.140625" defaultRowHeight="15"/>
  <cols>
    <col min="1" max="1" width="7.5703125" style="11" customWidth="1"/>
    <col min="2" max="2" width="24.42578125" style="11" customWidth="1"/>
    <col min="3" max="7" width="15.140625" style="11" customWidth="1"/>
    <col min="8" max="9" width="5" style="11" customWidth="1"/>
    <col min="10" max="16384" width="9.140625" style="1"/>
  </cols>
  <sheetData>
    <row r="1" spans="1:9" ht="6" customHeight="1"/>
    <row r="2" spans="1:9" s="5" customFormat="1" ht="23.25" customHeight="1">
      <c r="A2" s="409" t="s">
        <v>2</v>
      </c>
      <c r="B2" s="409"/>
      <c r="C2" s="409"/>
      <c r="D2" s="409"/>
      <c r="E2" s="409"/>
      <c r="F2" s="409"/>
      <c r="G2" s="409"/>
      <c r="H2" s="409"/>
      <c r="I2" s="409"/>
    </row>
    <row r="3" spans="1:9" ht="6.75" customHeight="1"/>
    <row r="4" spans="1:9" s="2" customFormat="1" ht="17.25" customHeight="1">
      <c r="A4" s="409" t="s">
        <v>7</v>
      </c>
      <c r="B4" s="409"/>
      <c r="C4" s="409"/>
      <c r="D4" s="409"/>
      <c r="E4" s="409"/>
      <c r="F4" s="409"/>
      <c r="G4" s="409"/>
      <c r="H4" s="409"/>
      <c r="I4" s="409"/>
    </row>
    <row r="5" spans="1:9">
      <c r="A5" s="411" t="str">
        <f>'DADOS - FREGUESIA DO Ó'!B4</f>
        <v>Período: 01/03/2026 à 31/03/2026</v>
      </c>
      <c r="B5" s="411"/>
      <c r="C5" s="411"/>
      <c r="D5" s="411"/>
      <c r="E5" s="411"/>
      <c r="F5" s="411"/>
      <c r="G5" s="411"/>
      <c r="H5" s="411"/>
      <c r="I5" s="411"/>
    </row>
    <row r="6" spans="1:9">
      <c r="A6" s="86"/>
      <c r="B6" s="86"/>
      <c r="C6" s="86"/>
      <c r="D6" s="86"/>
      <c r="E6" s="86"/>
      <c r="F6" s="86"/>
      <c r="G6" s="86"/>
      <c r="H6" s="86"/>
      <c r="I6" s="86"/>
    </row>
    <row r="7" spans="1:9" s="2" customFormat="1" ht="18" hidden="1" customHeight="1">
      <c r="A7" s="410" t="s">
        <v>143</v>
      </c>
      <c r="B7" s="410"/>
      <c r="C7" s="410"/>
      <c r="D7" s="410"/>
      <c r="E7" s="410"/>
      <c r="F7" s="410"/>
      <c r="G7" s="410"/>
      <c r="H7" s="410"/>
      <c r="I7" s="410"/>
    </row>
    <row r="8" spans="1:9" ht="15" hidden="1" customHeight="1">
      <c r="A8" s="41"/>
      <c r="B8" s="41"/>
      <c r="C8" s="41"/>
      <c r="D8" s="41"/>
      <c r="E8" s="41"/>
      <c r="F8" s="41"/>
      <c r="G8" s="41"/>
      <c r="H8" s="41"/>
      <c r="I8" s="41"/>
    </row>
    <row r="9" spans="1:9" ht="15" hidden="1" customHeight="1">
      <c r="A9" s="41"/>
      <c r="B9" s="41"/>
      <c r="C9" s="41"/>
      <c r="D9" s="41"/>
      <c r="E9" s="41"/>
      <c r="F9" s="41"/>
      <c r="G9" s="41"/>
      <c r="H9" s="41"/>
      <c r="I9" s="41"/>
    </row>
    <row r="10" spans="1:9" ht="15" hidden="1" customHeight="1">
      <c r="A10" s="41"/>
      <c r="B10" s="41"/>
      <c r="C10" s="41"/>
      <c r="D10" s="41"/>
      <c r="E10" s="41"/>
      <c r="F10" s="41"/>
      <c r="G10" s="41"/>
      <c r="H10" s="41"/>
      <c r="I10" s="41"/>
    </row>
    <row r="11" spans="1:9" ht="15" hidden="1" customHeight="1">
      <c r="A11" s="41"/>
      <c r="B11" s="41"/>
      <c r="C11" s="41"/>
      <c r="D11" s="41"/>
      <c r="E11" s="41"/>
      <c r="F11" s="41"/>
      <c r="G11" s="41"/>
      <c r="H11" s="41"/>
      <c r="I11" s="41"/>
    </row>
    <row r="12" spans="1:9" ht="15" hidden="1" customHeight="1">
      <c r="A12" s="41"/>
      <c r="B12" s="41"/>
      <c r="C12" s="41"/>
      <c r="D12" s="41"/>
      <c r="E12" s="41"/>
      <c r="F12" s="41"/>
      <c r="G12" s="41"/>
      <c r="H12" s="41"/>
      <c r="I12" s="41"/>
    </row>
    <row r="13" spans="1:9" ht="15" hidden="1" customHeight="1">
      <c r="A13" s="41"/>
      <c r="B13" s="41"/>
      <c r="C13" s="41"/>
      <c r="D13" s="41"/>
      <c r="E13" s="41"/>
      <c r="F13" s="41"/>
      <c r="G13" s="41"/>
      <c r="H13" s="41"/>
      <c r="I13" s="41"/>
    </row>
    <row r="14" spans="1:9" ht="15" hidden="1" customHeight="1">
      <c r="A14" s="41"/>
      <c r="B14" s="41"/>
      <c r="C14" s="41"/>
      <c r="D14" s="41"/>
      <c r="E14" s="41"/>
      <c r="F14" s="41"/>
      <c r="G14" s="41"/>
      <c r="H14" s="41"/>
      <c r="I14" s="41"/>
    </row>
    <row r="15" spans="1:9" ht="15" hidden="1" customHeight="1">
      <c r="A15" s="41"/>
      <c r="B15" s="41"/>
      <c r="C15" s="41"/>
      <c r="D15" s="41"/>
      <c r="E15" s="41"/>
      <c r="F15" s="41"/>
      <c r="G15" s="41"/>
      <c r="H15" s="41"/>
      <c r="I15" s="41"/>
    </row>
    <row r="16" spans="1:9" ht="15" hidden="1" customHeight="1">
      <c r="A16" s="41"/>
      <c r="B16" s="41"/>
      <c r="C16" s="41"/>
      <c r="D16" s="41"/>
      <c r="E16" s="41"/>
      <c r="F16" s="41"/>
      <c r="G16" s="41"/>
      <c r="H16" s="41"/>
      <c r="I16" s="41"/>
    </row>
    <row r="17" spans="1:9" ht="15" hidden="1" customHeight="1">
      <c r="A17" s="41"/>
      <c r="B17" s="41"/>
      <c r="C17" s="41"/>
      <c r="D17" s="41"/>
      <c r="E17" s="41"/>
      <c r="F17" s="41"/>
      <c r="G17" s="41"/>
      <c r="H17" s="41"/>
      <c r="I17" s="41"/>
    </row>
    <row r="18" spans="1:9" ht="15" hidden="1" customHeight="1">
      <c r="A18" s="41"/>
      <c r="B18" s="41"/>
      <c r="C18" s="41"/>
      <c r="D18" s="41"/>
      <c r="E18" s="41"/>
      <c r="F18" s="41"/>
      <c r="G18" s="41"/>
      <c r="H18" s="41"/>
      <c r="I18" s="41"/>
    </row>
    <row r="19" spans="1:9" ht="15" hidden="1" customHeight="1">
      <c r="A19" s="41"/>
      <c r="B19" s="41"/>
      <c r="C19" s="41"/>
      <c r="D19" s="41"/>
      <c r="E19" s="41"/>
      <c r="F19" s="41"/>
      <c r="G19" s="41"/>
      <c r="H19" s="41"/>
      <c r="I19" s="41"/>
    </row>
    <row r="20" spans="1:9" ht="15" hidden="1" customHeight="1">
      <c r="A20" s="41"/>
      <c r="B20" s="42" t="s">
        <v>144</v>
      </c>
      <c r="C20" s="42"/>
      <c r="D20" s="42"/>
      <c r="E20" s="42"/>
      <c r="F20" s="42"/>
      <c r="G20" s="42"/>
      <c r="H20" s="42"/>
      <c r="I20" s="42"/>
    </row>
    <row r="21" spans="1:9" ht="6.75" hidden="1" customHeight="1">
      <c r="A21" s="41"/>
      <c r="B21" s="42"/>
      <c r="C21" s="42"/>
      <c r="D21" s="42"/>
      <c r="E21" s="42"/>
      <c r="F21" s="42"/>
      <c r="G21" s="42"/>
      <c r="H21" s="42"/>
      <c r="I21" s="42"/>
    </row>
    <row r="22" spans="1:9" ht="15" hidden="1" customHeight="1">
      <c r="A22" s="41"/>
      <c r="B22" s="412" t="s">
        <v>145</v>
      </c>
      <c r="C22" s="412"/>
      <c r="D22" s="412"/>
      <c r="E22" s="412"/>
      <c r="F22" s="412"/>
      <c r="G22" s="412"/>
      <c r="H22" s="42"/>
      <c r="I22" s="42"/>
    </row>
    <row r="23" spans="1:9" ht="6" hidden="1" customHeight="1">
      <c r="A23" s="41"/>
      <c r="B23" s="42"/>
      <c r="C23" s="42"/>
      <c r="D23" s="42"/>
      <c r="E23" s="42"/>
      <c r="F23" s="42"/>
      <c r="G23" s="42"/>
      <c r="H23" s="42"/>
      <c r="I23" s="42"/>
    </row>
    <row r="24" spans="1:9" ht="15" hidden="1" customHeight="1">
      <c r="A24" s="41"/>
      <c r="B24" s="42" t="s">
        <v>146</v>
      </c>
      <c r="C24" s="42"/>
      <c r="D24" s="42"/>
      <c r="E24" s="42"/>
      <c r="F24" s="42"/>
      <c r="G24" s="42"/>
      <c r="H24" s="42"/>
      <c r="I24" s="42"/>
    </row>
    <row r="25" spans="1:9" ht="15" hidden="1" customHeight="1">
      <c r="A25" s="41"/>
      <c r="B25" s="42" t="s">
        <v>147</v>
      </c>
      <c r="C25" s="42"/>
      <c r="D25" s="42"/>
      <c r="E25" s="42"/>
      <c r="F25" s="42"/>
      <c r="G25" s="42"/>
      <c r="H25" s="42"/>
      <c r="I25" s="42"/>
    </row>
    <row r="26" spans="1:9" ht="15" hidden="1" customHeight="1">
      <c r="A26" s="41"/>
      <c r="B26" s="42" t="s">
        <v>148</v>
      </c>
      <c r="C26" s="42"/>
      <c r="D26" s="42"/>
      <c r="E26" s="42"/>
      <c r="F26" s="42"/>
      <c r="G26" s="42"/>
      <c r="H26" s="42"/>
      <c r="I26" s="42"/>
    </row>
    <row r="27" spans="1:9" ht="15" hidden="1" customHeight="1">
      <c r="A27" s="41"/>
      <c r="B27" s="42" t="s">
        <v>149</v>
      </c>
      <c r="C27" s="42"/>
      <c r="D27" s="42"/>
      <c r="E27" s="42"/>
      <c r="F27" s="42"/>
      <c r="G27" s="42"/>
      <c r="H27" s="42"/>
      <c r="I27" s="42"/>
    </row>
    <row r="28" spans="1:9" ht="6.75" hidden="1" customHeight="1">
      <c r="A28" s="41"/>
      <c r="B28" s="42"/>
      <c r="C28" s="42"/>
      <c r="D28" s="42"/>
      <c r="E28" s="42"/>
      <c r="F28" s="42"/>
      <c r="G28" s="42"/>
      <c r="H28" s="42"/>
      <c r="I28" s="42"/>
    </row>
    <row r="29" spans="1:9" ht="15" hidden="1" customHeight="1">
      <c r="A29" s="41"/>
      <c r="B29" s="42" t="s">
        <v>150</v>
      </c>
      <c r="C29" s="42"/>
      <c r="D29" s="42"/>
      <c r="E29" s="42"/>
      <c r="F29" s="42"/>
      <c r="G29" s="42"/>
      <c r="H29" s="42"/>
      <c r="I29" s="42"/>
    </row>
    <row r="30" spans="1:9" ht="7.5" hidden="1" customHeight="1">
      <c r="A30" s="41"/>
      <c r="B30" s="42"/>
      <c r="C30" s="42"/>
      <c r="D30" s="42"/>
      <c r="E30" s="42"/>
      <c r="F30" s="42"/>
      <c r="G30" s="42"/>
      <c r="H30" s="42"/>
      <c r="I30" s="42"/>
    </row>
    <row r="31" spans="1:9" ht="15" hidden="1" customHeight="1">
      <c r="A31" s="413" t="s">
        <v>151</v>
      </c>
      <c r="B31" s="413"/>
      <c r="C31" s="413"/>
      <c r="D31" s="413"/>
      <c r="E31" s="413"/>
      <c r="F31" s="413"/>
      <c r="G31" s="413"/>
      <c r="H31" s="413"/>
      <c r="I31" s="413"/>
    </row>
    <row r="32" spans="1:9" ht="15" customHeight="1">
      <c r="A32" s="413"/>
      <c r="B32" s="413"/>
      <c r="C32" s="413"/>
      <c r="D32" s="413"/>
      <c r="E32" s="413"/>
      <c r="F32" s="413"/>
      <c r="G32" s="413"/>
      <c r="H32" s="413"/>
      <c r="I32" s="413"/>
    </row>
    <row r="33" spans="1:9">
      <c r="A33" s="5"/>
      <c r="B33" s="43"/>
      <c r="C33" s="43"/>
      <c r="D33" s="43"/>
      <c r="E33" s="43"/>
      <c r="F33" s="43"/>
      <c r="G33" s="43"/>
      <c r="H33" s="43"/>
      <c r="I33" s="43"/>
    </row>
    <row r="34" spans="1:9" s="2" customFormat="1" ht="24" customHeight="1">
      <c r="A34" s="409" t="s">
        <v>152</v>
      </c>
      <c r="B34" s="409"/>
      <c r="C34" s="409"/>
      <c r="D34" s="409"/>
      <c r="E34" s="409"/>
      <c r="F34" s="409"/>
      <c r="G34" s="409"/>
      <c r="H34" s="409"/>
      <c r="I34" s="409"/>
    </row>
    <row r="36" spans="1:9" ht="15" customHeight="1">
      <c r="B36" s="411" t="s">
        <v>153</v>
      </c>
      <c r="C36" s="411"/>
      <c r="D36" s="411"/>
      <c r="E36" s="411" t="s">
        <v>14</v>
      </c>
      <c r="F36" s="411"/>
      <c r="G36" s="411"/>
      <c r="H36" s="411"/>
      <c r="I36" s="411"/>
    </row>
    <row r="40" spans="1:9" s="2" customFormat="1" ht="22.5" customHeight="1">
      <c r="A40" s="5"/>
      <c r="B40" s="5"/>
      <c r="C40" s="5"/>
      <c r="D40" s="5"/>
      <c r="E40" s="5"/>
      <c r="F40" s="5"/>
      <c r="G40" s="5"/>
      <c r="H40" s="5"/>
      <c r="I40" s="5"/>
    </row>
    <row r="50" spans="1:9" ht="15.75" customHeight="1"/>
    <row r="51" spans="1:9" ht="15.75" customHeight="1">
      <c r="B51" s="138" t="s">
        <v>154</v>
      </c>
      <c r="C51" s="419" t="s">
        <v>155</v>
      </c>
      <c r="D51" s="420"/>
      <c r="E51" s="421"/>
    </row>
    <row r="52" spans="1:9" ht="15.75" customHeight="1">
      <c r="B52" s="50" t="s">
        <v>15</v>
      </c>
      <c r="C52" s="422">
        <v>0</v>
      </c>
      <c r="D52" s="423"/>
      <c r="E52" s="424"/>
    </row>
    <row r="53" spans="1:9" ht="15.75" customHeight="1">
      <c r="B53" s="50" t="s">
        <v>16</v>
      </c>
      <c r="C53" s="422">
        <v>0</v>
      </c>
      <c r="D53" s="423"/>
      <c r="E53" s="424"/>
    </row>
    <row r="54" spans="1:9" ht="15.75" customHeight="1">
      <c r="B54" s="50" t="s">
        <v>17</v>
      </c>
      <c r="C54" s="422">
        <v>0</v>
      </c>
      <c r="D54" s="423"/>
      <c r="E54" s="424"/>
    </row>
    <row r="55" spans="1:9" ht="15.75" customHeight="1"/>
    <row r="57" spans="1:9" ht="20.25" customHeight="1">
      <c r="A57" s="409" t="s">
        <v>156</v>
      </c>
      <c r="B57" s="409"/>
      <c r="C57" s="409"/>
      <c r="D57" s="409"/>
      <c r="E57" s="409"/>
      <c r="F57" s="409"/>
      <c r="G57" s="409"/>
      <c r="H57" s="409"/>
      <c r="I57" s="409"/>
    </row>
    <row r="84" spans="1:9" ht="22.5" customHeight="1">
      <c r="A84" s="417" t="s">
        <v>23</v>
      </c>
      <c r="B84" s="417"/>
      <c r="C84" s="417"/>
      <c r="D84" s="417"/>
      <c r="E84" s="417"/>
      <c r="F84" s="417"/>
      <c r="G84" s="417"/>
      <c r="H84" s="417"/>
      <c r="I84" s="417"/>
    </row>
    <row r="85" spans="1:9" ht="15" customHeight="1">
      <c r="A85" s="418" t="str">
        <f>'DADOS - FREGUESIA DO Ó'!B4</f>
        <v>Período: 01/03/2026 à 31/03/2026</v>
      </c>
      <c r="B85" s="418"/>
      <c r="C85" s="418"/>
      <c r="D85" s="418"/>
      <c r="E85" s="418"/>
      <c r="F85" s="418"/>
      <c r="G85" s="418"/>
      <c r="H85" s="418"/>
      <c r="I85" s="418"/>
    </row>
    <row r="86" spans="1:9" ht="19.5" customHeight="1">
      <c r="B86" s="417" t="s">
        <v>157</v>
      </c>
      <c r="C86" s="417"/>
      <c r="D86" s="417"/>
      <c r="E86" s="417"/>
      <c r="F86" s="417"/>
      <c r="G86" s="417"/>
      <c r="H86" s="417"/>
      <c r="I86" s="147"/>
    </row>
    <row r="95" spans="1:9" s="2" customFormat="1" ht="22.5" customHeight="1">
      <c r="A95" s="5"/>
      <c r="B95" s="5"/>
      <c r="C95" s="5"/>
      <c r="D95" s="5"/>
      <c r="E95" s="5"/>
      <c r="F95" s="5"/>
      <c r="G95" s="5"/>
      <c r="H95" s="5"/>
      <c r="I95" s="5"/>
    </row>
    <row r="101" spans="2:7" ht="36" customHeight="1">
      <c r="B101" s="414" t="s">
        <v>24</v>
      </c>
      <c r="C101" s="415"/>
      <c r="D101" s="415"/>
      <c r="E101" s="415"/>
      <c r="F101" s="415"/>
      <c r="G101" s="416"/>
    </row>
    <row r="102" spans="2:7" ht="45">
      <c r="B102" s="131" t="s">
        <v>12</v>
      </c>
      <c r="C102" s="132" t="s">
        <v>25</v>
      </c>
      <c r="D102" s="132" t="s">
        <v>26</v>
      </c>
      <c r="E102" s="132" t="s">
        <v>27</v>
      </c>
      <c r="F102" s="132" t="s">
        <v>28</v>
      </c>
      <c r="G102" s="132" t="s">
        <v>29</v>
      </c>
    </row>
    <row r="103" spans="2:7" ht="22.5" customHeight="1">
      <c r="B103" s="148" t="s">
        <v>15</v>
      </c>
      <c r="C103" s="64">
        <f>D103+E103</f>
        <v>505</v>
      </c>
      <c r="D103" s="64">
        <f>COUNTIF(ÁGUA!AF:AF,"Nc")</f>
        <v>140</v>
      </c>
      <c r="E103" s="64">
        <f>COUNTIF(ÁGUA!AF:AF,"c")</f>
        <v>365</v>
      </c>
      <c r="F103" s="52">
        <f t="shared" ref="F103:F105" si="0">IFERROR(D103/C103,"-")</f>
        <v>0.27722772277227725</v>
      </c>
      <c r="G103" s="52">
        <f t="shared" ref="G103:G105" si="1">IFERROR(100%-F103,"-")</f>
        <v>0.72277227722772275</v>
      </c>
    </row>
    <row r="104" spans="2:7" ht="22.5" customHeight="1">
      <c r="B104" s="148" t="s">
        <v>16</v>
      </c>
      <c r="C104" s="64">
        <f>D104+E104</f>
        <v>236</v>
      </c>
      <c r="D104" s="64">
        <f>COUNTIF(ESGOTO!AF:AF,"NC")</f>
        <v>93</v>
      </c>
      <c r="E104" s="64">
        <f>COUNTIF(ESGOTO!AF:AF,"C")</f>
        <v>143</v>
      </c>
      <c r="F104" s="52">
        <f t="shared" si="0"/>
        <v>0.3940677966101695</v>
      </c>
      <c r="G104" s="52">
        <f t="shared" si="1"/>
        <v>0.60593220338983045</v>
      </c>
    </row>
    <row r="105" spans="2:7" ht="22.5" customHeight="1">
      <c r="B105" s="148" t="s">
        <v>30</v>
      </c>
      <c r="C105" s="64">
        <f>D105+E105</f>
        <v>536</v>
      </c>
      <c r="D105" s="64">
        <f>COUNTIF(CAVALETE!Z:Z,"nc")</f>
        <v>106</v>
      </c>
      <c r="E105" s="64">
        <f>COUNTIF(CAVALETE!Z:Z,"C")</f>
        <v>430</v>
      </c>
      <c r="F105" s="52">
        <f t="shared" si="0"/>
        <v>0.19776119402985073</v>
      </c>
      <c r="G105" s="52">
        <f t="shared" si="1"/>
        <v>0.80223880597014929</v>
      </c>
    </row>
    <row r="106" spans="2:7" ht="22.5" customHeight="1">
      <c r="B106" s="149" t="s">
        <v>17</v>
      </c>
      <c r="C106" s="75">
        <f>D106+E106</f>
        <v>23</v>
      </c>
      <c r="D106" s="75">
        <f>COUNTIF(REPOSIÇÃO!AF:AF,"nC")</f>
        <v>16</v>
      </c>
      <c r="E106" s="64">
        <f>COUNTIF(REPOSIÇÃO!AF:AF,"c")</f>
        <v>7</v>
      </c>
      <c r="F106" s="52">
        <f>IFERROR(D106/C106,"-")</f>
        <v>0.69565217391304346</v>
      </c>
      <c r="G106" s="52">
        <f>IFERROR(100%-F106,"-")</f>
        <v>0.30434782608695654</v>
      </c>
    </row>
    <row r="107" spans="2:7" ht="28.5" customHeight="1">
      <c r="B107" s="133"/>
      <c r="C107" s="134"/>
      <c r="D107" s="134"/>
      <c r="E107" s="135"/>
      <c r="F107" s="136" t="s">
        <v>33</v>
      </c>
      <c r="G107" s="137">
        <f>IFERROR(AVERAGE(G103,G104,G105,G106), "-")</f>
        <v>0.6088227781686647</v>
      </c>
    </row>
  </sheetData>
  <mergeCells count="18">
    <mergeCell ref="B101:G101"/>
    <mergeCell ref="B36:D36"/>
    <mergeCell ref="E36:I36"/>
    <mergeCell ref="A84:I84"/>
    <mergeCell ref="A85:I85"/>
    <mergeCell ref="A57:I57"/>
    <mergeCell ref="C51:E51"/>
    <mergeCell ref="C52:E52"/>
    <mergeCell ref="C53:E53"/>
    <mergeCell ref="C54:E54"/>
    <mergeCell ref="B86:H86"/>
    <mergeCell ref="A2:I2"/>
    <mergeCell ref="A4:I4"/>
    <mergeCell ref="A7:I7"/>
    <mergeCell ref="A34:I34"/>
    <mergeCell ref="A5:I5"/>
    <mergeCell ref="B22:G22"/>
    <mergeCell ref="A31:I32"/>
  </mergeCells>
  <pageMargins left="0.511811024" right="0.511811024" top="0.78740157499999996" bottom="0.78740157499999996" header="0.31496062000000002" footer="0.31496062000000002"/>
  <pageSetup paperSize="9" scale="78"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pageSetUpPr fitToPage="1"/>
  </sheetPr>
  <dimension ref="A1:O103"/>
  <sheetViews>
    <sheetView tabSelected="1" zoomScale="70" zoomScaleNormal="70" zoomScaleSheetLayoutView="70" workbookViewId="0">
      <selection activeCell="J7" sqref="J7"/>
    </sheetView>
  </sheetViews>
  <sheetFormatPr defaultColWidth="9.140625" defaultRowHeight="19.899999999999999" customHeight="1"/>
  <cols>
    <col min="1" max="7" width="37.7109375" style="18" customWidth="1"/>
    <col min="8" max="16384" width="9.140625" style="18"/>
  </cols>
  <sheetData>
    <row r="1" spans="1:7" s="35" customFormat="1" ht="35.1" customHeight="1">
      <c r="A1" s="425" t="s">
        <v>158</v>
      </c>
      <c r="B1" s="425"/>
      <c r="C1" s="425"/>
      <c r="D1" s="425"/>
      <c r="E1" s="425"/>
      <c r="F1" s="425"/>
      <c r="G1" s="93"/>
    </row>
    <row r="2" spans="1:7" s="51" customFormat="1" ht="30" customHeight="1" thickBot="1"/>
    <row r="3" spans="1:7" s="51" customFormat="1" ht="30" customHeight="1">
      <c r="A3" s="36"/>
      <c r="B3" s="428" t="s">
        <v>159</v>
      </c>
      <c r="C3" s="429"/>
      <c r="D3" s="428" t="s">
        <v>56</v>
      </c>
      <c r="E3" s="429"/>
    </row>
    <row r="4" spans="1:7" s="51" customFormat="1" ht="30" customHeight="1" thickBot="1">
      <c r="A4" s="36"/>
      <c r="B4" s="426">
        <f>COUNTIF(ÁGUA!A:A,"ONMF - DIV MANUT SERV OPE FREGUESIA")</f>
        <v>562</v>
      </c>
      <c r="C4" s="427"/>
      <c r="D4" s="426">
        <f>'DADOS - FREGUESIA DO Ó'!C26</f>
        <v>505</v>
      </c>
      <c r="E4" s="427"/>
    </row>
    <row r="5" spans="1:7" s="51" customFormat="1" ht="35.1" customHeight="1">
      <c r="A5" s="36"/>
      <c r="B5" s="91" t="s">
        <v>160</v>
      </c>
      <c r="C5" s="90" t="s">
        <v>161</v>
      </c>
      <c r="D5" s="91" t="s">
        <v>162</v>
      </c>
      <c r="E5" s="90" t="s">
        <v>161</v>
      </c>
      <c r="G5" s="51">
        <f>344/6</f>
        <v>57.333333333333336</v>
      </c>
    </row>
    <row r="6" spans="1:7" s="51" customFormat="1" ht="35.1" customHeight="1" thickBot="1">
      <c r="A6" s="36"/>
      <c r="B6" s="87">
        <f>'DADOS - FREGUESIA DO Ó'!C26+'GRÁFICOS - ÁGUA'!D8</f>
        <v>562</v>
      </c>
      <c r="C6" s="46">
        <f>IFERROR(B6/B4,"-")</f>
        <v>1</v>
      </c>
      <c r="D6" s="87">
        <f>COUNTIFS(ÁGUA!O:O,"SF",ÁGUA!Q:Q,"SF",ÁGUA!S:S,"SF",ÁGUA!U:U,"SF",ÁGUA!W:W,"SF",ÁGUA!Y:Y,"SF",ÁGUA!AC:AC,"SF",ÁGUA!AA:AA,"SF")</f>
        <v>34</v>
      </c>
      <c r="E6" s="46">
        <f>IFERROR(D6/B4,"-")</f>
        <v>6.0498220640569395E-2</v>
      </c>
    </row>
    <row r="7" spans="1:7" s="51" customFormat="1" ht="35.1" customHeight="1">
      <c r="A7" s="36"/>
      <c r="B7" s="91" t="s">
        <v>163</v>
      </c>
      <c r="C7" s="90" t="s">
        <v>161</v>
      </c>
      <c r="D7" s="91" t="s">
        <v>164</v>
      </c>
      <c r="E7" s="90" t="s">
        <v>161</v>
      </c>
    </row>
    <row r="8" spans="1:7" s="51" customFormat="1" ht="35.1" customHeight="1" thickBot="1">
      <c r="A8" s="36"/>
      <c r="B8" s="87">
        <f>B4-B6</f>
        <v>0</v>
      </c>
      <c r="C8" s="46">
        <f>IFERROR(B8/B4,"-")</f>
        <v>0</v>
      </c>
      <c r="D8" s="87">
        <f>COUNTIFS(ÁGUA!O:O,"na",ÁGUA!Q:Q,"na",ÁGUA!S:S,"na",ÁGUA!U:U,"na",ÁGUA!W:W,"na",ÁGUA!Y:Y,"na",ÁGUA!AC:AC,"na",ÁGUA!AA:AA,"na")</f>
        <v>57</v>
      </c>
      <c r="E8" s="46">
        <f>IFERROR(D8/B4,"-")</f>
        <v>0.10142348754448399</v>
      </c>
    </row>
    <row r="9" spans="1:7" s="51" customFormat="1" ht="20.100000000000001" customHeight="1">
      <c r="A9" s="36"/>
      <c r="B9" s="36"/>
      <c r="C9" s="36"/>
      <c r="D9" s="36"/>
      <c r="E9" s="36"/>
    </row>
    <row r="10" spans="1:7" s="51" customFormat="1" ht="20.100000000000001" customHeight="1">
      <c r="A10" s="36"/>
      <c r="B10" s="36"/>
      <c r="C10" s="36"/>
      <c r="D10" s="36"/>
      <c r="E10" s="36"/>
    </row>
    <row r="11" spans="1:7" s="35" customFormat="1" ht="35.1" customHeight="1">
      <c r="A11" s="425" t="s">
        <v>165</v>
      </c>
      <c r="B11" s="425"/>
      <c r="C11" s="425"/>
      <c r="D11" s="425"/>
      <c r="E11" s="425"/>
      <c r="F11" s="425"/>
      <c r="G11" s="425"/>
    </row>
    <row r="12" spans="1:7" s="26" customFormat="1" ht="19.899999999999999" customHeight="1"/>
    <row r="13" spans="1:7" s="27" customFormat="1" ht="19.899999999999999" customHeight="1"/>
    <row r="14" spans="1:7" s="27" customFormat="1" ht="19.899999999999999" customHeight="1">
      <c r="A14" s="24"/>
      <c r="B14" s="24"/>
      <c r="C14" s="28"/>
      <c r="D14" s="28"/>
      <c r="E14" s="24"/>
    </row>
    <row r="15" spans="1:7" s="27" customFormat="1" ht="19.899999999999999" customHeight="1">
      <c r="A15" s="24"/>
      <c r="B15" s="24"/>
      <c r="C15" s="28"/>
      <c r="D15" s="28"/>
      <c r="E15" s="24"/>
    </row>
    <row r="16" spans="1:7" s="27" customFormat="1" ht="19.899999999999999" customHeight="1"/>
    <row r="17" s="27" customFormat="1" ht="19.899999999999999" customHeight="1"/>
    <row r="40" spans="1:7" ht="35.1" customHeight="1">
      <c r="A40" s="425" t="s">
        <v>166</v>
      </c>
      <c r="B40" s="425"/>
      <c r="C40" s="425"/>
      <c r="D40" s="425"/>
      <c r="E40" s="425"/>
      <c r="F40" s="425"/>
      <c r="G40" s="425"/>
    </row>
    <row r="69" spans="1:7" s="35" customFormat="1" ht="35.1" customHeight="1">
      <c r="A69" s="425" t="s">
        <v>167</v>
      </c>
      <c r="B69" s="425"/>
      <c r="C69" s="425"/>
      <c r="D69" s="425"/>
      <c r="E69" s="425"/>
      <c r="F69" s="425"/>
      <c r="G69" s="425"/>
    </row>
    <row r="101" spans="1:15" ht="19.5" customHeight="1"/>
    <row r="102" spans="1:15" ht="19.5" customHeight="1"/>
    <row r="103" spans="1:15" s="37" customFormat="1" ht="35.1" customHeight="1">
      <c r="A103" s="425" t="s">
        <v>168</v>
      </c>
      <c r="B103" s="425"/>
      <c r="C103" s="425"/>
      <c r="D103" s="425"/>
      <c r="E103" s="425"/>
      <c r="F103" s="425"/>
      <c r="G103" s="425"/>
      <c r="H103" s="425"/>
      <c r="I103" s="425"/>
      <c r="J103" s="425"/>
      <c r="K103" s="425"/>
      <c r="L103" s="93"/>
      <c r="M103" s="93"/>
      <c r="N103" s="93"/>
      <c r="O103" s="93"/>
    </row>
  </sheetData>
  <sheetProtection formatCells="0" formatColumns="0" formatRows="0" insertColumns="0" insertRows="0" insertHyperlinks="0" deleteColumns="0" deleteRows="0" sort="0" autoFilter="0" pivotTables="0"/>
  <mergeCells count="9">
    <mergeCell ref="A11:G11"/>
    <mergeCell ref="A40:G40"/>
    <mergeCell ref="A69:G69"/>
    <mergeCell ref="A103:K103"/>
    <mergeCell ref="A1:F1"/>
    <mergeCell ref="B4:C4"/>
    <mergeCell ref="B3:C3"/>
    <mergeCell ref="D3:E3"/>
    <mergeCell ref="D4:E4"/>
  </mergeCells>
  <pageMargins left="0.25" right="0.25" top="0.75" bottom="0.75" header="0.3" footer="0.3"/>
  <pageSetup paperSize="9" scale="34"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K922"/>
  <sheetViews>
    <sheetView zoomScale="55" zoomScaleNormal="55" workbookViewId="0">
      <pane ySplit="1" topLeftCell="N559" activePane="bottomLeft" state="frozen"/>
      <selection pane="bottomLeft" activeCell="Q563" sqref="Q563"/>
      <selection activeCell="L131" sqref="L131"/>
    </sheetView>
  </sheetViews>
  <sheetFormatPr defaultColWidth="9.140625" defaultRowHeight="30" customHeight="1"/>
  <cols>
    <col min="1" max="1" width="61.7109375" style="53" customWidth="1"/>
    <col min="2" max="2" width="25.28515625" style="53" customWidth="1"/>
    <col min="3" max="3" width="59" style="53" customWidth="1"/>
    <col min="4" max="4" width="37" style="53" customWidth="1"/>
    <col min="5" max="5" width="23.5703125" style="53" bestFit="1" customWidth="1"/>
    <col min="6" max="6" width="39.28515625" style="53" customWidth="1"/>
    <col min="7" max="7" width="20.7109375" style="53" bestFit="1" customWidth="1"/>
    <col min="8" max="8" width="29.28515625" style="53" bestFit="1" customWidth="1"/>
    <col min="9" max="9" width="46.85546875" style="53" customWidth="1"/>
    <col min="10" max="10" width="67" style="53" customWidth="1"/>
    <col min="11" max="11" width="94" style="53" customWidth="1"/>
    <col min="12" max="12" width="39.140625" style="53" bestFit="1" customWidth="1"/>
    <col min="13" max="13" width="36.28515625" style="53" bestFit="1" customWidth="1"/>
    <col min="14" max="14" width="96.42578125" style="57" customWidth="1"/>
    <col min="15" max="15" width="49.42578125" style="53" customWidth="1"/>
    <col min="16" max="16" width="38.85546875" style="53" bestFit="1" customWidth="1"/>
    <col min="17" max="17" width="29.42578125" style="53" bestFit="1" customWidth="1"/>
    <col min="18" max="18" width="43" style="53" bestFit="1" customWidth="1"/>
    <col min="19" max="19" width="26.85546875" style="53" bestFit="1" customWidth="1"/>
    <col min="20" max="20" width="86.5703125" style="53" customWidth="1"/>
    <col min="21" max="21" width="28" style="53" bestFit="1" customWidth="1"/>
    <col min="22" max="22" width="41.42578125" style="53" bestFit="1" customWidth="1"/>
    <col min="23" max="23" width="35" style="53" bestFit="1" customWidth="1"/>
    <col min="24" max="24" width="48" style="53" bestFit="1" customWidth="1"/>
    <col min="25" max="25" width="35.140625" style="53" bestFit="1" customWidth="1"/>
    <col min="26" max="26" width="47.140625" style="53" bestFit="1" customWidth="1"/>
    <col min="27" max="27" width="34.42578125" style="53" bestFit="1" customWidth="1"/>
    <col min="28" max="28" width="87.7109375" style="53" customWidth="1"/>
    <col min="29" max="29" width="40.5703125" style="53" customWidth="1"/>
    <col min="30" max="30" width="225.5703125" style="53" customWidth="1"/>
    <col min="31" max="32" width="37.28515625" style="53" bestFit="1" customWidth="1"/>
    <col min="33" max="33" width="77.7109375" style="53" customWidth="1"/>
    <col min="34" max="34" width="22" style="53" customWidth="1"/>
    <col min="35" max="35" width="23.5703125" style="53" bestFit="1" customWidth="1"/>
    <col min="36" max="36" width="25.5703125" style="53" bestFit="1" customWidth="1"/>
    <col min="37" max="37" width="55.42578125" style="53" bestFit="1" customWidth="1"/>
    <col min="38" max="16384" width="9.140625" style="10"/>
  </cols>
  <sheetData>
    <row r="1" spans="1:37" s="53" customFormat="1" ht="33" customHeight="1">
      <c r="A1" s="206" t="s">
        <v>169</v>
      </c>
      <c r="B1" s="206" t="s">
        <v>170</v>
      </c>
      <c r="C1" s="206" t="s">
        <v>171</v>
      </c>
      <c r="D1" s="206" t="s">
        <v>172</v>
      </c>
      <c r="E1" s="206" t="s">
        <v>173</v>
      </c>
      <c r="F1" s="206" t="s">
        <v>174</v>
      </c>
      <c r="G1" s="206" t="s">
        <v>175</v>
      </c>
      <c r="H1" s="206" t="s">
        <v>176</v>
      </c>
      <c r="I1" s="206" t="s">
        <v>177</v>
      </c>
      <c r="J1" s="206" t="s">
        <v>178</v>
      </c>
      <c r="K1" s="206" t="s">
        <v>179</v>
      </c>
      <c r="L1" s="206" t="s">
        <v>180</v>
      </c>
      <c r="M1" s="206" t="s">
        <v>181</v>
      </c>
      <c r="N1" s="207" t="s">
        <v>55</v>
      </c>
      <c r="O1" s="221" t="s">
        <v>46</v>
      </c>
      <c r="P1" s="221" t="s">
        <v>182</v>
      </c>
      <c r="Q1" s="221" t="s">
        <v>47</v>
      </c>
      <c r="R1" s="221" t="s">
        <v>183</v>
      </c>
      <c r="S1" s="221" t="s">
        <v>48</v>
      </c>
      <c r="T1" s="221" t="s">
        <v>184</v>
      </c>
      <c r="U1" s="221" t="s">
        <v>49</v>
      </c>
      <c r="V1" s="221" t="s">
        <v>185</v>
      </c>
      <c r="W1" s="221" t="s">
        <v>50</v>
      </c>
      <c r="X1" s="221" t="s">
        <v>186</v>
      </c>
      <c r="Y1" s="221" t="s">
        <v>51</v>
      </c>
      <c r="Z1" s="221" t="s">
        <v>187</v>
      </c>
      <c r="AA1" s="221" t="s">
        <v>188</v>
      </c>
      <c r="AB1" s="221" t="s">
        <v>189</v>
      </c>
      <c r="AC1" s="221" t="s">
        <v>53</v>
      </c>
      <c r="AD1" s="221" t="s">
        <v>190</v>
      </c>
      <c r="AE1" s="222" t="s">
        <v>191</v>
      </c>
      <c r="AF1" s="222" t="s">
        <v>192</v>
      </c>
      <c r="AG1" s="223" t="s">
        <v>193</v>
      </c>
      <c r="AH1" s="223" t="s">
        <v>194</v>
      </c>
      <c r="AI1" s="213" t="s">
        <v>195</v>
      </c>
      <c r="AJ1" s="213" t="s">
        <v>196</v>
      </c>
      <c r="AK1" s="213" t="s">
        <v>197</v>
      </c>
    </row>
    <row r="2" spans="1:37" s="204" customFormat="1" ht="30" customHeight="1">
      <c r="A2" s="261" t="s">
        <v>198</v>
      </c>
      <c r="B2" s="215">
        <v>2617563355</v>
      </c>
      <c r="C2" s="215" t="s">
        <v>85</v>
      </c>
      <c r="D2" s="215" t="s">
        <v>80</v>
      </c>
      <c r="E2" s="215" t="s">
        <v>5</v>
      </c>
      <c r="F2" s="215" t="s">
        <v>199</v>
      </c>
      <c r="G2" s="215">
        <v>465</v>
      </c>
      <c r="H2" s="215" t="s">
        <v>200</v>
      </c>
      <c r="I2" s="215" t="s">
        <v>201</v>
      </c>
      <c r="J2" s="215" t="s">
        <v>202</v>
      </c>
      <c r="K2" s="215" t="s">
        <v>203</v>
      </c>
      <c r="L2" s="216">
        <v>46058.25</v>
      </c>
      <c r="M2" s="216">
        <v>46058.250694444447</v>
      </c>
      <c r="N2" s="215" t="s">
        <v>204</v>
      </c>
      <c r="O2" s="203" t="s">
        <v>205</v>
      </c>
      <c r="P2" s="202"/>
      <c r="Q2" s="203" t="s">
        <v>205</v>
      </c>
      <c r="R2" s="202"/>
      <c r="S2" s="203" t="s">
        <v>205</v>
      </c>
      <c r="T2" s="202"/>
      <c r="U2" s="203" t="s">
        <v>205</v>
      </c>
      <c r="V2" s="202"/>
      <c r="W2" s="203" t="s">
        <v>206</v>
      </c>
      <c r="X2" s="202"/>
      <c r="Y2" s="203" t="s">
        <v>62</v>
      </c>
      <c r="Z2" s="202"/>
      <c r="AA2" s="203" t="s">
        <v>205</v>
      </c>
      <c r="AB2" s="202"/>
      <c r="AC2" s="203" t="s">
        <v>205</v>
      </c>
      <c r="AE2" s="203" t="s">
        <v>205</v>
      </c>
      <c r="AF2" s="205" t="str">
        <f>IF(AND(O2="",Q2="",S2="",U2="",W2="",Y2="",AA2="",AC2=""),"",IF(OR(AND(O2&lt;&gt;"NA",O2&lt;&gt;"C",O2&lt;&gt;"NC",O2&lt;&gt;"SF",O2&lt;&gt;""),AND(Q2&lt;&gt;"NA",Q2&lt;&gt;"C",Q2&lt;&gt;"NC",Q2&lt;&gt;"SF",Q2&lt;&gt;""),AND(S2&lt;&gt;"NA",S2&lt;&gt;"C",S2&lt;&gt;"NC",S2&lt;&gt;"SF",S2&lt;&gt;""),AND(U2&lt;&gt;"NA",U2&lt;&gt;"C",U2&lt;&gt;"NC",U2&lt;&gt;"SF",U2&lt;&gt;""),AND(W2&lt;&gt;"NA",W2&lt;&gt;"C",W2&lt;&gt;"NC",W2&lt;&gt;"SF",W2&lt;&gt;""),AND(Y2&lt;&gt;"NA",Y2&lt;&gt;"C",Y2&lt;&gt;"NC",Y2&lt;&gt;"SF",Y2&lt;&gt;""),AND(AA2&lt;&gt;"NA",AA2&lt;&gt;"C",AA2&lt;&gt;"NC",AA2&lt;&gt;"SF",AA2&lt;&gt;""),AND(AC2&lt;&gt;"NA",AC2&lt;&gt;"C",AC2&lt;&gt;"NC",AC2&lt;&gt;"SF",AC2&lt;&gt;"")),"FALSO",IF(AND(O2="NA",Q2="NA",S2="NA",U2="NA",W2="NA",Y2="NA",AA2="NA",AC2="NA"),"NA",IF(OR(O2="NC",Q2="NC",S2="NC",U2="NC",W2="NC",Y2="NC",AA2="NC",AC2="NC",O2="SF",Q2="SF",S2="SF",U2="SF",W2="SF",Y2="SF",AA2="SF",AC2="SF"),"NC",IF(OR(O2="C",Q2="C",S2="C",U2="C",W2="C",Y2="C",AA2="C",AC2="C"),"C","")))))</f>
        <v>NC</v>
      </c>
      <c r="AG2" s="204" t="str">
        <f>IF(AND(AE2="C",AF2="C"),"UTILIZOU O PDA CORRETAMENTE",IF(AND(AE2="C",AF2="NC"),"UTILIZOU O PDA CORRETAMENTE. NÃO HÁ FOTOS DE TODAS AS ETAPAS",IF(AND(AE2="NC",AF2="NC"),"NÃO UTILIZOU O PDA",IF(AND(AE2="NA",AF2="NA"),"NÃO AVALIADO POR FALHA DE SINCRONISMO"))))</f>
        <v>UTILIZOU O PDA CORRETAMENTE. NÃO HÁ FOTOS DE TODAS AS ETAPAS</v>
      </c>
      <c r="AH2" s="203" t="s">
        <v>205</v>
      </c>
      <c r="AI2" s="246" t="s">
        <v>6</v>
      </c>
      <c r="AJ2" s="246" t="str">
        <f>E2</f>
        <v>SÃO PAULO</v>
      </c>
      <c r="AK2" s="247" t="s">
        <v>39</v>
      </c>
    </row>
    <row r="3" spans="1:37" s="204" customFormat="1" ht="30" customHeight="1">
      <c r="A3" s="215" t="s">
        <v>198</v>
      </c>
      <c r="B3" s="215">
        <v>2617564324</v>
      </c>
      <c r="C3" s="215" t="s">
        <v>207</v>
      </c>
      <c r="D3" s="215" t="s">
        <v>80</v>
      </c>
      <c r="E3" s="215" t="s">
        <v>5</v>
      </c>
      <c r="F3" s="215" t="s">
        <v>208</v>
      </c>
      <c r="G3" s="215">
        <v>411</v>
      </c>
      <c r="H3" s="215"/>
      <c r="I3" s="215" t="s">
        <v>209</v>
      </c>
      <c r="J3" s="215" t="s">
        <v>210</v>
      </c>
      <c r="K3" s="215" t="s">
        <v>211</v>
      </c>
      <c r="L3" s="216">
        <v>46027.354861111111</v>
      </c>
      <c r="M3" s="216">
        <v>46027.35833333333</v>
      </c>
      <c r="N3" s="215" t="s">
        <v>212</v>
      </c>
      <c r="O3" s="203" t="s">
        <v>205</v>
      </c>
      <c r="P3" s="202"/>
      <c r="Q3" s="203" t="s">
        <v>205</v>
      </c>
      <c r="R3" s="202"/>
      <c r="S3" s="203" t="s">
        <v>205</v>
      </c>
      <c r="T3" s="202"/>
      <c r="U3" s="203" t="s">
        <v>205</v>
      </c>
      <c r="V3" s="202"/>
      <c r="W3" s="203" t="s">
        <v>205</v>
      </c>
      <c r="X3" s="202"/>
      <c r="Y3" s="203" t="s">
        <v>62</v>
      </c>
      <c r="Z3" s="202"/>
      <c r="AA3" s="203" t="s">
        <v>205</v>
      </c>
      <c r="AB3" s="202"/>
      <c r="AC3" s="203" t="s">
        <v>205</v>
      </c>
      <c r="AE3" s="203" t="s">
        <v>205</v>
      </c>
      <c r="AF3" s="205" t="str">
        <f t="shared" ref="AF3:AF65" si="0">IF(AND(O3="",Q3="",S3="",U3="",W3="",Y3="",AA3="",AC3=""),"",IF(OR(AND(O3&lt;&gt;"NA",O3&lt;&gt;"C",O3&lt;&gt;"NC",O3&lt;&gt;"SF",O3&lt;&gt;""),AND(Q3&lt;&gt;"NA",Q3&lt;&gt;"C",Q3&lt;&gt;"NC",Q3&lt;&gt;"SF",Q3&lt;&gt;""),AND(S3&lt;&gt;"NA",S3&lt;&gt;"C",S3&lt;&gt;"NC",S3&lt;&gt;"SF",S3&lt;&gt;""),AND(U3&lt;&gt;"NA",U3&lt;&gt;"C",U3&lt;&gt;"NC",U3&lt;&gt;"SF",U3&lt;&gt;""),AND(W3&lt;&gt;"NA",W3&lt;&gt;"C",W3&lt;&gt;"NC",W3&lt;&gt;"SF",W3&lt;&gt;""),AND(Y3&lt;&gt;"NA",Y3&lt;&gt;"C",Y3&lt;&gt;"NC",Y3&lt;&gt;"SF",Y3&lt;&gt;""),AND(AA3&lt;&gt;"NA",AA3&lt;&gt;"C",AA3&lt;&gt;"NC",AA3&lt;&gt;"SF",AA3&lt;&gt;""),AND(AC3&lt;&gt;"NA",AC3&lt;&gt;"C",AC3&lt;&gt;"NC",AC3&lt;&gt;"SF",AC3&lt;&gt;"")),"FALSO",IF(AND(O3="NA",Q3="NA",S3="NA",U3="NA",W3="NA",Y3="NA",AA3="NA",AC3="NA"),"NA",IF(OR(O3="NC",Q3="NC",S3="NC",U3="NC",W3="NC",Y3="NC",AA3="NC",AC3="NC",O3="SF",Q3="SF",S3="SF",U3="SF",W3="SF",Y3="SF",AA3="SF",AC3="SF"),"NC",IF(OR(O3="C",Q3="C",S3="C",U3="C",W3="C",Y3="C",AA3="C",AC3="C"),"C","")))))</f>
        <v>C</v>
      </c>
      <c r="AG3" s="204" t="str">
        <f t="shared" ref="AG3:AG65" si="1">IF(AND(AE3="C",AF3="C"),"UTILIZOU O PDA CORRETAMENTE",IF(AND(AE3="C",AF3="NC"),"UTILIZOU O PDA CORRETAMENTE. NÃO HÁ FOTOS DE TODAS AS ETAPAS",IF(AND(AE3="NC",AF3="NC"),"NÃO UTILIZOU O PDA",IF(AND(AE3="NA",AF3="NA"),"NÃO AVALIADO POR FALHA DE SINCRONISMO"))))</f>
        <v>UTILIZOU O PDA CORRETAMENTE</v>
      </c>
      <c r="AH3" s="203" t="s">
        <v>205</v>
      </c>
      <c r="AI3" s="246" t="s">
        <v>6</v>
      </c>
      <c r="AJ3" s="246" t="str">
        <f t="shared" ref="AJ3:AJ65" si="2">E3</f>
        <v>SÃO PAULO</v>
      </c>
      <c r="AK3" s="247" t="s">
        <v>39</v>
      </c>
    </row>
    <row r="4" spans="1:37" s="204" customFormat="1" ht="30" customHeight="1">
      <c r="A4" s="215" t="s">
        <v>198</v>
      </c>
      <c r="B4" s="215">
        <v>2617975642</v>
      </c>
      <c r="C4" s="215" t="s">
        <v>87</v>
      </c>
      <c r="D4" s="215" t="s">
        <v>80</v>
      </c>
      <c r="E4" s="215" t="s">
        <v>5</v>
      </c>
      <c r="F4" s="215" t="s">
        <v>213</v>
      </c>
      <c r="G4" s="215">
        <v>220</v>
      </c>
      <c r="H4" s="215" t="s">
        <v>214</v>
      </c>
      <c r="I4" s="215" t="s">
        <v>215</v>
      </c>
      <c r="J4" s="215" t="s">
        <v>216</v>
      </c>
      <c r="K4" s="215" t="s">
        <v>200</v>
      </c>
      <c r="L4" s="216">
        <v>46027.395138888889</v>
      </c>
      <c r="M4" s="216">
        <v>46027.399305555555</v>
      </c>
      <c r="N4" s="215" t="s">
        <v>217</v>
      </c>
      <c r="O4" s="203" t="s">
        <v>205</v>
      </c>
      <c r="P4" s="202"/>
      <c r="Q4" s="203" t="s">
        <v>205</v>
      </c>
      <c r="R4" s="202"/>
      <c r="S4" s="203" t="s">
        <v>205</v>
      </c>
      <c r="T4" s="202"/>
      <c r="U4" s="203" t="s">
        <v>62</v>
      </c>
      <c r="V4" s="202"/>
      <c r="W4" s="203" t="s">
        <v>62</v>
      </c>
      <c r="X4" s="202"/>
      <c r="Y4" s="203" t="s">
        <v>62</v>
      </c>
      <c r="Z4" s="202"/>
      <c r="AA4" s="203" t="s">
        <v>205</v>
      </c>
      <c r="AB4" s="202"/>
      <c r="AC4" s="203" t="s">
        <v>205</v>
      </c>
      <c r="AE4" s="203" t="s">
        <v>205</v>
      </c>
      <c r="AF4" s="205" t="str">
        <f t="shared" si="0"/>
        <v>C</v>
      </c>
      <c r="AG4" s="204" t="str">
        <f t="shared" si="1"/>
        <v>UTILIZOU O PDA CORRETAMENTE</v>
      </c>
      <c r="AH4" s="203" t="s">
        <v>205</v>
      </c>
      <c r="AI4" s="246" t="s">
        <v>6</v>
      </c>
      <c r="AJ4" s="246" t="str">
        <f t="shared" si="2"/>
        <v>SÃO PAULO</v>
      </c>
      <c r="AK4" s="247" t="s">
        <v>39</v>
      </c>
    </row>
    <row r="5" spans="1:37" s="204" customFormat="1" ht="30" customHeight="1">
      <c r="A5" s="215" t="s">
        <v>198</v>
      </c>
      <c r="B5" s="215">
        <v>2692044832</v>
      </c>
      <c r="C5" s="215" t="s">
        <v>102</v>
      </c>
      <c r="D5" s="215" t="s">
        <v>81</v>
      </c>
      <c r="E5" s="215" t="s">
        <v>5</v>
      </c>
      <c r="F5" s="215" t="s">
        <v>218</v>
      </c>
      <c r="G5" s="215">
        <v>717</v>
      </c>
      <c r="H5" s="215"/>
      <c r="I5" s="215" t="s">
        <v>219</v>
      </c>
      <c r="J5" s="215" t="s">
        <v>220</v>
      </c>
      <c r="K5" s="215"/>
      <c r="L5" s="216">
        <v>46027.416666666664</v>
      </c>
      <c r="M5" s="216">
        <v>46027.423611111109</v>
      </c>
      <c r="N5" s="215" t="s">
        <v>221</v>
      </c>
      <c r="O5" s="203" t="s">
        <v>205</v>
      </c>
      <c r="P5" s="202"/>
      <c r="Q5" s="203" t="s">
        <v>205</v>
      </c>
      <c r="R5" s="202"/>
      <c r="S5" s="203" t="s">
        <v>205</v>
      </c>
      <c r="T5" s="202"/>
      <c r="U5" s="203" t="s">
        <v>205</v>
      </c>
      <c r="V5" s="202"/>
      <c r="W5" s="203" t="s">
        <v>205</v>
      </c>
      <c r="X5" s="202"/>
      <c r="Y5" s="203" t="s">
        <v>62</v>
      </c>
      <c r="Z5" s="202"/>
      <c r="AA5" s="203" t="s">
        <v>205</v>
      </c>
      <c r="AB5" s="202"/>
      <c r="AC5" s="203" t="s">
        <v>205</v>
      </c>
      <c r="AE5" s="203" t="s">
        <v>205</v>
      </c>
      <c r="AF5" s="205" t="str">
        <f t="shared" si="0"/>
        <v>C</v>
      </c>
      <c r="AG5" s="204" t="str">
        <f t="shared" si="1"/>
        <v>UTILIZOU O PDA CORRETAMENTE</v>
      </c>
      <c r="AH5" s="203" t="s">
        <v>205</v>
      </c>
      <c r="AI5" s="246" t="s">
        <v>6</v>
      </c>
      <c r="AJ5" s="246" t="str">
        <f t="shared" si="2"/>
        <v>SÃO PAULO</v>
      </c>
      <c r="AK5" s="247" t="s">
        <v>39</v>
      </c>
    </row>
    <row r="6" spans="1:37" s="204" customFormat="1" ht="30" customHeight="1">
      <c r="A6" s="261" t="s">
        <v>198</v>
      </c>
      <c r="B6" s="215">
        <v>2618125401</v>
      </c>
      <c r="C6" s="215" t="s">
        <v>107</v>
      </c>
      <c r="D6" s="215" t="s">
        <v>81</v>
      </c>
      <c r="E6" s="215" t="s">
        <v>5</v>
      </c>
      <c r="F6" s="215" t="s">
        <v>222</v>
      </c>
      <c r="G6" s="215">
        <v>289</v>
      </c>
      <c r="H6" s="215" t="s">
        <v>200</v>
      </c>
      <c r="I6" s="215" t="s">
        <v>223</v>
      </c>
      <c r="J6" s="215" t="s">
        <v>220</v>
      </c>
      <c r="K6" s="215" t="s">
        <v>224</v>
      </c>
      <c r="L6" s="216">
        <v>46027.576388888891</v>
      </c>
      <c r="M6" s="216">
        <v>46027.582638888889</v>
      </c>
      <c r="N6" s="215" t="s">
        <v>212</v>
      </c>
      <c r="O6" s="203" t="s">
        <v>62</v>
      </c>
      <c r="P6" s="202"/>
      <c r="Q6" s="203" t="s">
        <v>62</v>
      </c>
      <c r="R6" s="202"/>
      <c r="S6" s="203" t="s">
        <v>62</v>
      </c>
      <c r="T6" s="202"/>
      <c r="U6" s="203" t="s">
        <v>62</v>
      </c>
      <c r="V6" s="202"/>
      <c r="W6" s="203" t="s">
        <v>62</v>
      </c>
      <c r="X6" s="202"/>
      <c r="Y6" s="203" t="s">
        <v>62</v>
      </c>
      <c r="Z6" s="202"/>
      <c r="AA6" s="203" t="s">
        <v>62</v>
      </c>
      <c r="AB6" s="202"/>
      <c r="AC6" s="203" t="s">
        <v>62</v>
      </c>
      <c r="AD6" s="204" t="s">
        <v>224</v>
      </c>
      <c r="AE6" s="203" t="s">
        <v>62</v>
      </c>
      <c r="AF6" s="205" t="str">
        <f t="shared" si="0"/>
        <v>NA</v>
      </c>
      <c r="AG6" s="204" t="str">
        <f t="shared" si="1"/>
        <v>NÃO AVALIADO POR FALHA DE SINCRONISMO</v>
      </c>
      <c r="AH6" s="203"/>
      <c r="AI6" s="246" t="s">
        <v>6</v>
      </c>
      <c r="AJ6" s="246" t="str">
        <f t="shared" si="2"/>
        <v>SÃO PAULO</v>
      </c>
      <c r="AK6" s="247" t="s">
        <v>39</v>
      </c>
    </row>
    <row r="7" spans="1:37" s="204" customFormat="1" ht="30" customHeight="1">
      <c r="A7" s="215" t="s">
        <v>198</v>
      </c>
      <c r="B7" s="215">
        <v>2618175841</v>
      </c>
      <c r="C7" s="215" t="s">
        <v>105</v>
      </c>
      <c r="D7" s="215" t="s">
        <v>81</v>
      </c>
      <c r="E7" s="215" t="s">
        <v>5</v>
      </c>
      <c r="F7" s="215" t="s">
        <v>225</v>
      </c>
      <c r="G7" s="215">
        <v>55</v>
      </c>
      <c r="H7" s="215" t="s">
        <v>226</v>
      </c>
      <c r="I7" s="215" t="s">
        <v>227</v>
      </c>
      <c r="J7" s="215" t="s">
        <v>228</v>
      </c>
      <c r="K7" s="215" t="s">
        <v>229</v>
      </c>
      <c r="L7" s="216">
        <v>46027.628472222219</v>
      </c>
      <c r="M7" s="216">
        <v>46027.65902777778</v>
      </c>
      <c r="N7" s="215" t="s">
        <v>230</v>
      </c>
      <c r="O7" s="203" t="s">
        <v>205</v>
      </c>
      <c r="P7" s="202"/>
      <c r="Q7" s="203" t="s">
        <v>205</v>
      </c>
      <c r="R7" s="202"/>
      <c r="S7" s="203" t="s">
        <v>205</v>
      </c>
      <c r="T7" s="202"/>
      <c r="U7" s="203" t="s">
        <v>205</v>
      </c>
      <c r="V7" s="202"/>
      <c r="W7" s="203" t="s">
        <v>205</v>
      </c>
      <c r="X7" s="202"/>
      <c r="Y7" s="203" t="s">
        <v>62</v>
      </c>
      <c r="Z7" s="202"/>
      <c r="AA7" s="203" t="s">
        <v>205</v>
      </c>
      <c r="AB7" s="202"/>
      <c r="AC7" s="203" t="s">
        <v>205</v>
      </c>
      <c r="AE7" s="203" t="s">
        <v>205</v>
      </c>
      <c r="AF7" s="205" t="str">
        <f t="shared" si="0"/>
        <v>C</v>
      </c>
      <c r="AG7" s="204" t="str">
        <f t="shared" si="1"/>
        <v>UTILIZOU O PDA CORRETAMENTE</v>
      </c>
      <c r="AH7" s="203" t="s">
        <v>205</v>
      </c>
      <c r="AI7" s="246" t="s">
        <v>6</v>
      </c>
      <c r="AJ7" s="246" t="str">
        <f t="shared" si="2"/>
        <v>SÃO PAULO</v>
      </c>
      <c r="AK7" s="247" t="s">
        <v>39</v>
      </c>
    </row>
    <row r="8" spans="1:37" s="204" customFormat="1" ht="30" customHeight="1">
      <c r="A8" s="215" t="s">
        <v>198</v>
      </c>
      <c r="B8" s="215">
        <v>2618305876</v>
      </c>
      <c r="C8" s="215" t="s">
        <v>101</v>
      </c>
      <c r="D8" s="215" t="s">
        <v>79</v>
      </c>
      <c r="E8" s="215" t="s">
        <v>5</v>
      </c>
      <c r="F8" s="215" t="s">
        <v>231</v>
      </c>
      <c r="G8" s="215">
        <v>30</v>
      </c>
      <c r="H8" s="215" t="s">
        <v>200</v>
      </c>
      <c r="I8" s="215" t="s">
        <v>232</v>
      </c>
      <c r="J8" s="215" t="s">
        <v>233</v>
      </c>
      <c r="K8" s="215" t="s">
        <v>234</v>
      </c>
      <c r="L8" s="216">
        <v>46027.62222222222</v>
      </c>
      <c r="M8" s="216">
        <v>46027.625</v>
      </c>
      <c r="N8" s="215" t="s">
        <v>235</v>
      </c>
      <c r="O8" s="203" t="s">
        <v>205</v>
      </c>
      <c r="P8" s="202"/>
      <c r="Q8" s="203" t="s">
        <v>205</v>
      </c>
      <c r="R8" s="202"/>
      <c r="S8" s="203" t="s">
        <v>205</v>
      </c>
      <c r="T8" s="202"/>
      <c r="U8" s="203" t="s">
        <v>205</v>
      </c>
      <c r="V8" s="202"/>
      <c r="W8" s="203" t="s">
        <v>205</v>
      </c>
      <c r="X8" s="202"/>
      <c r="Y8" s="203" t="s">
        <v>205</v>
      </c>
      <c r="Z8" s="202"/>
      <c r="AA8" s="203" t="s">
        <v>205</v>
      </c>
      <c r="AB8" s="202"/>
      <c r="AC8" s="203" t="s">
        <v>205</v>
      </c>
      <c r="AE8" s="203" t="s">
        <v>205</v>
      </c>
      <c r="AF8" s="205" t="str">
        <f t="shared" si="0"/>
        <v>C</v>
      </c>
      <c r="AG8" s="204" t="str">
        <f t="shared" si="1"/>
        <v>UTILIZOU O PDA CORRETAMENTE</v>
      </c>
      <c r="AH8" s="203" t="s">
        <v>205</v>
      </c>
      <c r="AI8" s="246" t="s">
        <v>6</v>
      </c>
      <c r="AJ8" s="246" t="str">
        <f t="shared" si="2"/>
        <v>SÃO PAULO</v>
      </c>
      <c r="AK8" s="247" t="s">
        <v>39</v>
      </c>
    </row>
    <row r="9" spans="1:37" s="204" customFormat="1" ht="30" customHeight="1">
      <c r="A9" s="215" t="s">
        <v>198</v>
      </c>
      <c r="B9" s="215">
        <v>2692041383</v>
      </c>
      <c r="C9" s="215" t="s">
        <v>89</v>
      </c>
      <c r="D9" s="215" t="s">
        <v>78</v>
      </c>
      <c r="E9" s="215" t="s">
        <v>5</v>
      </c>
      <c r="F9" s="215" t="s">
        <v>236</v>
      </c>
      <c r="G9" s="215">
        <v>134</v>
      </c>
      <c r="H9" s="215"/>
      <c r="I9" s="215" t="s">
        <v>237</v>
      </c>
      <c r="J9" s="215" t="s">
        <v>238</v>
      </c>
      <c r="K9" s="215"/>
      <c r="L9" s="216">
        <v>46027.468055555553</v>
      </c>
      <c r="M9" s="216">
        <v>46027.474305555559</v>
      </c>
      <c r="N9" s="215" t="s">
        <v>221</v>
      </c>
      <c r="O9" s="203" t="s">
        <v>205</v>
      </c>
      <c r="P9" s="202"/>
      <c r="Q9" s="203" t="s">
        <v>205</v>
      </c>
      <c r="R9" s="202"/>
      <c r="S9" s="203" t="s">
        <v>205</v>
      </c>
      <c r="T9" s="202"/>
      <c r="U9" s="203" t="s">
        <v>205</v>
      </c>
      <c r="V9" s="202"/>
      <c r="W9" s="203" t="s">
        <v>205</v>
      </c>
      <c r="X9" s="202"/>
      <c r="Y9" s="203" t="s">
        <v>62</v>
      </c>
      <c r="Z9" s="202"/>
      <c r="AA9" s="203" t="s">
        <v>205</v>
      </c>
      <c r="AB9" s="202"/>
      <c r="AC9" s="203" t="s">
        <v>239</v>
      </c>
      <c r="AD9" s="204" t="s">
        <v>240</v>
      </c>
      <c r="AE9" s="203" t="s">
        <v>205</v>
      </c>
      <c r="AF9" s="205" t="str">
        <f t="shared" si="0"/>
        <v>NC</v>
      </c>
      <c r="AG9" s="204" t="str">
        <f t="shared" si="1"/>
        <v>UTILIZOU O PDA CORRETAMENTE. NÃO HÁ FOTOS DE TODAS AS ETAPAS</v>
      </c>
      <c r="AH9" s="203"/>
      <c r="AI9" s="246" t="s">
        <v>6</v>
      </c>
      <c r="AJ9" s="246" t="str">
        <f t="shared" si="2"/>
        <v>SÃO PAULO</v>
      </c>
      <c r="AK9" s="247" t="s">
        <v>39</v>
      </c>
    </row>
    <row r="10" spans="1:37" s="204" customFormat="1" ht="30" customHeight="1">
      <c r="A10" s="215" t="s">
        <v>198</v>
      </c>
      <c r="B10" s="215">
        <v>2617950354</v>
      </c>
      <c r="C10" s="215" t="s">
        <v>100</v>
      </c>
      <c r="D10" s="215" t="s">
        <v>81</v>
      </c>
      <c r="E10" s="215" t="s">
        <v>5</v>
      </c>
      <c r="F10" s="215" t="s">
        <v>241</v>
      </c>
      <c r="G10" s="215">
        <v>72</v>
      </c>
      <c r="H10" s="215" t="s">
        <v>200</v>
      </c>
      <c r="I10" s="215" t="s">
        <v>242</v>
      </c>
      <c r="J10" s="215" t="s">
        <v>243</v>
      </c>
      <c r="K10" s="215" t="s">
        <v>244</v>
      </c>
      <c r="L10" s="216">
        <v>46027.499305555553</v>
      </c>
      <c r="M10" s="216">
        <v>46027.501388888886</v>
      </c>
      <c r="N10" s="215" t="s">
        <v>230</v>
      </c>
      <c r="O10" s="203" t="s">
        <v>205</v>
      </c>
      <c r="P10" s="202"/>
      <c r="Q10" s="203" t="s">
        <v>206</v>
      </c>
      <c r="R10" s="202"/>
      <c r="S10" s="203" t="s">
        <v>206</v>
      </c>
      <c r="T10" s="202"/>
      <c r="U10" s="203" t="s">
        <v>206</v>
      </c>
      <c r="V10" s="202"/>
      <c r="W10" s="203" t="s">
        <v>206</v>
      </c>
      <c r="X10" s="202"/>
      <c r="Y10" s="203" t="s">
        <v>206</v>
      </c>
      <c r="Z10" s="202"/>
      <c r="AA10" s="203" t="s">
        <v>206</v>
      </c>
      <c r="AB10" s="202"/>
      <c r="AC10" s="203" t="s">
        <v>206</v>
      </c>
      <c r="AE10" s="203" t="s">
        <v>239</v>
      </c>
      <c r="AF10" s="205" t="str">
        <f t="shared" si="0"/>
        <v>NC</v>
      </c>
      <c r="AG10" s="204" t="str">
        <f t="shared" si="1"/>
        <v>NÃO UTILIZOU O PDA</v>
      </c>
      <c r="AH10" s="203" t="s">
        <v>205</v>
      </c>
      <c r="AI10" s="246" t="s">
        <v>6</v>
      </c>
      <c r="AJ10" s="246" t="str">
        <f t="shared" si="2"/>
        <v>SÃO PAULO</v>
      </c>
      <c r="AK10" s="247" t="s">
        <v>39</v>
      </c>
    </row>
    <row r="11" spans="1:37" s="204" customFormat="1" ht="30" customHeight="1">
      <c r="A11" s="215" t="s">
        <v>198</v>
      </c>
      <c r="B11" s="215">
        <v>2618310074</v>
      </c>
      <c r="C11" s="215" t="s">
        <v>100</v>
      </c>
      <c r="D11" s="215" t="s">
        <v>81</v>
      </c>
      <c r="E11" s="215" t="s">
        <v>5</v>
      </c>
      <c r="F11" s="215" t="s">
        <v>245</v>
      </c>
      <c r="G11" s="215">
        <v>281</v>
      </c>
      <c r="H11" s="215"/>
      <c r="I11" s="215" t="s">
        <v>246</v>
      </c>
      <c r="J11" s="215" t="s">
        <v>243</v>
      </c>
      <c r="K11" s="215" t="s">
        <v>247</v>
      </c>
      <c r="L11" s="216">
        <v>46027.625</v>
      </c>
      <c r="M11" s="216">
        <v>46027.628472222219</v>
      </c>
      <c r="N11" s="215" t="s">
        <v>248</v>
      </c>
      <c r="O11" s="203" t="s">
        <v>205</v>
      </c>
      <c r="P11" s="202"/>
      <c r="Q11" s="203" t="s">
        <v>205</v>
      </c>
      <c r="R11" s="202"/>
      <c r="S11" s="203" t="s">
        <v>205</v>
      </c>
      <c r="T11" s="202"/>
      <c r="U11" s="203" t="s">
        <v>205</v>
      </c>
      <c r="V11" s="202"/>
      <c r="W11" s="203" t="s">
        <v>205</v>
      </c>
      <c r="X11" s="202"/>
      <c r="Y11" s="203" t="s">
        <v>205</v>
      </c>
      <c r="Z11" s="202"/>
      <c r="AA11" s="203" t="s">
        <v>205</v>
      </c>
      <c r="AB11" s="202"/>
      <c r="AC11" s="203" t="s">
        <v>205</v>
      </c>
      <c r="AE11" s="203" t="s">
        <v>205</v>
      </c>
      <c r="AF11" s="205" t="str">
        <f t="shared" si="0"/>
        <v>C</v>
      </c>
      <c r="AG11" s="204" t="str">
        <f t="shared" si="1"/>
        <v>UTILIZOU O PDA CORRETAMENTE</v>
      </c>
      <c r="AH11" s="203" t="s">
        <v>205</v>
      </c>
      <c r="AI11" s="246" t="s">
        <v>6</v>
      </c>
      <c r="AJ11" s="246" t="str">
        <f t="shared" si="2"/>
        <v>SÃO PAULO</v>
      </c>
      <c r="AK11" s="247" t="s">
        <v>39</v>
      </c>
    </row>
    <row r="12" spans="1:37" s="204" customFormat="1" ht="30" customHeight="1">
      <c r="A12" s="215" t="s">
        <v>198</v>
      </c>
      <c r="B12" s="215">
        <v>2617963666</v>
      </c>
      <c r="C12" s="215" t="s">
        <v>84</v>
      </c>
      <c r="D12" s="215" t="s">
        <v>77</v>
      </c>
      <c r="E12" s="215" t="s">
        <v>5</v>
      </c>
      <c r="F12" s="215" t="s">
        <v>249</v>
      </c>
      <c r="G12" s="215">
        <v>133</v>
      </c>
      <c r="H12" s="215" t="s">
        <v>250</v>
      </c>
      <c r="I12" s="215" t="s">
        <v>251</v>
      </c>
      <c r="J12" s="215" t="s">
        <v>252</v>
      </c>
      <c r="K12" s="215" t="s">
        <v>253</v>
      </c>
      <c r="L12" s="216">
        <v>46058.427777777775</v>
      </c>
      <c r="M12" s="216">
        <v>46058.431250000001</v>
      </c>
      <c r="N12" s="215" t="s">
        <v>254</v>
      </c>
      <c r="O12" s="203" t="s">
        <v>206</v>
      </c>
      <c r="P12" s="202"/>
      <c r="Q12" s="203" t="s">
        <v>206</v>
      </c>
      <c r="R12" s="202"/>
      <c r="S12" s="203" t="s">
        <v>206</v>
      </c>
      <c r="T12" s="202"/>
      <c r="U12" s="203" t="s">
        <v>206</v>
      </c>
      <c r="V12" s="202"/>
      <c r="W12" s="203" t="s">
        <v>206</v>
      </c>
      <c r="X12" s="202"/>
      <c r="Y12" s="203" t="s">
        <v>206</v>
      </c>
      <c r="Z12" s="202"/>
      <c r="AA12" s="203" t="s">
        <v>206</v>
      </c>
      <c r="AB12" s="202"/>
      <c r="AC12" s="203" t="s">
        <v>206</v>
      </c>
      <c r="AE12" s="203" t="s">
        <v>239</v>
      </c>
      <c r="AF12" s="205" t="str">
        <f t="shared" si="0"/>
        <v>NC</v>
      </c>
      <c r="AG12" s="204" t="str">
        <f t="shared" si="1"/>
        <v>NÃO UTILIZOU O PDA</v>
      </c>
      <c r="AH12" s="203" t="s">
        <v>205</v>
      </c>
      <c r="AI12" s="246" t="s">
        <v>6</v>
      </c>
      <c r="AJ12" s="246" t="str">
        <f t="shared" si="2"/>
        <v>SÃO PAULO</v>
      </c>
      <c r="AK12" s="247" t="s">
        <v>39</v>
      </c>
    </row>
    <row r="13" spans="1:37" s="204" customFormat="1" ht="30" customHeight="1">
      <c r="A13" s="215" t="s">
        <v>198</v>
      </c>
      <c r="B13" s="215">
        <v>2618378189</v>
      </c>
      <c r="C13" s="215" t="s">
        <v>103</v>
      </c>
      <c r="D13" s="215" t="s">
        <v>81</v>
      </c>
      <c r="E13" s="215" t="s">
        <v>5</v>
      </c>
      <c r="F13" s="215" t="s">
        <v>255</v>
      </c>
      <c r="G13" s="215">
        <v>836</v>
      </c>
      <c r="H13" s="215" t="s">
        <v>256</v>
      </c>
      <c r="I13" s="215" t="s">
        <v>257</v>
      </c>
      <c r="J13" s="215" t="s">
        <v>220</v>
      </c>
      <c r="K13" s="215"/>
      <c r="L13" s="216">
        <v>46058.395833333336</v>
      </c>
      <c r="M13" s="216">
        <v>46058.470833333333</v>
      </c>
      <c r="N13" s="215" t="s">
        <v>230</v>
      </c>
      <c r="O13" s="203" t="s">
        <v>205</v>
      </c>
      <c r="P13" s="202"/>
      <c r="Q13" s="203" t="s">
        <v>205</v>
      </c>
      <c r="R13" s="202"/>
      <c r="S13" s="203" t="s">
        <v>205</v>
      </c>
      <c r="T13" s="202"/>
      <c r="U13" s="203" t="s">
        <v>205</v>
      </c>
      <c r="V13" s="202"/>
      <c r="W13" s="203" t="s">
        <v>205</v>
      </c>
      <c r="X13" s="202"/>
      <c r="Y13" s="203" t="s">
        <v>62</v>
      </c>
      <c r="Z13" s="202"/>
      <c r="AA13" s="203" t="s">
        <v>205</v>
      </c>
      <c r="AB13" s="202"/>
      <c r="AC13" s="203" t="s">
        <v>205</v>
      </c>
      <c r="AE13" s="203" t="s">
        <v>205</v>
      </c>
      <c r="AF13" s="205" t="str">
        <f t="shared" si="0"/>
        <v>C</v>
      </c>
      <c r="AG13" s="204" t="str">
        <f t="shared" si="1"/>
        <v>UTILIZOU O PDA CORRETAMENTE</v>
      </c>
      <c r="AH13" s="203" t="s">
        <v>205</v>
      </c>
      <c r="AI13" s="246" t="s">
        <v>6</v>
      </c>
      <c r="AJ13" s="246" t="str">
        <f t="shared" si="2"/>
        <v>SÃO PAULO</v>
      </c>
      <c r="AK13" s="247" t="s">
        <v>39</v>
      </c>
    </row>
    <row r="14" spans="1:37" s="204" customFormat="1" ht="30" customHeight="1">
      <c r="A14" s="261" t="s">
        <v>198</v>
      </c>
      <c r="B14" s="215">
        <v>2617563429</v>
      </c>
      <c r="C14" s="215" t="s">
        <v>207</v>
      </c>
      <c r="D14" s="215" t="s">
        <v>80</v>
      </c>
      <c r="E14" s="215" t="s">
        <v>5</v>
      </c>
      <c r="F14" s="215" t="s">
        <v>199</v>
      </c>
      <c r="G14" s="215">
        <v>465</v>
      </c>
      <c r="H14" s="215" t="s">
        <v>200</v>
      </c>
      <c r="I14" s="215" t="s">
        <v>201</v>
      </c>
      <c r="J14" s="215" t="s">
        <v>210</v>
      </c>
      <c r="K14" s="219" t="s">
        <v>258</v>
      </c>
      <c r="L14" s="216">
        <v>46058.25</v>
      </c>
      <c r="M14" s="216">
        <v>46058.250694444447</v>
      </c>
      <c r="N14" s="215" t="s">
        <v>204</v>
      </c>
      <c r="O14" s="203" t="s">
        <v>205</v>
      </c>
      <c r="P14" s="202"/>
      <c r="Q14" s="203" t="s">
        <v>205</v>
      </c>
      <c r="R14" s="202"/>
      <c r="S14" s="203" t="s">
        <v>205</v>
      </c>
      <c r="T14" s="202"/>
      <c r="U14" s="203" t="s">
        <v>205</v>
      </c>
      <c r="V14" s="202"/>
      <c r="W14" s="203" t="s">
        <v>206</v>
      </c>
      <c r="X14" s="202"/>
      <c r="Y14" s="203" t="s">
        <v>62</v>
      </c>
      <c r="Z14" s="202"/>
      <c r="AA14" s="203" t="s">
        <v>205</v>
      </c>
      <c r="AB14" s="202"/>
      <c r="AC14" s="203" t="s">
        <v>205</v>
      </c>
      <c r="AE14" s="203" t="s">
        <v>205</v>
      </c>
      <c r="AF14" s="205" t="str">
        <f t="shared" si="0"/>
        <v>NC</v>
      </c>
      <c r="AG14" s="204" t="str">
        <f t="shared" si="1"/>
        <v>UTILIZOU O PDA CORRETAMENTE. NÃO HÁ FOTOS DE TODAS AS ETAPAS</v>
      </c>
      <c r="AH14" s="203" t="s">
        <v>205</v>
      </c>
      <c r="AI14" s="246" t="s">
        <v>6</v>
      </c>
      <c r="AJ14" s="246" t="str">
        <f t="shared" si="2"/>
        <v>SÃO PAULO</v>
      </c>
      <c r="AK14" s="247" t="s">
        <v>39</v>
      </c>
    </row>
    <row r="15" spans="1:37" s="204" customFormat="1" ht="30" customHeight="1">
      <c r="A15" s="215" t="s">
        <v>198</v>
      </c>
      <c r="B15" s="215">
        <v>2618384154</v>
      </c>
      <c r="C15" s="215" t="s">
        <v>90</v>
      </c>
      <c r="D15" s="215" t="s">
        <v>78</v>
      </c>
      <c r="E15" s="215" t="s">
        <v>5</v>
      </c>
      <c r="F15" s="215" t="s">
        <v>259</v>
      </c>
      <c r="G15" s="215">
        <v>83</v>
      </c>
      <c r="H15" s="215"/>
      <c r="I15" s="215" t="s">
        <v>260</v>
      </c>
      <c r="J15" s="215" t="s">
        <v>261</v>
      </c>
      <c r="K15" s="215" t="s">
        <v>262</v>
      </c>
      <c r="L15" s="216">
        <v>46058.571527777778</v>
      </c>
      <c r="M15" s="216">
        <v>46058.576388888891</v>
      </c>
      <c r="N15" s="215" t="s">
        <v>217</v>
      </c>
      <c r="O15" s="203" t="s">
        <v>205</v>
      </c>
      <c r="P15" s="202"/>
      <c r="Q15" s="203" t="s">
        <v>205</v>
      </c>
      <c r="R15" s="202"/>
      <c r="S15" s="203" t="s">
        <v>205</v>
      </c>
      <c r="T15" s="202"/>
      <c r="U15" s="203" t="s">
        <v>205</v>
      </c>
      <c r="V15" s="202"/>
      <c r="W15" s="203" t="s">
        <v>62</v>
      </c>
      <c r="X15" s="202"/>
      <c r="Y15" s="203" t="s">
        <v>62</v>
      </c>
      <c r="Z15" s="202"/>
      <c r="AA15" s="203" t="s">
        <v>205</v>
      </c>
      <c r="AB15" s="202"/>
      <c r="AC15" s="203" t="s">
        <v>205</v>
      </c>
      <c r="AE15" s="203" t="s">
        <v>205</v>
      </c>
      <c r="AF15" s="205" t="str">
        <f t="shared" si="0"/>
        <v>C</v>
      </c>
      <c r="AG15" s="204" t="str">
        <f t="shared" si="1"/>
        <v>UTILIZOU O PDA CORRETAMENTE</v>
      </c>
      <c r="AH15" s="203" t="s">
        <v>205</v>
      </c>
      <c r="AI15" s="246" t="s">
        <v>6</v>
      </c>
      <c r="AJ15" s="246" t="str">
        <f t="shared" si="2"/>
        <v>SÃO PAULO</v>
      </c>
      <c r="AK15" s="247" t="s">
        <v>39</v>
      </c>
    </row>
    <row r="16" spans="1:37" s="204" customFormat="1" ht="30" customHeight="1">
      <c r="A16" s="215" t="s">
        <v>198</v>
      </c>
      <c r="B16" s="215">
        <v>2618386742</v>
      </c>
      <c r="C16" s="215" t="s">
        <v>90</v>
      </c>
      <c r="D16" s="215" t="s">
        <v>78</v>
      </c>
      <c r="E16" s="215" t="s">
        <v>5</v>
      </c>
      <c r="F16" s="215" t="s">
        <v>263</v>
      </c>
      <c r="G16" s="215">
        <v>309</v>
      </c>
      <c r="H16" s="215" t="s">
        <v>200</v>
      </c>
      <c r="I16" s="215" t="s">
        <v>264</v>
      </c>
      <c r="J16" s="215" t="s">
        <v>261</v>
      </c>
      <c r="K16" s="215" t="s">
        <v>265</v>
      </c>
      <c r="L16" s="216">
        <v>46058.574305555558</v>
      </c>
      <c r="M16" s="216">
        <v>46058.57708333333</v>
      </c>
      <c r="N16" s="215" t="s">
        <v>217</v>
      </c>
      <c r="O16" s="203" t="s">
        <v>205</v>
      </c>
      <c r="P16" s="202"/>
      <c r="Q16" s="203" t="s">
        <v>205</v>
      </c>
      <c r="R16" s="202"/>
      <c r="S16" s="203" t="s">
        <v>205</v>
      </c>
      <c r="T16" s="202"/>
      <c r="U16" s="203" t="s">
        <v>62</v>
      </c>
      <c r="V16" s="202"/>
      <c r="W16" s="203" t="s">
        <v>62</v>
      </c>
      <c r="X16" s="202"/>
      <c r="Y16" s="203" t="s">
        <v>62</v>
      </c>
      <c r="Z16" s="202"/>
      <c r="AA16" s="203" t="s">
        <v>205</v>
      </c>
      <c r="AB16" s="202"/>
      <c r="AC16" s="203" t="s">
        <v>205</v>
      </c>
      <c r="AE16" s="203" t="s">
        <v>205</v>
      </c>
      <c r="AF16" s="205" t="str">
        <f t="shared" si="0"/>
        <v>C</v>
      </c>
      <c r="AG16" s="204" t="str">
        <f t="shared" si="1"/>
        <v>UTILIZOU O PDA CORRETAMENTE</v>
      </c>
      <c r="AH16" s="203" t="s">
        <v>205</v>
      </c>
      <c r="AI16" s="246" t="s">
        <v>6</v>
      </c>
      <c r="AJ16" s="246" t="str">
        <f t="shared" si="2"/>
        <v>SÃO PAULO</v>
      </c>
      <c r="AK16" s="247" t="s">
        <v>39</v>
      </c>
    </row>
    <row r="17" spans="1:37" s="204" customFormat="1" ht="30" customHeight="1">
      <c r="A17" s="215" t="s">
        <v>198</v>
      </c>
      <c r="B17" s="215">
        <v>2692149978</v>
      </c>
      <c r="C17" s="215" t="s">
        <v>99</v>
      </c>
      <c r="D17" s="215" t="s">
        <v>81</v>
      </c>
      <c r="E17" s="215" t="s">
        <v>5</v>
      </c>
      <c r="F17" s="215" t="s">
        <v>266</v>
      </c>
      <c r="G17" s="215">
        <v>282</v>
      </c>
      <c r="H17" s="215"/>
      <c r="I17" s="215" t="s">
        <v>267</v>
      </c>
      <c r="J17" s="215" t="s">
        <v>268</v>
      </c>
      <c r="K17" s="215" t="s">
        <v>269</v>
      </c>
      <c r="L17" s="216">
        <v>46058.538194444445</v>
      </c>
      <c r="M17" s="216">
        <v>46058.540277777778</v>
      </c>
      <c r="N17" s="215" t="s">
        <v>221</v>
      </c>
      <c r="O17" s="203" t="s">
        <v>205</v>
      </c>
      <c r="P17" s="202"/>
      <c r="Q17" s="203" t="s">
        <v>206</v>
      </c>
      <c r="R17" s="202"/>
      <c r="S17" s="203" t="s">
        <v>206</v>
      </c>
      <c r="T17" s="202"/>
      <c r="U17" s="203" t="s">
        <v>206</v>
      </c>
      <c r="V17" s="202"/>
      <c r="W17" s="203" t="s">
        <v>206</v>
      </c>
      <c r="X17" s="202"/>
      <c r="Y17" s="203" t="s">
        <v>206</v>
      </c>
      <c r="Z17" s="202"/>
      <c r="AA17" s="203" t="s">
        <v>206</v>
      </c>
      <c r="AB17" s="202"/>
      <c r="AC17" s="203" t="s">
        <v>239</v>
      </c>
      <c r="AD17" s="204" t="s">
        <v>240</v>
      </c>
      <c r="AE17" s="203" t="s">
        <v>205</v>
      </c>
      <c r="AF17" s="205" t="str">
        <f t="shared" si="0"/>
        <v>NC</v>
      </c>
      <c r="AG17" s="204" t="str">
        <f t="shared" si="1"/>
        <v>UTILIZOU O PDA CORRETAMENTE. NÃO HÁ FOTOS DE TODAS AS ETAPAS</v>
      </c>
      <c r="AH17" s="203" t="s">
        <v>205</v>
      </c>
      <c r="AI17" s="246" t="s">
        <v>6</v>
      </c>
      <c r="AJ17" s="246" t="str">
        <f t="shared" si="2"/>
        <v>SÃO PAULO</v>
      </c>
      <c r="AK17" s="247" t="s">
        <v>39</v>
      </c>
    </row>
    <row r="18" spans="1:37" s="204" customFormat="1" ht="30" customHeight="1">
      <c r="A18" s="261" t="s">
        <v>198</v>
      </c>
      <c r="B18" s="215">
        <v>2692161089</v>
      </c>
      <c r="C18" s="215" t="s">
        <v>103</v>
      </c>
      <c r="D18" s="215" t="s">
        <v>81</v>
      </c>
      <c r="E18" s="215" t="s">
        <v>5</v>
      </c>
      <c r="F18" s="215" t="s">
        <v>270</v>
      </c>
      <c r="G18" s="215">
        <v>265</v>
      </c>
      <c r="H18" s="215" t="s">
        <v>200</v>
      </c>
      <c r="I18" s="215" t="s">
        <v>271</v>
      </c>
      <c r="J18" s="215" t="s">
        <v>220</v>
      </c>
      <c r="K18" s="215" t="s">
        <v>200</v>
      </c>
      <c r="L18" s="216">
        <v>46058.672222222223</v>
      </c>
      <c r="M18" s="216">
        <v>46058.684027777781</v>
      </c>
      <c r="N18" s="215" t="s">
        <v>230</v>
      </c>
      <c r="O18" s="203" t="s">
        <v>205</v>
      </c>
      <c r="P18" s="202"/>
      <c r="Q18" s="203" t="s">
        <v>205</v>
      </c>
      <c r="R18" s="202"/>
      <c r="S18" s="203" t="s">
        <v>205</v>
      </c>
      <c r="T18" s="202"/>
      <c r="U18" s="203" t="s">
        <v>205</v>
      </c>
      <c r="V18" s="202"/>
      <c r="W18" s="203" t="s">
        <v>205</v>
      </c>
      <c r="X18" s="202"/>
      <c r="Y18" s="203" t="s">
        <v>62</v>
      </c>
      <c r="Z18" s="202"/>
      <c r="AA18" s="203" t="s">
        <v>205</v>
      </c>
      <c r="AB18" s="202"/>
      <c r="AC18" s="203" t="s">
        <v>205</v>
      </c>
      <c r="AE18" s="203" t="s">
        <v>205</v>
      </c>
      <c r="AF18" s="205" t="str">
        <f t="shared" si="0"/>
        <v>C</v>
      </c>
      <c r="AG18" s="204" t="str">
        <f t="shared" si="1"/>
        <v>UTILIZOU O PDA CORRETAMENTE</v>
      </c>
      <c r="AH18" s="203" t="s">
        <v>205</v>
      </c>
      <c r="AI18" s="246" t="s">
        <v>6</v>
      </c>
      <c r="AJ18" s="246" t="str">
        <f t="shared" si="2"/>
        <v>SÃO PAULO</v>
      </c>
      <c r="AK18" s="247" t="s">
        <v>39</v>
      </c>
    </row>
    <row r="19" spans="1:37" s="204" customFormat="1" ht="30" customHeight="1">
      <c r="A19" s="215" t="s">
        <v>198</v>
      </c>
      <c r="B19" s="215">
        <v>2692186761</v>
      </c>
      <c r="C19" s="215" t="s">
        <v>89</v>
      </c>
      <c r="D19" s="215" t="s">
        <v>78</v>
      </c>
      <c r="E19" s="215" t="s">
        <v>5</v>
      </c>
      <c r="F19" s="215" t="s">
        <v>272</v>
      </c>
      <c r="G19" s="215">
        <v>17</v>
      </c>
      <c r="H19" s="215" t="s">
        <v>273</v>
      </c>
      <c r="I19" s="215" t="s">
        <v>274</v>
      </c>
      <c r="J19" s="215" t="s">
        <v>238</v>
      </c>
      <c r="K19" s="215" t="s">
        <v>275</v>
      </c>
      <c r="L19" s="216">
        <v>46058.631944444445</v>
      </c>
      <c r="M19" s="216">
        <v>46058.632638888892</v>
      </c>
      <c r="N19" s="215" t="s">
        <v>254</v>
      </c>
      <c r="O19" s="203" t="s">
        <v>205</v>
      </c>
      <c r="P19" s="202"/>
      <c r="Q19" s="203" t="s">
        <v>206</v>
      </c>
      <c r="R19" s="202"/>
      <c r="S19" s="203" t="s">
        <v>205</v>
      </c>
      <c r="T19" s="202"/>
      <c r="U19" s="203" t="s">
        <v>205</v>
      </c>
      <c r="V19" s="202"/>
      <c r="W19" s="203" t="s">
        <v>205</v>
      </c>
      <c r="X19" s="202"/>
      <c r="Y19" s="203" t="s">
        <v>62</v>
      </c>
      <c r="Z19" s="202"/>
      <c r="AA19" s="203" t="s">
        <v>205</v>
      </c>
      <c r="AB19" s="202"/>
      <c r="AC19" s="203" t="s">
        <v>205</v>
      </c>
      <c r="AE19" s="203" t="s">
        <v>205</v>
      </c>
      <c r="AF19" s="205" t="str">
        <f t="shared" si="0"/>
        <v>NC</v>
      </c>
      <c r="AG19" s="204" t="str">
        <f t="shared" si="1"/>
        <v>UTILIZOU O PDA CORRETAMENTE. NÃO HÁ FOTOS DE TODAS AS ETAPAS</v>
      </c>
      <c r="AH19" s="203"/>
      <c r="AI19" s="246" t="s">
        <v>6</v>
      </c>
      <c r="AJ19" s="246" t="str">
        <f t="shared" si="2"/>
        <v>SÃO PAULO</v>
      </c>
      <c r="AK19" s="247" t="s">
        <v>39</v>
      </c>
    </row>
    <row r="20" spans="1:37" s="204" customFormat="1" ht="30" customHeight="1">
      <c r="A20" s="215" t="s">
        <v>198</v>
      </c>
      <c r="B20" s="215">
        <v>2618388931</v>
      </c>
      <c r="C20" s="215" t="s">
        <v>107</v>
      </c>
      <c r="D20" s="215" t="s">
        <v>81</v>
      </c>
      <c r="E20" s="215" t="s">
        <v>5</v>
      </c>
      <c r="F20" s="215" t="s">
        <v>276</v>
      </c>
      <c r="G20" s="215">
        <v>290</v>
      </c>
      <c r="H20" s="215" t="s">
        <v>200</v>
      </c>
      <c r="I20" s="215" t="s">
        <v>277</v>
      </c>
      <c r="J20" s="215" t="s">
        <v>220</v>
      </c>
      <c r="K20" s="215" t="s">
        <v>278</v>
      </c>
      <c r="L20" s="216">
        <v>46086.432638888888</v>
      </c>
      <c r="M20" s="216">
        <v>46086.609027777777</v>
      </c>
      <c r="N20" s="215" t="s">
        <v>212</v>
      </c>
      <c r="O20" s="203" t="s">
        <v>205</v>
      </c>
      <c r="P20" s="202"/>
      <c r="Q20" s="203" t="s">
        <v>205</v>
      </c>
      <c r="R20" s="202"/>
      <c r="S20" s="203" t="s">
        <v>206</v>
      </c>
      <c r="T20" s="202"/>
      <c r="U20" s="203" t="s">
        <v>205</v>
      </c>
      <c r="V20" s="202"/>
      <c r="W20" s="203" t="s">
        <v>205</v>
      </c>
      <c r="X20" s="202"/>
      <c r="Y20" s="203" t="s">
        <v>62</v>
      </c>
      <c r="Z20" s="202"/>
      <c r="AA20" s="203" t="s">
        <v>205</v>
      </c>
      <c r="AB20" s="202"/>
      <c r="AC20" s="203" t="s">
        <v>205</v>
      </c>
      <c r="AE20" s="203" t="s">
        <v>205</v>
      </c>
      <c r="AF20" s="205" t="str">
        <f t="shared" si="0"/>
        <v>NC</v>
      </c>
      <c r="AG20" s="204" t="str">
        <f t="shared" si="1"/>
        <v>UTILIZOU O PDA CORRETAMENTE. NÃO HÁ FOTOS DE TODAS AS ETAPAS</v>
      </c>
      <c r="AH20" s="203"/>
      <c r="AI20" s="246" t="s">
        <v>6</v>
      </c>
      <c r="AJ20" s="246" t="str">
        <f t="shared" si="2"/>
        <v>SÃO PAULO</v>
      </c>
      <c r="AK20" s="247" t="s">
        <v>39</v>
      </c>
    </row>
    <row r="21" spans="1:37" s="204" customFormat="1" ht="30" customHeight="1">
      <c r="A21" s="215" t="s">
        <v>198</v>
      </c>
      <c r="B21" s="215">
        <v>2618098864</v>
      </c>
      <c r="C21" s="215" t="s">
        <v>105</v>
      </c>
      <c r="D21" s="215" t="s">
        <v>81</v>
      </c>
      <c r="E21" s="215" t="s">
        <v>5</v>
      </c>
      <c r="F21" s="215" t="s">
        <v>279</v>
      </c>
      <c r="G21" s="215">
        <v>292</v>
      </c>
      <c r="H21" s="215"/>
      <c r="I21" s="215" t="s">
        <v>280</v>
      </c>
      <c r="J21" s="215" t="s">
        <v>281</v>
      </c>
      <c r="K21" s="215"/>
      <c r="L21" s="216">
        <v>46086.381249999999</v>
      </c>
      <c r="M21" s="216">
        <v>46086.425000000003</v>
      </c>
      <c r="N21" s="215" t="s">
        <v>230</v>
      </c>
      <c r="O21" s="203" t="s">
        <v>205</v>
      </c>
      <c r="P21" s="202"/>
      <c r="Q21" s="203" t="s">
        <v>205</v>
      </c>
      <c r="R21" s="202"/>
      <c r="S21" s="203" t="s">
        <v>205</v>
      </c>
      <c r="T21" s="202"/>
      <c r="U21" s="203" t="s">
        <v>205</v>
      </c>
      <c r="V21" s="202"/>
      <c r="W21" s="203" t="s">
        <v>205</v>
      </c>
      <c r="X21" s="202"/>
      <c r="Y21" s="203" t="s">
        <v>62</v>
      </c>
      <c r="Z21" s="202"/>
      <c r="AA21" s="203" t="s">
        <v>205</v>
      </c>
      <c r="AB21" s="202"/>
      <c r="AC21" s="203" t="s">
        <v>205</v>
      </c>
      <c r="AE21" s="203" t="s">
        <v>205</v>
      </c>
      <c r="AF21" s="205" t="str">
        <f t="shared" si="0"/>
        <v>C</v>
      </c>
      <c r="AG21" s="204" t="str">
        <f t="shared" si="1"/>
        <v>UTILIZOU O PDA CORRETAMENTE</v>
      </c>
      <c r="AH21" s="203" t="s">
        <v>205</v>
      </c>
      <c r="AI21" s="246" t="s">
        <v>6</v>
      </c>
      <c r="AJ21" s="246" t="str">
        <f t="shared" si="2"/>
        <v>SÃO PAULO</v>
      </c>
      <c r="AK21" s="247" t="s">
        <v>39</v>
      </c>
    </row>
    <row r="22" spans="1:37" s="204" customFormat="1" ht="30" customHeight="1">
      <c r="A22" s="215" t="s">
        <v>198</v>
      </c>
      <c r="B22" s="215">
        <v>2618118501</v>
      </c>
      <c r="C22" s="215" t="s">
        <v>106</v>
      </c>
      <c r="D22" s="215" t="s">
        <v>81</v>
      </c>
      <c r="E22" s="215" t="s">
        <v>5</v>
      </c>
      <c r="F22" s="215" t="s">
        <v>282</v>
      </c>
      <c r="G22" s="215">
        <v>89</v>
      </c>
      <c r="H22" s="215" t="s">
        <v>200</v>
      </c>
      <c r="I22" s="215" t="s">
        <v>283</v>
      </c>
      <c r="J22" s="215" t="s">
        <v>281</v>
      </c>
      <c r="K22" s="215" t="s">
        <v>200</v>
      </c>
      <c r="L22" s="216">
        <v>46086.602083333331</v>
      </c>
      <c r="M22" s="216">
        <v>46086.62777777778</v>
      </c>
      <c r="N22" s="215" t="s">
        <v>230</v>
      </c>
      <c r="O22" s="203" t="s">
        <v>205</v>
      </c>
      <c r="P22" s="202"/>
      <c r="Q22" s="203" t="s">
        <v>205</v>
      </c>
      <c r="R22" s="202"/>
      <c r="S22" s="203" t="s">
        <v>205</v>
      </c>
      <c r="T22" s="202"/>
      <c r="U22" s="203" t="s">
        <v>205</v>
      </c>
      <c r="V22" s="202"/>
      <c r="W22" s="203" t="s">
        <v>205</v>
      </c>
      <c r="X22" s="202"/>
      <c r="Y22" s="203" t="s">
        <v>62</v>
      </c>
      <c r="Z22" s="202"/>
      <c r="AA22" s="203" t="s">
        <v>205</v>
      </c>
      <c r="AB22" s="202"/>
      <c r="AC22" s="203" t="s">
        <v>205</v>
      </c>
      <c r="AE22" s="203" t="s">
        <v>205</v>
      </c>
      <c r="AF22" s="205" t="str">
        <f t="shared" si="0"/>
        <v>C</v>
      </c>
      <c r="AG22" s="204" t="str">
        <f t="shared" si="1"/>
        <v>UTILIZOU O PDA CORRETAMENTE</v>
      </c>
      <c r="AH22" s="203" t="s">
        <v>205</v>
      </c>
      <c r="AI22" s="246" t="s">
        <v>6</v>
      </c>
      <c r="AJ22" s="246" t="str">
        <f t="shared" si="2"/>
        <v>SÃO PAULO</v>
      </c>
      <c r="AK22" s="247" t="s">
        <v>39</v>
      </c>
    </row>
    <row r="23" spans="1:37" s="204" customFormat="1" ht="30" customHeight="1">
      <c r="A23" s="215" t="s">
        <v>198</v>
      </c>
      <c r="B23" s="215">
        <v>2618416665</v>
      </c>
      <c r="C23" s="215" t="s">
        <v>100</v>
      </c>
      <c r="D23" s="215" t="s">
        <v>81</v>
      </c>
      <c r="E23" s="215" t="s">
        <v>5</v>
      </c>
      <c r="F23" s="215" t="s">
        <v>284</v>
      </c>
      <c r="G23" s="215">
        <v>277</v>
      </c>
      <c r="H23" s="215"/>
      <c r="I23" s="215" t="s">
        <v>285</v>
      </c>
      <c r="J23" s="215" t="s">
        <v>243</v>
      </c>
      <c r="K23" s="215" t="s">
        <v>286</v>
      </c>
      <c r="L23" s="216">
        <v>46086.419444444444</v>
      </c>
      <c r="M23" s="216">
        <v>46086.420138888891</v>
      </c>
      <c r="N23" s="215" t="s">
        <v>212</v>
      </c>
      <c r="O23" s="203" t="s">
        <v>62</v>
      </c>
      <c r="P23" s="202"/>
      <c r="Q23" s="203" t="s">
        <v>62</v>
      </c>
      <c r="R23" s="202"/>
      <c r="S23" s="203" t="s">
        <v>62</v>
      </c>
      <c r="T23" s="202"/>
      <c r="U23" s="203" t="s">
        <v>62</v>
      </c>
      <c r="V23" s="202"/>
      <c r="W23" s="203" t="s">
        <v>62</v>
      </c>
      <c r="X23" s="202"/>
      <c r="Y23" s="203" t="s">
        <v>62</v>
      </c>
      <c r="Z23" s="202"/>
      <c r="AA23" s="203" t="s">
        <v>62</v>
      </c>
      <c r="AB23" s="202"/>
      <c r="AC23" s="203" t="s">
        <v>62</v>
      </c>
      <c r="AE23" s="203" t="s">
        <v>62</v>
      </c>
      <c r="AF23" s="205" t="str">
        <f t="shared" si="0"/>
        <v>NA</v>
      </c>
      <c r="AG23" s="204" t="str">
        <f t="shared" si="1"/>
        <v>NÃO AVALIADO POR FALHA DE SINCRONISMO</v>
      </c>
      <c r="AH23" s="203" t="s">
        <v>205</v>
      </c>
      <c r="AI23" s="246" t="s">
        <v>6</v>
      </c>
      <c r="AJ23" s="246" t="str">
        <f t="shared" si="2"/>
        <v>SÃO PAULO</v>
      </c>
      <c r="AK23" s="247" t="s">
        <v>39</v>
      </c>
    </row>
    <row r="24" spans="1:37" s="204" customFormat="1" ht="30" customHeight="1">
      <c r="A24" s="215" t="s">
        <v>198</v>
      </c>
      <c r="B24" s="215">
        <v>2618417370</v>
      </c>
      <c r="C24" s="215" t="s">
        <v>287</v>
      </c>
      <c r="D24" s="215" t="s">
        <v>81</v>
      </c>
      <c r="E24" s="215" t="s">
        <v>5</v>
      </c>
      <c r="F24" s="215" t="s">
        <v>288</v>
      </c>
      <c r="G24" s="215">
        <v>149</v>
      </c>
      <c r="H24" s="215" t="s">
        <v>200</v>
      </c>
      <c r="I24" s="215" t="s">
        <v>289</v>
      </c>
      <c r="J24" s="215" t="s">
        <v>290</v>
      </c>
      <c r="K24" s="215" t="s">
        <v>291</v>
      </c>
      <c r="L24" s="216">
        <v>46086.521527777775</v>
      </c>
      <c r="M24" s="216">
        <v>46086.523611111108</v>
      </c>
      <c r="N24" s="215" t="s">
        <v>254</v>
      </c>
      <c r="O24" s="203" t="s">
        <v>205</v>
      </c>
      <c r="P24" s="202"/>
      <c r="Q24" s="203" t="s">
        <v>205</v>
      </c>
      <c r="R24" s="202"/>
      <c r="S24" s="203" t="s">
        <v>205</v>
      </c>
      <c r="T24" s="202"/>
      <c r="U24" s="203" t="s">
        <v>205</v>
      </c>
      <c r="V24" s="202"/>
      <c r="W24" s="203" t="s">
        <v>205</v>
      </c>
      <c r="X24" s="202"/>
      <c r="Y24" s="203" t="s">
        <v>62</v>
      </c>
      <c r="Z24" s="202"/>
      <c r="AA24" s="203" t="s">
        <v>205</v>
      </c>
      <c r="AB24" s="202"/>
      <c r="AC24" s="203" t="s">
        <v>205</v>
      </c>
      <c r="AE24" s="203" t="s">
        <v>205</v>
      </c>
      <c r="AF24" s="205" t="str">
        <f t="shared" si="0"/>
        <v>C</v>
      </c>
      <c r="AG24" s="204" t="str">
        <f t="shared" si="1"/>
        <v>UTILIZOU O PDA CORRETAMENTE</v>
      </c>
      <c r="AH24" s="203" t="s">
        <v>205</v>
      </c>
      <c r="AI24" s="246" t="s">
        <v>6</v>
      </c>
      <c r="AJ24" s="246" t="str">
        <f t="shared" si="2"/>
        <v>SÃO PAULO</v>
      </c>
      <c r="AK24" s="247" t="s">
        <v>39</v>
      </c>
    </row>
    <row r="25" spans="1:37" s="204" customFormat="1" ht="30" customHeight="1">
      <c r="A25" s="215" t="s">
        <v>198</v>
      </c>
      <c r="B25" s="215">
        <v>2618314686</v>
      </c>
      <c r="C25" s="215" t="s">
        <v>287</v>
      </c>
      <c r="D25" s="215" t="s">
        <v>81</v>
      </c>
      <c r="E25" s="215" t="s">
        <v>5</v>
      </c>
      <c r="F25" s="215" t="s">
        <v>288</v>
      </c>
      <c r="G25" s="215">
        <v>149</v>
      </c>
      <c r="H25" s="215"/>
      <c r="I25" s="215" t="s">
        <v>289</v>
      </c>
      <c r="J25" s="215" t="s">
        <v>290</v>
      </c>
      <c r="K25" s="215"/>
      <c r="L25" s="216">
        <v>46086.478472222225</v>
      </c>
      <c r="M25" s="216">
        <v>46086.479861111111</v>
      </c>
      <c r="N25" s="215" t="s">
        <v>254</v>
      </c>
      <c r="O25" s="203" t="s">
        <v>205</v>
      </c>
      <c r="P25" s="202"/>
      <c r="Q25" s="203" t="s">
        <v>205</v>
      </c>
      <c r="R25" s="202"/>
      <c r="S25" s="203" t="s">
        <v>205</v>
      </c>
      <c r="T25" s="202"/>
      <c r="U25" s="203" t="s">
        <v>205</v>
      </c>
      <c r="V25" s="202"/>
      <c r="W25" s="203" t="s">
        <v>205</v>
      </c>
      <c r="X25" s="202"/>
      <c r="Y25" s="203" t="s">
        <v>62</v>
      </c>
      <c r="Z25" s="202"/>
      <c r="AA25" s="203" t="s">
        <v>205</v>
      </c>
      <c r="AB25" s="202"/>
      <c r="AC25" s="203" t="s">
        <v>205</v>
      </c>
      <c r="AE25" s="203" t="s">
        <v>205</v>
      </c>
      <c r="AF25" s="205" t="str">
        <f t="shared" si="0"/>
        <v>C</v>
      </c>
      <c r="AG25" s="204" t="str">
        <f t="shared" si="1"/>
        <v>UTILIZOU O PDA CORRETAMENTE</v>
      </c>
      <c r="AH25" s="203" t="s">
        <v>205</v>
      </c>
      <c r="AI25" s="246" t="s">
        <v>6</v>
      </c>
      <c r="AJ25" s="246" t="str">
        <f t="shared" si="2"/>
        <v>SÃO PAULO</v>
      </c>
      <c r="AK25" s="247" t="s">
        <v>39</v>
      </c>
    </row>
    <row r="26" spans="1:37" s="204" customFormat="1" ht="30" customHeight="1">
      <c r="A26" s="215" t="s">
        <v>198</v>
      </c>
      <c r="B26" s="215">
        <v>2618417646</v>
      </c>
      <c r="C26" s="215" t="s">
        <v>89</v>
      </c>
      <c r="D26" s="215" t="s">
        <v>78</v>
      </c>
      <c r="E26" s="215" t="s">
        <v>5</v>
      </c>
      <c r="F26" s="215" t="s">
        <v>292</v>
      </c>
      <c r="G26" s="215">
        <v>137</v>
      </c>
      <c r="H26" s="215" t="s">
        <v>200</v>
      </c>
      <c r="I26" s="215" t="s">
        <v>293</v>
      </c>
      <c r="J26" s="215" t="s">
        <v>238</v>
      </c>
      <c r="K26" s="215" t="s">
        <v>294</v>
      </c>
      <c r="L26" s="216">
        <v>46086.510416666664</v>
      </c>
      <c r="M26" s="216">
        <v>46086.511111111111</v>
      </c>
      <c r="N26" s="215" t="s">
        <v>204</v>
      </c>
      <c r="O26" s="203" t="s">
        <v>205</v>
      </c>
      <c r="P26" s="202"/>
      <c r="Q26" s="203" t="s">
        <v>205</v>
      </c>
      <c r="R26" s="202"/>
      <c r="S26" s="203" t="s">
        <v>206</v>
      </c>
      <c r="T26" s="202"/>
      <c r="U26" s="203" t="s">
        <v>206</v>
      </c>
      <c r="V26" s="202"/>
      <c r="W26" s="203" t="s">
        <v>206</v>
      </c>
      <c r="X26" s="202"/>
      <c r="Y26" s="203" t="s">
        <v>62</v>
      </c>
      <c r="Z26" s="202"/>
      <c r="AA26" s="203" t="s">
        <v>206</v>
      </c>
      <c r="AB26" s="202"/>
      <c r="AC26" s="203" t="s">
        <v>206</v>
      </c>
      <c r="AE26" s="203" t="s">
        <v>239</v>
      </c>
      <c r="AF26" s="205" t="str">
        <f t="shared" si="0"/>
        <v>NC</v>
      </c>
      <c r="AG26" s="204" t="str">
        <f t="shared" si="1"/>
        <v>NÃO UTILIZOU O PDA</v>
      </c>
      <c r="AH26" s="203"/>
      <c r="AI26" s="246" t="s">
        <v>6</v>
      </c>
      <c r="AJ26" s="246" t="str">
        <f t="shared" si="2"/>
        <v>SÃO PAULO</v>
      </c>
      <c r="AK26" s="247" t="s">
        <v>39</v>
      </c>
    </row>
    <row r="27" spans="1:37" s="204" customFormat="1" ht="30" customHeight="1">
      <c r="A27" s="215" t="s">
        <v>198</v>
      </c>
      <c r="B27" s="215">
        <v>2618314530</v>
      </c>
      <c r="C27" s="215" t="s">
        <v>287</v>
      </c>
      <c r="D27" s="215" t="s">
        <v>81</v>
      </c>
      <c r="E27" s="215" t="s">
        <v>5</v>
      </c>
      <c r="F27" s="215" t="s">
        <v>295</v>
      </c>
      <c r="G27" s="215">
        <v>470</v>
      </c>
      <c r="H27" s="215"/>
      <c r="I27" s="215" t="s">
        <v>296</v>
      </c>
      <c r="J27" s="215" t="s">
        <v>290</v>
      </c>
      <c r="K27" s="215"/>
      <c r="L27" s="216">
        <v>46086.256944444445</v>
      </c>
      <c r="M27" s="216">
        <v>46086.257638888892</v>
      </c>
      <c r="N27" s="215" t="s">
        <v>297</v>
      </c>
      <c r="O27" s="203" t="s">
        <v>62</v>
      </c>
      <c r="P27" s="202"/>
      <c r="Q27" s="203" t="s">
        <v>62</v>
      </c>
      <c r="R27" s="202"/>
      <c r="S27" s="203" t="s">
        <v>62</v>
      </c>
      <c r="T27" s="202"/>
      <c r="U27" s="203" t="s">
        <v>62</v>
      </c>
      <c r="V27" s="202"/>
      <c r="W27" s="203" t="s">
        <v>62</v>
      </c>
      <c r="X27" s="202"/>
      <c r="Y27" s="203" t="s">
        <v>62</v>
      </c>
      <c r="Z27" s="202"/>
      <c r="AA27" s="203" t="s">
        <v>62</v>
      </c>
      <c r="AB27" s="202"/>
      <c r="AC27" s="203" t="s">
        <v>62</v>
      </c>
      <c r="AE27" s="203" t="s">
        <v>62</v>
      </c>
      <c r="AF27" s="205" t="str">
        <f t="shared" si="0"/>
        <v>NA</v>
      </c>
      <c r="AG27" s="204" t="str">
        <f t="shared" si="1"/>
        <v>NÃO AVALIADO POR FALHA DE SINCRONISMO</v>
      </c>
      <c r="AH27" s="203"/>
      <c r="AI27" s="246" t="s">
        <v>6</v>
      </c>
      <c r="AJ27" s="246" t="str">
        <f t="shared" si="2"/>
        <v>SÃO PAULO</v>
      </c>
      <c r="AK27" s="247" t="s">
        <v>39</v>
      </c>
    </row>
    <row r="28" spans="1:37" s="204" customFormat="1" ht="30" customHeight="1">
      <c r="A28" s="215" t="s">
        <v>198</v>
      </c>
      <c r="B28" s="215">
        <v>2618314642</v>
      </c>
      <c r="C28" s="215" t="s">
        <v>100</v>
      </c>
      <c r="D28" s="215" t="s">
        <v>81</v>
      </c>
      <c r="E28" s="215" t="s">
        <v>5</v>
      </c>
      <c r="F28" s="215" t="s">
        <v>298</v>
      </c>
      <c r="G28" s="215">
        <v>126</v>
      </c>
      <c r="H28" s="215" t="s">
        <v>200</v>
      </c>
      <c r="I28" s="215" t="s">
        <v>299</v>
      </c>
      <c r="J28" s="215" t="s">
        <v>243</v>
      </c>
      <c r="K28" s="215" t="s">
        <v>300</v>
      </c>
      <c r="L28" s="216">
        <v>46086.549305555556</v>
      </c>
      <c r="M28" s="216">
        <v>46086.551388888889</v>
      </c>
      <c r="N28" s="215" t="s">
        <v>230</v>
      </c>
      <c r="O28" s="203" t="s">
        <v>205</v>
      </c>
      <c r="P28" s="202"/>
      <c r="Q28" s="203" t="s">
        <v>205</v>
      </c>
      <c r="R28" s="202"/>
      <c r="S28" s="203" t="s">
        <v>205</v>
      </c>
      <c r="T28" s="202"/>
      <c r="U28" s="203" t="s">
        <v>205</v>
      </c>
      <c r="V28" s="202"/>
      <c r="W28" s="203" t="s">
        <v>205</v>
      </c>
      <c r="X28" s="202"/>
      <c r="Y28" s="203" t="s">
        <v>205</v>
      </c>
      <c r="Z28" s="202"/>
      <c r="AA28" s="203" t="s">
        <v>205</v>
      </c>
      <c r="AB28" s="202"/>
      <c r="AC28" s="203" t="s">
        <v>205</v>
      </c>
      <c r="AE28" s="203" t="s">
        <v>205</v>
      </c>
      <c r="AF28" s="205" t="str">
        <f t="shared" si="0"/>
        <v>C</v>
      </c>
      <c r="AG28" s="204" t="str">
        <f t="shared" si="1"/>
        <v>UTILIZOU O PDA CORRETAMENTE</v>
      </c>
      <c r="AH28" s="203" t="s">
        <v>205</v>
      </c>
      <c r="AI28" s="246" t="s">
        <v>6</v>
      </c>
      <c r="AJ28" s="246" t="str">
        <f t="shared" si="2"/>
        <v>SÃO PAULO</v>
      </c>
      <c r="AK28" s="247" t="s">
        <v>39</v>
      </c>
    </row>
    <row r="29" spans="1:37" s="204" customFormat="1" ht="30" customHeight="1">
      <c r="A29" s="215" t="s">
        <v>198</v>
      </c>
      <c r="B29" s="215">
        <v>2618314409</v>
      </c>
      <c r="C29" s="215" t="s">
        <v>287</v>
      </c>
      <c r="D29" s="215" t="s">
        <v>81</v>
      </c>
      <c r="E29" s="215" t="s">
        <v>5</v>
      </c>
      <c r="F29" s="215" t="s">
        <v>301</v>
      </c>
      <c r="G29" s="215">
        <v>409</v>
      </c>
      <c r="H29" s="215" t="s">
        <v>302</v>
      </c>
      <c r="I29" s="215" t="s">
        <v>242</v>
      </c>
      <c r="J29" s="215" t="s">
        <v>290</v>
      </c>
      <c r="K29" s="215"/>
      <c r="L29" s="216">
        <v>46086.6</v>
      </c>
      <c r="M29" s="216">
        <v>46086.601388888892</v>
      </c>
      <c r="N29" s="215" t="s">
        <v>254</v>
      </c>
      <c r="O29" s="203" t="s">
        <v>239</v>
      </c>
      <c r="P29" s="204" t="s">
        <v>303</v>
      </c>
      <c r="Q29" s="203" t="s">
        <v>239</v>
      </c>
      <c r="R29" s="204" t="s">
        <v>303</v>
      </c>
      <c r="S29" s="203" t="s">
        <v>239</v>
      </c>
      <c r="T29" s="204" t="s">
        <v>303</v>
      </c>
      <c r="U29" s="203" t="s">
        <v>239</v>
      </c>
      <c r="V29" s="204" t="s">
        <v>303</v>
      </c>
      <c r="W29" s="203" t="s">
        <v>239</v>
      </c>
      <c r="X29" s="204" t="s">
        <v>303</v>
      </c>
      <c r="Y29" s="203" t="s">
        <v>239</v>
      </c>
      <c r="Z29" s="204" t="s">
        <v>303</v>
      </c>
      <c r="AA29" s="203" t="s">
        <v>239</v>
      </c>
      <c r="AB29" s="204" t="s">
        <v>303</v>
      </c>
      <c r="AC29" s="203" t="s">
        <v>239</v>
      </c>
      <c r="AD29" s="204" t="s">
        <v>303</v>
      </c>
      <c r="AE29" s="203" t="s">
        <v>239</v>
      </c>
      <c r="AF29" s="205" t="str">
        <f t="shared" si="0"/>
        <v>NC</v>
      </c>
      <c r="AG29" s="204" t="str">
        <f t="shared" si="1"/>
        <v>NÃO UTILIZOU O PDA</v>
      </c>
      <c r="AH29" s="203"/>
      <c r="AI29" s="246" t="s">
        <v>6</v>
      </c>
      <c r="AJ29" s="246" t="str">
        <f t="shared" si="2"/>
        <v>SÃO PAULO</v>
      </c>
      <c r="AK29" s="247" t="s">
        <v>39</v>
      </c>
    </row>
    <row r="30" spans="1:37" s="204" customFormat="1" ht="30" customHeight="1">
      <c r="A30" s="215" t="s">
        <v>198</v>
      </c>
      <c r="B30" s="215">
        <v>2618170210</v>
      </c>
      <c r="C30" s="215" t="s">
        <v>101</v>
      </c>
      <c r="D30" s="215" t="s">
        <v>79</v>
      </c>
      <c r="E30" s="215" t="s">
        <v>5</v>
      </c>
      <c r="F30" s="215" t="s">
        <v>304</v>
      </c>
      <c r="G30" s="215">
        <v>426</v>
      </c>
      <c r="H30" s="215" t="s">
        <v>200</v>
      </c>
      <c r="I30" s="215" t="s">
        <v>305</v>
      </c>
      <c r="J30" s="215" t="s">
        <v>233</v>
      </c>
      <c r="K30" s="215" t="s">
        <v>306</v>
      </c>
      <c r="L30" s="216">
        <v>46117.356249999997</v>
      </c>
      <c r="M30" s="216">
        <v>46117.476388888892</v>
      </c>
      <c r="N30" s="215" t="s">
        <v>235</v>
      </c>
      <c r="O30" s="203" t="s">
        <v>205</v>
      </c>
      <c r="Q30" s="203" t="s">
        <v>205</v>
      </c>
      <c r="S30" s="203" t="s">
        <v>205</v>
      </c>
      <c r="U30" s="203" t="s">
        <v>205</v>
      </c>
      <c r="W30" s="203" t="s">
        <v>205</v>
      </c>
      <c r="Y30" s="203" t="s">
        <v>205</v>
      </c>
      <c r="AA30" s="203" t="s">
        <v>205</v>
      </c>
      <c r="AC30" s="203" t="s">
        <v>205</v>
      </c>
      <c r="AE30" s="203" t="s">
        <v>205</v>
      </c>
      <c r="AF30" s="205" t="str">
        <f t="shared" si="0"/>
        <v>C</v>
      </c>
      <c r="AG30" s="204" t="str">
        <f t="shared" si="1"/>
        <v>UTILIZOU O PDA CORRETAMENTE</v>
      </c>
      <c r="AH30" s="203" t="s">
        <v>205</v>
      </c>
      <c r="AI30" s="246" t="s">
        <v>6</v>
      </c>
      <c r="AJ30" s="246" t="str">
        <f t="shared" si="2"/>
        <v>SÃO PAULO</v>
      </c>
      <c r="AK30" s="247" t="s">
        <v>39</v>
      </c>
    </row>
    <row r="31" spans="1:37" s="204" customFormat="1" ht="30" customHeight="1">
      <c r="A31" s="215" t="s">
        <v>198</v>
      </c>
      <c r="B31" s="215">
        <v>2617956061</v>
      </c>
      <c r="C31" s="215" t="s">
        <v>95</v>
      </c>
      <c r="D31" s="215" t="s">
        <v>77</v>
      </c>
      <c r="E31" s="215" t="s">
        <v>5</v>
      </c>
      <c r="F31" s="215" t="s">
        <v>307</v>
      </c>
      <c r="G31" s="215">
        <v>261</v>
      </c>
      <c r="H31" s="215" t="s">
        <v>200</v>
      </c>
      <c r="I31" s="215" t="s">
        <v>308</v>
      </c>
      <c r="J31" s="215" t="s">
        <v>95</v>
      </c>
      <c r="K31" s="219" t="s">
        <v>309</v>
      </c>
      <c r="L31" s="216">
        <v>46117.362500000003</v>
      </c>
      <c r="M31" s="216">
        <v>46117.462500000001</v>
      </c>
      <c r="N31" s="215" t="s">
        <v>310</v>
      </c>
      <c r="O31" s="203" t="s">
        <v>205</v>
      </c>
      <c r="Q31" s="203" t="s">
        <v>205</v>
      </c>
      <c r="S31" s="203" t="s">
        <v>205</v>
      </c>
      <c r="U31" s="203" t="s">
        <v>205</v>
      </c>
      <c r="W31" s="203" t="s">
        <v>205</v>
      </c>
      <c r="Y31" s="203" t="s">
        <v>205</v>
      </c>
      <c r="AA31" s="203" t="s">
        <v>205</v>
      </c>
      <c r="AC31" s="203" t="s">
        <v>205</v>
      </c>
      <c r="AE31" s="203" t="s">
        <v>205</v>
      </c>
      <c r="AF31" s="205" t="str">
        <f t="shared" si="0"/>
        <v>C</v>
      </c>
      <c r="AG31" s="204" t="str">
        <f t="shared" si="1"/>
        <v>UTILIZOU O PDA CORRETAMENTE</v>
      </c>
      <c r="AH31" s="203" t="s">
        <v>205</v>
      </c>
      <c r="AI31" s="246" t="s">
        <v>6</v>
      </c>
      <c r="AJ31" s="246" t="str">
        <f t="shared" si="2"/>
        <v>SÃO PAULO</v>
      </c>
      <c r="AK31" s="247" t="s">
        <v>39</v>
      </c>
    </row>
    <row r="32" spans="1:37" s="204" customFormat="1" ht="30" customHeight="1">
      <c r="A32" s="215" t="s">
        <v>198</v>
      </c>
      <c r="B32" s="215">
        <v>2618134132</v>
      </c>
      <c r="C32" s="215" t="s">
        <v>86</v>
      </c>
      <c r="D32" s="215" t="s">
        <v>77</v>
      </c>
      <c r="E32" s="215" t="s">
        <v>5</v>
      </c>
      <c r="F32" s="215" t="s">
        <v>311</v>
      </c>
      <c r="G32" s="215">
        <v>1026</v>
      </c>
      <c r="H32" s="215"/>
      <c r="I32" s="215" t="s">
        <v>312</v>
      </c>
      <c r="J32" s="215" t="s">
        <v>86</v>
      </c>
      <c r="K32" s="215" t="s">
        <v>313</v>
      </c>
      <c r="L32" s="216">
        <v>46117.479861111111</v>
      </c>
      <c r="M32" s="216">
        <v>46117.540972222225</v>
      </c>
      <c r="N32" s="215" t="s">
        <v>310</v>
      </c>
      <c r="O32" s="203" t="s">
        <v>205</v>
      </c>
      <c r="Q32" s="203" t="s">
        <v>205</v>
      </c>
      <c r="S32" s="203" t="s">
        <v>205</v>
      </c>
      <c r="U32" s="203" t="s">
        <v>205</v>
      </c>
      <c r="W32" s="203" t="s">
        <v>205</v>
      </c>
      <c r="Y32" s="203" t="s">
        <v>205</v>
      </c>
      <c r="AA32" s="203" t="s">
        <v>205</v>
      </c>
      <c r="AC32" s="203" t="s">
        <v>205</v>
      </c>
      <c r="AE32" s="203" t="s">
        <v>205</v>
      </c>
      <c r="AF32" s="205" t="str">
        <f t="shared" si="0"/>
        <v>C</v>
      </c>
      <c r="AG32" s="204" t="str">
        <f t="shared" si="1"/>
        <v>UTILIZOU O PDA CORRETAMENTE</v>
      </c>
      <c r="AH32" s="203" t="s">
        <v>205</v>
      </c>
      <c r="AI32" s="246" t="s">
        <v>6</v>
      </c>
      <c r="AJ32" s="246" t="str">
        <f t="shared" si="2"/>
        <v>SÃO PAULO</v>
      </c>
      <c r="AK32" s="247" t="s">
        <v>39</v>
      </c>
    </row>
    <row r="33" spans="1:37" s="204" customFormat="1" ht="30" customHeight="1">
      <c r="A33" s="215" t="s">
        <v>198</v>
      </c>
      <c r="B33" s="215">
        <v>2618132768</v>
      </c>
      <c r="C33" s="215" t="s">
        <v>314</v>
      </c>
      <c r="D33" s="215" t="s">
        <v>77</v>
      </c>
      <c r="E33" s="215" t="s">
        <v>5</v>
      </c>
      <c r="F33" s="215" t="s">
        <v>315</v>
      </c>
      <c r="G33" s="215">
        <v>58</v>
      </c>
      <c r="H33" s="215" t="s">
        <v>226</v>
      </c>
      <c r="I33" s="215" t="s">
        <v>316</v>
      </c>
      <c r="J33" s="215" t="s">
        <v>317</v>
      </c>
      <c r="K33" s="215" t="s">
        <v>200</v>
      </c>
      <c r="L33" s="216">
        <v>46117.657638888886</v>
      </c>
      <c r="M33" s="216">
        <v>46117.69027777778</v>
      </c>
      <c r="N33" s="215" t="s">
        <v>310</v>
      </c>
      <c r="O33" s="203" t="s">
        <v>205</v>
      </c>
      <c r="Q33" s="203" t="s">
        <v>205</v>
      </c>
      <c r="S33" s="203" t="s">
        <v>205</v>
      </c>
      <c r="U33" s="203" t="s">
        <v>205</v>
      </c>
      <c r="W33" s="203" t="s">
        <v>205</v>
      </c>
      <c r="Y33" s="203" t="s">
        <v>205</v>
      </c>
      <c r="AA33" s="203" t="s">
        <v>205</v>
      </c>
      <c r="AC33" s="203" t="s">
        <v>205</v>
      </c>
      <c r="AE33" s="203" t="s">
        <v>205</v>
      </c>
      <c r="AF33" s="205" t="str">
        <f t="shared" si="0"/>
        <v>C</v>
      </c>
      <c r="AG33" s="204" t="str">
        <f t="shared" si="1"/>
        <v>UTILIZOU O PDA CORRETAMENTE</v>
      </c>
      <c r="AH33" s="203" t="s">
        <v>205</v>
      </c>
      <c r="AI33" s="246" t="s">
        <v>6</v>
      </c>
      <c r="AJ33" s="246" t="str">
        <f t="shared" si="2"/>
        <v>SÃO PAULO</v>
      </c>
      <c r="AK33" s="247" t="s">
        <v>39</v>
      </c>
    </row>
    <row r="34" spans="1:37" s="204" customFormat="1" ht="30" customHeight="1">
      <c r="A34" s="215" t="s">
        <v>198</v>
      </c>
      <c r="B34" s="215">
        <v>2618132772</v>
      </c>
      <c r="C34" s="215" t="s">
        <v>314</v>
      </c>
      <c r="D34" s="215" t="s">
        <v>77</v>
      </c>
      <c r="E34" s="215" t="s">
        <v>5</v>
      </c>
      <c r="F34" s="215" t="s">
        <v>315</v>
      </c>
      <c r="G34" s="215">
        <v>58</v>
      </c>
      <c r="H34" s="215" t="s">
        <v>318</v>
      </c>
      <c r="I34" s="215" t="s">
        <v>316</v>
      </c>
      <c r="J34" s="215" t="s">
        <v>317</v>
      </c>
      <c r="K34" s="215"/>
      <c r="L34" s="216">
        <v>46117.638194444444</v>
      </c>
      <c r="M34" s="216">
        <v>46117.656944444447</v>
      </c>
      <c r="N34" s="215" t="s">
        <v>310</v>
      </c>
      <c r="O34" s="203" t="s">
        <v>205</v>
      </c>
      <c r="Q34" s="203" t="s">
        <v>205</v>
      </c>
      <c r="S34" s="203" t="s">
        <v>205</v>
      </c>
      <c r="U34" s="203" t="s">
        <v>205</v>
      </c>
      <c r="W34" s="203" t="s">
        <v>205</v>
      </c>
      <c r="Y34" s="203" t="s">
        <v>205</v>
      </c>
      <c r="AA34" s="203" t="s">
        <v>205</v>
      </c>
      <c r="AC34" s="203" t="s">
        <v>205</v>
      </c>
      <c r="AE34" s="203" t="s">
        <v>205</v>
      </c>
      <c r="AF34" s="205" t="str">
        <f t="shared" si="0"/>
        <v>C</v>
      </c>
      <c r="AG34" s="204" t="str">
        <f t="shared" si="1"/>
        <v>UTILIZOU O PDA CORRETAMENTE</v>
      </c>
      <c r="AH34" s="203" t="s">
        <v>205</v>
      </c>
      <c r="AI34" s="246" t="s">
        <v>6</v>
      </c>
      <c r="AJ34" s="246" t="str">
        <f t="shared" si="2"/>
        <v>SÃO PAULO</v>
      </c>
      <c r="AK34" s="247" t="s">
        <v>39</v>
      </c>
    </row>
    <row r="35" spans="1:37" s="204" customFormat="1" ht="30" customHeight="1">
      <c r="A35" s="215" t="s">
        <v>198</v>
      </c>
      <c r="B35" s="215">
        <v>2692239718</v>
      </c>
      <c r="C35" s="215" t="s">
        <v>102</v>
      </c>
      <c r="D35" s="215" t="s">
        <v>81</v>
      </c>
      <c r="E35" s="215" t="s">
        <v>5</v>
      </c>
      <c r="F35" s="215" t="s">
        <v>319</v>
      </c>
      <c r="G35" s="215">
        <v>42</v>
      </c>
      <c r="H35" s="215" t="s">
        <v>200</v>
      </c>
      <c r="I35" s="215" t="s">
        <v>320</v>
      </c>
      <c r="J35" s="215" t="s">
        <v>220</v>
      </c>
      <c r="K35" s="215" t="s">
        <v>200</v>
      </c>
      <c r="L35" s="216">
        <v>46117.40902777778</v>
      </c>
      <c r="M35" s="216">
        <v>46117.466666666667</v>
      </c>
      <c r="N35" s="215" t="s">
        <v>230</v>
      </c>
      <c r="O35" s="203" t="s">
        <v>205</v>
      </c>
      <c r="Q35" s="203" t="s">
        <v>205</v>
      </c>
      <c r="S35" s="203" t="s">
        <v>205</v>
      </c>
      <c r="U35" s="203" t="s">
        <v>205</v>
      </c>
      <c r="W35" s="203" t="s">
        <v>205</v>
      </c>
      <c r="Y35" s="203" t="s">
        <v>62</v>
      </c>
      <c r="AA35" s="203" t="s">
        <v>205</v>
      </c>
      <c r="AC35" s="203" t="s">
        <v>205</v>
      </c>
      <c r="AE35" s="203" t="s">
        <v>205</v>
      </c>
      <c r="AF35" s="205" t="str">
        <f t="shared" si="0"/>
        <v>C</v>
      </c>
      <c r="AG35" s="204" t="str">
        <f t="shared" si="1"/>
        <v>UTILIZOU O PDA CORRETAMENTE</v>
      </c>
      <c r="AH35" s="203" t="s">
        <v>205</v>
      </c>
      <c r="AI35" s="246" t="s">
        <v>6</v>
      </c>
      <c r="AJ35" s="246" t="str">
        <f t="shared" si="2"/>
        <v>SÃO PAULO</v>
      </c>
      <c r="AK35" s="247" t="s">
        <v>39</v>
      </c>
    </row>
    <row r="36" spans="1:37" s="204" customFormat="1" ht="30" customHeight="1">
      <c r="A36" s="215" t="s">
        <v>198</v>
      </c>
      <c r="B36" s="215">
        <v>2692240099</v>
      </c>
      <c r="C36" s="215" t="s">
        <v>102</v>
      </c>
      <c r="D36" s="215" t="s">
        <v>81</v>
      </c>
      <c r="E36" s="215" t="s">
        <v>5</v>
      </c>
      <c r="F36" s="215" t="s">
        <v>321</v>
      </c>
      <c r="G36" s="215">
        <v>808</v>
      </c>
      <c r="H36" s="215"/>
      <c r="I36" s="215" t="s">
        <v>219</v>
      </c>
      <c r="J36" s="215" t="s">
        <v>322</v>
      </c>
      <c r="K36" s="215"/>
      <c r="L36" s="216">
        <v>46117.479166666664</v>
      </c>
      <c r="M36" s="216">
        <v>46117.526388888888</v>
      </c>
      <c r="N36" s="215" t="s">
        <v>230</v>
      </c>
      <c r="O36" s="203" t="s">
        <v>205</v>
      </c>
      <c r="Q36" s="203" t="s">
        <v>205</v>
      </c>
      <c r="S36" s="203" t="s">
        <v>205</v>
      </c>
      <c r="U36" s="203" t="s">
        <v>205</v>
      </c>
      <c r="W36" s="203" t="s">
        <v>205</v>
      </c>
      <c r="Y36" s="203" t="s">
        <v>62</v>
      </c>
      <c r="AA36" s="203" t="s">
        <v>205</v>
      </c>
      <c r="AC36" s="203" t="s">
        <v>205</v>
      </c>
      <c r="AE36" s="203" t="s">
        <v>205</v>
      </c>
      <c r="AF36" s="205" t="str">
        <f t="shared" si="0"/>
        <v>C</v>
      </c>
      <c r="AG36" s="204" t="str">
        <f t="shared" si="1"/>
        <v>UTILIZOU O PDA CORRETAMENTE</v>
      </c>
      <c r="AH36" s="203" t="s">
        <v>205</v>
      </c>
      <c r="AI36" s="246" t="s">
        <v>6</v>
      </c>
      <c r="AJ36" s="246" t="str">
        <f t="shared" si="2"/>
        <v>SÃO PAULO</v>
      </c>
      <c r="AK36" s="247" t="s">
        <v>39</v>
      </c>
    </row>
    <row r="37" spans="1:37" s="204" customFormat="1" ht="30" customHeight="1">
      <c r="A37" s="215" t="s">
        <v>198</v>
      </c>
      <c r="B37" s="215">
        <v>2618310891</v>
      </c>
      <c r="C37" s="215" t="s">
        <v>105</v>
      </c>
      <c r="D37" s="215" t="s">
        <v>81</v>
      </c>
      <c r="E37" s="215" t="s">
        <v>5</v>
      </c>
      <c r="F37" s="215" t="s">
        <v>323</v>
      </c>
      <c r="G37" s="215">
        <v>30</v>
      </c>
      <c r="H37" s="215" t="s">
        <v>200</v>
      </c>
      <c r="I37" s="215" t="s">
        <v>324</v>
      </c>
      <c r="J37" s="215" t="s">
        <v>228</v>
      </c>
      <c r="K37" s="215" t="s">
        <v>325</v>
      </c>
      <c r="L37" s="216">
        <v>46117.398611111108</v>
      </c>
      <c r="M37" s="216">
        <v>46117.407638888886</v>
      </c>
      <c r="N37" s="215" t="s">
        <v>326</v>
      </c>
      <c r="O37" s="203" t="s">
        <v>205</v>
      </c>
      <c r="Q37" s="203" t="s">
        <v>205</v>
      </c>
      <c r="S37" s="203" t="s">
        <v>205</v>
      </c>
      <c r="U37" s="203" t="s">
        <v>205</v>
      </c>
      <c r="W37" s="203" t="s">
        <v>205</v>
      </c>
      <c r="Y37" s="203" t="s">
        <v>62</v>
      </c>
      <c r="AA37" s="203" t="s">
        <v>205</v>
      </c>
      <c r="AC37" s="203" t="s">
        <v>205</v>
      </c>
      <c r="AE37" s="203" t="s">
        <v>205</v>
      </c>
      <c r="AF37" s="205" t="str">
        <f t="shared" si="0"/>
        <v>C</v>
      </c>
      <c r="AG37" s="204" t="str">
        <f t="shared" si="1"/>
        <v>UTILIZOU O PDA CORRETAMENTE</v>
      </c>
      <c r="AH37" s="203" t="s">
        <v>205</v>
      </c>
      <c r="AI37" s="246" t="s">
        <v>6</v>
      </c>
      <c r="AJ37" s="246" t="str">
        <f t="shared" si="2"/>
        <v>SÃO PAULO</v>
      </c>
      <c r="AK37" s="247" t="s">
        <v>39</v>
      </c>
    </row>
    <row r="38" spans="1:37" s="204" customFormat="1" ht="30" customHeight="1">
      <c r="A38" s="215" t="s">
        <v>198</v>
      </c>
      <c r="B38" s="215">
        <v>2618063333</v>
      </c>
      <c r="C38" s="215" t="s">
        <v>92</v>
      </c>
      <c r="D38" s="215" t="s">
        <v>77</v>
      </c>
      <c r="E38" s="215" t="s">
        <v>5</v>
      </c>
      <c r="F38" s="215" t="s">
        <v>327</v>
      </c>
      <c r="G38" s="215">
        <v>393</v>
      </c>
      <c r="H38" s="215" t="s">
        <v>250</v>
      </c>
      <c r="I38" s="215" t="s">
        <v>328</v>
      </c>
      <c r="J38" s="215" t="s">
        <v>329</v>
      </c>
      <c r="K38" s="215" t="s">
        <v>330</v>
      </c>
      <c r="L38" s="216">
        <v>46117.674305555556</v>
      </c>
      <c r="M38" s="216">
        <v>46117.676388888889</v>
      </c>
      <c r="N38" s="215" t="s">
        <v>254</v>
      </c>
      <c r="O38" s="203" t="s">
        <v>205</v>
      </c>
      <c r="Q38" s="203" t="s">
        <v>205</v>
      </c>
      <c r="S38" s="203" t="s">
        <v>205</v>
      </c>
      <c r="U38" s="203" t="s">
        <v>205</v>
      </c>
      <c r="W38" s="203" t="s">
        <v>205</v>
      </c>
      <c r="Y38" s="203" t="s">
        <v>205</v>
      </c>
      <c r="AA38" s="203" t="s">
        <v>205</v>
      </c>
      <c r="AC38" s="203" t="s">
        <v>205</v>
      </c>
      <c r="AE38" s="203" t="s">
        <v>205</v>
      </c>
      <c r="AF38" s="205" t="str">
        <f t="shared" si="0"/>
        <v>C</v>
      </c>
      <c r="AG38" s="204" t="str">
        <f t="shared" si="1"/>
        <v>UTILIZOU O PDA CORRETAMENTE</v>
      </c>
      <c r="AH38" s="203" t="s">
        <v>205</v>
      </c>
      <c r="AI38" s="246" t="s">
        <v>6</v>
      </c>
      <c r="AJ38" s="246" t="str">
        <f t="shared" si="2"/>
        <v>SÃO PAULO</v>
      </c>
      <c r="AK38" s="247" t="s">
        <v>39</v>
      </c>
    </row>
    <row r="39" spans="1:37" s="204" customFormat="1" ht="30" customHeight="1">
      <c r="A39" s="215" t="s">
        <v>198</v>
      </c>
      <c r="B39" s="215">
        <v>2618061052</v>
      </c>
      <c r="C39" s="215" t="s">
        <v>92</v>
      </c>
      <c r="D39" s="215" t="s">
        <v>77</v>
      </c>
      <c r="E39" s="215" t="s">
        <v>5</v>
      </c>
      <c r="F39" s="215" t="s">
        <v>327</v>
      </c>
      <c r="G39" s="215">
        <v>393</v>
      </c>
      <c r="H39" s="215" t="s">
        <v>226</v>
      </c>
      <c r="I39" s="215" t="s">
        <v>328</v>
      </c>
      <c r="J39" s="215" t="s">
        <v>329</v>
      </c>
      <c r="K39" s="215" t="s">
        <v>200</v>
      </c>
      <c r="L39" s="216">
        <v>46117.695833333331</v>
      </c>
      <c r="M39" s="216">
        <v>46117.697222222225</v>
      </c>
      <c r="N39" s="215" t="s">
        <v>254</v>
      </c>
      <c r="O39" s="203" t="s">
        <v>205</v>
      </c>
      <c r="Q39" s="203" t="s">
        <v>205</v>
      </c>
      <c r="S39" s="203" t="s">
        <v>205</v>
      </c>
      <c r="U39" s="203" t="s">
        <v>205</v>
      </c>
      <c r="W39" s="203" t="s">
        <v>205</v>
      </c>
      <c r="Y39" s="203" t="s">
        <v>205</v>
      </c>
      <c r="AA39" s="203" t="s">
        <v>205</v>
      </c>
      <c r="AC39" s="203" t="s">
        <v>205</v>
      </c>
      <c r="AE39" s="203" t="s">
        <v>205</v>
      </c>
      <c r="AF39" s="205" t="str">
        <f t="shared" si="0"/>
        <v>C</v>
      </c>
      <c r="AG39" s="204" t="str">
        <f t="shared" si="1"/>
        <v>UTILIZOU O PDA CORRETAMENTE</v>
      </c>
      <c r="AH39" s="203" t="s">
        <v>205</v>
      </c>
      <c r="AI39" s="246" t="s">
        <v>6</v>
      </c>
      <c r="AJ39" s="246" t="str">
        <f t="shared" si="2"/>
        <v>SÃO PAULO</v>
      </c>
      <c r="AK39" s="247" t="s">
        <v>39</v>
      </c>
    </row>
    <row r="40" spans="1:37" s="204" customFormat="1" ht="30" customHeight="1">
      <c r="A40" s="215" t="s">
        <v>198</v>
      </c>
      <c r="B40" s="215">
        <v>2618451734</v>
      </c>
      <c r="C40" s="215" t="s">
        <v>331</v>
      </c>
      <c r="D40" s="215" t="s">
        <v>79</v>
      </c>
      <c r="E40" s="215" t="s">
        <v>5</v>
      </c>
      <c r="F40" s="215" t="s">
        <v>332</v>
      </c>
      <c r="G40" s="215">
        <v>284</v>
      </c>
      <c r="H40" s="215"/>
      <c r="I40" s="215" t="s">
        <v>333</v>
      </c>
      <c r="J40" s="215" t="s">
        <v>334</v>
      </c>
      <c r="K40" s="215" t="s">
        <v>335</v>
      </c>
      <c r="L40" s="216">
        <v>46117.50277777778</v>
      </c>
      <c r="M40" s="216">
        <v>46117.504861111112</v>
      </c>
      <c r="N40" s="215" t="s">
        <v>212</v>
      </c>
      <c r="O40" s="203" t="s">
        <v>205</v>
      </c>
      <c r="Q40" s="203" t="s">
        <v>205</v>
      </c>
      <c r="S40" s="203" t="s">
        <v>205</v>
      </c>
      <c r="U40" s="203" t="s">
        <v>205</v>
      </c>
      <c r="W40" s="203" t="s">
        <v>205</v>
      </c>
      <c r="Y40" s="203" t="s">
        <v>205</v>
      </c>
      <c r="AA40" s="203" t="s">
        <v>205</v>
      </c>
      <c r="AC40" s="203" t="s">
        <v>205</v>
      </c>
      <c r="AE40" s="203" t="s">
        <v>205</v>
      </c>
      <c r="AF40" s="205" t="str">
        <f t="shared" si="0"/>
        <v>C</v>
      </c>
      <c r="AG40" s="204" t="str">
        <f t="shared" si="1"/>
        <v>UTILIZOU O PDA CORRETAMENTE</v>
      </c>
      <c r="AH40" s="203" t="s">
        <v>205</v>
      </c>
      <c r="AI40" s="246" t="s">
        <v>6</v>
      </c>
      <c r="AJ40" s="246" t="str">
        <f t="shared" si="2"/>
        <v>SÃO PAULO</v>
      </c>
      <c r="AK40" s="247" t="s">
        <v>39</v>
      </c>
    </row>
    <row r="41" spans="1:37" s="204" customFormat="1" ht="30" customHeight="1">
      <c r="A41" s="215" t="s">
        <v>198</v>
      </c>
      <c r="B41" s="215">
        <v>2618451572</v>
      </c>
      <c r="C41" s="215" t="s">
        <v>331</v>
      </c>
      <c r="D41" s="215" t="s">
        <v>79</v>
      </c>
      <c r="E41" s="215" t="s">
        <v>5</v>
      </c>
      <c r="F41" s="215" t="s">
        <v>332</v>
      </c>
      <c r="G41" s="215">
        <v>290</v>
      </c>
      <c r="H41" s="215" t="s">
        <v>200</v>
      </c>
      <c r="I41" s="215" t="s">
        <v>333</v>
      </c>
      <c r="J41" s="215" t="s">
        <v>334</v>
      </c>
      <c r="K41" s="215" t="s">
        <v>336</v>
      </c>
      <c r="L41" s="216">
        <v>46117.495833333334</v>
      </c>
      <c r="M41" s="216">
        <v>46117.497916666667</v>
      </c>
      <c r="N41" s="215" t="s">
        <v>212</v>
      </c>
      <c r="O41" s="203" t="s">
        <v>205</v>
      </c>
      <c r="Q41" s="203" t="s">
        <v>205</v>
      </c>
      <c r="S41" s="203" t="s">
        <v>205</v>
      </c>
      <c r="U41" s="203" t="s">
        <v>205</v>
      </c>
      <c r="W41" s="203" t="s">
        <v>205</v>
      </c>
      <c r="Y41" s="203" t="s">
        <v>205</v>
      </c>
      <c r="AA41" s="203" t="s">
        <v>205</v>
      </c>
      <c r="AC41" s="203" t="s">
        <v>205</v>
      </c>
      <c r="AE41" s="203" t="s">
        <v>205</v>
      </c>
      <c r="AF41" s="205" t="str">
        <f t="shared" si="0"/>
        <v>C</v>
      </c>
      <c r="AG41" s="204" t="str">
        <f t="shared" si="1"/>
        <v>UTILIZOU O PDA CORRETAMENTE</v>
      </c>
      <c r="AH41" s="203" t="s">
        <v>205</v>
      </c>
      <c r="AI41" s="246" t="s">
        <v>6</v>
      </c>
      <c r="AJ41" s="246" t="str">
        <f t="shared" si="2"/>
        <v>SÃO PAULO</v>
      </c>
      <c r="AK41" s="247" t="s">
        <v>39</v>
      </c>
    </row>
    <row r="42" spans="1:37" s="204" customFormat="1" ht="30" customHeight="1">
      <c r="A42" s="215" t="s">
        <v>198</v>
      </c>
      <c r="B42" s="215">
        <v>2618451331</v>
      </c>
      <c r="C42" s="215" t="s">
        <v>331</v>
      </c>
      <c r="D42" s="215" t="s">
        <v>79</v>
      </c>
      <c r="E42" s="215" t="s">
        <v>5</v>
      </c>
      <c r="F42" s="215" t="s">
        <v>332</v>
      </c>
      <c r="G42" s="215">
        <v>308</v>
      </c>
      <c r="H42" s="215"/>
      <c r="I42" s="215" t="s">
        <v>333</v>
      </c>
      <c r="J42" s="215" t="s">
        <v>334</v>
      </c>
      <c r="K42" s="215" t="s">
        <v>336</v>
      </c>
      <c r="L42" s="216">
        <v>46117.491666666669</v>
      </c>
      <c r="M42" s="216">
        <v>46117.494444444441</v>
      </c>
      <c r="N42" s="215" t="s">
        <v>212</v>
      </c>
      <c r="O42" s="203" t="s">
        <v>205</v>
      </c>
      <c r="Q42" s="203" t="s">
        <v>205</v>
      </c>
      <c r="S42" s="203" t="s">
        <v>205</v>
      </c>
      <c r="U42" s="203" t="s">
        <v>205</v>
      </c>
      <c r="W42" s="203" t="s">
        <v>205</v>
      </c>
      <c r="Y42" s="203" t="s">
        <v>205</v>
      </c>
      <c r="AA42" s="203" t="s">
        <v>205</v>
      </c>
      <c r="AC42" s="203" t="s">
        <v>205</v>
      </c>
      <c r="AE42" s="203" t="s">
        <v>205</v>
      </c>
      <c r="AF42" s="205" t="str">
        <f t="shared" si="0"/>
        <v>C</v>
      </c>
      <c r="AG42" s="204" t="str">
        <f t="shared" si="1"/>
        <v>UTILIZOU O PDA CORRETAMENTE</v>
      </c>
      <c r="AH42" s="203" t="s">
        <v>205</v>
      </c>
      <c r="AI42" s="246" t="s">
        <v>6</v>
      </c>
      <c r="AJ42" s="246" t="str">
        <f t="shared" si="2"/>
        <v>SÃO PAULO</v>
      </c>
      <c r="AK42" s="247" t="s">
        <v>39</v>
      </c>
    </row>
    <row r="43" spans="1:37" s="204" customFormat="1" ht="30" customHeight="1">
      <c r="A43" s="215" t="s">
        <v>198</v>
      </c>
      <c r="B43" s="215">
        <v>2618451224</v>
      </c>
      <c r="C43" s="215" t="s">
        <v>331</v>
      </c>
      <c r="D43" s="215" t="s">
        <v>79</v>
      </c>
      <c r="E43" s="215" t="s">
        <v>5</v>
      </c>
      <c r="F43" s="215" t="s">
        <v>332</v>
      </c>
      <c r="G43" s="215">
        <v>316</v>
      </c>
      <c r="H43" s="215" t="s">
        <v>200</v>
      </c>
      <c r="I43" s="215" t="s">
        <v>333</v>
      </c>
      <c r="J43" s="215" t="s">
        <v>334</v>
      </c>
      <c r="K43" s="215" t="s">
        <v>337</v>
      </c>
      <c r="L43" s="216">
        <v>46117.70416666667</v>
      </c>
      <c r="M43" s="216">
        <v>46117.71597222222</v>
      </c>
      <c r="N43" s="215" t="s">
        <v>212</v>
      </c>
      <c r="O43" s="203" t="s">
        <v>205</v>
      </c>
      <c r="Q43" s="203" t="s">
        <v>205</v>
      </c>
      <c r="S43" s="203" t="s">
        <v>205</v>
      </c>
      <c r="U43" s="203" t="s">
        <v>205</v>
      </c>
      <c r="W43" s="203" t="s">
        <v>205</v>
      </c>
      <c r="Y43" s="203" t="s">
        <v>205</v>
      </c>
      <c r="AA43" s="203" t="s">
        <v>205</v>
      </c>
      <c r="AC43" s="203" t="s">
        <v>205</v>
      </c>
      <c r="AE43" s="203" t="s">
        <v>205</v>
      </c>
      <c r="AF43" s="205" t="str">
        <f t="shared" si="0"/>
        <v>C</v>
      </c>
      <c r="AG43" s="204" t="str">
        <f t="shared" si="1"/>
        <v>UTILIZOU O PDA CORRETAMENTE</v>
      </c>
      <c r="AH43" s="203" t="s">
        <v>205</v>
      </c>
      <c r="AI43" s="246" t="s">
        <v>6</v>
      </c>
      <c r="AJ43" s="246" t="str">
        <f t="shared" si="2"/>
        <v>SÃO PAULO</v>
      </c>
      <c r="AK43" s="247" t="s">
        <v>39</v>
      </c>
    </row>
    <row r="44" spans="1:37" s="204" customFormat="1" ht="30" customHeight="1">
      <c r="A44" s="215" t="s">
        <v>198</v>
      </c>
      <c r="B44" s="215">
        <v>2618455128</v>
      </c>
      <c r="C44" s="215" t="s">
        <v>331</v>
      </c>
      <c r="D44" s="215" t="s">
        <v>79</v>
      </c>
      <c r="E44" s="215" t="s">
        <v>5</v>
      </c>
      <c r="F44" s="215" t="s">
        <v>332</v>
      </c>
      <c r="G44" s="215">
        <v>285</v>
      </c>
      <c r="H44" s="215"/>
      <c r="I44" s="215" t="s">
        <v>333</v>
      </c>
      <c r="J44" s="215" t="s">
        <v>334</v>
      </c>
      <c r="K44" s="215" t="s">
        <v>338</v>
      </c>
      <c r="L44" s="216">
        <v>46117.678472222222</v>
      </c>
      <c r="M44" s="216">
        <v>46117.681944444441</v>
      </c>
      <c r="N44" s="215" t="s">
        <v>212</v>
      </c>
      <c r="O44" s="203" t="s">
        <v>205</v>
      </c>
      <c r="Q44" s="203" t="s">
        <v>205</v>
      </c>
      <c r="S44" s="203" t="s">
        <v>205</v>
      </c>
      <c r="U44" s="203" t="s">
        <v>205</v>
      </c>
      <c r="W44" s="203" t="s">
        <v>205</v>
      </c>
      <c r="Y44" s="203" t="s">
        <v>205</v>
      </c>
      <c r="AA44" s="203" t="s">
        <v>205</v>
      </c>
      <c r="AC44" s="203" t="s">
        <v>205</v>
      </c>
      <c r="AE44" s="203" t="s">
        <v>205</v>
      </c>
      <c r="AF44" s="205" t="str">
        <f t="shared" si="0"/>
        <v>C</v>
      </c>
      <c r="AG44" s="204" t="str">
        <f t="shared" si="1"/>
        <v>UTILIZOU O PDA CORRETAMENTE</v>
      </c>
      <c r="AH44" s="203" t="s">
        <v>205</v>
      </c>
      <c r="AI44" s="246" t="s">
        <v>6</v>
      </c>
      <c r="AJ44" s="246" t="str">
        <f t="shared" si="2"/>
        <v>SÃO PAULO</v>
      </c>
      <c r="AK44" s="247" t="s">
        <v>39</v>
      </c>
    </row>
    <row r="45" spans="1:37" s="204" customFormat="1" ht="30" customHeight="1">
      <c r="A45" s="215" t="s">
        <v>198</v>
      </c>
      <c r="B45" s="215">
        <v>2618454945</v>
      </c>
      <c r="C45" s="215" t="s">
        <v>331</v>
      </c>
      <c r="D45" s="215" t="s">
        <v>79</v>
      </c>
      <c r="E45" s="215" t="s">
        <v>5</v>
      </c>
      <c r="F45" s="215" t="s">
        <v>332</v>
      </c>
      <c r="G45" s="215">
        <v>278</v>
      </c>
      <c r="H45" s="215" t="s">
        <v>200</v>
      </c>
      <c r="I45" s="215" t="s">
        <v>333</v>
      </c>
      <c r="J45" s="215" t="s">
        <v>334</v>
      </c>
      <c r="K45" s="215" t="s">
        <v>336</v>
      </c>
      <c r="L45" s="216">
        <v>46117.67291666667</v>
      </c>
      <c r="M45" s="216">
        <v>46117.675694444442</v>
      </c>
      <c r="N45" s="215" t="s">
        <v>212</v>
      </c>
      <c r="O45" s="203" t="s">
        <v>205</v>
      </c>
      <c r="Q45" s="203" t="s">
        <v>205</v>
      </c>
      <c r="S45" s="203" t="s">
        <v>205</v>
      </c>
      <c r="U45" s="203" t="s">
        <v>205</v>
      </c>
      <c r="W45" s="203" t="s">
        <v>205</v>
      </c>
      <c r="Y45" s="203" t="s">
        <v>205</v>
      </c>
      <c r="AA45" s="203" t="s">
        <v>205</v>
      </c>
      <c r="AC45" s="203" t="s">
        <v>205</v>
      </c>
      <c r="AE45" s="203" t="s">
        <v>205</v>
      </c>
      <c r="AF45" s="205" t="str">
        <f t="shared" si="0"/>
        <v>C</v>
      </c>
      <c r="AG45" s="204" t="str">
        <f t="shared" si="1"/>
        <v>UTILIZOU O PDA CORRETAMENTE</v>
      </c>
      <c r="AH45" s="203" t="s">
        <v>205</v>
      </c>
      <c r="AI45" s="246" t="s">
        <v>6</v>
      </c>
      <c r="AJ45" s="246" t="str">
        <f t="shared" si="2"/>
        <v>SÃO PAULO</v>
      </c>
      <c r="AK45" s="247" t="s">
        <v>39</v>
      </c>
    </row>
    <row r="46" spans="1:37" s="204" customFormat="1" ht="30" customHeight="1">
      <c r="A46" s="215" t="s">
        <v>198</v>
      </c>
      <c r="B46" s="215">
        <v>2692243493</v>
      </c>
      <c r="C46" s="215" t="s">
        <v>99</v>
      </c>
      <c r="D46" s="215" t="s">
        <v>81</v>
      </c>
      <c r="E46" s="215" t="s">
        <v>5</v>
      </c>
      <c r="F46" s="215" t="s">
        <v>339</v>
      </c>
      <c r="G46" s="215">
        <v>141</v>
      </c>
      <c r="H46" s="215" t="s">
        <v>318</v>
      </c>
      <c r="I46" s="215" t="s">
        <v>340</v>
      </c>
      <c r="J46" s="215" t="s">
        <v>268</v>
      </c>
      <c r="K46" s="215"/>
      <c r="L46" s="216">
        <v>46117.474305555559</v>
      </c>
      <c r="M46" s="216">
        <v>46117.479861111111</v>
      </c>
      <c r="N46" s="215" t="s">
        <v>341</v>
      </c>
      <c r="O46" s="203" t="s">
        <v>205</v>
      </c>
      <c r="Q46" s="203" t="s">
        <v>206</v>
      </c>
      <c r="S46" s="203" t="s">
        <v>206</v>
      </c>
      <c r="U46" s="203" t="s">
        <v>206</v>
      </c>
      <c r="W46" s="203" t="s">
        <v>206</v>
      </c>
      <c r="Y46" s="203" t="s">
        <v>206</v>
      </c>
      <c r="AA46" s="203" t="s">
        <v>206</v>
      </c>
      <c r="AC46" s="203" t="s">
        <v>206</v>
      </c>
      <c r="AE46" s="203" t="s">
        <v>239</v>
      </c>
      <c r="AF46" s="205" t="str">
        <f t="shared" si="0"/>
        <v>NC</v>
      </c>
      <c r="AG46" s="204" t="str">
        <f t="shared" si="1"/>
        <v>NÃO UTILIZOU O PDA</v>
      </c>
      <c r="AH46" s="203" t="s">
        <v>205</v>
      </c>
      <c r="AI46" s="246" t="s">
        <v>6</v>
      </c>
      <c r="AJ46" s="246" t="str">
        <f t="shared" si="2"/>
        <v>SÃO PAULO</v>
      </c>
      <c r="AK46" s="247" t="s">
        <v>39</v>
      </c>
    </row>
    <row r="47" spans="1:37" s="204" customFormat="1" ht="30" customHeight="1">
      <c r="A47" s="215" t="s">
        <v>198</v>
      </c>
      <c r="B47" s="215">
        <v>2618314628</v>
      </c>
      <c r="C47" s="215" t="s">
        <v>100</v>
      </c>
      <c r="D47" s="215" t="s">
        <v>81</v>
      </c>
      <c r="E47" s="215" t="s">
        <v>5</v>
      </c>
      <c r="F47" s="215" t="s">
        <v>342</v>
      </c>
      <c r="G47" s="215">
        <v>77</v>
      </c>
      <c r="H47" s="215" t="s">
        <v>226</v>
      </c>
      <c r="I47" s="215" t="s">
        <v>343</v>
      </c>
      <c r="J47" s="215" t="s">
        <v>243</v>
      </c>
      <c r="K47" s="215" t="s">
        <v>344</v>
      </c>
      <c r="L47" s="216">
        <v>46117.552083333336</v>
      </c>
      <c r="M47" s="216">
        <v>46117.553472222222</v>
      </c>
      <c r="N47" s="215" t="s">
        <v>326</v>
      </c>
      <c r="O47" s="203" t="s">
        <v>205</v>
      </c>
      <c r="Q47" s="203" t="s">
        <v>205</v>
      </c>
      <c r="S47" s="203" t="s">
        <v>205</v>
      </c>
      <c r="U47" s="203" t="s">
        <v>205</v>
      </c>
      <c r="W47" s="203" t="s">
        <v>205</v>
      </c>
      <c r="Y47" s="203" t="s">
        <v>205</v>
      </c>
      <c r="AA47" s="203" t="s">
        <v>205</v>
      </c>
      <c r="AC47" s="203" t="s">
        <v>205</v>
      </c>
      <c r="AE47" s="203" t="s">
        <v>205</v>
      </c>
      <c r="AF47" s="205" t="str">
        <f t="shared" si="0"/>
        <v>C</v>
      </c>
      <c r="AG47" s="204" t="str">
        <f t="shared" si="1"/>
        <v>UTILIZOU O PDA CORRETAMENTE</v>
      </c>
      <c r="AH47" s="203" t="s">
        <v>205</v>
      </c>
      <c r="AI47" s="246" t="s">
        <v>6</v>
      </c>
      <c r="AJ47" s="246" t="str">
        <f t="shared" si="2"/>
        <v>SÃO PAULO</v>
      </c>
      <c r="AK47" s="247" t="s">
        <v>39</v>
      </c>
    </row>
    <row r="48" spans="1:37" s="204" customFormat="1" ht="30" customHeight="1">
      <c r="A48" s="215" t="s">
        <v>198</v>
      </c>
      <c r="B48" s="215">
        <v>2618306538</v>
      </c>
      <c r="C48" s="215" t="s">
        <v>85</v>
      </c>
      <c r="D48" s="215" t="s">
        <v>80</v>
      </c>
      <c r="E48" s="215" t="s">
        <v>5</v>
      </c>
      <c r="F48" s="215" t="s">
        <v>345</v>
      </c>
      <c r="G48" s="215">
        <v>626</v>
      </c>
      <c r="H48" s="215" t="s">
        <v>226</v>
      </c>
      <c r="I48" s="215" t="s">
        <v>346</v>
      </c>
      <c r="J48" s="215" t="s">
        <v>202</v>
      </c>
      <c r="K48" s="215" t="s">
        <v>347</v>
      </c>
      <c r="L48" s="216">
        <v>46117.25</v>
      </c>
      <c r="M48" s="216">
        <v>46117.250694444447</v>
      </c>
      <c r="N48" s="215" t="s">
        <v>204</v>
      </c>
      <c r="O48" s="203" t="s">
        <v>62</v>
      </c>
      <c r="Q48" s="203" t="s">
        <v>62</v>
      </c>
      <c r="S48" s="203" t="s">
        <v>62</v>
      </c>
      <c r="U48" s="203" t="s">
        <v>62</v>
      </c>
      <c r="W48" s="203" t="s">
        <v>62</v>
      </c>
      <c r="Y48" s="203" t="s">
        <v>62</v>
      </c>
      <c r="AA48" s="203" t="s">
        <v>62</v>
      </c>
      <c r="AC48" s="203" t="s">
        <v>62</v>
      </c>
      <c r="AE48" s="203" t="s">
        <v>62</v>
      </c>
      <c r="AF48" s="205" t="str">
        <f t="shared" si="0"/>
        <v>NA</v>
      </c>
      <c r="AG48" s="204" t="str">
        <f t="shared" si="1"/>
        <v>NÃO AVALIADO POR FALHA DE SINCRONISMO</v>
      </c>
      <c r="AH48" s="203"/>
      <c r="AI48" s="246" t="s">
        <v>6</v>
      </c>
      <c r="AJ48" s="246" t="str">
        <f t="shared" si="2"/>
        <v>SÃO PAULO</v>
      </c>
      <c r="AK48" s="247" t="s">
        <v>39</v>
      </c>
    </row>
    <row r="49" spans="1:37" s="204" customFormat="1" ht="30" customHeight="1">
      <c r="A49" s="215" t="s">
        <v>198</v>
      </c>
      <c r="B49" s="215">
        <v>2618480318</v>
      </c>
      <c r="C49" s="215" t="s">
        <v>105</v>
      </c>
      <c r="D49" s="215" t="s">
        <v>81</v>
      </c>
      <c r="E49" s="215" t="s">
        <v>5</v>
      </c>
      <c r="F49" s="215" t="s">
        <v>348</v>
      </c>
      <c r="G49" s="215">
        <v>116</v>
      </c>
      <c r="H49" s="215" t="s">
        <v>200</v>
      </c>
      <c r="I49" s="215" t="s">
        <v>349</v>
      </c>
      <c r="J49" s="215" t="s">
        <v>350</v>
      </c>
      <c r="K49" s="215" t="s">
        <v>351</v>
      </c>
      <c r="L49" s="216">
        <v>46117.658333333333</v>
      </c>
      <c r="M49" s="216">
        <v>46117.667361111111</v>
      </c>
      <c r="N49" s="215" t="s">
        <v>235</v>
      </c>
      <c r="O49" s="203" t="s">
        <v>205</v>
      </c>
      <c r="Q49" s="203" t="s">
        <v>205</v>
      </c>
      <c r="S49" s="203" t="s">
        <v>206</v>
      </c>
      <c r="U49" s="203" t="s">
        <v>205</v>
      </c>
      <c r="W49" s="203" t="s">
        <v>206</v>
      </c>
      <c r="Y49" s="203" t="s">
        <v>62</v>
      </c>
      <c r="AA49" s="203" t="s">
        <v>206</v>
      </c>
      <c r="AC49" s="203" t="s">
        <v>206</v>
      </c>
      <c r="AE49" s="203" t="s">
        <v>239</v>
      </c>
      <c r="AF49" s="205" t="str">
        <f t="shared" si="0"/>
        <v>NC</v>
      </c>
      <c r="AG49" s="204" t="str">
        <f t="shared" si="1"/>
        <v>NÃO UTILIZOU O PDA</v>
      </c>
      <c r="AH49" s="203" t="s">
        <v>205</v>
      </c>
      <c r="AI49" s="246" t="s">
        <v>6</v>
      </c>
      <c r="AJ49" s="246" t="str">
        <f t="shared" si="2"/>
        <v>SÃO PAULO</v>
      </c>
      <c r="AK49" s="247" t="s">
        <v>39</v>
      </c>
    </row>
    <row r="50" spans="1:37" s="204" customFormat="1" ht="30" customHeight="1">
      <c r="A50" s="215" t="s">
        <v>198</v>
      </c>
      <c r="B50" s="215">
        <v>2618314680</v>
      </c>
      <c r="C50" s="215" t="s">
        <v>100</v>
      </c>
      <c r="D50" s="215" t="s">
        <v>81</v>
      </c>
      <c r="E50" s="215" t="s">
        <v>5</v>
      </c>
      <c r="F50" s="215" t="s">
        <v>352</v>
      </c>
      <c r="G50" s="215">
        <v>182</v>
      </c>
      <c r="H50" s="215"/>
      <c r="I50" s="215" t="s">
        <v>237</v>
      </c>
      <c r="J50" s="215" t="s">
        <v>243</v>
      </c>
      <c r="K50" s="215" t="s">
        <v>353</v>
      </c>
      <c r="L50" s="216">
        <v>46117.6875</v>
      </c>
      <c r="M50" s="216">
        <v>46117.693749999999</v>
      </c>
      <c r="N50" s="215" t="s">
        <v>326</v>
      </c>
      <c r="O50" s="203" t="s">
        <v>205</v>
      </c>
      <c r="Q50" s="203" t="s">
        <v>205</v>
      </c>
      <c r="S50" s="203" t="s">
        <v>205</v>
      </c>
      <c r="U50" s="203" t="s">
        <v>205</v>
      </c>
      <c r="W50" s="203" t="s">
        <v>205</v>
      </c>
      <c r="Y50" s="203" t="s">
        <v>205</v>
      </c>
      <c r="AA50" s="203" t="s">
        <v>206</v>
      </c>
      <c r="AC50" s="203" t="s">
        <v>206</v>
      </c>
      <c r="AE50" s="203" t="s">
        <v>239</v>
      </c>
      <c r="AF50" s="205" t="str">
        <f t="shared" si="0"/>
        <v>NC</v>
      </c>
      <c r="AG50" s="204" t="str">
        <f t="shared" si="1"/>
        <v>NÃO UTILIZOU O PDA</v>
      </c>
      <c r="AH50" s="203" t="s">
        <v>205</v>
      </c>
      <c r="AI50" s="246" t="s">
        <v>6</v>
      </c>
      <c r="AJ50" s="246" t="str">
        <f t="shared" si="2"/>
        <v>SÃO PAULO</v>
      </c>
      <c r="AK50" s="247" t="s">
        <v>39</v>
      </c>
    </row>
    <row r="51" spans="1:37" s="204" customFormat="1" ht="30" customHeight="1">
      <c r="A51" s="215" t="s">
        <v>198</v>
      </c>
      <c r="B51" s="215">
        <v>2618424557</v>
      </c>
      <c r="C51" s="215" t="s">
        <v>100</v>
      </c>
      <c r="D51" s="215" t="s">
        <v>81</v>
      </c>
      <c r="E51" s="215" t="s">
        <v>5</v>
      </c>
      <c r="F51" s="215" t="s">
        <v>354</v>
      </c>
      <c r="G51" s="215">
        <v>66</v>
      </c>
      <c r="H51" s="215" t="s">
        <v>200</v>
      </c>
      <c r="I51" s="215" t="s">
        <v>355</v>
      </c>
      <c r="J51" s="215" t="s">
        <v>243</v>
      </c>
      <c r="K51" s="215" t="s">
        <v>356</v>
      </c>
      <c r="L51" s="216">
        <v>46117.647222222222</v>
      </c>
      <c r="M51" s="216">
        <v>46117.65</v>
      </c>
      <c r="N51" s="215" t="s">
        <v>357</v>
      </c>
      <c r="O51" s="203" t="s">
        <v>205</v>
      </c>
      <c r="Q51" s="203" t="s">
        <v>205</v>
      </c>
      <c r="S51" s="203" t="s">
        <v>205</v>
      </c>
      <c r="U51" s="203" t="s">
        <v>205</v>
      </c>
      <c r="W51" s="203" t="s">
        <v>205</v>
      </c>
      <c r="Y51" s="203" t="s">
        <v>205</v>
      </c>
      <c r="AA51" s="203" t="s">
        <v>205</v>
      </c>
      <c r="AC51" s="203" t="s">
        <v>205</v>
      </c>
      <c r="AE51" s="203" t="s">
        <v>205</v>
      </c>
      <c r="AF51" s="205" t="str">
        <f t="shared" si="0"/>
        <v>C</v>
      </c>
      <c r="AG51" s="204" t="str">
        <f t="shared" si="1"/>
        <v>UTILIZOU O PDA CORRETAMENTE</v>
      </c>
      <c r="AH51" s="203" t="s">
        <v>205</v>
      </c>
      <c r="AI51" s="246" t="s">
        <v>6</v>
      </c>
      <c r="AJ51" s="246" t="str">
        <f t="shared" si="2"/>
        <v>SÃO PAULO</v>
      </c>
      <c r="AK51" s="247" t="s">
        <v>39</v>
      </c>
    </row>
    <row r="52" spans="1:37" s="204" customFormat="1" ht="30" customHeight="1">
      <c r="A52" s="215" t="s">
        <v>198</v>
      </c>
      <c r="B52" s="215">
        <v>2618429695</v>
      </c>
      <c r="C52" s="215" t="s">
        <v>89</v>
      </c>
      <c r="D52" s="215" t="s">
        <v>78</v>
      </c>
      <c r="E52" s="215" t="s">
        <v>5</v>
      </c>
      <c r="F52" s="215" t="s">
        <v>358</v>
      </c>
      <c r="G52" s="215">
        <v>246</v>
      </c>
      <c r="H52" s="215" t="s">
        <v>318</v>
      </c>
      <c r="I52" s="215" t="s">
        <v>343</v>
      </c>
      <c r="J52" s="215" t="s">
        <v>238</v>
      </c>
      <c r="K52" s="215"/>
      <c r="L52" s="216">
        <v>46117.699305555558</v>
      </c>
      <c r="M52" s="216">
        <v>46117.699305555558</v>
      </c>
      <c r="N52" s="215" t="s">
        <v>359</v>
      </c>
      <c r="O52" s="203" t="s">
        <v>205</v>
      </c>
      <c r="Q52" s="203" t="s">
        <v>205</v>
      </c>
      <c r="S52" s="203" t="s">
        <v>205</v>
      </c>
      <c r="U52" s="203" t="s">
        <v>205</v>
      </c>
      <c r="W52" s="203" t="s">
        <v>206</v>
      </c>
      <c r="Y52" s="203" t="s">
        <v>62</v>
      </c>
      <c r="AA52" s="203" t="s">
        <v>205</v>
      </c>
      <c r="AC52" s="203" t="s">
        <v>205</v>
      </c>
      <c r="AE52" s="203" t="s">
        <v>205</v>
      </c>
      <c r="AF52" s="205" t="str">
        <f t="shared" si="0"/>
        <v>NC</v>
      </c>
      <c r="AG52" s="204" t="str">
        <f t="shared" si="1"/>
        <v>UTILIZOU O PDA CORRETAMENTE. NÃO HÁ FOTOS DE TODAS AS ETAPAS</v>
      </c>
      <c r="AH52" s="203"/>
      <c r="AI52" s="246" t="s">
        <v>6</v>
      </c>
      <c r="AJ52" s="246" t="str">
        <f t="shared" si="2"/>
        <v>SÃO PAULO</v>
      </c>
      <c r="AK52" s="247" t="s">
        <v>39</v>
      </c>
    </row>
    <row r="53" spans="1:37" s="204" customFormat="1" ht="30" customHeight="1">
      <c r="A53" s="215" t="s">
        <v>198</v>
      </c>
      <c r="B53" s="215">
        <v>2618465069</v>
      </c>
      <c r="C53" s="215" t="s">
        <v>103</v>
      </c>
      <c r="D53" s="215" t="s">
        <v>81</v>
      </c>
      <c r="E53" s="215" t="s">
        <v>5</v>
      </c>
      <c r="F53" s="215" t="s">
        <v>360</v>
      </c>
      <c r="G53" s="215">
        <v>1559</v>
      </c>
      <c r="H53" s="215" t="s">
        <v>200</v>
      </c>
      <c r="I53" s="215" t="s">
        <v>227</v>
      </c>
      <c r="J53" s="215" t="s">
        <v>322</v>
      </c>
      <c r="K53" s="215" t="s">
        <v>200</v>
      </c>
      <c r="L53" s="216">
        <v>46147.359722222223</v>
      </c>
      <c r="M53" s="216">
        <v>46147.461111111108</v>
      </c>
      <c r="N53" s="215" t="s">
        <v>310</v>
      </c>
      <c r="O53" s="203" t="s">
        <v>205</v>
      </c>
      <c r="Q53" s="203" t="s">
        <v>205</v>
      </c>
      <c r="S53" s="203" t="s">
        <v>205</v>
      </c>
      <c r="U53" s="203" t="s">
        <v>205</v>
      </c>
      <c r="W53" s="203" t="s">
        <v>205</v>
      </c>
      <c r="Y53" s="203" t="s">
        <v>62</v>
      </c>
      <c r="AA53" s="203" t="s">
        <v>205</v>
      </c>
      <c r="AC53" s="203" t="s">
        <v>205</v>
      </c>
      <c r="AE53" s="203" t="s">
        <v>205</v>
      </c>
      <c r="AF53" s="205" t="str">
        <f t="shared" si="0"/>
        <v>C</v>
      </c>
      <c r="AG53" s="204" t="str">
        <f t="shared" si="1"/>
        <v>UTILIZOU O PDA CORRETAMENTE</v>
      </c>
      <c r="AH53" s="203" t="s">
        <v>205</v>
      </c>
      <c r="AI53" s="246" t="s">
        <v>6</v>
      </c>
      <c r="AJ53" s="246" t="str">
        <f t="shared" si="2"/>
        <v>SÃO PAULO</v>
      </c>
      <c r="AK53" s="247" t="s">
        <v>39</v>
      </c>
    </row>
    <row r="54" spans="1:37" s="204" customFormat="1" ht="30" customHeight="1">
      <c r="A54" s="215" t="s">
        <v>198</v>
      </c>
      <c r="B54" s="215">
        <v>2618532999</v>
      </c>
      <c r="C54" s="215" t="s">
        <v>103</v>
      </c>
      <c r="D54" s="215" t="s">
        <v>81</v>
      </c>
      <c r="E54" s="215" t="s">
        <v>5</v>
      </c>
      <c r="F54" s="215" t="s">
        <v>361</v>
      </c>
      <c r="G54" s="215">
        <v>76</v>
      </c>
      <c r="H54" s="215"/>
      <c r="I54" s="215" t="s">
        <v>242</v>
      </c>
      <c r="J54" s="215" t="s">
        <v>322</v>
      </c>
      <c r="K54" s="215"/>
      <c r="L54" s="216">
        <v>46147.25</v>
      </c>
      <c r="M54" s="216">
        <v>46147.250694444447</v>
      </c>
      <c r="N54" s="215" t="s">
        <v>248</v>
      </c>
      <c r="O54" s="203" t="s">
        <v>205</v>
      </c>
      <c r="Q54" s="203" t="s">
        <v>205</v>
      </c>
      <c r="S54" s="203" t="s">
        <v>205</v>
      </c>
      <c r="U54" s="203" t="s">
        <v>205</v>
      </c>
      <c r="W54" s="203" t="s">
        <v>205</v>
      </c>
      <c r="Y54" s="203" t="s">
        <v>62</v>
      </c>
      <c r="AA54" s="203" t="s">
        <v>205</v>
      </c>
      <c r="AC54" s="203" t="s">
        <v>205</v>
      </c>
      <c r="AE54" s="203" t="s">
        <v>205</v>
      </c>
      <c r="AF54" s="205" t="str">
        <f t="shared" si="0"/>
        <v>C</v>
      </c>
      <c r="AG54" s="204" t="str">
        <f t="shared" si="1"/>
        <v>UTILIZOU O PDA CORRETAMENTE</v>
      </c>
      <c r="AH54" s="203" t="s">
        <v>205</v>
      </c>
      <c r="AI54" s="246" t="s">
        <v>6</v>
      </c>
      <c r="AJ54" s="246" t="str">
        <f t="shared" si="2"/>
        <v>SÃO PAULO</v>
      </c>
      <c r="AK54" s="247" t="s">
        <v>39</v>
      </c>
    </row>
    <row r="55" spans="1:37" s="204" customFormat="1" ht="30" customHeight="1">
      <c r="A55" s="215" t="s">
        <v>198</v>
      </c>
      <c r="B55" s="215">
        <v>2618424341</v>
      </c>
      <c r="C55" s="215" t="s">
        <v>84</v>
      </c>
      <c r="D55" s="215" t="s">
        <v>77</v>
      </c>
      <c r="E55" s="215" t="s">
        <v>5</v>
      </c>
      <c r="F55" s="215" t="s">
        <v>362</v>
      </c>
      <c r="G55" s="215">
        <v>208</v>
      </c>
      <c r="H55" s="215" t="s">
        <v>363</v>
      </c>
      <c r="I55" s="215" t="s">
        <v>364</v>
      </c>
      <c r="J55" s="215" t="s">
        <v>252</v>
      </c>
      <c r="K55" s="215" t="s">
        <v>365</v>
      </c>
      <c r="L55" s="216">
        <v>46147.677083333336</v>
      </c>
      <c r="M55" s="216">
        <v>46147.681944444441</v>
      </c>
      <c r="N55" s="215" t="s">
        <v>221</v>
      </c>
      <c r="O55" s="203" t="s">
        <v>205</v>
      </c>
      <c r="Q55" s="203" t="s">
        <v>62</v>
      </c>
      <c r="S55" s="203" t="s">
        <v>62</v>
      </c>
      <c r="U55" s="203" t="s">
        <v>62</v>
      </c>
      <c r="W55" s="203" t="s">
        <v>62</v>
      </c>
      <c r="Y55" s="203" t="s">
        <v>62</v>
      </c>
      <c r="AA55" s="203" t="s">
        <v>62</v>
      </c>
      <c r="AC55" s="203" t="s">
        <v>205</v>
      </c>
      <c r="AE55" s="203" t="s">
        <v>205</v>
      </c>
      <c r="AF55" s="205" t="str">
        <f t="shared" si="0"/>
        <v>C</v>
      </c>
      <c r="AG55" s="204" t="str">
        <f t="shared" si="1"/>
        <v>UTILIZOU O PDA CORRETAMENTE</v>
      </c>
      <c r="AH55" s="203" t="s">
        <v>205</v>
      </c>
      <c r="AI55" s="246" t="s">
        <v>6</v>
      </c>
      <c r="AJ55" s="246" t="str">
        <f t="shared" si="2"/>
        <v>SÃO PAULO</v>
      </c>
      <c r="AK55" s="247" t="s">
        <v>39</v>
      </c>
    </row>
    <row r="56" spans="1:37" s="204" customFormat="1" ht="30" customHeight="1">
      <c r="A56" s="215" t="s">
        <v>198</v>
      </c>
      <c r="B56" s="215">
        <v>2618424012</v>
      </c>
      <c r="C56" s="215" t="s">
        <v>92</v>
      </c>
      <c r="D56" s="215" t="s">
        <v>77</v>
      </c>
      <c r="E56" s="215" t="s">
        <v>5</v>
      </c>
      <c r="F56" s="215" t="s">
        <v>362</v>
      </c>
      <c r="G56" s="215">
        <v>208</v>
      </c>
      <c r="H56" s="215" t="s">
        <v>226</v>
      </c>
      <c r="I56" s="215" t="s">
        <v>366</v>
      </c>
      <c r="J56" s="215" t="s">
        <v>329</v>
      </c>
      <c r="K56" s="215" t="s">
        <v>367</v>
      </c>
      <c r="L56" s="216">
        <v>46147.684027777781</v>
      </c>
      <c r="M56" s="216">
        <v>46147.686805555553</v>
      </c>
      <c r="N56" s="215" t="s">
        <v>221</v>
      </c>
      <c r="O56" s="203" t="s">
        <v>205</v>
      </c>
      <c r="Q56" s="203" t="s">
        <v>205</v>
      </c>
      <c r="S56" s="203" t="s">
        <v>205</v>
      </c>
      <c r="U56" s="203" t="s">
        <v>205</v>
      </c>
      <c r="W56" s="203" t="s">
        <v>205</v>
      </c>
      <c r="Y56" s="203" t="s">
        <v>62</v>
      </c>
      <c r="AA56" s="203" t="s">
        <v>205</v>
      </c>
      <c r="AC56" s="203" t="s">
        <v>205</v>
      </c>
      <c r="AE56" s="203" t="s">
        <v>205</v>
      </c>
      <c r="AF56" s="205" t="str">
        <f t="shared" si="0"/>
        <v>C</v>
      </c>
      <c r="AG56" s="204" t="str">
        <f t="shared" si="1"/>
        <v>UTILIZOU O PDA CORRETAMENTE</v>
      </c>
      <c r="AH56" s="203" t="s">
        <v>205</v>
      </c>
      <c r="AI56" s="246" t="s">
        <v>6</v>
      </c>
      <c r="AJ56" s="246" t="str">
        <f t="shared" si="2"/>
        <v>SÃO PAULO</v>
      </c>
      <c r="AK56" s="247" t="s">
        <v>39</v>
      </c>
    </row>
    <row r="57" spans="1:37" s="204" customFormat="1" ht="30" customHeight="1">
      <c r="A57" s="215" t="s">
        <v>198</v>
      </c>
      <c r="B57" s="215">
        <v>2692297098</v>
      </c>
      <c r="C57" s="215" t="s">
        <v>89</v>
      </c>
      <c r="D57" s="215" t="s">
        <v>78</v>
      </c>
      <c r="E57" s="215" t="s">
        <v>5</v>
      </c>
      <c r="F57" s="215" t="s">
        <v>368</v>
      </c>
      <c r="G57" s="215">
        <v>201</v>
      </c>
      <c r="H57" s="215" t="s">
        <v>200</v>
      </c>
      <c r="I57" s="215" t="s">
        <v>369</v>
      </c>
      <c r="J57" s="215" t="s">
        <v>238</v>
      </c>
      <c r="K57" s="215" t="s">
        <v>370</v>
      </c>
      <c r="L57" s="216">
        <v>46147.380555555559</v>
      </c>
      <c r="M57" s="216">
        <v>46147.382638888892</v>
      </c>
      <c r="N57" s="215" t="s">
        <v>357</v>
      </c>
      <c r="O57" s="203" t="s">
        <v>206</v>
      </c>
      <c r="Q57" s="203" t="s">
        <v>206</v>
      </c>
      <c r="S57" s="203" t="s">
        <v>206</v>
      </c>
      <c r="U57" s="203" t="s">
        <v>206</v>
      </c>
      <c r="W57" s="203" t="s">
        <v>206</v>
      </c>
      <c r="Y57" s="203" t="s">
        <v>206</v>
      </c>
      <c r="AA57" s="203" t="s">
        <v>206</v>
      </c>
      <c r="AC57" s="203" t="s">
        <v>206</v>
      </c>
      <c r="AE57" s="203" t="s">
        <v>239</v>
      </c>
      <c r="AF57" s="205" t="str">
        <f t="shared" si="0"/>
        <v>NC</v>
      </c>
      <c r="AG57" s="204" t="str">
        <f t="shared" si="1"/>
        <v>NÃO UTILIZOU O PDA</v>
      </c>
      <c r="AH57" s="203"/>
      <c r="AI57" s="246" t="s">
        <v>6</v>
      </c>
      <c r="AJ57" s="246" t="str">
        <f t="shared" si="2"/>
        <v>SÃO PAULO</v>
      </c>
      <c r="AK57" s="247" t="s">
        <v>39</v>
      </c>
    </row>
    <row r="58" spans="1:37" s="204" customFormat="1" ht="30" customHeight="1">
      <c r="A58" s="215" t="s">
        <v>198</v>
      </c>
      <c r="B58" s="215">
        <v>2618478329</v>
      </c>
      <c r="C58" s="215" t="s">
        <v>100</v>
      </c>
      <c r="D58" s="215" t="s">
        <v>81</v>
      </c>
      <c r="E58" s="215" t="s">
        <v>5</v>
      </c>
      <c r="F58" s="215" t="s">
        <v>371</v>
      </c>
      <c r="G58" s="215">
        <v>223</v>
      </c>
      <c r="H58" s="215" t="s">
        <v>200</v>
      </c>
      <c r="I58" s="215" t="s">
        <v>372</v>
      </c>
      <c r="J58" s="215" t="s">
        <v>243</v>
      </c>
      <c r="K58" s="215" t="s">
        <v>373</v>
      </c>
      <c r="L58" s="216">
        <v>46147.411111111112</v>
      </c>
      <c r="M58" s="216">
        <v>46147.412499999999</v>
      </c>
      <c r="N58" s="215" t="s">
        <v>326</v>
      </c>
      <c r="O58" s="203" t="s">
        <v>205</v>
      </c>
      <c r="Q58" s="203" t="s">
        <v>205</v>
      </c>
      <c r="S58" s="203" t="s">
        <v>205</v>
      </c>
      <c r="U58" s="203" t="s">
        <v>205</v>
      </c>
      <c r="W58" s="203" t="s">
        <v>205</v>
      </c>
      <c r="Y58" s="203" t="s">
        <v>205</v>
      </c>
      <c r="AA58" s="203" t="s">
        <v>205</v>
      </c>
      <c r="AC58" s="203" t="s">
        <v>205</v>
      </c>
      <c r="AE58" s="203" t="s">
        <v>205</v>
      </c>
      <c r="AF58" s="205" t="str">
        <f t="shared" si="0"/>
        <v>C</v>
      </c>
      <c r="AG58" s="204" t="str">
        <f t="shared" si="1"/>
        <v>UTILIZOU O PDA CORRETAMENTE</v>
      </c>
      <c r="AH58" s="203" t="s">
        <v>205</v>
      </c>
      <c r="AI58" s="246" t="s">
        <v>6</v>
      </c>
      <c r="AJ58" s="246" t="str">
        <f t="shared" si="2"/>
        <v>SÃO PAULO</v>
      </c>
      <c r="AK58" s="247" t="s">
        <v>39</v>
      </c>
    </row>
    <row r="59" spans="1:37" s="204" customFormat="1" ht="30" customHeight="1">
      <c r="A59" s="215" t="s">
        <v>198</v>
      </c>
      <c r="B59" s="215">
        <v>2618615629</v>
      </c>
      <c r="C59" s="215" t="s">
        <v>101</v>
      </c>
      <c r="D59" s="215" t="s">
        <v>79</v>
      </c>
      <c r="E59" s="215" t="s">
        <v>5</v>
      </c>
      <c r="F59" s="215" t="s">
        <v>374</v>
      </c>
      <c r="G59" s="215">
        <v>172</v>
      </c>
      <c r="H59" s="215" t="s">
        <v>226</v>
      </c>
      <c r="I59" s="215" t="s">
        <v>375</v>
      </c>
      <c r="J59" s="215" t="s">
        <v>233</v>
      </c>
      <c r="K59" s="215" t="s">
        <v>376</v>
      </c>
      <c r="L59" s="216">
        <v>46147.597916666666</v>
      </c>
      <c r="M59" s="216">
        <v>46147.599305555559</v>
      </c>
      <c r="N59" s="215" t="s">
        <v>235</v>
      </c>
      <c r="O59" s="203" t="s">
        <v>205</v>
      </c>
      <c r="Q59" s="203" t="s">
        <v>205</v>
      </c>
      <c r="S59" s="203" t="s">
        <v>205</v>
      </c>
      <c r="U59" s="203" t="s">
        <v>205</v>
      </c>
      <c r="W59" s="203" t="s">
        <v>205</v>
      </c>
      <c r="Y59" s="203" t="s">
        <v>205</v>
      </c>
      <c r="AA59" s="203" t="s">
        <v>205</v>
      </c>
      <c r="AC59" s="203" t="s">
        <v>205</v>
      </c>
      <c r="AE59" s="203" t="s">
        <v>205</v>
      </c>
      <c r="AF59" s="205" t="str">
        <f t="shared" si="0"/>
        <v>C</v>
      </c>
      <c r="AG59" s="204" t="str">
        <f t="shared" si="1"/>
        <v>UTILIZOU O PDA CORRETAMENTE</v>
      </c>
      <c r="AH59" s="203" t="s">
        <v>205</v>
      </c>
      <c r="AI59" s="246" t="s">
        <v>6</v>
      </c>
      <c r="AJ59" s="246" t="str">
        <f t="shared" si="2"/>
        <v>SÃO PAULO</v>
      </c>
      <c r="AK59" s="247" t="s">
        <v>39</v>
      </c>
    </row>
    <row r="60" spans="1:37" s="204" customFormat="1" ht="30" customHeight="1">
      <c r="A60" s="215" t="s">
        <v>198</v>
      </c>
      <c r="B60" s="215">
        <v>2618630086</v>
      </c>
      <c r="C60" s="215" t="s">
        <v>331</v>
      </c>
      <c r="D60" s="215" t="s">
        <v>79</v>
      </c>
      <c r="E60" s="215" t="s">
        <v>5</v>
      </c>
      <c r="F60" s="215" t="s">
        <v>332</v>
      </c>
      <c r="G60" s="215">
        <v>272</v>
      </c>
      <c r="H60" s="215" t="s">
        <v>200</v>
      </c>
      <c r="I60" s="215" t="s">
        <v>333</v>
      </c>
      <c r="J60" s="215" t="s">
        <v>334</v>
      </c>
      <c r="K60" s="215" t="s">
        <v>377</v>
      </c>
      <c r="L60" s="216">
        <v>46147.606249999997</v>
      </c>
      <c r="M60" s="216">
        <v>46147.609027777777</v>
      </c>
      <c r="N60" s="215" t="s">
        <v>212</v>
      </c>
      <c r="O60" s="203" t="s">
        <v>205</v>
      </c>
      <c r="Q60" s="203" t="s">
        <v>205</v>
      </c>
      <c r="S60" s="203" t="s">
        <v>205</v>
      </c>
      <c r="U60" s="203" t="s">
        <v>205</v>
      </c>
      <c r="W60" s="203" t="s">
        <v>205</v>
      </c>
      <c r="Y60" s="203" t="s">
        <v>205</v>
      </c>
      <c r="AA60" s="203" t="s">
        <v>205</v>
      </c>
      <c r="AC60" s="203" t="s">
        <v>205</v>
      </c>
      <c r="AE60" s="203" t="s">
        <v>205</v>
      </c>
      <c r="AF60" s="205" t="str">
        <f t="shared" si="0"/>
        <v>C</v>
      </c>
      <c r="AG60" s="204" t="str">
        <f t="shared" si="1"/>
        <v>UTILIZOU O PDA CORRETAMENTE</v>
      </c>
      <c r="AH60" s="203" t="s">
        <v>205</v>
      </c>
      <c r="AI60" s="246" t="s">
        <v>6</v>
      </c>
      <c r="AJ60" s="246" t="str">
        <f t="shared" si="2"/>
        <v>SÃO PAULO</v>
      </c>
      <c r="AK60" s="247" t="s">
        <v>39</v>
      </c>
    </row>
    <row r="61" spans="1:37" s="204" customFormat="1" ht="30" customHeight="1">
      <c r="A61" s="215" t="s">
        <v>198</v>
      </c>
      <c r="B61" s="215">
        <v>2618631631</v>
      </c>
      <c r="C61" s="215" t="s">
        <v>331</v>
      </c>
      <c r="D61" s="215" t="s">
        <v>79</v>
      </c>
      <c r="E61" s="215" t="s">
        <v>5</v>
      </c>
      <c r="F61" s="215" t="s">
        <v>332</v>
      </c>
      <c r="G61" s="215">
        <v>262</v>
      </c>
      <c r="H61" s="215"/>
      <c r="I61" s="215" t="s">
        <v>333</v>
      </c>
      <c r="J61" s="215" t="s">
        <v>334</v>
      </c>
      <c r="K61" s="215" t="s">
        <v>378</v>
      </c>
      <c r="L61" s="216">
        <v>46147.602083333331</v>
      </c>
      <c r="M61" s="216">
        <v>46147.604166666664</v>
      </c>
      <c r="N61" s="215" t="s">
        <v>212</v>
      </c>
      <c r="O61" s="203" t="s">
        <v>205</v>
      </c>
      <c r="Q61" s="203" t="s">
        <v>205</v>
      </c>
      <c r="S61" s="203" t="s">
        <v>205</v>
      </c>
      <c r="U61" s="203" t="s">
        <v>205</v>
      </c>
      <c r="W61" s="203" t="s">
        <v>205</v>
      </c>
      <c r="Y61" s="203" t="s">
        <v>205</v>
      </c>
      <c r="AA61" s="203" t="s">
        <v>205</v>
      </c>
      <c r="AC61" s="203" t="s">
        <v>205</v>
      </c>
      <c r="AE61" s="203" t="s">
        <v>205</v>
      </c>
      <c r="AF61" s="205" t="str">
        <f t="shared" si="0"/>
        <v>C</v>
      </c>
      <c r="AG61" s="204" t="str">
        <f t="shared" si="1"/>
        <v>UTILIZOU O PDA CORRETAMENTE</v>
      </c>
      <c r="AH61" s="203" t="s">
        <v>205</v>
      </c>
      <c r="AI61" s="246" t="s">
        <v>6</v>
      </c>
      <c r="AJ61" s="246" t="str">
        <f t="shared" si="2"/>
        <v>SÃO PAULO</v>
      </c>
      <c r="AK61" s="247" t="s">
        <v>39</v>
      </c>
    </row>
    <row r="62" spans="1:37" s="204" customFormat="1" ht="30" customHeight="1">
      <c r="A62" s="215" t="s">
        <v>198</v>
      </c>
      <c r="B62" s="215">
        <v>2618630650</v>
      </c>
      <c r="C62" s="215" t="s">
        <v>331</v>
      </c>
      <c r="D62" s="215" t="s">
        <v>79</v>
      </c>
      <c r="E62" s="215" t="s">
        <v>5</v>
      </c>
      <c r="F62" s="215" t="s">
        <v>332</v>
      </c>
      <c r="G62" s="215">
        <v>268</v>
      </c>
      <c r="H62" s="215" t="s">
        <v>379</v>
      </c>
      <c r="I62" s="215" t="s">
        <v>333</v>
      </c>
      <c r="J62" s="215" t="s">
        <v>334</v>
      </c>
      <c r="K62" s="215" t="s">
        <v>380</v>
      </c>
      <c r="L62" s="216">
        <v>46147.611111111109</v>
      </c>
      <c r="M62" s="216">
        <v>46147.623611111114</v>
      </c>
      <c r="N62" s="215" t="s">
        <v>212</v>
      </c>
      <c r="O62" s="203" t="s">
        <v>205</v>
      </c>
      <c r="Q62" s="203" t="s">
        <v>205</v>
      </c>
      <c r="S62" s="203" t="s">
        <v>205</v>
      </c>
      <c r="U62" s="203" t="s">
        <v>205</v>
      </c>
      <c r="W62" s="203" t="s">
        <v>205</v>
      </c>
      <c r="Y62" s="203" t="s">
        <v>205</v>
      </c>
      <c r="AA62" s="203" t="s">
        <v>205</v>
      </c>
      <c r="AC62" s="203" t="s">
        <v>205</v>
      </c>
      <c r="AE62" s="203" t="s">
        <v>205</v>
      </c>
      <c r="AF62" s="205" t="str">
        <f t="shared" si="0"/>
        <v>C</v>
      </c>
      <c r="AG62" s="204" t="str">
        <f t="shared" si="1"/>
        <v>UTILIZOU O PDA CORRETAMENTE</v>
      </c>
      <c r="AH62" s="203" t="s">
        <v>205</v>
      </c>
      <c r="AI62" s="246" t="s">
        <v>6</v>
      </c>
      <c r="AJ62" s="246" t="str">
        <f t="shared" si="2"/>
        <v>SÃO PAULO</v>
      </c>
      <c r="AK62" s="247" t="s">
        <v>39</v>
      </c>
    </row>
    <row r="63" spans="1:37" s="204" customFormat="1" ht="30" customHeight="1">
      <c r="A63" s="215" t="s">
        <v>198</v>
      </c>
      <c r="B63" s="215">
        <v>2618629469</v>
      </c>
      <c r="C63" s="215" t="s">
        <v>331</v>
      </c>
      <c r="D63" s="215" t="s">
        <v>79</v>
      </c>
      <c r="E63" s="215" t="s">
        <v>5</v>
      </c>
      <c r="F63" s="215" t="s">
        <v>332</v>
      </c>
      <c r="G63" s="215">
        <v>252</v>
      </c>
      <c r="H63" s="215"/>
      <c r="I63" s="215" t="s">
        <v>333</v>
      </c>
      <c r="J63" s="215" t="s">
        <v>334</v>
      </c>
      <c r="K63" s="215"/>
      <c r="L63" s="216">
        <v>46178.370138888888</v>
      </c>
      <c r="M63" s="216">
        <v>46178.371527777781</v>
      </c>
      <c r="N63" s="215" t="s">
        <v>212</v>
      </c>
      <c r="O63" s="203" t="s">
        <v>205</v>
      </c>
      <c r="Q63" s="203" t="s">
        <v>205</v>
      </c>
      <c r="S63" s="203" t="s">
        <v>205</v>
      </c>
      <c r="U63" s="203" t="s">
        <v>205</v>
      </c>
      <c r="W63" s="203" t="s">
        <v>205</v>
      </c>
      <c r="Y63" s="203" t="s">
        <v>205</v>
      </c>
      <c r="AA63" s="203" t="s">
        <v>205</v>
      </c>
      <c r="AC63" s="203" t="s">
        <v>205</v>
      </c>
      <c r="AE63" s="203" t="s">
        <v>205</v>
      </c>
      <c r="AF63" s="205" t="str">
        <f t="shared" si="0"/>
        <v>C</v>
      </c>
      <c r="AG63" s="204" t="str">
        <f t="shared" si="1"/>
        <v>UTILIZOU O PDA CORRETAMENTE</v>
      </c>
      <c r="AH63" s="203" t="s">
        <v>205</v>
      </c>
      <c r="AI63" s="246" t="s">
        <v>6</v>
      </c>
      <c r="AJ63" s="246" t="str">
        <f t="shared" si="2"/>
        <v>SÃO PAULO</v>
      </c>
      <c r="AK63" s="247" t="s">
        <v>39</v>
      </c>
    </row>
    <row r="64" spans="1:37" s="204" customFormat="1" ht="30" customHeight="1">
      <c r="A64" s="215" t="s">
        <v>198</v>
      </c>
      <c r="B64" s="215">
        <v>2618699378</v>
      </c>
      <c r="C64" s="215" t="s">
        <v>90</v>
      </c>
      <c r="D64" s="215" t="s">
        <v>78</v>
      </c>
      <c r="E64" s="215" t="s">
        <v>5</v>
      </c>
      <c r="F64" s="215" t="s">
        <v>381</v>
      </c>
      <c r="G64" s="215">
        <v>66</v>
      </c>
      <c r="H64" s="215" t="s">
        <v>200</v>
      </c>
      <c r="I64" s="215" t="s">
        <v>382</v>
      </c>
      <c r="J64" s="215" t="s">
        <v>261</v>
      </c>
      <c r="K64" s="215" t="s">
        <v>383</v>
      </c>
      <c r="L64" s="216">
        <v>46147.719444444447</v>
      </c>
      <c r="M64" s="216">
        <v>46147.720833333333</v>
      </c>
      <c r="N64" s="215" t="s">
        <v>217</v>
      </c>
      <c r="O64" s="203" t="s">
        <v>205</v>
      </c>
      <c r="Q64" s="203" t="s">
        <v>205</v>
      </c>
      <c r="S64" s="203" t="s">
        <v>206</v>
      </c>
      <c r="U64" s="203" t="s">
        <v>62</v>
      </c>
      <c r="W64" s="203" t="s">
        <v>62</v>
      </c>
      <c r="Y64" s="203" t="s">
        <v>62</v>
      </c>
      <c r="AA64" s="203" t="s">
        <v>205</v>
      </c>
      <c r="AC64" s="203" t="s">
        <v>205</v>
      </c>
      <c r="AE64" s="203" t="s">
        <v>205</v>
      </c>
      <c r="AF64" s="205" t="str">
        <f t="shared" si="0"/>
        <v>NC</v>
      </c>
      <c r="AG64" s="204" t="str">
        <f t="shared" si="1"/>
        <v>UTILIZOU O PDA CORRETAMENTE. NÃO HÁ FOTOS DE TODAS AS ETAPAS</v>
      </c>
      <c r="AH64" s="203" t="s">
        <v>205</v>
      </c>
      <c r="AI64" s="246" t="s">
        <v>6</v>
      </c>
      <c r="AJ64" s="246" t="str">
        <f t="shared" si="2"/>
        <v>SÃO PAULO</v>
      </c>
      <c r="AK64" s="247" t="s">
        <v>39</v>
      </c>
    </row>
    <row r="65" spans="1:37" s="204" customFormat="1" ht="30" customHeight="1">
      <c r="A65" s="215" t="s">
        <v>198</v>
      </c>
      <c r="B65" s="215">
        <v>2618540708</v>
      </c>
      <c r="C65" s="215" t="s">
        <v>99</v>
      </c>
      <c r="D65" s="215" t="s">
        <v>81</v>
      </c>
      <c r="E65" s="215" t="s">
        <v>5</v>
      </c>
      <c r="F65" s="215" t="s">
        <v>384</v>
      </c>
      <c r="G65" s="215">
        <v>12</v>
      </c>
      <c r="H65" s="215" t="s">
        <v>200</v>
      </c>
      <c r="I65" s="215" t="s">
        <v>215</v>
      </c>
      <c r="J65" s="215" t="s">
        <v>268</v>
      </c>
      <c r="K65" s="215" t="s">
        <v>385</v>
      </c>
      <c r="L65" s="216">
        <v>46147.511111111111</v>
      </c>
      <c r="M65" s="216">
        <v>46147.513888888891</v>
      </c>
      <c r="N65" s="215" t="s">
        <v>357</v>
      </c>
      <c r="O65" s="203" t="s">
        <v>205</v>
      </c>
      <c r="Q65" s="203" t="s">
        <v>205</v>
      </c>
      <c r="S65" s="203" t="s">
        <v>205</v>
      </c>
      <c r="U65" s="203" t="s">
        <v>205</v>
      </c>
      <c r="W65" s="203" t="s">
        <v>205</v>
      </c>
      <c r="Y65" s="203" t="s">
        <v>239</v>
      </c>
      <c r="Z65" s="204" t="s">
        <v>386</v>
      </c>
      <c r="AA65" s="203" t="s">
        <v>205</v>
      </c>
      <c r="AC65" s="203" t="s">
        <v>205</v>
      </c>
      <c r="AE65" s="203" t="s">
        <v>205</v>
      </c>
      <c r="AF65" s="205" t="str">
        <f t="shared" si="0"/>
        <v>NC</v>
      </c>
      <c r="AG65" s="204" t="str">
        <f t="shared" si="1"/>
        <v>UTILIZOU O PDA CORRETAMENTE. NÃO HÁ FOTOS DE TODAS AS ETAPAS</v>
      </c>
      <c r="AH65" s="203" t="s">
        <v>205</v>
      </c>
      <c r="AI65" s="246" t="s">
        <v>6</v>
      </c>
      <c r="AJ65" s="246" t="str">
        <f t="shared" si="2"/>
        <v>SÃO PAULO</v>
      </c>
      <c r="AK65" s="247" t="s">
        <v>39</v>
      </c>
    </row>
    <row r="66" spans="1:37" s="204" customFormat="1" ht="30" customHeight="1">
      <c r="A66" s="215" t="s">
        <v>198</v>
      </c>
      <c r="B66" s="215">
        <v>2618623964</v>
      </c>
      <c r="C66" s="215" t="s">
        <v>103</v>
      </c>
      <c r="D66" s="215" t="s">
        <v>81</v>
      </c>
      <c r="E66" s="215" t="s">
        <v>5</v>
      </c>
      <c r="F66" s="215" t="s">
        <v>360</v>
      </c>
      <c r="G66" s="215">
        <v>1257</v>
      </c>
      <c r="H66" s="215" t="s">
        <v>387</v>
      </c>
      <c r="I66" s="215" t="s">
        <v>227</v>
      </c>
      <c r="J66" s="215" t="s">
        <v>220</v>
      </c>
      <c r="K66" s="215" t="s">
        <v>388</v>
      </c>
      <c r="L66" s="216">
        <v>46147.584722222222</v>
      </c>
      <c r="M66" s="216">
        <v>46147.675694444442</v>
      </c>
      <c r="N66" s="215" t="s">
        <v>310</v>
      </c>
      <c r="O66" s="203" t="s">
        <v>205</v>
      </c>
      <c r="Q66" s="203" t="s">
        <v>205</v>
      </c>
      <c r="S66" s="203" t="s">
        <v>205</v>
      </c>
      <c r="U66" s="203" t="s">
        <v>205</v>
      </c>
      <c r="W66" s="203" t="s">
        <v>205</v>
      </c>
      <c r="Y66" s="203" t="s">
        <v>62</v>
      </c>
      <c r="AA66" s="203" t="s">
        <v>205</v>
      </c>
      <c r="AC66" s="203" t="s">
        <v>205</v>
      </c>
      <c r="AE66" s="203" t="s">
        <v>205</v>
      </c>
      <c r="AF66" s="205" t="str">
        <f t="shared" ref="AF66:AF129" si="3">IF(AND(O66="",Q66="",S66="",U66="",W66="",Y66="",AA66="",AC66=""),"",IF(OR(AND(O66&lt;&gt;"NA",O66&lt;&gt;"C",O66&lt;&gt;"NC",O66&lt;&gt;"SF",O66&lt;&gt;""),AND(Q66&lt;&gt;"NA",Q66&lt;&gt;"C",Q66&lt;&gt;"NC",Q66&lt;&gt;"SF",Q66&lt;&gt;""),AND(S66&lt;&gt;"NA",S66&lt;&gt;"C",S66&lt;&gt;"NC",S66&lt;&gt;"SF",S66&lt;&gt;""),AND(U66&lt;&gt;"NA",U66&lt;&gt;"C",U66&lt;&gt;"NC",U66&lt;&gt;"SF",U66&lt;&gt;""),AND(W66&lt;&gt;"NA",W66&lt;&gt;"C",W66&lt;&gt;"NC",W66&lt;&gt;"SF",W66&lt;&gt;""),AND(Y66&lt;&gt;"NA",Y66&lt;&gt;"C",Y66&lt;&gt;"NC",Y66&lt;&gt;"SF",Y66&lt;&gt;""),AND(AA66&lt;&gt;"NA",AA66&lt;&gt;"C",AA66&lt;&gt;"NC",AA66&lt;&gt;"SF",AA66&lt;&gt;""),AND(AC66&lt;&gt;"NA",AC66&lt;&gt;"C",AC66&lt;&gt;"NC",AC66&lt;&gt;"SF",AC66&lt;&gt;"")),"FALSO",IF(AND(O66="NA",Q66="NA",S66="NA",U66="NA",W66="NA",Y66="NA",AA66="NA",AC66="NA"),"NA",IF(OR(O66="NC",Q66="NC",S66="NC",U66="NC",W66="NC",Y66="NC",AA66="NC",AC66="NC",O66="SF",Q66="SF",S66="SF",U66="SF",W66="SF",Y66="SF",AA66="SF",AC66="SF"),"NC",IF(OR(O66="C",Q66="C",S66="C",U66="C",W66="C",Y66="C",AA66="C",AC66="C"),"C","")))))</f>
        <v>C</v>
      </c>
      <c r="AG66" s="204" t="str">
        <f t="shared" ref="AG66:AG129" si="4">IF(AND(AE66="C",AF66="C"),"UTILIZOU O PDA CORRETAMENTE",IF(AND(AE66="C",AF66="NC"),"UTILIZOU O PDA CORRETAMENTE. NÃO HÁ FOTOS DE TODAS AS ETAPAS",IF(AND(AE66="NC",AF66="NC"),"NÃO UTILIZOU O PDA",IF(AND(AE66="NA",AF66="NA"),"NÃO AVALIADO POR FALHA DE SINCRONISMO"))))</f>
        <v>UTILIZOU O PDA CORRETAMENTE</v>
      </c>
      <c r="AH66" s="203" t="s">
        <v>205</v>
      </c>
      <c r="AI66" s="246" t="s">
        <v>6</v>
      </c>
      <c r="AJ66" s="246" t="str">
        <f t="shared" ref="AJ66:AJ129" si="5">E66</f>
        <v>SÃO PAULO</v>
      </c>
      <c r="AK66" s="247" t="s">
        <v>39</v>
      </c>
    </row>
    <row r="67" spans="1:37" s="204" customFormat="1" ht="30" customHeight="1">
      <c r="A67" s="215" t="s">
        <v>198</v>
      </c>
      <c r="B67" s="215">
        <v>2618469737</v>
      </c>
      <c r="C67" s="215" t="s">
        <v>89</v>
      </c>
      <c r="D67" s="215" t="s">
        <v>78</v>
      </c>
      <c r="E67" s="215" t="s">
        <v>5</v>
      </c>
      <c r="F67" s="215" t="s">
        <v>389</v>
      </c>
      <c r="G67" s="215">
        <v>779</v>
      </c>
      <c r="H67" s="215" t="s">
        <v>200</v>
      </c>
      <c r="I67" s="215" t="s">
        <v>343</v>
      </c>
      <c r="J67" s="215" t="s">
        <v>238</v>
      </c>
      <c r="K67" s="215" t="s">
        <v>200</v>
      </c>
      <c r="L67" s="216">
        <v>46147.253472222219</v>
      </c>
      <c r="M67" s="216">
        <v>46147.254166666666</v>
      </c>
      <c r="N67" s="215" t="s">
        <v>254</v>
      </c>
      <c r="O67" s="203" t="s">
        <v>205</v>
      </c>
      <c r="Q67" s="203" t="s">
        <v>205</v>
      </c>
      <c r="S67" s="203" t="s">
        <v>205</v>
      </c>
      <c r="U67" s="203" t="s">
        <v>205</v>
      </c>
      <c r="W67" s="203" t="s">
        <v>205</v>
      </c>
      <c r="Y67" s="203" t="s">
        <v>62</v>
      </c>
      <c r="AA67" s="203" t="s">
        <v>205</v>
      </c>
      <c r="AC67" s="203" t="s">
        <v>239</v>
      </c>
      <c r="AD67" s="204" t="s">
        <v>390</v>
      </c>
      <c r="AE67" s="203" t="s">
        <v>205</v>
      </c>
      <c r="AF67" s="205" t="str">
        <f t="shared" si="3"/>
        <v>NC</v>
      </c>
      <c r="AG67" s="204" t="str">
        <f t="shared" si="4"/>
        <v>UTILIZOU O PDA CORRETAMENTE. NÃO HÁ FOTOS DE TODAS AS ETAPAS</v>
      </c>
      <c r="AH67" s="203" t="s">
        <v>205</v>
      </c>
      <c r="AI67" s="246" t="s">
        <v>6</v>
      </c>
      <c r="AJ67" s="246" t="str">
        <f t="shared" si="5"/>
        <v>SÃO PAULO</v>
      </c>
      <c r="AK67" s="247" t="s">
        <v>39</v>
      </c>
    </row>
    <row r="68" spans="1:37" s="204" customFormat="1" ht="30" customHeight="1">
      <c r="A68" s="215" t="s">
        <v>198</v>
      </c>
      <c r="B68" s="215">
        <v>2618460485</v>
      </c>
      <c r="C68" s="215" t="s">
        <v>100</v>
      </c>
      <c r="D68" s="215" t="s">
        <v>81</v>
      </c>
      <c r="E68" s="215" t="s">
        <v>5</v>
      </c>
      <c r="F68" s="215" t="s">
        <v>374</v>
      </c>
      <c r="G68" s="215">
        <v>168</v>
      </c>
      <c r="H68" s="215"/>
      <c r="I68" s="215" t="s">
        <v>391</v>
      </c>
      <c r="J68" s="215" t="s">
        <v>243</v>
      </c>
      <c r="K68" s="215" t="s">
        <v>376</v>
      </c>
      <c r="L68" s="216">
        <v>46147.59375</v>
      </c>
      <c r="M68" s="216">
        <v>46147.595833333333</v>
      </c>
      <c r="N68" s="215" t="s">
        <v>235</v>
      </c>
      <c r="O68" s="203" t="s">
        <v>206</v>
      </c>
      <c r="Q68" s="203" t="s">
        <v>206</v>
      </c>
      <c r="S68" s="203" t="s">
        <v>206</v>
      </c>
      <c r="U68" s="203" t="s">
        <v>206</v>
      </c>
      <c r="W68" s="203" t="s">
        <v>206</v>
      </c>
      <c r="Y68" s="203" t="s">
        <v>206</v>
      </c>
      <c r="AA68" s="203" t="s">
        <v>206</v>
      </c>
      <c r="AC68" s="203" t="s">
        <v>206</v>
      </c>
      <c r="AE68" s="203" t="s">
        <v>239</v>
      </c>
      <c r="AF68" s="205" t="str">
        <f t="shared" si="3"/>
        <v>NC</v>
      </c>
      <c r="AG68" s="204" t="str">
        <f t="shared" si="4"/>
        <v>NÃO UTILIZOU O PDA</v>
      </c>
      <c r="AH68" s="203" t="s">
        <v>205</v>
      </c>
      <c r="AI68" s="246" t="s">
        <v>6</v>
      </c>
      <c r="AJ68" s="246" t="str">
        <f t="shared" si="5"/>
        <v>SÃO PAULO</v>
      </c>
      <c r="AK68" s="247" t="s">
        <v>39</v>
      </c>
    </row>
    <row r="69" spans="1:37" s="204" customFormat="1" ht="30" customHeight="1">
      <c r="A69" s="215" t="s">
        <v>198</v>
      </c>
      <c r="B69" s="215">
        <v>2618613317</v>
      </c>
      <c r="C69" s="215" t="s">
        <v>100</v>
      </c>
      <c r="D69" s="215" t="s">
        <v>81</v>
      </c>
      <c r="E69" s="215" t="s">
        <v>5</v>
      </c>
      <c r="F69" s="215" t="s">
        <v>358</v>
      </c>
      <c r="G69" s="215">
        <v>246</v>
      </c>
      <c r="H69" s="215" t="s">
        <v>200</v>
      </c>
      <c r="I69" s="215" t="s">
        <v>343</v>
      </c>
      <c r="J69" s="215" t="s">
        <v>243</v>
      </c>
      <c r="K69" s="215" t="s">
        <v>392</v>
      </c>
      <c r="L69" s="216">
        <v>46147.625</v>
      </c>
      <c r="M69" s="216">
        <v>46147.627083333333</v>
      </c>
      <c r="N69" s="215" t="s">
        <v>359</v>
      </c>
      <c r="O69" s="203" t="s">
        <v>206</v>
      </c>
      <c r="Q69" s="203" t="s">
        <v>206</v>
      </c>
      <c r="S69" s="203" t="s">
        <v>206</v>
      </c>
      <c r="U69" s="203" t="s">
        <v>206</v>
      </c>
      <c r="W69" s="203" t="s">
        <v>206</v>
      </c>
      <c r="Y69" s="203" t="s">
        <v>206</v>
      </c>
      <c r="AA69" s="203" t="s">
        <v>206</v>
      </c>
      <c r="AC69" s="203" t="s">
        <v>206</v>
      </c>
      <c r="AE69" s="203" t="s">
        <v>239</v>
      </c>
      <c r="AF69" s="205" t="str">
        <f t="shared" si="3"/>
        <v>NC</v>
      </c>
      <c r="AG69" s="204" t="str">
        <f t="shared" si="4"/>
        <v>NÃO UTILIZOU O PDA</v>
      </c>
      <c r="AH69" s="203" t="s">
        <v>205</v>
      </c>
      <c r="AI69" s="246" t="s">
        <v>6</v>
      </c>
      <c r="AJ69" s="246" t="str">
        <f t="shared" si="5"/>
        <v>SÃO PAULO</v>
      </c>
      <c r="AK69" s="247" t="s">
        <v>39</v>
      </c>
    </row>
    <row r="70" spans="1:37" s="204" customFormat="1" ht="30" customHeight="1">
      <c r="A70" s="215" t="s">
        <v>198</v>
      </c>
      <c r="B70" s="215">
        <v>2618416126</v>
      </c>
      <c r="C70" s="215" t="s">
        <v>100</v>
      </c>
      <c r="D70" s="215" t="s">
        <v>81</v>
      </c>
      <c r="E70" s="215" t="s">
        <v>5</v>
      </c>
      <c r="F70" s="215" t="s">
        <v>393</v>
      </c>
      <c r="G70" s="215">
        <v>62</v>
      </c>
      <c r="H70" s="215"/>
      <c r="I70" s="215" t="s">
        <v>394</v>
      </c>
      <c r="J70" s="215" t="s">
        <v>243</v>
      </c>
      <c r="K70" s="215" t="s">
        <v>395</v>
      </c>
      <c r="L70" s="216">
        <v>46147.631249999999</v>
      </c>
      <c r="M70" s="216">
        <v>46147.634722222225</v>
      </c>
      <c r="N70" s="215" t="s">
        <v>230</v>
      </c>
      <c r="O70" s="203" t="s">
        <v>206</v>
      </c>
      <c r="Q70" s="203" t="s">
        <v>206</v>
      </c>
      <c r="S70" s="203" t="s">
        <v>206</v>
      </c>
      <c r="U70" s="203" t="s">
        <v>206</v>
      </c>
      <c r="W70" s="203" t="s">
        <v>206</v>
      </c>
      <c r="Y70" s="203" t="s">
        <v>206</v>
      </c>
      <c r="AA70" s="203" t="s">
        <v>206</v>
      </c>
      <c r="AC70" s="203" t="s">
        <v>206</v>
      </c>
      <c r="AE70" s="203" t="s">
        <v>239</v>
      </c>
      <c r="AF70" s="205" t="str">
        <f t="shared" si="3"/>
        <v>NC</v>
      </c>
      <c r="AG70" s="204" t="str">
        <f t="shared" si="4"/>
        <v>NÃO UTILIZOU O PDA</v>
      </c>
      <c r="AH70" s="203" t="s">
        <v>205</v>
      </c>
      <c r="AI70" s="246" t="s">
        <v>6</v>
      </c>
      <c r="AJ70" s="246" t="str">
        <f t="shared" si="5"/>
        <v>SÃO PAULO</v>
      </c>
      <c r="AK70" s="247" t="s">
        <v>39</v>
      </c>
    </row>
    <row r="71" spans="1:37" s="204" customFormat="1" ht="30" customHeight="1">
      <c r="A71" s="215" t="s">
        <v>198</v>
      </c>
      <c r="B71" s="215">
        <v>2618428554</v>
      </c>
      <c r="C71" s="215" t="s">
        <v>99</v>
      </c>
      <c r="D71" s="215" t="s">
        <v>81</v>
      </c>
      <c r="E71" s="215" t="s">
        <v>5</v>
      </c>
      <c r="F71" s="215" t="s">
        <v>396</v>
      </c>
      <c r="G71" s="215">
        <v>160</v>
      </c>
      <c r="H71" s="215" t="s">
        <v>226</v>
      </c>
      <c r="I71" s="215" t="s">
        <v>397</v>
      </c>
      <c r="J71" s="215" t="s">
        <v>268</v>
      </c>
      <c r="K71" s="215" t="s">
        <v>200</v>
      </c>
      <c r="L71" s="216">
        <v>46147.256944444445</v>
      </c>
      <c r="M71" s="216">
        <v>46147.257638888892</v>
      </c>
      <c r="N71" s="215" t="s">
        <v>341</v>
      </c>
      <c r="O71" s="203" t="s">
        <v>62</v>
      </c>
      <c r="Q71" s="203" t="s">
        <v>62</v>
      </c>
      <c r="S71" s="203" t="s">
        <v>62</v>
      </c>
      <c r="U71" s="203" t="s">
        <v>62</v>
      </c>
      <c r="W71" s="203" t="s">
        <v>62</v>
      </c>
      <c r="Y71" s="203" t="s">
        <v>62</v>
      </c>
      <c r="AA71" s="203" t="s">
        <v>62</v>
      </c>
      <c r="AC71" s="203" t="s">
        <v>62</v>
      </c>
      <c r="AE71" s="203" t="s">
        <v>62</v>
      </c>
      <c r="AF71" s="205" t="str">
        <f t="shared" si="3"/>
        <v>NA</v>
      </c>
      <c r="AG71" s="204" t="str">
        <f t="shared" si="4"/>
        <v>NÃO AVALIADO POR FALHA DE SINCRONISMO</v>
      </c>
      <c r="AH71" s="203" t="s">
        <v>205</v>
      </c>
      <c r="AI71" s="246" t="s">
        <v>6</v>
      </c>
      <c r="AJ71" s="246" t="str">
        <f t="shared" si="5"/>
        <v>SÃO PAULO</v>
      </c>
      <c r="AK71" s="247" t="s">
        <v>39</v>
      </c>
    </row>
    <row r="72" spans="1:37" s="204" customFormat="1" ht="30" customHeight="1">
      <c r="A72" s="215" t="s">
        <v>198</v>
      </c>
      <c r="B72" s="215">
        <v>2618716580</v>
      </c>
      <c r="C72" s="215" t="s">
        <v>100</v>
      </c>
      <c r="D72" s="215" t="s">
        <v>81</v>
      </c>
      <c r="E72" s="215" t="s">
        <v>5</v>
      </c>
      <c r="F72" s="215" t="s">
        <v>358</v>
      </c>
      <c r="G72" s="215">
        <v>241</v>
      </c>
      <c r="H72" s="215"/>
      <c r="I72" s="215" t="s">
        <v>343</v>
      </c>
      <c r="J72" s="215" t="s">
        <v>243</v>
      </c>
      <c r="K72" s="215" t="s">
        <v>398</v>
      </c>
      <c r="L72" s="216">
        <v>46147.644444444442</v>
      </c>
      <c r="M72" s="216">
        <v>46147.646527777775</v>
      </c>
      <c r="N72" s="215" t="s">
        <v>359</v>
      </c>
      <c r="O72" s="203" t="s">
        <v>206</v>
      </c>
      <c r="Q72" s="203" t="s">
        <v>206</v>
      </c>
      <c r="S72" s="203" t="s">
        <v>206</v>
      </c>
      <c r="U72" s="203" t="s">
        <v>206</v>
      </c>
      <c r="W72" s="203" t="s">
        <v>206</v>
      </c>
      <c r="Y72" s="203" t="s">
        <v>206</v>
      </c>
      <c r="AA72" s="203" t="s">
        <v>206</v>
      </c>
      <c r="AC72" s="203" t="s">
        <v>206</v>
      </c>
      <c r="AE72" s="203" t="s">
        <v>239</v>
      </c>
      <c r="AF72" s="205" t="str">
        <f t="shared" si="3"/>
        <v>NC</v>
      </c>
      <c r="AG72" s="204" t="str">
        <f t="shared" si="4"/>
        <v>NÃO UTILIZOU O PDA</v>
      </c>
      <c r="AH72" s="203" t="s">
        <v>205</v>
      </c>
      <c r="AI72" s="246" t="s">
        <v>6</v>
      </c>
      <c r="AJ72" s="246" t="str">
        <f t="shared" si="5"/>
        <v>SÃO PAULO</v>
      </c>
      <c r="AK72" s="247" t="s">
        <v>39</v>
      </c>
    </row>
    <row r="73" spans="1:37" s="204" customFormat="1" ht="30" customHeight="1">
      <c r="A73" s="215" t="s">
        <v>198</v>
      </c>
      <c r="B73" s="215">
        <v>2618603307</v>
      </c>
      <c r="C73" s="215" t="s">
        <v>90</v>
      </c>
      <c r="D73" s="215" t="s">
        <v>78</v>
      </c>
      <c r="E73" s="215" t="s">
        <v>5</v>
      </c>
      <c r="F73" s="215" t="s">
        <v>231</v>
      </c>
      <c r="G73" s="215">
        <v>26</v>
      </c>
      <c r="H73" s="215" t="s">
        <v>200</v>
      </c>
      <c r="I73" s="215" t="s">
        <v>232</v>
      </c>
      <c r="J73" s="215" t="s">
        <v>261</v>
      </c>
      <c r="K73" s="215" t="s">
        <v>399</v>
      </c>
      <c r="L73" s="216">
        <v>46147.659722222219</v>
      </c>
      <c r="M73" s="216">
        <v>46147.660416666666</v>
      </c>
      <c r="N73" s="215" t="s">
        <v>254</v>
      </c>
      <c r="O73" s="203" t="s">
        <v>205</v>
      </c>
      <c r="Q73" s="203" t="s">
        <v>205</v>
      </c>
      <c r="S73" s="203" t="s">
        <v>205</v>
      </c>
      <c r="U73" s="203" t="s">
        <v>205</v>
      </c>
      <c r="W73" s="203" t="s">
        <v>205</v>
      </c>
      <c r="Y73" s="203" t="s">
        <v>62</v>
      </c>
      <c r="AA73" s="203" t="s">
        <v>205</v>
      </c>
      <c r="AC73" s="203" t="s">
        <v>205</v>
      </c>
      <c r="AE73" s="203" t="s">
        <v>205</v>
      </c>
      <c r="AF73" s="205" t="str">
        <f t="shared" si="3"/>
        <v>C</v>
      </c>
      <c r="AG73" s="204" t="str">
        <f t="shared" si="4"/>
        <v>UTILIZOU O PDA CORRETAMENTE</v>
      </c>
      <c r="AH73" s="203"/>
      <c r="AI73" s="246" t="s">
        <v>6</v>
      </c>
      <c r="AJ73" s="246" t="str">
        <f t="shared" si="5"/>
        <v>SÃO PAULO</v>
      </c>
      <c r="AK73" s="247" t="s">
        <v>39</v>
      </c>
    </row>
    <row r="74" spans="1:37" s="204" customFormat="1" ht="30" customHeight="1">
      <c r="A74" s="215" t="s">
        <v>198</v>
      </c>
      <c r="B74" s="215">
        <v>2618672879</v>
      </c>
      <c r="C74" s="215" t="s">
        <v>89</v>
      </c>
      <c r="D74" s="215" t="s">
        <v>78</v>
      </c>
      <c r="E74" s="215" t="s">
        <v>5</v>
      </c>
      <c r="F74" s="215" t="s">
        <v>400</v>
      </c>
      <c r="G74" s="215">
        <v>69</v>
      </c>
      <c r="H74" s="215" t="s">
        <v>401</v>
      </c>
      <c r="I74" s="215" t="s">
        <v>402</v>
      </c>
      <c r="J74" s="215" t="s">
        <v>238</v>
      </c>
      <c r="K74" s="215" t="s">
        <v>403</v>
      </c>
      <c r="L74" s="216">
        <v>46147.665277777778</v>
      </c>
      <c r="M74" s="216">
        <v>46147.665972222225</v>
      </c>
      <c r="N74" s="215" t="s">
        <v>357</v>
      </c>
      <c r="O74" s="203" t="s">
        <v>206</v>
      </c>
      <c r="Q74" s="203" t="s">
        <v>206</v>
      </c>
      <c r="S74" s="203" t="s">
        <v>206</v>
      </c>
      <c r="U74" s="203" t="s">
        <v>206</v>
      </c>
      <c r="W74" s="203" t="s">
        <v>206</v>
      </c>
      <c r="Y74" s="203" t="s">
        <v>206</v>
      </c>
      <c r="AA74" s="203" t="s">
        <v>206</v>
      </c>
      <c r="AC74" s="203" t="s">
        <v>206</v>
      </c>
      <c r="AE74" s="203" t="s">
        <v>239</v>
      </c>
      <c r="AF74" s="205" t="str">
        <f t="shared" si="3"/>
        <v>NC</v>
      </c>
      <c r="AG74" s="204" t="str">
        <f t="shared" si="4"/>
        <v>NÃO UTILIZOU O PDA</v>
      </c>
      <c r="AH74" s="203"/>
      <c r="AI74" s="246" t="s">
        <v>6</v>
      </c>
      <c r="AJ74" s="246" t="str">
        <f t="shared" si="5"/>
        <v>SÃO PAULO</v>
      </c>
      <c r="AK74" s="247" t="s">
        <v>39</v>
      </c>
    </row>
    <row r="75" spans="1:37" s="204" customFormat="1" ht="30" customHeight="1">
      <c r="A75" s="215" t="s">
        <v>198</v>
      </c>
      <c r="B75" s="215">
        <v>2618504147</v>
      </c>
      <c r="C75" s="215" t="s">
        <v>100</v>
      </c>
      <c r="D75" s="215" t="s">
        <v>81</v>
      </c>
      <c r="E75" s="215" t="s">
        <v>5</v>
      </c>
      <c r="F75" s="215" t="s">
        <v>404</v>
      </c>
      <c r="G75" s="215">
        <v>687</v>
      </c>
      <c r="H75" s="215" t="s">
        <v>214</v>
      </c>
      <c r="I75" s="215" t="s">
        <v>397</v>
      </c>
      <c r="J75" s="215" t="s">
        <v>243</v>
      </c>
      <c r="K75" s="219" t="s">
        <v>405</v>
      </c>
      <c r="L75" s="216">
        <v>46147.676388888889</v>
      </c>
      <c r="M75" s="216">
        <v>46147.728472222225</v>
      </c>
      <c r="N75" s="215" t="s">
        <v>326</v>
      </c>
      <c r="O75" s="203" t="s">
        <v>205</v>
      </c>
      <c r="Q75" s="203" t="s">
        <v>205</v>
      </c>
      <c r="S75" s="203" t="s">
        <v>205</v>
      </c>
      <c r="U75" s="203" t="s">
        <v>205</v>
      </c>
      <c r="W75" s="203" t="s">
        <v>205</v>
      </c>
      <c r="Y75" s="203" t="s">
        <v>205</v>
      </c>
      <c r="AA75" s="203" t="s">
        <v>205</v>
      </c>
      <c r="AC75" s="203" t="s">
        <v>205</v>
      </c>
      <c r="AE75" s="203" t="s">
        <v>205</v>
      </c>
      <c r="AF75" s="205" t="str">
        <f t="shared" si="3"/>
        <v>C</v>
      </c>
      <c r="AG75" s="204" t="str">
        <f t="shared" si="4"/>
        <v>UTILIZOU O PDA CORRETAMENTE</v>
      </c>
      <c r="AH75" s="203" t="s">
        <v>205</v>
      </c>
      <c r="AI75" s="246" t="s">
        <v>6</v>
      </c>
      <c r="AJ75" s="246" t="str">
        <f t="shared" si="5"/>
        <v>SÃO PAULO</v>
      </c>
      <c r="AK75" s="247" t="s">
        <v>39</v>
      </c>
    </row>
    <row r="76" spans="1:37" s="204" customFormat="1" ht="30" customHeight="1">
      <c r="A76" s="215" t="s">
        <v>198</v>
      </c>
      <c r="B76" s="215">
        <v>2618744267</v>
      </c>
      <c r="C76" s="215" t="s">
        <v>90</v>
      </c>
      <c r="D76" s="215" t="s">
        <v>78</v>
      </c>
      <c r="E76" s="215" t="s">
        <v>5</v>
      </c>
      <c r="F76" s="215" t="s">
        <v>381</v>
      </c>
      <c r="G76" s="215">
        <v>0</v>
      </c>
      <c r="H76" s="215" t="s">
        <v>200</v>
      </c>
      <c r="I76" s="215" t="s">
        <v>382</v>
      </c>
      <c r="J76" s="215" t="s">
        <v>261</v>
      </c>
      <c r="K76" s="215" t="s">
        <v>406</v>
      </c>
      <c r="L76" s="216">
        <v>46178.552777777775</v>
      </c>
      <c r="M76" s="216">
        <v>46178.553472222222</v>
      </c>
      <c r="N76" s="215" t="s">
        <v>217</v>
      </c>
      <c r="O76" s="203" t="s">
        <v>205</v>
      </c>
      <c r="Q76" s="203" t="s">
        <v>205</v>
      </c>
      <c r="S76" s="203" t="s">
        <v>206</v>
      </c>
      <c r="U76" s="203" t="s">
        <v>62</v>
      </c>
      <c r="W76" s="203" t="s">
        <v>62</v>
      </c>
      <c r="Y76" s="203" t="s">
        <v>62</v>
      </c>
      <c r="AA76" s="203" t="s">
        <v>205</v>
      </c>
      <c r="AC76" s="203" t="s">
        <v>205</v>
      </c>
      <c r="AE76" s="203" t="s">
        <v>205</v>
      </c>
      <c r="AF76" s="205" t="str">
        <f t="shared" si="3"/>
        <v>NC</v>
      </c>
      <c r="AG76" s="204" t="str">
        <f t="shared" si="4"/>
        <v>UTILIZOU O PDA CORRETAMENTE. NÃO HÁ FOTOS DE TODAS AS ETAPAS</v>
      </c>
      <c r="AH76" s="203"/>
      <c r="AI76" s="246" t="s">
        <v>6</v>
      </c>
      <c r="AJ76" s="246" t="str">
        <f t="shared" si="5"/>
        <v>SÃO PAULO</v>
      </c>
      <c r="AK76" s="247" t="s">
        <v>39</v>
      </c>
    </row>
    <row r="77" spans="1:37" s="204" customFormat="1" ht="30" customHeight="1">
      <c r="A77" s="215" t="s">
        <v>198</v>
      </c>
      <c r="B77" s="215">
        <v>2618461460</v>
      </c>
      <c r="C77" s="215" t="s">
        <v>105</v>
      </c>
      <c r="D77" s="215" t="s">
        <v>81</v>
      </c>
      <c r="E77" s="215" t="s">
        <v>5</v>
      </c>
      <c r="F77" s="215" t="s">
        <v>407</v>
      </c>
      <c r="G77" s="215">
        <v>49</v>
      </c>
      <c r="H77" s="215"/>
      <c r="I77" s="215" t="s">
        <v>391</v>
      </c>
      <c r="J77" s="215" t="s">
        <v>350</v>
      </c>
      <c r="K77" s="215"/>
      <c r="L77" s="216">
        <v>46178.581250000003</v>
      </c>
      <c r="M77" s="216">
        <v>46178.595833333333</v>
      </c>
      <c r="N77" s="215" t="s">
        <v>326</v>
      </c>
      <c r="O77" s="203" t="s">
        <v>205</v>
      </c>
      <c r="Q77" s="203" t="s">
        <v>205</v>
      </c>
      <c r="S77" s="203" t="s">
        <v>205</v>
      </c>
      <c r="U77" s="203" t="s">
        <v>205</v>
      </c>
      <c r="W77" s="203" t="s">
        <v>205</v>
      </c>
      <c r="Y77" s="203" t="s">
        <v>62</v>
      </c>
      <c r="AA77" s="203" t="s">
        <v>205</v>
      </c>
      <c r="AC77" s="203" t="s">
        <v>205</v>
      </c>
      <c r="AE77" s="203" t="s">
        <v>205</v>
      </c>
      <c r="AF77" s="205" t="str">
        <f t="shared" si="3"/>
        <v>C</v>
      </c>
      <c r="AG77" s="204" t="str">
        <f t="shared" si="4"/>
        <v>UTILIZOU O PDA CORRETAMENTE</v>
      </c>
      <c r="AH77" s="203" t="s">
        <v>205</v>
      </c>
      <c r="AI77" s="246" t="s">
        <v>6</v>
      </c>
      <c r="AJ77" s="246" t="str">
        <f t="shared" si="5"/>
        <v>SÃO PAULO</v>
      </c>
      <c r="AK77" s="247" t="s">
        <v>39</v>
      </c>
    </row>
    <row r="78" spans="1:37" s="204" customFormat="1" ht="30" customHeight="1">
      <c r="A78" s="215" t="s">
        <v>198</v>
      </c>
      <c r="B78" s="215">
        <v>2692443962</v>
      </c>
      <c r="C78" s="215" t="s">
        <v>104</v>
      </c>
      <c r="D78" s="215" t="s">
        <v>81</v>
      </c>
      <c r="E78" s="215" t="s">
        <v>5</v>
      </c>
      <c r="F78" s="215" t="s">
        <v>408</v>
      </c>
      <c r="G78" s="215">
        <v>32</v>
      </c>
      <c r="H78" s="215" t="s">
        <v>409</v>
      </c>
      <c r="I78" s="215" t="s">
        <v>410</v>
      </c>
      <c r="J78" s="215" t="s">
        <v>322</v>
      </c>
      <c r="K78" s="215" t="s">
        <v>200</v>
      </c>
      <c r="L78" s="216">
        <v>46178.434027777781</v>
      </c>
      <c r="M78" s="216">
        <v>46178.476388888892</v>
      </c>
      <c r="N78" s="215" t="s">
        <v>359</v>
      </c>
      <c r="O78" s="203" t="s">
        <v>205</v>
      </c>
      <c r="Q78" s="203" t="s">
        <v>205</v>
      </c>
      <c r="S78" s="203" t="s">
        <v>205</v>
      </c>
      <c r="U78" s="203" t="s">
        <v>205</v>
      </c>
      <c r="W78" s="203" t="s">
        <v>205</v>
      </c>
      <c r="Y78" s="203" t="s">
        <v>62</v>
      </c>
      <c r="AA78" s="203" t="s">
        <v>205</v>
      </c>
      <c r="AC78" s="203" t="s">
        <v>205</v>
      </c>
      <c r="AE78" s="203" t="s">
        <v>205</v>
      </c>
      <c r="AF78" s="205" t="str">
        <f t="shared" si="3"/>
        <v>C</v>
      </c>
      <c r="AG78" s="204" t="str">
        <f t="shared" si="4"/>
        <v>UTILIZOU O PDA CORRETAMENTE</v>
      </c>
      <c r="AH78" s="203" t="s">
        <v>205</v>
      </c>
      <c r="AI78" s="246" t="s">
        <v>6</v>
      </c>
      <c r="AJ78" s="246" t="str">
        <f t="shared" si="5"/>
        <v>SÃO PAULO</v>
      </c>
      <c r="AK78" s="247" t="s">
        <v>39</v>
      </c>
    </row>
    <row r="79" spans="1:37" s="204" customFormat="1" ht="30" customHeight="1">
      <c r="A79" s="215" t="s">
        <v>198</v>
      </c>
      <c r="B79" s="215">
        <v>2618424685</v>
      </c>
      <c r="C79" s="215" t="s">
        <v>94</v>
      </c>
      <c r="D79" s="215" t="s">
        <v>77</v>
      </c>
      <c r="E79" s="215" t="s">
        <v>5</v>
      </c>
      <c r="F79" s="215" t="s">
        <v>411</v>
      </c>
      <c r="G79" s="215">
        <v>179</v>
      </c>
      <c r="H79" s="215" t="s">
        <v>226</v>
      </c>
      <c r="I79" s="215" t="s">
        <v>412</v>
      </c>
      <c r="J79" s="215" t="s">
        <v>94</v>
      </c>
      <c r="K79" s="215" t="s">
        <v>313</v>
      </c>
      <c r="L79" s="216">
        <v>46178.509027777778</v>
      </c>
      <c r="M79" s="216">
        <v>46178.533333333333</v>
      </c>
      <c r="N79" s="215" t="s">
        <v>310</v>
      </c>
      <c r="O79" s="203" t="s">
        <v>205</v>
      </c>
      <c r="Q79" s="203" t="s">
        <v>205</v>
      </c>
      <c r="S79" s="203" t="s">
        <v>205</v>
      </c>
      <c r="U79" s="203" t="s">
        <v>205</v>
      </c>
      <c r="W79" s="203" t="s">
        <v>206</v>
      </c>
      <c r="Y79" s="203" t="s">
        <v>206</v>
      </c>
      <c r="AA79" s="203" t="s">
        <v>205</v>
      </c>
      <c r="AC79" s="203" t="s">
        <v>205</v>
      </c>
      <c r="AE79" s="203" t="s">
        <v>205</v>
      </c>
      <c r="AF79" s="205" t="str">
        <f t="shared" si="3"/>
        <v>NC</v>
      </c>
      <c r="AG79" s="204" t="str">
        <f t="shared" si="4"/>
        <v>UTILIZOU O PDA CORRETAMENTE. NÃO HÁ FOTOS DE TODAS AS ETAPAS</v>
      </c>
      <c r="AH79" s="203" t="s">
        <v>205</v>
      </c>
      <c r="AI79" s="246" t="s">
        <v>6</v>
      </c>
      <c r="AJ79" s="246" t="str">
        <f t="shared" si="5"/>
        <v>SÃO PAULO</v>
      </c>
      <c r="AK79" s="247" t="s">
        <v>39</v>
      </c>
    </row>
    <row r="80" spans="1:37" s="204" customFormat="1" ht="30" customHeight="1">
      <c r="A80" s="215" t="s">
        <v>198</v>
      </c>
      <c r="B80" s="215">
        <v>2618424687</v>
      </c>
      <c r="C80" s="215" t="s">
        <v>96</v>
      </c>
      <c r="D80" s="215" t="s">
        <v>77</v>
      </c>
      <c r="E80" s="215" t="s">
        <v>5</v>
      </c>
      <c r="F80" s="215" t="s">
        <v>411</v>
      </c>
      <c r="G80" s="215">
        <v>179</v>
      </c>
      <c r="H80" s="215" t="s">
        <v>318</v>
      </c>
      <c r="I80" s="215" t="s">
        <v>412</v>
      </c>
      <c r="J80" s="215" t="s">
        <v>96</v>
      </c>
      <c r="K80" s="215" t="s">
        <v>200</v>
      </c>
      <c r="L80" s="216">
        <v>46178.506249999999</v>
      </c>
      <c r="M80" s="216">
        <v>46178.508333333331</v>
      </c>
      <c r="N80" s="215" t="s">
        <v>310</v>
      </c>
      <c r="O80" s="203" t="s">
        <v>205</v>
      </c>
      <c r="Q80" s="203" t="s">
        <v>62</v>
      </c>
      <c r="S80" s="203" t="s">
        <v>62</v>
      </c>
      <c r="U80" s="203" t="s">
        <v>62</v>
      </c>
      <c r="W80" s="203" t="s">
        <v>62</v>
      </c>
      <c r="Y80" s="203" t="s">
        <v>62</v>
      </c>
      <c r="AA80" s="203" t="s">
        <v>62</v>
      </c>
      <c r="AC80" s="203" t="s">
        <v>239</v>
      </c>
      <c r="AD80" s="204" t="s">
        <v>413</v>
      </c>
      <c r="AE80" s="203" t="s">
        <v>205</v>
      </c>
      <c r="AF80" s="205" t="str">
        <f t="shared" si="3"/>
        <v>NC</v>
      </c>
      <c r="AG80" s="204" t="str">
        <f t="shared" si="4"/>
        <v>UTILIZOU O PDA CORRETAMENTE. NÃO HÁ FOTOS DE TODAS AS ETAPAS</v>
      </c>
      <c r="AH80" s="203" t="s">
        <v>205</v>
      </c>
      <c r="AI80" s="246" t="s">
        <v>6</v>
      </c>
      <c r="AJ80" s="246" t="str">
        <f t="shared" si="5"/>
        <v>SÃO PAULO</v>
      </c>
      <c r="AK80" s="247" t="s">
        <v>39</v>
      </c>
    </row>
    <row r="81" spans="1:37" s="204" customFormat="1" ht="30" customHeight="1">
      <c r="A81" s="215" t="s">
        <v>198</v>
      </c>
      <c r="B81" s="215">
        <v>2618424788</v>
      </c>
      <c r="C81" s="215" t="s">
        <v>94</v>
      </c>
      <c r="D81" s="215" t="s">
        <v>77</v>
      </c>
      <c r="E81" s="215" t="s">
        <v>5</v>
      </c>
      <c r="F81" s="215" t="s">
        <v>414</v>
      </c>
      <c r="G81" s="215">
        <v>792</v>
      </c>
      <c r="H81" s="215" t="s">
        <v>214</v>
      </c>
      <c r="I81" s="215" t="s">
        <v>415</v>
      </c>
      <c r="J81" s="215" t="s">
        <v>94</v>
      </c>
      <c r="K81" s="215" t="s">
        <v>416</v>
      </c>
      <c r="L81" s="216">
        <v>46178.609027777777</v>
      </c>
      <c r="M81" s="216">
        <v>46178.629861111112</v>
      </c>
      <c r="N81" s="215" t="s">
        <v>310</v>
      </c>
      <c r="O81" s="203" t="s">
        <v>205</v>
      </c>
      <c r="Q81" s="203" t="s">
        <v>205</v>
      </c>
      <c r="S81" s="203" t="s">
        <v>62</v>
      </c>
      <c r="U81" s="203" t="s">
        <v>62</v>
      </c>
      <c r="W81" s="203" t="s">
        <v>62</v>
      </c>
      <c r="Y81" s="203" t="s">
        <v>62</v>
      </c>
      <c r="AA81" s="203" t="s">
        <v>62</v>
      </c>
      <c r="AC81" s="203" t="s">
        <v>239</v>
      </c>
      <c r="AD81" s="204" t="s">
        <v>413</v>
      </c>
      <c r="AE81" s="203" t="s">
        <v>205</v>
      </c>
      <c r="AF81" s="205" t="str">
        <f t="shared" si="3"/>
        <v>NC</v>
      </c>
      <c r="AG81" s="204" t="str">
        <f t="shared" si="4"/>
        <v>UTILIZOU O PDA CORRETAMENTE. NÃO HÁ FOTOS DE TODAS AS ETAPAS</v>
      </c>
      <c r="AH81" s="203" t="s">
        <v>205</v>
      </c>
      <c r="AI81" s="246" t="s">
        <v>6</v>
      </c>
      <c r="AJ81" s="246" t="str">
        <f t="shared" si="5"/>
        <v>SÃO PAULO</v>
      </c>
      <c r="AK81" s="247" t="s">
        <v>39</v>
      </c>
    </row>
    <row r="82" spans="1:37" s="204" customFormat="1" ht="30" customHeight="1">
      <c r="A82" s="215" t="s">
        <v>198</v>
      </c>
      <c r="B82" s="215">
        <v>2618424789</v>
      </c>
      <c r="C82" s="215" t="s">
        <v>96</v>
      </c>
      <c r="D82" s="215" t="s">
        <v>77</v>
      </c>
      <c r="E82" s="215" t="s">
        <v>5</v>
      </c>
      <c r="F82" s="215" t="s">
        <v>414</v>
      </c>
      <c r="G82" s="215">
        <v>792</v>
      </c>
      <c r="H82" s="215" t="s">
        <v>417</v>
      </c>
      <c r="I82" s="215" t="s">
        <v>415</v>
      </c>
      <c r="J82" s="215" t="s">
        <v>96</v>
      </c>
      <c r="K82" s="215" t="s">
        <v>200</v>
      </c>
      <c r="L82" s="216">
        <v>46178.604861111111</v>
      </c>
      <c r="M82" s="216">
        <v>46178.607638888891</v>
      </c>
      <c r="N82" s="215" t="s">
        <v>310</v>
      </c>
      <c r="O82" s="203" t="s">
        <v>205</v>
      </c>
      <c r="Q82" s="203" t="s">
        <v>205</v>
      </c>
      <c r="S82" s="203" t="s">
        <v>62</v>
      </c>
      <c r="U82" s="203" t="s">
        <v>62</v>
      </c>
      <c r="W82" s="203" t="s">
        <v>62</v>
      </c>
      <c r="Y82" s="203" t="s">
        <v>62</v>
      </c>
      <c r="AA82" s="203" t="s">
        <v>62</v>
      </c>
      <c r="AC82" s="203" t="s">
        <v>239</v>
      </c>
      <c r="AD82" s="204" t="s">
        <v>413</v>
      </c>
      <c r="AE82" s="203" t="s">
        <v>205</v>
      </c>
      <c r="AF82" s="205" t="str">
        <f t="shared" si="3"/>
        <v>NC</v>
      </c>
      <c r="AG82" s="204" t="str">
        <f t="shared" si="4"/>
        <v>UTILIZOU O PDA CORRETAMENTE. NÃO HÁ FOTOS DE TODAS AS ETAPAS</v>
      </c>
      <c r="AH82" s="203" t="s">
        <v>205</v>
      </c>
      <c r="AI82" s="246" t="s">
        <v>6</v>
      </c>
      <c r="AJ82" s="246" t="str">
        <f t="shared" si="5"/>
        <v>SÃO PAULO</v>
      </c>
      <c r="AK82" s="247" t="s">
        <v>39</v>
      </c>
    </row>
    <row r="83" spans="1:37" s="204" customFormat="1" ht="30" customHeight="1">
      <c r="A83" s="215" t="s">
        <v>198</v>
      </c>
      <c r="B83" s="215">
        <v>2618753848</v>
      </c>
      <c r="C83" s="215" t="s">
        <v>103</v>
      </c>
      <c r="D83" s="215" t="s">
        <v>81</v>
      </c>
      <c r="E83" s="215" t="s">
        <v>5</v>
      </c>
      <c r="F83" s="215" t="s">
        <v>418</v>
      </c>
      <c r="G83" s="215">
        <v>15</v>
      </c>
      <c r="H83" s="215"/>
      <c r="I83" s="215" t="s">
        <v>419</v>
      </c>
      <c r="J83" s="215" t="s">
        <v>220</v>
      </c>
      <c r="K83" s="215"/>
      <c r="L83" s="216">
        <v>46178.634027777778</v>
      </c>
      <c r="M83" s="216">
        <v>46178.657638888886</v>
      </c>
      <c r="N83" s="215" t="s">
        <v>221</v>
      </c>
      <c r="O83" s="203" t="s">
        <v>205</v>
      </c>
      <c r="Q83" s="203" t="s">
        <v>205</v>
      </c>
      <c r="S83" s="203" t="s">
        <v>205</v>
      </c>
      <c r="U83" s="203" t="s">
        <v>205</v>
      </c>
      <c r="W83" s="203" t="s">
        <v>205</v>
      </c>
      <c r="Y83" s="203" t="s">
        <v>62</v>
      </c>
      <c r="AA83" s="203" t="s">
        <v>205</v>
      </c>
      <c r="AC83" s="203" t="s">
        <v>205</v>
      </c>
      <c r="AE83" s="203" t="s">
        <v>205</v>
      </c>
      <c r="AF83" s="205" t="str">
        <f t="shared" si="3"/>
        <v>C</v>
      </c>
      <c r="AG83" s="204" t="str">
        <f t="shared" si="4"/>
        <v>UTILIZOU O PDA CORRETAMENTE</v>
      </c>
      <c r="AH83" s="203" t="s">
        <v>205</v>
      </c>
      <c r="AI83" s="246" t="s">
        <v>6</v>
      </c>
      <c r="AJ83" s="246" t="str">
        <f t="shared" si="5"/>
        <v>SÃO PAULO</v>
      </c>
      <c r="AK83" s="247" t="s">
        <v>39</v>
      </c>
    </row>
    <row r="84" spans="1:37" s="204" customFormat="1" ht="30" customHeight="1">
      <c r="A84" s="215" t="s">
        <v>198</v>
      </c>
      <c r="B84" s="215">
        <v>2618875889</v>
      </c>
      <c r="C84" s="215" t="s">
        <v>105</v>
      </c>
      <c r="D84" s="215" t="s">
        <v>81</v>
      </c>
      <c r="E84" s="215" t="s">
        <v>5</v>
      </c>
      <c r="F84" s="215" t="s">
        <v>304</v>
      </c>
      <c r="G84" s="215">
        <v>527</v>
      </c>
      <c r="H84" s="215" t="s">
        <v>226</v>
      </c>
      <c r="I84" s="215" t="s">
        <v>305</v>
      </c>
      <c r="J84" s="215" t="s">
        <v>350</v>
      </c>
      <c r="K84" s="215" t="s">
        <v>420</v>
      </c>
      <c r="L84" s="216">
        <v>46178.428472222222</v>
      </c>
      <c r="M84" s="216">
        <v>46178.693749999999</v>
      </c>
      <c r="N84" s="215" t="s">
        <v>235</v>
      </c>
      <c r="O84" s="203" t="s">
        <v>205</v>
      </c>
      <c r="Q84" s="203" t="s">
        <v>205</v>
      </c>
      <c r="S84" s="203" t="s">
        <v>205</v>
      </c>
      <c r="U84" s="203" t="s">
        <v>205</v>
      </c>
      <c r="W84" s="203" t="s">
        <v>205</v>
      </c>
      <c r="Y84" s="203" t="s">
        <v>62</v>
      </c>
      <c r="AA84" s="203" t="s">
        <v>205</v>
      </c>
      <c r="AC84" s="203" t="s">
        <v>205</v>
      </c>
      <c r="AE84" s="203" t="s">
        <v>205</v>
      </c>
      <c r="AF84" s="205" t="str">
        <f t="shared" si="3"/>
        <v>C</v>
      </c>
      <c r="AG84" s="204" t="str">
        <f t="shared" si="4"/>
        <v>UTILIZOU O PDA CORRETAMENTE</v>
      </c>
      <c r="AH84" s="203" t="s">
        <v>205</v>
      </c>
      <c r="AI84" s="246" t="s">
        <v>6</v>
      </c>
      <c r="AJ84" s="246" t="str">
        <f t="shared" si="5"/>
        <v>SÃO PAULO</v>
      </c>
      <c r="AK84" s="247" t="s">
        <v>39</v>
      </c>
    </row>
    <row r="85" spans="1:37" s="204" customFormat="1" ht="30" customHeight="1">
      <c r="A85" s="215" t="s">
        <v>198</v>
      </c>
      <c r="B85" s="215">
        <v>2618877190</v>
      </c>
      <c r="C85" s="215" t="s">
        <v>331</v>
      </c>
      <c r="D85" s="215" t="s">
        <v>79</v>
      </c>
      <c r="E85" s="215" t="s">
        <v>5</v>
      </c>
      <c r="F85" s="215" t="s">
        <v>332</v>
      </c>
      <c r="G85" s="215">
        <v>180</v>
      </c>
      <c r="H85" s="215"/>
      <c r="I85" s="215" t="s">
        <v>333</v>
      </c>
      <c r="J85" s="215" t="s">
        <v>334</v>
      </c>
      <c r="K85" s="215"/>
      <c r="L85" s="216">
        <v>46178.443749999999</v>
      </c>
      <c r="M85" s="216">
        <v>46178.704861111109</v>
      </c>
      <c r="N85" s="215" t="s">
        <v>230</v>
      </c>
      <c r="O85" s="203" t="s">
        <v>205</v>
      </c>
      <c r="Q85" s="203" t="s">
        <v>205</v>
      </c>
      <c r="S85" s="203" t="s">
        <v>205</v>
      </c>
      <c r="U85" s="203" t="s">
        <v>205</v>
      </c>
      <c r="W85" s="203" t="s">
        <v>205</v>
      </c>
      <c r="Y85" s="203" t="s">
        <v>205</v>
      </c>
      <c r="AA85" s="203" t="s">
        <v>205</v>
      </c>
      <c r="AC85" s="203" t="s">
        <v>205</v>
      </c>
      <c r="AE85" s="203" t="s">
        <v>205</v>
      </c>
      <c r="AF85" s="205" t="str">
        <f t="shared" si="3"/>
        <v>C</v>
      </c>
      <c r="AG85" s="204" t="str">
        <f t="shared" si="4"/>
        <v>UTILIZOU O PDA CORRETAMENTE</v>
      </c>
      <c r="AH85" s="203" t="s">
        <v>205</v>
      </c>
      <c r="AI85" s="246" t="s">
        <v>6</v>
      </c>
      <c r="AJ85" s="246" t="str">
        <f t="shared" si="5"/>
        <v>SÃO PAULO</v>
      </c>
      <c r="AK85" s="247" t="s">
        <v>39</v>
      </c>
    </row>
    <row r="86" spans="1:37" s="204" customFormat="1" ht="30" customHeight="1">
      <c r="A86" s="215" t="s">
        <v>198</v>
      </c>
      <c r="B86" s="215">
        <v>2618877461</v>
      </c>
      <c r="C86" s="215" t="s">
        <v>331</v>
      </c>
      <c r="D86" s="215" t="s">
        <v>79</v>
      </c>
      <c r="E86" s="215" t="s">
        <v>5</v>
      </c>
      <c r="F86" s="215" t="s">
        <v>332</v>
      </c>
      <c r="G86" s="215">
        <v>192</v>
      </c>
      <c r="H86" s="215" t="s">
        <v>200</v>
      </c>
      <c r="I86" s="215" t="s">
        <v>333</v>
      </c>
      <c r="J86" s="215" t="s">
        <v>334</v>
      </c>
      <c r="K86" s="215" t="s">
        <v>421</v>
      </c>
      <c r="L86" s="216">
        <v>46178.710416666669</v>
      </c>
      <c r="M86" s="216">
        <v>46178.711805555555</v>
      </c>
      <c r="N86" s="215" t="s">
        <v>230</v>
      </c>
      <c r="O86" s="203" t="s">
        <v>205</v>
      </c>
      <c r="Q86" s="203" t="s">
        <v>205</v>
      </c>
      <c r="S86" s="203" t="s">
        <v>205</v>
      </c>
      <c r="U86" s="203" t="s">
        <v>205</v>
      </c>
      <c r="W86" s="203" t="s">
        <v>205</v>
      </c>
      <c r="Y86" s="203" t="s">
        <v>205</v>
      </c>
      <c r="AA86" s="203" t="s">
        <v>205</v>
      </c>
      <c r="AC86" s="203" t="s">
        <v>205</v>
      </c>
      <c r="AE86" s="203" t="s">
        <v>205</v>
      </c>
      <c r="AF86" s="205" t="str">
        <f t="shared" si="3"/>
        <v>C</v>
      </c>
      <c r="AG86" s="204" t="str">
        <f t="shared" si="4"/>
        <v>UTILIZOU O PDA CORRETAMENTE</v>
      </c>
      <c r="AH86" s="203" t="s">
        <v>205</v>
      </c>
      <c r="AI86" s="246" t="s">
        <v>6</v>
      </c>
      <c r="AJ86" s="246" t="str">
        <f t="shared" si="5"/>
        <v>SÃO PAULO</v>
      </c>
      <c r="AK86" s="247" t="s">
        <v>39</v>
      </c>
    </row>
    <row r="87" spans="1:37" s="204" customFormat="1" ht="30" customHeight="1">
      <c r="A87" s="215" t="s">
        <v>198</v>
      </c>
      <c r="B87" s="215">
        <v>2618877313</v>
      </c>
      <c r="C87" s="215" t="s">
        <v>331</v>
      </c>
      <c r="D87" s="215" t="s">
        <v>79</v>
      </c>
      <c r="E87" s="215" t="s">
        <v>5</v>
      </c>
      <c r="F87" s="215" t="s">
        <v>332</v>
      </c>
      <c r="G87" s="215">
        <v>188</v>
      </c>
      <c r="H87" s="215"/>
      <c r="I87" s="215" t="s">
        <v>333</v>
      </c>
      <c r="J87" s="215" t="s">
        <v>334</v>
      </c>
      <c r="K87" s="215" t="s">
        <v>422</v>
      </c>
      <c r="L87" s="216">
        <v>46178.706250000003</v>
      </c>
      <c r="M87" s="216">
        <v>46178.709722222222</v>
      </c>
      <c r="N87" s="215" t="s">
        <v>230</v>
      </c>
      <c r="O87" s="203" t="s">
        <v>205</v>
      </c>
      <c r="Q87" s="203" t="s">
        <v>205</v>
      </c>
      <c r="S87" s="203" t="s">
        <v>205</v>
      </c>
      <c r="U87" s="203" t="s">
        <v>205</v>
      </c>
      <c r="W87" s="203" t="s">
        <v>205</v>
      </c>
      <c r="Y87" s="203" t="s">
        <v>205</v>
      </c>
      <c r="AA87" s="203" t="s">
        <v>205</v>
      </c>
      <c r="AC87" s="203" t="s">
        <v>205</v>
      </c>
      <c r="AE87" s="203" t="s">
        <v>205</v>
      </c>
      <c r="AF87" s="205" t="str">
        <f t="shared" si="3"/>
        <v>C</v>
      </c>
      <c r="AG87" s="204" t="str">
        <f t="shared" si="4"/>
        <v>UTILIZOU O PDA CORRETAMENTE</v>
      </c>
      <c r="AH87" s="203" t="s">
        <v>205</v>
      </c>
      <c r="AI87" s="246" t="s">
        <v>6</v>
      </c>
      <c r="AJ87" s="246" t="str">
        <f t="shared" si="5"/>
        <v>SÃO PAULO</v>
      </c>
      <c r="AK87" s="247" t="s">
        <v>39</v>
      </c>
    </row>
    <row r="88" spans="1:37" s="204" customFormat="1" ht="30" customHeight="1">
      <c r="A88" s="215" t="s">
        <v>198</v>
      </c>
      <c r="B88" s="215">
        <v>2618693225</v>
      </c>
      <c r="C88" s="215" t="s">
        <v>99</v>
      </c>
      <c r="D88" s="215" t="s">
        <v>81</v>
      </c>
      <c r="E88" s="215" t="s">
        <v>5</v>
      </c>
      <c r="F88" s="215" t="s">
        <v>423</v>
      </c>
      <c r="G88" s="215">
        <v>20</v>
      </c>
      <c r="H88" s="215" t="s">
        <v>200</v>
      </c>
      <c r="I88" s="215" t="s">
        <v>246</v>
      </c>
      <c r="J88" s="215" t="s">
        <v>268</v>
      </c>
      <c r="K88" s="219" t="s">
        <v>424</v>
      </c>
      <c r="L88" s="216">
        <v>46178.474999999999</v>
      </c>
      <c r="M88" s="216">
        <v>46178.477083333331</v>
      </c>
      <c r="N88" s="215" t="s">
        <v>221</v>
      </c>
      <c r="O88" s="203" t="s">
        <v>205</v>
      </c>
      <c r="Q88" s="203" t="s">
        <v>206</v>
      </c>
      <c r="S88" s="203" t="s">
        <v>206</v>
      </c>
      <c r="U88" s="203" t="s">
        <v>205</v>
      </c>
      <c r="W88" s="203" t="s">
        <v>206</v>
      </c>
      <c r="Y88" s="203" t="s">
        <v>206</v>
      </c>
      <c r="AA88" s="203" t="s">
        <v>205</v>
      </c>
      <c r="AC88" s="203" t="s">
        <v>205</v>
      </c>
      <c r="AE88" s="203" t="s">
        <v>205</v>
      </c>
      <c r="AF88" s="205" t="str">
        <f t="shared" si="3"/>
        <v>NC</v>
      </c>
      <c r="AG88" s="204" t="str">
        <f t="shared" si="4"/>
        <v>UTILIZOU O PDA CORRETAMENTE. NÃO HÁ FOTOS DE TODAS AS ETAPAS</v>
      </c>
      <c r="AH88" s="203" t="s">
        <v>205</v>
      </c>
      <c r="AI88" s="246" t="s">
        <v>6</v>
      </c>
      <c r="AJ88" s="246" t="str">
        <f t="shared" si="5"/>
        <v>SÃO PAULO</v>
      </c>
      <c r="AK88" s="247" t="s">
        <v>39</v>
      </c>
    </row>
    <row r="89" spans="1:37" s="204" customFormat="1" ht="30" customHeight="1">
      <c r="A89" s="215" t="s">
        <v>198</v>
      </c>
      <c r="B89" s="215">
        <v>2618491864</v>
      </c>
      <c r="C89" s="215" t="s">
        <v>100</v>
      </c>
      <c r="D89" s="215" t="s">
        <v>81</v>
      </c>
      <c r="E89" s="215" t="s">
        <v>5</v>
      </c>
      <c r="F89" s="215" t="s">
        <v>425</v>
      </c>
      <c r="G89" s="215">
        <v>30</v>
      </c>
      <c r="H89" s="215" t="s">
        <v>226</v>
      </c>
      <c r="I89" s="215" t="s">
        <v>426</v>
      </c>
      <c r="J89" s="215" t="s">
        <v>243</v>
      </c>
      <c r="K89" s="215"/>
      <c r="L89" s="216">
        <v>46178.481944444444</v>
      </c>
      <c r="M89" s="216">
        <v>46178.506249999999</v>
      </c>
      <c r="N89" s="215" t="s">
        <v>326</v>
      </c>
      <c r="O89" s="203" t="s">
        <v>205</v>
      </c>
      <c r="Q89" s="203" t="s">
        <v>205</v>
      </c>
      <c r="S89" s="203" t="s">
        <v>205</v>
      </c>
      <c r="U89" s="203" t="s">
        <v>205</v>
      </c>
      <c r="W89" s="203" t="s">
        <v>205</v>
      </c>
      <c r="Y89" s="203" t="s">
        <v>205</v>
      </c>
      <c r="AA89" s="203" t="s">
        <v>205</v>
      </c>
      <c r="AC89" s="203" t="s">
        <v>205</v>
      </c>
      <c r="AE89" s="203" t="s">
        <v>205</v>
      </c>
      <c r="AF89" s="205" t="str">
        <f t="shared" si="3"/>
        <v>C</v>
      </c>
      <c r="AG89" s="204" t="str">
        <f t="shared" si="4"/>
        <v>UTILIZOU O PDA CORRETAMENTE</v>
      </c>
      <c r="AH89" s="203" t="s">
        <v>205</v>
      </c>
      <c r="AI89" s="246" t="s">
        <v>6</v>
      </c>
      <c r="AJ89" s="246" t="str">
        <f t="shared" si="5"/>
        <v>SÃO PAULO</v>
      </c>
      <c r="AK89" s="247" t="s">
        <v>39</v>
      </c>
    </row>
    <row r="90" spans="1:37" s="204" customFormat="1" ht="30" customHeight="1">
      <c r="A90" s="215" t="s">
        <v>198</v>
      </c>
      <c r="B90" s="215">
        <v>2618884369</v>
      </c>
      <c r="C90" s="215" t="s">
        <v>99</v>
      </c>
      <c r="D90" s="215" t="s">
        <v>81</v>
      </c>
      <c r="E90" s="215" t="s">
        <v>5</v>
      </c>
      <c r="F90" s="215" t="s">
        <v>423</v>
      </c>
      <c r="G90" s="215">
        <v>27</v>
      </c>
      <c r="H90" s="215" t="s">
        <v>387</v>
      </c>
      <c r="I90" s="215" t="s">
        <v>427</v>
      </c>
      <c r="J90" s="215" t="s">
        <v>268</v>
      </c>
      <c r="K90" s="215" t="s">
        <v>428</v>
      </c>
      <c r="L90" s="216">
        <v>46178.481944444444</v>
      </c>
      <c r="M90" s="216">
        <v>46178.507638888892</v>
      </c>
      <c r="N90" s="215" t="s">
        <v>221</v>
      </c>
      <c r="O90" s="203" t="s">
        <v>205</v>
      </c>
      <c r="Q90" s="203" t="s">
        <v>206</v>
      </c>
      <c r="S90" s="203" t="s">
        <v>206</v>
      </c>
      <c r="U90" s="203" t="s">
        <v>205</v>
      </c>
      <c r="W90" s="203" t="s">
        <v>205</v>
      </c>
      <c r="Y90" s="203" t="s">
        <v>206</v>
      </c>
      <c r="AA90" s="203" t="s">
        <v>205</v>
      </c>
      <c r="AC90" s="203" t="s">
        <v>205</v>
      </c>
      <c r="AE90" s="203" t="s">
        <v>205</v>
      </c>
      <c r="AF90" s="205" t="str">
        <f t="shared" si="3"/>
        <v>NC</v>
      </c>
      <c r="AG90" s="204" t="str">
        <f t="shared" si="4"/>
        <v>UTILIZOU O PDA CORRETAMENTE. NÃO HÁ FOTOS DE TODAS AS ETAPAS</v>
      </c>
      <c r="AH90" s="203" t="s">
        <v>205</v>
      </c>
      <c r="AI90" s="246" t="s">
        <v>6</v>
      </c>
      <c r="AJ90" s="246" t="str">
        <f t="shared" si="5"/>
        <v>SÃO PAULO</v>
      </c>
      <c r="AK90" s="247" t="s">
        <v>39</v>
      </c>
    </row>
    <row r="91" spans="1:37" s="204" customFormat="1" ht="30" customHeight="1">
      <c r="A91" s="215" t="s">
        <v>198</v>
      </c>
      <c r="B91" s="215">
        <v>2618748902</v>
      </c>
      <c r="C91" s="215" t="s">
        <v>89</v>
      </c>
      <c r="D91" s="215" t="s">
        <v>78</v>
      </c>
      <c r="E91" s="215" t="s">
        <v>5</v>
      </c>
      <c r="F91" s="215" t="s">
        <v>429</v>
      </c>
      <c r="G91" s="215">
        <v>166</v>
      </c>
      <c r="H91" s="215"/>
      <c r="I91" s="215" t="s">
        <v>430</v>
      </c>
      <c r="J91" s="215" t="s">
        <v>238</v>
      </c>
      <c r="K91" s="215"/>
      <c r="L91" s="216">
        <v>46178.539583333331</v>
      </c>
      <c r="M91" s="216">
        <v>46178.540277777778</v>
      </c>
      <c r="N91" s="215" t="s">
        <v>357</v>
      </c>
      <c r="O91" s="203" t="s">
        <v>205</v>
      </c>
      <c r="Q91" s="203" t="s">
        <v>205</v>
      </c>
      <c r="S91" s="203" t="s">
        <v>205</v>
      </c>
      <c r="U91" s="203" t="s">
        <v>205</v>
      </c>
      <c r="W91" s="203" t="s">
        <v>205</v>
      </c>
      <c r="Y91" s="203" t="s">
        <v>205</v>
      </c>
      <c r="AA91" s="203" t="s">
        <v>205</v>
      </c>
      <c r="AC91" s="203" t="s">
        <v>205</v>
      </c>
      <c r="AE91" s="203" t="s">
        <v>205</v>
      </c>
      <c r="AF91" s="205" t="str">
        <f t="shared" si="3"/>
        <v>C</v>
      </c>
      <c r="AG91" s="204" t="str">
        <f t="shared" si="4"/>
        <v>UTILIZOU O PDA CORRETAMENTE</v>
      </c>
      <c r="AH91" s="330"/>
      <c r="AI91" s="246" t="s">
        <v>6</v>
      </c>
      <c r="AJ91" s="246" t="str">
        <f t="shared" si="5"/>
        <v>SÃO PAULO</v>
      </c>
      <c r="AK91" s="247" t="s">
        <v>39</v>
      </c>
    </row>
    <row r="92" spans="1:37" s="204" customFormat="1" ht="30" customHeight="1">
      <c r="A92" s="215" t="s">
        <v>198</v>
      </c>
      <c r="B92" s="215">
        <v>2618736878</v>
      </c>
      <c r="C92" s="215" t="s">
        <v>89</v>
      </c>
      <c r="D92" s="215" t="s">
        <v>78</v>
      </c>
      <c r="E92" s="215" t="s">
        <v>5</v>
      </c>
      <c r="F92" s="215" t="s">
        <v>431</v>
      </c>
      <c r="G92" s="215">
        <v>161</v>
      </c>
      <c r="H92" s="215" t="s">
        <v>200</v>
      </c>
      <c r="I92" s="215" t="s">
        <v>432</v>
      </c>
      <c r="J92" s="215" t="s">
        <v>238</v>
      </c>
      <c r="K92" s="215" t="s">
        <v>433</v>
      </c>
      <c r="L92" s="216">
        <v>46178.484722222223</v>
      </c>
      <c r="M92" s="216">
        <v>46178.488888888889</v>
      </c>
      <c r="N92" s="215" t="s">
        <v>248</v>
      </c>
      <c r="O92" s="203" t="s">
        <v>206</v>
      </c>
      <c r="Q92" s="203" t="s">
        <v>206</v>
      </c>
      <c r="S92" s="203" t="s">
        <v>206</v>
      </c>
      <c r="U92" s="203" t="s">
        <v>206</v>
      </c>
      <c r="W92" s="203" t="s">
        <v>206</v>
      </c>
      <c r="Y92" s="203" t="s">
        <v>206</v>
      </c>
      <c r="AA92" s="203" t="s">
        <v>206</v>
      </c>
      <c r="AC92" s="203" t="s">
        <v>206</v>
      </c>
      <c r="AE92" s="203" t="s">
        <v>239</v>
      </c>
      <c r="AF92" s="205" t="str">
        <f t="shared" si="3"/>
        <v>NC</v>
      </c>
      <c r="AG92" s="204" t="str">
        <f t="shared" si="4"/>
        <v>NÃO UTILIZOU O PDA</v>
      </c>
      <c r="AH92" s="203"/>
      <c r="AI92" s="246" t="s">
        <v>6</v>
      </c>
      <c r="AJ92" s="246" t="str">
        <f t="shared" si="5"/>
        <v>SÃO PAULO</v>
      </c>
      <c r="AK92" s="247" t="s">
        <v>39</v>
      </c>
    </row>
    <row r="93" spans="1:37" s="204" customFormat="1" ht="30" customHeight="1">
      <c r="A93" s="215" t="s">
        <v>198</v>
      </c>
      <c r="B93" s="215">
        <v>2618867921</v>
      </c>
      <c r="C93" s="215" t="s">
        <v>107</v>
      </c>
      <c r="D93" s="215" t="s">
        <v>81</v>
      </c>
      <c r="E93" s="215" t="s">
        <v>5</v>
      </c>
      <c r="F93" s="215" t="s">
        <v>339</v>
      </c>
      <c r="G93" s="215">
        <v>10</v>
      </c>
      <c r="H93" s="215" t="s">
        <v>434</v>
      </c>
      <c r="I93" s="215" t="s">
        <v>435</v>
      </c>
      <c r="J93" s="215" t="s">
        <v>322</v>
      </c>
      <c r="K93" s="215" t="s">
        <v>436</v>
      </c>
      <c r="L93" s="216">
        <v>46178.629166666666</v>
      </c>
      <c r="M93" s="216">
        <v>46178.685416666667</v>
      </c>
      <c r="N93" s="215" t="s">
        <v>359</v>
      </c>
      <c r="O93" s="203" t="s">
        <v>205</v>
      </c>
      <c r="Q93" s="203" t="s">
        <v>62</v>
      </c>
      <c r="S93" s="203" t="s">
        <v>205</v>
      </c>
      <c r="U93" s="203" t="s">
        <v>205</v>
      </c>
      <c r="W93" s="203" t="s">
        <v>205</v>
      </c>
      <c r="Y93" s="203" t="s">
        <v>205</v>
      </c>
      <c r="AA93" s="203" t="s">
        <v>205</v>
      </c>
      <c r="AC93" s="203" t="s">
        <v>205</v>
      </c>
      <c r="AE93" s="203" t="s">
        <v>205</v>
      </c>
      <c r="AF93" s="205" t="str">
        <f t="shared" si="3"/>
        <v>C</v>
      </c>
      <c r="AG93" s="204" t="str">
        <f t="shared" si="4"/>
        <v>UTILIZOU O PDA CORRETAMENTE</v>
      </c>
      <c r="AH93" s="203" t="s">
        <v>205</v>
      </c>
      <c r="AI93" s="246" t="s">
        <v>6</v>
      </c>
      <c r="AJ93" s="246" t="str">
        <f t="shared" si="5"/>
        <v>SÃO PAULO</v>
      </c>
      <c r="AK93" s="247" t="s">
        <v>39</v>
      </c>
    </row>
    <row r="94" spans="1:37" s="204" customFormat="1" ht="30" customHeight="1">
      <c r="A94" s="215" t="s">
        <v>198</v>
      </c>
      <c r="B94" s="215">
        <v>2618921018</v>
      </c>
      <c r="C94" s="215" t="s">
        <v>105</v>
      </c>
      <c r="D94" s="215" t="s">
        <v>81</v>
      </c>
      <c r="E94" s="215" t="s">
        <v>5</v>
      </c>
      <c r="F94" s="215" t="s">
        <v>304</v>
      </c>
      <c r="G94" s="215">
        <v>511</v>
      </c>
      <c r="H94" s="215" t="s">
        <v>226</v>
      </c>
      <c r="I94" s="215" t="s">
        <v>305</v>
      </c>
      <c r="J94" s="215" t="s">
        <v>350</v>
      </c>
      <c r="K94" s="215" t="s">
        <v>420</v>
      </c>
      <c r="L94" s="216">
        <v>46178.694444444445</v>
      </c>
      <c r="M94" s="216">
        <v>46178.695138888892</v>
      </c>
      <c r="N94" s="215" t="s">
        <v>235</v>
      </c>
      <c r="O94" s="203" t="s">
        <v>205</v>
      </c>
      <c r="Q94" s="203" t="s">
        <v>205</v>
      </c>
      <c r="S94" s="203" t="s">
        <v>205</v>
      </c>
      <c r="U94" s="203" t="s">
        <v>205</v>
      </c>
      <c r="W94" s="203" t="s">
        <v>205</v>
      </c>
      <c r="Y94" s="203" t="s">
        <v>62</v>
      </c>
      <c r="AA94" s="203" t="s">
        <v>205</v>
      </c>
      <c r="AC94" s="203" t="s">
        <v>205</v>
      </c>
      <c r="AE94" s="203" t="s">
        <v>205</v>
      </c>
      <c r="AF94" s="205" t="str">
        <f t="shared" si="3"/>
        <v>C</v>
      </c>
      <c r="AG94" s="204" t="str">
        <f t="shared" si="4"/>
        <v>UTILIZOU O PDA CORRETAMENTE</v>
      </c>
      <c r="AH94" s="203" t="s">
        <v>205</v>
      </c>
      <c r="AI94" s="246" t="s">
        <v>6</v>
      </c>
      <c r="AJ94" s="246" t="str">
        <f t="shared" si="5"/>
        <v>SÃO PAULO</v>
      </c>
      <c r="AK94" s="247" t="s">
        <v>39</v>
      </c>
    </row>
    <row r="95" spans="1:37" s="204" customFormat="1" ht="30" customHeight="1">
      <c r="A95" s="215" t="s">
        <v>198</v>
      </c>
      <c r="B95" s="215">
        <v>2618769589</v>
      </c>
      <c r="C95" s="215" t="s">
        <v>89</v>
      </c>
      <c r="D95" s="215" t="s">
        <v>78</v>
      </c>
      <c r="E95" s="215" t="s">
        <v>5</v>
      </c>
      <c r="F95" s="215" t="s">
        <v>437</v>
      </c>
      <c r="G95" s="215">
        <v>122</v>
      </c>
      <c r="H95" s="215" t="s">
        <v>226</v>
      </c>
      <c r="I95" s="215" t="s">
        <v>438</v>
      </c>
      <c r="J95" s="215" t="s">
        <v>238</v>
      </c>
      <c r="K95" s="215" t="s">
        <v>200</v>
      </c>
      <c r="L95" s="216">
        <v>46178.646527777775</v>
      </c>
      <c r="M95" s="216">
        <v>46178.646527777775</v>
      </c>
      <c r="N95" s="215" t="s">
        <v>326</v>
      </c>
      <c r="O95" s="203" t="s">
        <v>205</v>
      </c>
      <c r="Q95" s="203" t="s">
        <v>205</v>
      </c>
      <c r="S95" s="203" t="s">
        <v>205</v>
      </c>
      <c r="U95" s="203" t="s">
        <v>205</v>
      </c>
      <c r="W95" s="203" t="s">
        <v>205</v>
      </c>
      <c r="Y95" s="203" t="s">
        <v>62</v>
      </c>
      <c r="AA95" s="203" t="s">
        <v>205</v>
      </c>
      <c r="AC95" s="203" t="s">
        <v>205</v>
      </c>
      <c r="AE95" s="203" t="s">
        <v>205</v>
      </c>
      <c r="AF95" s="205" t="str">
        <f t="shared" si="3"/>
        <v>C</v>
      </c>
      <c r="AG95" s="204" t="str">
        <f t="shared" si="4"/>
        <v>UTILIZOU O PDA CORRETAMENTE</v>
      </c>
      <c r="AH95" s="203"/>
      <c r="AI95" s="246" t="s">
        <v>6</v>
      </c>
      <c r="AJ95" s="246" t="str">
        <f t="shared" si="5"/>
        <v>SÃO PAULO</v>
      </c>
      <c r="AK95" s="247" t="s">
        <v>39</v>
      </c>
    </row>
    <row r="96" spans="1:37" s="204" customFormat="1" ht="30" customHeight="1">
      <c r="A96" s="215" t="s">
        <v>198</v>
      </c>
      <c r="B96" s="215">
        <v>2618867921</v>
      </c>
      <c r="C96" s="215" t="s">
        <v>99</v>
      </c>
      <c r="D96" s="215" t="s">
        <v>81</v>
      </c>
      <c r="E96" s="215" t="s">
        <v>5</v>
      </c>
      <c r="F96" s="215" t="s">
        <v>339</v>
      </c>
      <c r="G96" s="215">
        <v>10</v>
      </c>
      <c r="H96" s="215" t="s">
        <v>434</v>
      </c>
      <c r="I96" s="215" t="s">
        <v>435</v>
      </c>
      <c r="J96" s="215" t="s">
        <v>268</v>
      </c>
      <c r="K96" s="215" t="s">
        <v>439</v>
      </c>
      <c r="L96" s="216">
        <v>46178.684027777781</v>
      </c>
      <c r="M96" s="216">
        <v>46178.68472222222</v>
      </c>
      <c r="N96" s="215" t="s">
        <v>359</v>
      </c>
      <c r="O96" s="203" t="s">
        <v>205</v>
      </c>
      <c r="Q96" s="203" t="s">
        <v>205</v>
      </c>
      <c r="S96" s="203" t="s">
        <v>205</v>
      </c>
      <c r="U96" s="203" t="s">
        <v>205</v>
      </c>
      <c r="W96" s="203" t="s">
        <v>205</v>
      </c>
      <c r="Y96" s="203" t="s">
        <v>205</v>
      </c>
      <c r="AA96" s="203" t="s">
        <v>205</v>
      </c>
      <c r="AC96" s="203" t="s">
        <v>205</v>
      </c>
      <c r="AE96" s="203" t="s">
        <v>205</v>
      </c>
      <c r="AF96" s="205" t="str">
        <f t="shared" si="3"/>
        <v>C</v>
      </c>
      <c r="AG96" s="204" t="str">
        <f t="shared" si="4"/>
        <v>UTILIZOU O PDA CORRETAMENTE</v>
      </c>
      <c r="AH96" s="203" t="s">
        <v>205</v>
      </c>
      <c r="AI96" s="246" t="s">
        <v>6</v>
      </c>
      <c r="AJ96" s="246" t="str">
        <f t="shared" si="5"/>
        <v>SÃO PAULO</v>
      </c>
      <c r="AK96" s="247" t="s">
        <v>39</v>
      </c>
    </row>
    <row r="97" spans="1:37" s="204" customFormat="1" ht="30" customHeight="1">
      <c r="A97" s="215" t="s">
        <v>198</v>
      </c>
      <c r="B97" s="215">
        <v>2618737009</v>
      </c>
      <c r="C97" s="215" t="s">
        <v>89</v>
      </c>
      <c r="D97" s="215" t="s">
        <v>78</v>
      </c>
      <c r="E97" s="215" t="s">
        <v>5</v>
      </c>
      <c r="F97" s="215" t="s">
        <v>440</v>
      </c>
      <c r="G97" s="215">
        <v>1090</v>
      </c>
      <c r="H97" s="215" t="s">
        <v>200</v>
      </c>
      <c r="I97" s="215" t="s">
        <v>274</v>
      </c>
      <c r="J97" s="215" t="s">
        <v>238</v>
      </c>
      <c r="K97" s="215" t="s">
        <v>399</v>
      </c>
      <c r="L97" s="216">
        <v>46178.511111111111</v>
      </c>
      <c r="M97" s="216">
        <v>46178.511111111111</v>
      </c>
      <c r="N97" s="215" t="s">
        <v>254</v>
      </c>
      <c r="O97" s="203" t="s">
        <v>205</v>
      </c>
      <c r="Q97" s="203" t="s">
        <v>205</v>
      </c>
      <c r="S97" s="203" t="s">
        <v>205</v>
      </c>
      <c r="U97" s="203" t="s">
        <v>205</v>
      </c>
      <c r="W97" s="203" t="s">
        <v>205</v>
      </c>
      <c r="Y97" s="203" t="s">
        <v>62</v>
      </c>
      <c r="AA97" s="203" t="s">
        <v>205</v>
      </c>
      <c r="AC97" s="203" t="s">
        <v>205</v>
      </c>
      <c r="AE97" s="203" t="s">
        <v>205</v>
      </c>
      <c r="AF97" s="205" t="str">
        <f t="shared" si="3"/>
        <v>C</v>
      </c>
      <c r="AG97" s="204" t="str">
        <f t="shared" si="4"/>
        <v>UTILIZOU O PDA CORRETAMENTE</v>
      </c>
      <c r="AH97" s="203"/>
      <c r="AI97" s="246" t="s">
        <v>6</v>
      </c>
      <c r="AJ97" s="246" t="str">
        <f t="shared" si="5"/>
        <v>SÃO PAULO</v>
      </c>
      <c r="AK97" s="247" t="s">
        <v>39</v>
      </c>
    </row>
    <row r="98" spans="1:37" s="204" customFormat="1" ht="30" customHeight="1">
      <c r="A98" s="215" t="s">
        <v>198</v>
      </c>
      <c r="B98" s="215">
        <v>2618770414</v>
      </c>
      <c r="C98" s="215" t="s">
        <v>100</v>
      </c>
      <c r="D98" s="215" t="s">
        <v>81</v>
      </c>
      <c r="E98" s="215" t="s">
        <v>5</v>
      </c>
      <c r="F98" s="215" t="s">
        <v>441</v>
      </c>
      <c r="G98" s="215">
        <v>255</v>
      </c>
      <c r="H98" s="215" t="s">
        <v>387</v>
      </c>
      <c r="I98" s="215" t="s">
        <v>442</v>
      </c>
      <c r="J98" s="215" t="s">
        <v>243</v>
      </c>
      <c r="K98" s="215" t="s">
        <v>443</v>
      </c>
      <c r="L98" s="216">
        <v>46178.638888888891</v>
      </c>
      <c r="M98" s="216">
        <v>46178.647916666669</v>
      </c>
      <c r="N98" s="215" t="s">
        <v>326</v>
      </c>
      <c r="O98" s="203" t="s">
        <v>205</v>
      </c>
      <c r="Q98" s="203" t="s">
        <v>205</v>
      </c>
      <c r="S98" s="203" t="s">
        <v>205</v>
      </c>
      <c r="U98" s="203" t="s">
        <v>205</v>
      </c>
      <c r="W98" s="203" t="s">
        <v>205</v>
      </c>
      <c r="Y98" s="203" t="s">
        <v>205</v>
      </c>
      <c r="AA98" s="203" t="s">
        <v>205</v>
      </c>
      <c r="AC98" s="203" t="s">
        <v>205</v>
      </c>
      <c r="AE98" s="203" t="s">
        <v>205</v>
      </c>
      <c r="AF98" s="205" t="str">
        <f t="shared" si="3"/>
        <v>C</v>
      </c>
      <c r="AG98" s="204" t="str">
        <f t="shared" si="4"/>
        <v>UTILIZOU O PDA CORRETAMENTE</v>
      </c>
      <c r="AH98" s="203" t="s">
        <v>205</v>
      </c>
      <c r="AI98" s="246" t="s">
        <v>6</v>
      </c>
      <c r="AJ98" s="246" t="str">
        <f t="shared" si="5"/>
        <v>SÃO PAULO</v>
      </c>
      <c r="AK98" s="247" t="s">
        <v>39</v>
      </c>
    </row>
    <row r="99" spans="1:37" s="204" customFormat="1" ht="30" customHeight="1">
      <c r="A99" s="215" t="s">
        <v>198</v>
      </c>
      <c r="B99" s="215">
        <v>2618925146</v>
      </c>
      <c r="C99" s="215" t="s">
        <v>444</v>
      </c>
      <c r="D99" s="215" t="s">
        <v>80</v>
      </c>
      <c r="E99" s="215" t="s">
        <v>5</v>
      </c>
      <c r="F99" s="215" t="s">
        <v>404</v>
      </c>
      <c r="G99" s="215">
        <v>681</v>
      </c>
      <c r="H99" s="215" t="s">
        <v>226</v>
      </c>
      <c r="I99" s="215" t="s">
        <v>397</v>
      </c>
      <c r="J99" s="215" t="s">
        <v>445</v>
      </c>
      <c r="K99" s="215" t="s">
        <v>446</v>
      </c>
      <c r="L99" s="216">
        <v>46208.597222222219</v>
      </c>
      <c r="M99" s="216">
        <v>46208.6</v>
      </c>
      <c r="N99" s="215" t="s">
        <v>217</v>
      </c>
      <c r="O99" s="203" t="s">
        <v>206</v>
      </c>
      <c r="Q99" s="203" t="s">
        <v>206</v>
      </c>
      <c r="S99" s="203" t="s">
        <v>206</v>
      </c>
      <c r="U99" s="203" t="s">
        <v>206</v>
      </c>
      <c r="W99" s="203" t="s">
        <v>206</v>
      </c>
      <c r="Y99" s="203" t="s">
        <v>206</v>
      </c>
      <c r="AA99" s="203" t="s">
        <v>206</v>
      </c>
      <c r="AC99" s="203" t="s">
        <v>206</v>
      </c>
      <c r="AE99" s="203" t="s">
        <v>239</v>
      </c>
      <c r="AF99" s="205" t="str">
        <f t="shared" si="3"/>
        <v>NC</v>
      </c>
      <c r="AG99" s="204" t="str">
        <f t="shared" si="4"/>
        <v>NÃO UTILIZOU O PDA</v>
      </c>
      <c r="AH99" s="203" t="s">
        <v>205</v>
      </c>
      <c r="AI99" s="246" t="s">
        <v>6</v>
      </c>
      <c r="AJ99" s="246" t="str">
        <f t="shared" si="5"/>
        <v>SÃO PAULO</v>
      </c>
      <c r="AK99" s="247" t="s">
        <v>39</v>
      </c>
    </row>
    <row r="100" spans="1:37" s="204" customFormat="1" ht="30" customHeight="1">
      <c r="A100" s="215" t="s">
        <v>198</v>
      </c>
      <c r="B100" s="215">
        <v>2618958022</v>
      </c>
      <c r="C100" s="215" t="s">
        <v>314</v>
      </c>
      <c r="D100" s="215" t="s">
        <v>77</v>
      </c>
      <c r="E100" s="215" t="s">
        <v>5</v>
      </c>
      <c r="F100" s="215" t="s">
        <v>447</v>
      </c>
      <c r="G100" s="215">
        <v>256</v>
      </c>
      <c r="H100" s="215" t="s">
        <v>226</v>
      </c>
      <c r="I100" s="215" t="s">
        <v>448</v>
      </c>
      <c r="J100" s="215" t="s">
        <v>317</v>
      </c>
      <c r="K100" s="215" t="s">
        <v>449</v>
      </c>
      <c r="L100" s="216">
        <v>46208.571527777778</v>
      </c>
      <c r="M100" s="216">
        <v>46208.580555555556</v>
      </c>
      <c r="N100" s="215" t="s">
        <v>235</v>
      </c>
      <c r="O100" s="203" t="s">
        <v>205</v>
      </c>
      <c r="Q100" s="203" t="s">
        <v>205</v>
      </c>
      <c r="S100" s="203" t="s">
        <v>205</v>
      </c>
      <c r="U100" s="203" t="s">
        <v>205</v>
      </c>
      <c r="W100" s="203" t="s">
        <v>205</v>
      </c>
      <c r="Y100" s="203" t="s">
        <v>205</v>
      </c>
      <c r="AA100" s="203" t="s">
        <v>205</v>
      </c>
      <c r="AC100" s="203" t="s">
        <v>205</v>
      </c>
      <c r="AE100" s="203" t="s">
        <v>205</v>
      </c>
      <c r="AF100" s="205" t="str">
        <f t="shared" si="3"/>
        <v>C</v>
      </c>
      <c r="AG100" s="204" t="str">
        <f t="shared" si="4"/>
        <v>UTILIZOU O PDA CORRETAMENTE</v>
      </c>
      <c r="AH100" s="203" t="s">
        <v>205</v>
      </c>
      <c r="AI100" s="246" t="s">
        <v>6</v>
      </c>
      <c r="AJ100" s="246" t="str">
        <f t="shared" si="5"/>
        <v>SÃO PAULO</v>
      </c>
      <c r="AK100" s="247" t="s">
        <v>39</v>
      </c>
    </row>
    <row r="101" spans="1:37" s="204" customFormat="1" ht="30" customHeight="1">
      <c r="A101" s="215" t="s">
        <v>198</v>
      </c>
      <c r="B101" s="215">
        <v>2618862015</v>
      </c>
      <c r="C101" s="215" t="s">
        <v>92</v>
      </c>
      <c r="D101" s="215" t="s">
        <v>77</v>
      </c>
      <c r="E101" s="215" t="s">
        <v>5</v>
      </c>
      <c r="F101" s="215" t="s">
        <v>272</v>
      </c>
      <c r="G101" s="215">
        <v>17</v>
      </c>
      <c r="H101" s="215" t="s">
        <v>250</v>
      </c>
      <c r="I101" s="215" t="s">
        <v>274</v>
      </c>
      <c r="J101" s="215" t="s">
        <v>329</v>
      </c>
      <c r="K101" s="215" t="s">
        <v>450</v>
      </c>
      <c r="L101" s="216">
        <v>46208.381944444445</v>
      </c>
      <c r="M101" s="216">
        <v>46208.445138888892</v>
      </c>
      <c r="N101" s="215" t="s">
        <v>235</v>
      </c>
      <c r="O101" s="203" t="s">
        <v>205</v>
      </c>
      <c r="Q101" s="203" t="s">
        <v>205</v>
      </c>
      <c r="S101" s="203" t="s">
        <v>205</v>
      </c>
      <c r="U101" s="203" t="s">
        <v>205</v>
      </c>
      <c r="W101" s="203" t="s">
        <v>205</v>
      </c>
      <c r="Y101" s="203" t="s">
        <v>205</v>
      </c>
      <c r="AA101" s="203" t="s">
        <v>205</v>
      </c>
      <c r="AC101" s="203" t="s">
        <v>205</v>
      </c>
      <c r="AE101" s="203" t="s">
        <v>205</v>
      </c>
      <c r="AF101" s="205" t="str">
        <f t="shared" si="3"/>
        <v>C</v>
      </c>
      <c r="AG101" s="204" t="str">
        <f t="shared" si="4"/>
        <v>UTILIZOU O PDA CORRETAMENTE</v>
      </c>
      <c r="AH101" s="203" t="s">
        <v>205</v>
      </c>
      <c r="AI101" s="246" t="s">
        <v>6</v>
      </c>
      <c r="AJ101" s="246" t="str">
        <f t="shared" si="5"/>
        <v>SÃO PAULO</v>
      </c>
      <c r="AK101" s="247" t="s">
        <v>39</v>
      </c>
    </row>
    <row r="102" spans="1:37" s="204" customFormat="1" ht="30" customHeight="1">
      <c r="A102" s="215" t="s">
        <v>198</v>
      </c>
      <c r="B102" s="215">
        <v>2618958141</v>
      </c>
      <c r="C102" s="215" t="s">
        <v>314</v>
      </c>
      <c r="D102" s="215" t="s">
        <v>77</v>
      </c>
      <c r="E102" s="215" t="s">
        <v>5</v>
      </c>
      <c r="F102" s="215" t="s">
        <v>447</v>
      </c>
      <c r="G102" s="215">
        <v>256</v>
      </c>
      <c r="H102" s="215" t="s">
        <v>318</v>
      </c>
      <c r="I102" s="215" t="s">
        <v>448</v>
      </c>
      <c r="J102" s="215" t="s">
        <v>317</v>
      </c>
      <c r="K102" s="215"/>
      <c r="L102" s="216">
        <v>46208.567361111112</v>
      </c>
      <c r="M102" s="216">
        <v>46208.570138888892</v>
      </c>
      <c r="N102" s="215" t="s">
        <v>235</v>
      </c>
      <c r="O102" s="203" t="s">
        <v>205</v>
      </c>
      <c r="Q102" s="203" t="s">
        <v>62</v>
      </c>
      <c r="S102" s="203" t="s">
        <v>62</v>
      </c>
      <c r="U102" s="203" t="s">
        <v>62</v>
      </c>
      <c r="W102" s="203" t="s">
        <v>62</v>
      </c>
      <c r="Y102" s="203" t="s">
        <v>62</v>
      </c>
      <c r="AA102" s="203" t="s">
        <v>62</v>
      </c>
      <c r="AC102" s="203" t="s">
        <v>205</v>
      </c>
      <c r="AE102" s="203" t="s">
        <v>205</v>
      </c>
      <c r="AF102" s="205" t="str">
        <f t="shared" si="3"/>
        <v>C</v>
      </c>
      <c r="AG102" s="204" t="str">
        <f t="shared" si="4"/>
        <v>UTILIZOU O PDA CORRETAMENTE</v>
      </c>
      <c r="AH102" s="203" t="s">
        <v>205</v>
      </c>
      <c r="AI102" s="246" t="s">
        <v>6</v>
      </c>
      <c r="AJ102" s="246" t="str">
        <f t="shared" si="5"/>
        <v>SÃO PAULO</v>
      </c>
      <c r="AK102" s="247" t="s">
        <v>39</v>
      </c>
    </row>
    <row r="103" spans="1:37" s="204" customFormat="1" ht="30" customHeight="1">
      <c r="A103" s="215" t="s">
        <v>198</v>
      </c>
      <c r="B103" s="215">
        <v>2618879150</v>
      </c>
      <c r="C103" s="215" t="s">
        <v>100</v>
      </c>
      <c r="D103" s="215" t="s">
        <v>81</v>
      </c>
      <c r="E103" s="215" t="s">
        <v>5</v>
      </c>
      <c r="F103" s="215" t="s">
        <v>451</v>
      </c>
      <c r="G103" s="215">
        <v>169</v>
      </c>
      <c r="H103" s="215" t="s">
        <v>200</v>
      </c>
      <c r="I103" s="215" t="s">
        <v>237</v>
      </c>
      <c r="J103" s="215" t="s">
        <v>243</v>
      </c>
      <c r="K103" s="215" t="s">
        <v>200</v>
      </c>
      <c r="L103" s="216">
        <v>46208.256944444445</v>
      </c>
      <c r="M103" s="216">
        <v>46208.257638888892</v>
      </c>
      <c r="N103" s="215" t="s">
        <v>326</v>
      </c>
      <c r="O103" s="203" t="s">
        <v>205</v>
      </c>
      <c r="Q103" s="203" t="s">
        <v>205</v>
      </c>
      <c r="S103" s="203" t="s">
        <v>206</v>
      </c>
      <c r="U103" s="203" t="s">
        <v>205</v>
      </c>
      <c r="W103" s="203" t="s">
        <v>205</v>
      </c>
      <c r="Y103" s="203" t="s">
        <v>205</v>
      </c>
      <c r="AA103" s="203" t="s">
        <v>205</v>
      </c>
      <c r="AC103" s="203" t="s">
        <v>205</v>
      </c>
      <c r="AE103" s="203" t="s">
        <v>205</v>
      </c>
      <c r="AF103" s="205" t="str">
        <f t="shared" si="3"/>
        <v>NC</v>
      </c>
      <c r="AG103" s="204" t="str">
        <f t="shared" si="4"/>
        <v>UTILIZOU O PDA CORRETAMENTE. NÃO HÁ FOTOS DE TODAS AS ETAPAS</v>
      </c>
      <c r="AH103" s="203" t="s">
        <v>205</v>
      </c>
      <c r="AI103" s="246" t="s">
        <v>6</v>
      </c>
      <c r="AJ103" s="246" t="str">
        <f t="shared" si="5"/>
        <v>SÃO PAULO</v>
      </c>
      <c r="AK103" s="247" t="s">
        <v>39</v>
      </c>
    </row>
    <row r="104" spans="1:37" s="204" customFormat="1" ht="30" customHeight="1">
      <c r="A104" s="215" t="s">
        <v>198</v>
      </c>
      <c r="B104" s="215">
        <v>2618885088</v>
      </c>
      <c r="C104" s="215" t="s">
        <v>89</v>
      </c>
      <c r="D104" s="215" t="s">
        <v>78</v>
      </c>
      <c r="E104" s="215" t="s">
        <v>5</v>
      </c>
      <c r="F104" s="215" t="s">
        <v>452</v>
      </c>
      <c r="G104" s="215">
        <v>339</v>
      </c>
      <c r="H104" s="215" t="s">
        <v>226</v>
      </c>
      <c r="I104" s="215" t="s">
        <v>215</v>
      </c>
      <c r="J104" s="215" t="s">
        <v>238</v>
      </c>
      <c r="K104" s="215" t="s">
        <v>453</v>
      </c>
      <c r="L104" s="216">
        <v>46208.381249999999</v>
      </c>
      <c r="M104" s="216">
        <v>46208.381944444445</v>
      </c>
      <c r="N104" s="215" t="s">
        <v>359</v>
      </c>
      <c r="O104" s="203" t="s">
        <v>205</v>
      </c>
      <c r="Q104" s="203" t="s">
        <v>206</v>
      </c>
      <c r="S104" s="203" t="s">
        <v>206</v>
      </c>
      <c r="U104" s="203" t="s">
        <v>206</v>
      </c>
      <c r="W104" s="203" t="s">
        <v>206</v>
      </c>
      <c r="Y104" s="203" t="s">
        <v>206</v>
      </c>
      <c r="AA104" s="203" t="s">
        <v>206</v>
      </c>
      <c r="AC104" s="203" t="s">
        <v>206</v>
      </c>
      <c r="AE104" s="203" t="s">
        <v>205</v>
      </c>
      <c r="AF104" s="205" t="str">
        <f t="shared" si="3"/>
        <v>NC</v>
      </c>
      <c r="AG104" s="204" t="str">
        <f t="shared" si="4"/>
        <v>UTILIZOU O PDA CORRETAMENTE. NÃO HÁ FOTOS DE TODAS AS ETAPAS</v>
      </c>
      <c r="AH104" s="203"/>
      <c r="AI104" s="246" t="s">
        <v>6</v>
      </c>
      <c r="AJ104" s="246" t="str">
        <f t="shared" si="5"/>
        <v>SÃO PAULO</v>
      </c>
      <c r="AK104" s="247" t="s">
        <v>39</v>
      </c>
    </row>
    <row r="105" spans="1:37" s="204" customFormat="1" ht="30" customHeight="1">
      <c r="A105" s="215" t="s">
        <v>198</v>
      </c>
      <c r="B105" s="215">
        <v>2618600507</v>
      </c>
      <c r="C105" s="215" t="s">
        <v>92</v>
      </c>
      <c r="D105" s="215" t="s">
        <v>77</v>
      </c>
      <c r="E105" s="215" t="s">
        <v>5</v>
      </c>
      <c r="F105" s="215" t="s">
        <v>454</v>
      </c>
      <c r="G105" s="215">
        <v>535</v>
      </c>
      <c r="H105" s="215" t="s">
        <v>200</v>
      </c>
      <c r="I105" s="215" t="s">
        <v>402</v>
      </c>
      <c r="J105" s="215" t="s">
        <v>329</v>
      </c>
      <c r="K105" s="215" t="s">
        <v>313</v>
      </c>
      <c r="L105" s="216">
        <v>46208.488888888889</v>
      </c>
      <c r="M105" s="216">
        <v>46208.493055555555</v>
      </c>
      <c r="N105" s="215" t="s">
        <v>310</v>
      </c>
      <c r="O105" s="203" t="s">
        <v>205</v>
      </c>
      <c r="Q105" s="203" t="s">
        <v>205</v>
      </c>
      <c r="S105" s="203" t="s">
        <v>205</v>
      </c>
      <c r="U105" s="203" t="s">
        <v>205</v>
      </c>
      <c r="W105" s="203" t="s">
        <v>205</v>
      </c>
      <c r="Y105" s="203" t="s">
        <v>205</v>
      </c>
      <c r="AA105" s="203" t="s">
        <v>205</v>
      </c>
      <c r="AC105" s="203" t="s">
        <v>205</v>
      </c>
      <c r="AE105" s="203" t="s">
        <v>205</v>
      </c>
      <c r="AF105" s="205" t="str">
        <f t="shared" si="3"/>
        <v>C</v>
      </c>
      <c r="AG105" s="204" t="str">
        <f t="shared" si="4"/>
        <v>UTILIZOU O PDA CORRETAMENTE</v>
      </c>
      <c r="AH105" s="203" t="s">
        <v>205</v>
      </c>
      <c r="AI105" s="246" t="s">
        <v>6</v>
      </c>
      <c r="AJ105" s="246" t="str">
        <f t="shared" si="5"/>
        <v>SÃO PAULO</v>
      </c>
      <c r="AK105" s="247" t="s">
        <v>39</v>
      </c>
    </row>
    <row r="106" spans="1:37" s="204" customFormat="1" ht="30" customHeight="1">
      <c r="A106" s="215" t="s">
        <v>198</v>
      </c>
      <c r="B106" s="215">
        <v>2618926014</v>
      </c>
      <c r="C106" s="215" t="s">
        <v>106</v>
      </c>
      <c r="D106" s="215" t="s">
        <v>81</v>
      </c>
      <c r="E106" s="215" t="s">
        <v>5</v>
      </c>
      <c r="F106" s="215" t="s">
        <v>455</v>
      </c>
      <c r="G106" s="215">
        <v>259</v>
      </c>
      <c r="H106" s="215" t="s">
        <v>302</v>
      </c>
      <c r="I106" s="215" t="s">
        <v>299</v>
      </c>
      <c r="J106" s="215" t="s">
        <v>350</v>
      </c>
      <c r="K106" s="215" t="s">
        <v>456</v>
      </c>
      <c r="L106" s="216">
        <v>46208.413888888892</v>
      </c>
      <c r="M106" s="216">
        <v>46208.415972222225</v>
      </c>
      <c r="N106" s="215" t="s">
        <v>357</v>
      </c>
      <c r="O106" s="203" t="s">
        <v>205</v>
      </c>
      <c r="Q106" s="203" t="s">
        <v>205</v>
      </c>
      <c r="S106" s="203" t="s">
        <v>62</v>
      </c>
      <c r="T106" s="204" t="s">
        <v>457</v>
      </c>
      <c r="U106" s="203" t="s">
        <v>205</v>
      </c>
      <c r="W106" s="203" t="s">
        <v>205</v>
      </c>
      <c r="Y106" s="203" t="s">
        <v>62</v>
      </c>
      <c r="AA106" s="203" t="s">
        <v>205</v>
      </c>
      <c r="AC106" s="203" t="s">
        <v>205</v>
      </c>
      <c r="AE106" s="203" t="s">
        <v>205</v>
      </c>
      <c r="AF106" s="205" t="str">
        <f t="shared" si="3"/>
        <v>C</v>
      </c>
      <c r="AG106" s="204" t="str">
        <f t="shared" si="4"/>
        <v>UTILIZOU O PDA CORRETAMENTE</v>
      </c>
      <c r="AH106" s="203" t="s">
        <v>205</v>
      </c>
      <c r="AI106" s="246" t="s">
        <v>6</v>
      </c>
      <c r="AJ106" s="246" t="str">
        <f t="shared" si="5"/>
        <v>SÃO PAULO</v>
      </c>
      <c r="AK106" s="247" t="s">
        <v>39</v>
      </c>
    </row>
    <row r="107" spans="1:37" s="204" customFormat="1" ht="30" customHeight="1">
      <c r="A107" s="215" t="s">
        <v>198</v>
      </c>
      <c r="B107" s="215">
        <v>2618862799</v>
      </c>
      <c r="C107" s="215" t="s">
        <v>105</v>
      </c>
      <c r="D107" s="215" t="s">
        <v>81</v>
      </c>
      <c r="E107" s="215" t="s">
        <v>5</v>
      </c>
      <c r="F107" s="215" t="s">
        <v>458</v>
      </c>
      <c r="G107" s="215">
        <v>1315</v>
      </c>
      <c r="H107" s="215" t="s">
        <v>200</v>
      </c>
      <c r="I107" s="215" t="s">
        <v>219</v>
      </c>
      <c r="J107" s="215" t="s">
        <v>459</v>
      </c>
      <c r="K107" s="215" t="s">
        <v>200</v>
      </c>
      <c r="L107" s="216">
        <v>46208.479861111111</v>
      </c>
      <c r="M107" s="216">
        <v>46208.714583333334</v>
      </c>
      <c r="N107" s="215" t="s">
        <v>221</v>
      </c>
      <c r="O107" s="203" t="s">
        <v>205</v>
      </c>
      <c r="Q107" s="203" t="s">
        <v>205</v>
      </c>
      <c r="S107" s="203" t="s">
        <v>205</v>
      </c>
      <c r="U107" s="203" t="s">
        <v>205</v>
      </c>
      <c r="W107" s="203" t="s">
        <v>205</v>
      </c>
      <c r="Y107" s="203" t="s">
        <v>62</v>
      </c>
      <c r="AA107" s="203" t="s">
        <v>205</v>
      </c>
      <c r="AC107" s="203" t="s">
        <v>205</v>
      </c>
      <c r="AE107" s="203" t="s">
        <v>205</v>
      </c>
      <c r="AF107" s="205" t="str">
        <f t="shared" si="3"/>
        <v>C</v>
      </c>
      <c r="AG107" s="204" t="str">
        <f t="shared" si="4"/>
        <v>UTILIZOU O PDA CORRETAMENTE</v>
      </c>
      <c r="AH107" s="203" t="s">
        <v>205</v>
      </c>
      <c r="AI107" s="246" t="s">
        <v>6</v>
      </c>
      <c r="AJ107" s="246" t="str">
        <f t="shared" si="5"/>
        <v>SÃO PAULO</v>
      </c>
      <c r="AK107" s="247" t="s">
        <v>39</v>
      </c>
    </row>
    <row r="108" spans="1:37" s="204" customFormat="1" ht="30" customHeight="1">
      <c r="A108" s="215" t="s">
        <v>198</v>
      </c>
      <c r="B108" s="215">
        <v>2619167749</v>
      </c>
      <c r="C108" s="215" t="s">
        <v>287</v>
      </c>
      <c r="D108" s="215" t="s">
        <v>81</v>
      </c>
      <c r="E108" s="215" t="s">
        <v>5</v>
      </c>
      <c r="F108" s="215" t="s">
        <v>460</v>
      </c>
      <c r="G108" s="215">
        <v>193</v>
      </c>
      <c r="H108" s="215"/>
      <c r="I108" s="215" t="s">
        <v>461</v>
      </c>
      <c r="J108" s="215" t="s">
        <v>290</v>
      </c>
      <c r="K108" s="215"/>
      <c r="L108" s="216">
        <v>46208.493055555555</v>
      </c>
      <c r="M108" s="216">
        <v>46208.493750000001</v>
      </c>
      <c r="N108" s="215" t="s">
        <v>230</v>
      </c>
      <c r="O108" s="203" t="s">
        <v>62</v>
      </c>
      <c r="Q108" s="203" t="s">
        <v>62</v>
      </c>
      <c r="S108" s="203" t="s">
        <v>62</v>
      </c>
      <c r="U108" s="203" t="s">
        <v>62</v>
      </c>
      <c r="W108" s="203" t="s">
        <v>62</v>
      </c>
      <c r="Y108" s="203" t="s">
        <v>62</v>
      </c>
      <c r="AA108" s="203" t="s">
        <v>62</v>
      </c>
      <c r="AC108" s="203" t="s">
        <v>62</v>
      </c>
      <c r="AE108" s="203" t="s">
        <v>62</v>
      </c>
      <c r="AF108" s="205" t="str">
        <f t="shared" si="3"/>
        <v>NA</v>
      </c>
      <c r="AG108" s="204" t="str">
        <f t="shared" si="4"/>
        <v>NÃO AVALIADO POR FALHA DE SINCRONISMO</v>
      </c>
      <c r="AH108" s="203" t="s">
        <v>205</v>
      </c>
      <c r="AI108" s="246" t="s">
        <v>6</v>
      </c>
      <c r="AJ108" s="246" t="str">
        <f t="shared" si="5"/>
        <v>SÃO PAULO</v>
      </c>
      <c r="AK108" s="247" t="s">
        <v>39</v>
      </c>
    </row>
    <row r="109" spans="1:37" s="204" customFormat="1" ht="30" customHeight="1">
      <c r="A109" s="215" t="s">
        <v>198</v>
      </c>
      <c r="B109" s="215">
        <v>2618863416</v>
      </c>
      <c r="C109" s="215" t="s">
        <v>287</v>
      </c>
      <c r="D109" s="215" t="s">
        <v>81</v>
      </c>
      <c r="E109" s="215" t="s">
        <v>5</v>
      </c>
      <c r="F109" s="215" t="s">
        <v>462</v>
      </c>
      <c r="G109" s="215">
        <v>38</v>
      </c>
      <c r="H109" s="215" t="s">
        <v>318</v>
      </c>
      <c r="I109" s="215" t="s">
        <v>419</v>
      </c>
      <c r="J109" s="215" t="s">
        <v>290</v>
      </c>
      <c r="K109" s="215" t="s">
        <v>463</v>
      </c>
      <c r="L109" s="216">
        <v>46208.581944444442</v>
      </c>
      <c r="M109" s="216">
        <v>46208.584027777775</v>
      </c>
      <c r="N109" s="215" t="s">
        <v>230</v>
      </c>
      <c r="O109" s="203" t="s">
        <v>205</v>
      </c>
      <c r="Q109" s="203" t="s">
        <v>205</v>
      </c>
      <c r="S109" s="203" t="s">
        <v>62</v>
      </c>
      <c r="U109" s="203" t="s">
        <v>62</v>
      </c>
      <c r="W109" s="203" t="s">
        <v>62</v>
      </c>
      <c r="Y109" s="203" t="s">
        <v>62</v>
      </c>
      <c r="AA109" s="203" t="s">
        <v>205</v>
      </c>
      <c r="AC109" s="203" t="s">
        <v>205</v>
      </c>
      <c r="AE109" s="203" t="s">
        <v>205</v>
      </c>
      <c r="AF109" s="205" t="str">
        <f t="shared" si="3"/>
        <v>C</v>
      </c>
      <c r="AG109" s="204" t="str">
        <f t="shared" si="4"/>
        <v>UTILIZOU O PDA CORRETAMENTE</v>
      </c>
      <c r="AH109" s="203"/>
      <c r="AI109" s="246" t="s">
        <v>6</v>
      </c>
      <c r="AJ109" s="246" t="str">
        <f t="shared" si="5"/>
        <v>SÃO PAULO</v>
      </c>
      <c r="AK109" s="247" t="s">
        <v>39</v>
      </c>
    </row>
    <row r="110" spans="1:37" s="204" customFormat="1" ht="30" customHeight="1">
      <c r="A110" s="215" t="s">
        <v>198</v>
      </c>
      <c r="B110" s="215">
        <v>2618459598</v>
      </c>
      <c r="C110" s="215" t="s">
        <v>100</v>
      </c>
      <c r="D110" s="215" t="s">
        <v>81</v>
      </c>
      <c r="E110" s="215" t="s">
        <v>5</v>
      </c>
      <c r="F110" s="215" t="s">
        <v>464</v>
      </c>
      <c r="G110" s="215">
        <v>378</v>
      </c>
      <c r="H110" s="215"/>
      <c r="I110" s="215" t="s">
        <v>465</v>
      </c>
      <c r="J110" s="215" t="s">
        <v>243</v>
      </c>
      <c r="K110" s="215" t="s">
        <v>466</v>
      </c>
      <c r="L110" s="216">
        <v>46208.545138888891</v>
      </c>
      <c r="M110" s="216">
        <v>46208.546527777777</v>
      </c>
      <c r="N110" s="215" t="s">
        <v>357</v>
      </c>
      <c r="O110" s="203" t="s">
        <v>205</v>
      </c>
      <c r="Q110" s="203" t="s">
        <v>205</v>
      </c>
      <c r="S110" s="203" t="s">
        <v>205</v>
      </c>
      <c r="U110" s="203" t="s">
        <v>205</v>
      </c>
      <c r="W110" s="203" t="s">
        <v>205</v>
      </c>
      <c r="Y110" s="203" t="s">
        <v>239</v>
      </c>
      <c r="Z110" s="204" t="s">
        <v>386</v>
      </c>
      <c r="AA110" s="203" t="s">
        <v>205</v>
      </c>
      <c r="AC110" s="203" t="s">
        <v>205</v>
      </c>
      <c r="AE110" s="203" t="s">
        <v>205</v>
      </c>
      <c r="AF110" s="205" t="str">
        <f t="shared" si="3"/>
        <v>NC</v>
      </c>
      <c r="AG110" s="204" t="str">
        <f t="shared" si="4"/>
        <v>UTILIZOU O PDA CORRETAMENTE. NÃO HÁ FOTOS DE TODAS AS ETAPAS</v>
      </c>
      <c r="AH110" s="203" t="s">
        <v>205</v>
      </c>
      <c r="AI110" s="246" t="s">
        <v>6</v>
      </c>
      <c r="AJ110" s="246" t="str">
        <f t="shared" si="5"/>
        <v>SÃO PAULO</v>
      </c>
      <c r="AK110" s="247" t="s">
        <v>39</v>
      </c>
    </row>
    <row r="111" spans="1:37" s="204" customFormat="1" ht="30" customHeight="1">
      <c r="A111" s="215" t="s">
        <v>198</v>
      </c>
      <c r="B111" s="215">
        <v>2692649483</v>
      </c>
      <c r="C111" s="215" t="s">
        <v>107</v>
      </c>
      <c r="D111" s="215" t="s">
        <v>81</v>
      </c>
      <c r="E111" s="215" t="s">
        <v>5</v>
      </c>
      <c r="F111" s="215" t="s">
        <v>467</v>
      </c>
      <c r="G111" s="215">
        <v>10</v>
      </c>
      <c r="H111" s="215" t="s">
        <v>200</v>
      </c>
      <c r="I111" s="215" t="s">
        <v>227</v>
      </c>
      <c r="J111" s="215" t="s">
        <v>322</v>
      </c>
      <c r="K111" s="215" t="s">
        <v>200</v>
      </c>
      <c r="L111" s="216">
        <v>46208.611805555556</v>
      </c>
      <c r="M111" s="216">
        <v>46208.651388888888</v>
      </c>
      <c r="N111" s="215" t="s">
        <v>359</v>
      </c>
      <c r="O111" s="203" t="s">
        <v>205</v>
      </c>
      <c r="Q111" s="203" t="s">
        <v>205</v>
      </c>
      <c r="S111" s="203" t="s">
        <v>205</v>
      </c>
      <c r="U111" s="203" t="s">
        <v>205</v>
      </c>
      <c r="W111" s="203" t="s">
        <v>205</v>
      </c>
      <c r="Y111" s="203" t="s">
        <v>62</v>
      </c>
      <c r="AA111" s="203" t="s">
        <v>205</v>
      </c>
      <c r="AC111" s="203" t="s">
        <v>205</v>
      </c>
      <c r="AE111" s="203" t="s">
        <v>205</v>
      </c>
      <c r="AF111" s="205" t="str">
        <f t="shared" si="3"/>
        <v>C</v>
      </c>
      <c r="AG111" s="204" t="str">
        <f t="shared" si="4"/>
        <v>UTILIZOU O PDA CORRETAMENTE</v>
      </c>
      <c r="AH111" s="203" t="s">
        <v>205</v>
      </c>
      <c r="AI111" s="246" t="s">
        <v>6</v>
      </c>
      <c r="AJ111" s="246" t="str">
        <f t="shared" si="5"/>
        <v>SÃO PAULO</v>
      </c>
      <c r="AK111" s="247" t="s">
        <v>39</v>
      </c>
    </row>
    <row r="112" spans="1:37" s="204" customFormat="1" ht="30" customHeight="1">
      <c r="A112" s="215" t="s">
        <v>198</v>
      </c>
      <c r="B112" s="215">
        <v>2692539379</v>
      </c>
      <c r="C112" s="215" t="s">
        <v>99</v>
      </c>
      <c r="D112" s="215" t="s">
        <v>81</v>
      </c>
      <c r="E112" s="215" t="s">
        <v>5</v>
      </c>
      <c r="F112" s="215" t="s">
        <v>362</v>
      </c>
      <c r="G112" s="215">
        <v>1136</v>
      </c>
      <c r="H112" s="215"/>
      <c r="I112" s="215" t="s">
        <v>366</v>
      </c>
      <c r="J112" s="215" t="s">
        <v>268</v>
      </c>
      <c r="K112" s="215"/>
      <c r="L112" s="216">
        <v>46208.256944444445</v>
      </c>
      <c r="M112" s="216">
        <v>46208.257638888892</v>
      </c>
      <c r="N112" s="215" t="s">
        <v>248</v>
      </c>
      <c r="O112" s="203" t="s">
        <v>205</v>
      </c>
      <c r="Q112" s="203" t="s">
        <v>205</v>
      </c>
      <c r="S112" s="203" t="s">
        <v>205</v>
      </c>
      <c r="U112" s="203" t="s">
        <v>205</v>
      </c>
      <c r="W112" s="203" t="s">
        <v>205</v>
      </c>
      <c r="Y112" s="203" t="s">
        <v>205</v>
      </c>
      <c r="AA112" s="203" t="s">
        <v>205</v>
      </c>
      <c r="AC112" s="203" t="s">
        <v>205</v>
      </c>
      <c r="AE112" s="203" t="s">
        <v>205</v>
      </c>
      <c r="AF112" s="205" t="str">
        <f t="shared" si="3"/>
        <v>C</v>
      </c>
      <c r="AG112" s="204" t="str">
        <f t="shared" si="4"/>
        <v>UTILIZOU O PDA CORRETAMENTE</v>
      </c>
      <c r="AH112" s="203" t="s">
        <v>205</v>
      </c>
      <c r="AI112" s="246" t="s">
        <v>6</v>
      </c>
      <c r="AJ112" s="246" t="str">
        <f t="shared" si="5"/>
        <v>SÃO PAULO</v>
      </c>
      <c r="AK112" s="247" t="s">
        <v>39</v>
      </c>
    </row>
    <row r="113" spans="1:37" s="204" customFormat="1" ht="30" customHeight="1">
      <c r="A113" s="215" t="s">
        <v>198</v>
      </c>
      <c r="B113" s="215">
        <v>2619147098</v>
      </c>
      <c r="C113" s="215" t="s">
        <v>100</v>
      </c>
      <c r="D113" s="215" t="s">
        <v>81</v>
      </c>
      <c r="E113" s="215" t="s">
        <v>5</v>
      </c>
      <c r="F113" s="215" t="s">
        <v>362</v>
      </c>
      <c r="G113" s="215">
        <v>1138</v>
      </c>
      <c r="H113" s="215" t="s">
        <v>200</v>
      </c>
      <c r="I113" s="215" t="s">
        <v>366</v>
      </c>
      <c r="J113" s="215" t="s">
        <v>243</v>
      </c>
      <c r="K113" s="215" t="s">
        <v>468</v>
      </c>
      <c r="L113" s="216">
        <v>46208.543749999997</v>
      </c>
      <c r="M113" s="216">
        <v>46208.54583333333</v>
      </c>
      <c r="N113" s="215" t="s">
        <v>248</v>
      </c>
      <c r="O113" s="203" t="s">
        <v>205</v>
      </c>
      <c r="Q113" s="203" t="s">
        <v>205</v>
      </c>
      <c r="S113" s="203" t="s">
        <v>205</v>
      </c>
      <c r="U113" s="203" t="s">
        <v>205</v>
      </c>
      <c r="W113" s="203" t="s">
        <v>205</v>
      </c>
      <c r="Y113" s="203" t="s">
        <v>205</v>
      </c>
      <c r="AA113" s="203" t="s">
        <v>205</v>
      </c>
      <c r="AC113" s="203" t="s">
        <v>205</v>
      </c>
      <c r="AE113" s="203" t="s">
        <v>205</v>
      </c>
      <c r="AF113" s="205" t="str">
        <f t="shared" si="3"/>
        <v>C</v>
      </c>
      <c r="AG113" s="204" t="str">
        <f t="shared" si="4"/>
        <v>UTILIZOU O PDA CORRETAMENTE</v>
      </c>
      <c r="AH113" s="203" t="s">
        <v>205</v>
      </c>
      <c r="AI113" s="246" t="s">
        <v>6</v>
      </c>
      <c r="AJ113" s="246" t="str">
        <f t="shared" si="5"/>
        <v>SÃO PAULO</v>
      </c>
      <c r="AK113" s="247" t="s">
        <v>39</v>
      </c>
    </row>
    <row r="114" spans="1:37" s="204" customFormat="1" ht="30" customHeight="1">
      <c r="A114" s="215" t="s">
        <v>198</v>
      </c>
      <c r="B114" s="215">
        <v>2619166440</v>
      </c>
      <c r="C114" s="215" t="s">
        <v>107</v>
      </c>
      <c r="D114" s="215" t="s">
        <v>81</v>
      </c>
      <c r="E114" s="215" t="s">
        <v>5</v>
      </c>
      <c r="F114" s="215" t="s">
        <v>469</v>
      </c>
      <c r="G114" s="215">
        <v>103</v>
      </c>
      <c r="H114" s="215"/>
      <c r="I114" s="215" t="s">
        <v>470</v>
      </c>
      <c r="J114" s="215" t="s">
        <v>220</v>
      </c>
      <c r="K114" s="215" t="s">
        <v>471</v>
      </c>
      <c r="L114" s="216">
        <v>46208.673611111109</v>
      </c>
      <c r="M114" s="216">
        <v>46208.679861111108</v>
      </c>
      <c r="N114" s="215" t="s">
        <v>248</v>
      </c>
      <c r="O114" s="203" t="s">
        <v>205</v>
      </c>
      <c r="Q114" s="203" t="s">
        <v>205</v>
      </c>
      <c r="S114" s="203" t="s">
        <v>205</v>
      </c>
      <c r="U114" s="203" t="s">
        <v>205</v>
      </c>
      <c r="W114" s="203" t="s">
        <v>205</v>
      </c>
      <c r="Y114" s="203" t="s">
        <v>62</v>
      </c>
      <c r="AA114" s="203" t="s">
        <v>205</v>
      </c>
      <c r="AC114" s="203" t="s">
        <v>205</v>
      </c>
      <c r="AE114" s="203" t="s">
        <v>205</v>
      </c>
      <c r="AF114" s="205" t="str">
        <f t="shared" si="3"/>
        <v>C</v>
      </c>
      <c r="AG114" s="204" t="str">
        <f t="shared" si="4"/>
        <v>UTILIZOU O PDA CORRETAMENTE</v>
      </c>
      <c r="AH114" s="203" t="s">
        <v>205</v>
      </c>
      <c r="AI114" s="246" t="s">
        <v>6</v>
      </c>
      <c r="AJ114" s="246" t="str">
        <f t="shared" si="5"/>
        <v>SÃO PAULO</v>
      </c>
      <c r="AK114" s="247" t="s">
        <v>39</v>
      </c>
    </row>
    <row r="115" spans="1:37" s="204" customFormat="1" ht="30" customHeight="1">
      <c r="A115" s="215" t="s">
        <v>198</v>
      </c>
      <c r="B115" s="215">
        <v>2619157368</v>
      </c>
      <c r="C115" s="215" t="s">
        <v>101</v>
      </c>
      <c r="D115" s="215" t="s">
        <v>79</v>
      </c>
      <c r="E115" s="215" t="s">
        <v>5</v>
      </c>
      <c r="F115" s="215" t="s">
        <v>472</v>
      </c>
      <c r="G115" s="215">
        <v>529</v>
      </c>
      <c r="H115" s="215" t="s">
        <v>200</v>
      </c>
      <c r="I115" s="215" t="s">
        <v>215</v>
      </c>
      <c r="J115" s="215" t="s">
        <v>233</v>
      </c>
      <c r="K115" s="215" t="s">
        <v>473</v>
      </c>
      <c r="L115" s="216">
        <v>46208.63958333333</v>
      </c>
      <c r="M115" s="216">
        <v>46208.754861111112</v>
      </c>
      <c r="N115" s="215" t="s">
        <v>310</v>
      </c>
      <c r="O115" s="203" t="s">
        <v>205</v>
      </c>
      <c r="Q115" s="203" t="s">
        <v>205</v>
      </c>
      <c r="S115" s="203" t="s">
        <v>205</v>
      </c>
      <c r="U115" s="203" t="s">
        <v>205</v>
      </c>
      <c r="W115" s="203" t="s">
        <v>205</v>
      </c>
      <c r="Y115" s="203" t="s">
        <v>205</v>
      </c>
      <c r="AA115" s="203" t="s">
        <v>205</v>
      </c>
      <c r="AC115" s="203" t="s">
        <v>205</v>
      </c>
      <c r="AE115" s="203" t="s">
        <v>205</v>
      </c>
      <c r="AF115" s="205" t="str">
        <f t="shared" si="3"/>
        <v>C</v>
      </c>
      <c r="AG115" s="204" t="str">
        <f t="shared" si="4"/>
        <v>UTILIZOU O PDA CORRETAMENTE</v>
      </c>
      <c r="AH115" s="203" t="s">
        <v>205</v>
      </c>
      <c r="AI115" s="246" t="s">
        <v>6</v>
      </c>
      <c r="AJ115" s="246" t="str">
        <f t="shared" si="5"/>
        <v>SÃO PAULO</v>
      </c>
      <c r="AK115" s="247" t="s">
        <v>39</v>
      </c>
    </row>
    <row r="116" spans="1:37" s="204" customFormat="1" ht="30" customHeight="1">
      <c r="A116" s="215" t="s">
        <v>198</v>
      </c>
      <c r="B116" s="215">
        <v>2619192284</v>
      </c>
      <c r="C116" s="215" t="s">
        <v>90</v>
      </c>
      <c r="D116" s="215" t="s">
        <v>78</v>
      </c>
      <c r="E116" s="215" t="s">
        <v>5</v>
      </c>
      <c r="F116" s="215" t="s">
        <v>474</v>
      </c>
      <c r="G116" s="215">
        <v>0</v>
      </c>
      <c r="H116" s="215"/>
      <c r="I116" s="215" t="s">
        <v>382</v>
      </c>
      <c r="J116" s="215" t="s">
        <v>261</v>
      </c>
      <c r="K116" s="215" t="s">
        <v>475</v>
      </c>
      <c r="L116" s="216">
        <v>46208.670138888891</v>
      </c>
      <c r="M116" s="216">
        <v>46208.671527777777</v>
      </c>
      <c r="N116" s="215" t="s">
        <v>217</v>
      </c>
      <c r="O116" s="203" t="s">
        <v>205</v>
      </c>
      <c r="Q116" s="203" t="s">
        <v>205</v>
      </c>
      <c r="S116" s="203" t="s">
        <v>205</v>
      </c>
      <c r="U116" s="203" t="s">
        <v>205</v>
      </c>
      <c r="W116" s="203" t="s">
        <v>205</v>
      </c>
      <c r="Y116" s="203" t="s">
        <v>62</v>
      </c>
      <c r="AA116" s="203" t="s">
        <v>205</v>
      </c>
      <c r="AC116" s="203" t="s">
        <v>205</v>
      </c>
      <c r="AE116" s="203" t="s">
        <v>205</v>
      </c>
      <c r="AF116" s="205" t="str">
        <f t="shared" si="3"/>
        <v>C</v>
      </c>
      <c r="AG116" s="204" t="str">
        <f t="shared" si="4"/>
        <v>UTILIZOU O PDA CORRETAMENTE</v>
      </c>
      <c r="AH116" s="203" t="s">
        <v>205</v>
      </c>
      <c r="AI116" s="246" t="s">
        <v>6</v>
      </c>
      <c r="AJ116" s="246" t="str">
        <f t="shared" si="5"/>
        <v>SÃO PAULO</v>
      </c>
      <c r="AK116" s="247" t="s">
        <v>39</v>
      </c>
    </row>
    <row r="117" spans="1:37" s="204" customFormat="1" ht="30" customHeight="1">
      <c r="A117" s="215" t="s">
        <v>198</v>
      </c>
      <c r="B117" s="215">
        <v>2618914699</v>
      </c>
      <c r="C117" s="215" t="s">
        <v>103</v>
      </c>
      <c r="D117" s="215" t="s">
        <v>81</v>
      </c>
      <c r="E117" s="215" t="s">
        <v>5</v>
      </c>
      <c r="F117" s="215" t="s">
        <v>476</v>
      </c>
      <c r="G117" s="215">
        <v>447</v>
      </c>
      <c r="H117" s="215" t="s">
        <v>214</v>
      </c>
      <c r="I117" s="215" t="s">
        <v>415</v>
      </c>
      <c r="J117" s="215" t="s">
        <v>322</v>
      </c>
      <c r="K117" s="215" t="s">
        <v>200</v>
      </c>
      <c r="L117" s="216">
        <v>46208.291666666664</v>
      </c>
      <c r="M117" s="216">
        <v>46208.292361111111</v>
      </c>
      <c r="N117" s="215" t="s">
        <v>254</v>
      </c>
      <c r="O117" s="203" t="s">
        <v>205</v>
      </c>
      <c r="Q117" s="203" t="s">
        <v>205</v>
      </c>
      <c r="S117" s="203" t="s">
        <v>62</v>
      </c>
      <c r="U117" s="203" t="s">
        <v>62</v>
      </c>
      <c r="W117" s="203" t="s">
        <v>62</v>
      </c>
      <c r="Y117" s="203" t="s">
        <v>62</v>
      </c>
      <c r="AA117" s="203" t="s">
        <v>205</v>
      </c>
      <c r="AC117" s="203" t="s">
        <v>205</v>
      </c>
      <c r="AE117" s="203" t="s">
        <v>205</v>
      </c>
      <c r="AF117" s="205" t="str">
        <f t="shared" si="3"/>
        <v>C</v>
      </c>
      <c r="AG117" s="204" t="str">
        <f t="shared" si="4"/>
        <v>UTILIZOU O PDA CORRETAMENTE</v>
      </c>
      <c r="AH117" s="203" t="s">
        <v>205</v>
      </c>
      <c r="AI117" s="246" t="s">
        <v>6</v>
      </c>
      <c r="AJ117" s="246" t="str">
        <f t="shared" si="5"/>
        <v>SÃO PAULO</v>
      </c>
      <c r="AK117" s="247" t="s">
        <v>39</v>
      </c>
    </row>
    <row r="118" spans="1:37" s="204" customFormat="1" ht="30" customHeight="1">
      <c r="A118" s="215" t="s">
        <v>198</v>
      </c>
      <c r="B118" s="215">
        <v>2618479382</v>
      </c>
      <c r="C118" s="215" t="s">
        <v>100</v>
      </c>
      <c r="D118" s="215" t="s">
        <v>81</v>
      </c>
      <c r="E118" s="215" t="s">
        <v>5</v>
      </c>
      <c r="F118" s="215" t="s">
        <v>477</v>
      </c>
      <c r="G118" s="215">
        <v>12</v>
      </c>
      <c r="H118" s="215"/>
      <c r="I118" s="215" t="s">
        <v>274</v>
      </c>
      <c r="J118" s="215" t="s">
        <v>243</v>
      </c>
      <c r="K118" s="215"/>
      <c r="L118" s="216">
        <v>46208.69027777778</v>
      </c>
      <c r="M118" s="216">
        <v>46208.691666666666</v>
      </c>
      <c r="N118" s="215" t="s">
        <v>254</v>
      </c>
      <c r="O118" s="203" t="s">
        <v>206</v>
      </c>
      <c r="Q118" s="203" t="s">
        <v>206</v>
      </c>
      <c r="S118" s="203" t="s">
        <v>206</v>
      </c>
      <c r="U118" s="203" t="s">
        <v>206</v>
      </c>
      <c r="W118" s="203" t="s">
        <v>206</v>
      </c>
      <c r="Y118" s="203" t="s">
        <v>206</v>
      </c>
      <c r="AA118" s="203" t="s">
        <v>206</v>
      </c>
      <c r="AC118" s="203" t="s">
        <v>206</v>
      </c>
      <c r="AE118" s="203" t="s">
        <v>239</v>
      </c>
      <c r="AF118" s="205" t="str">
        <f t="shared" si="3"/>
        <v>NC</v>
      </c>
      <c r="AG118" s="204" t="str">
        <f t="shared" si="4"/>
        <v>NÃO UTILIZOU O PDA</v>
      </c>
      <c r="AH118" s="203" t="s">
        <v>205</v>
      </c>
      <c r="AI118" s="246" t="s">
        <v>6</v>
      </c>
      <c r="AJ118" s="246" t="str">
        <f t="shared" si="5"/>
        <v>SÃO PAULO</v>
      </c>
      <c r="AK118" s="247" t="s">
        <v>39</v>
      </c>
    </row>
    <row r="119" spans="1:37" s="204" customFormat="1" ht="30" customHeight="1">
      <c r="A119" s="215" t="s">
        <v>198</v>
      </c>
      <c r="B119" s="215">
        <v>2618631166</v>
      </c>
      <c r="C119" s="215" t="s">
        <v>331</v>
      </c>
      <c r="D119" s="215" t="s">
        <v>79</v>
      </c>
      <c r="E119" s="215" t="s">
        <v>5</v>
      </c>
      <c r="F119" s="215" t="s">
        <v>332</v>
      </c>
      <c r="G119" s="215">
        <v>260</v>
      </c>
      <c r="H119" s="215" t="s">
        <v>200</v>
      </c>
      <c r="I119" s="215" t="s">
        <v>333</v>
      </c>
      <c r="J119" s="215" t="s">
        <v>334</v>
      </c>
      <c r="K119" s="215" t="s">
        <v>377</v>
      </c>
      <c r="L119" s="216">
        <v>46239.70208333333</v>
      </c>
      <c r="M119" s="216">
        <v>46239.703472222223</v>
      </c>
      <c r="N119" s="215" t="s">
        <v>212</v>
      </c>
      <c r="O119" s="203" t="s">
        <v>205</v>
      </c>
      <c r="Q119" s="203" t="s">
        <v>205</v>
      </c>
      <c r="S119" s="203" t="s">
        <v>205</v>
      </c>
      <c r="U119" s="203" t="s">
        <v>205</v>
      </c>
      <c r="W119" s="203" t="s">
        <v>205</v>
      </c>
      <c r="Y119" s="203" t="s">
        <v>205</v>
      </c>
      <c r="AA119" s="203" t="s">
        <v>205</v>
      </c>
      <c r="AC119" s="203" t="s">
        <v>205</v>
      </c>
      <c r="AE119" s="203" t="s">
        <v>205</v>
      </c>
      <c r="AF119" s="205" t="str">
        <f t="shared" si="3"/>
        <v>C</v>
      </c>
      <c r="AG119" s="204" t="str">
        <f t="shared" si="4"/>
        <v>UTILIZOU O PDA CORRETAMENTE</v>
      </c>
      <c r="AH119" s="203" t="s">
        <v>205</v>
      </c>
      <c r="AI119" s="246" t="s">
        <v>6</v>
      </c>
      <c r="AJ119" s="246" t="str">
        <f t="shared" si="5"/>
        <v>SÃO PAULO</v>
      </c>
      <c r="AK119" s="247" t="s">
        <v>39</v>
      </c>
    </row>
    <row r="120" spans="1:37" s="204" customFormat="1" ht="30" customHeight="1">
      <c r="A120" s="215" t="s">
        <v>198</v>
      </c>
      <c r="B120" s="215">
        <v>2612753702</v>
      </c>
      <c r="C120" s="215" t="s">
        <v>92</v>
      </c>
      <c r="D120" s="215" t="s">
        <v>77</v>
      </c>
      <c r="E120" s="215" t="s">
        <v>5</v>
      </c>
      <c r="F120" s="215" t="s">
        <v>478</v>
      </c>
      <c r="G120" s="215">
        <v>83</v>
      </c>
      <c r="H120" s="215"/>
      <c r="I120" s="215" t="s">
        <v>305</v>
      </c>
      <c r="J120" s="215" t="s">
        <v>329</v>
      </c>
      <c r="K120" s="215" t="s">
        <v>479</v>
      </c>
      <c r="L120" s="216">
        <v>46239.362500000003</v>
      </c>
      <c r="M120" s="216">
        <v>46239.447222222225</v>
      </c>
      <c r="N120" s="215" t="s">
        <v>310</v>
      </c>
      <c r="O120" s="203" t="s">
        <v>205</v>
      </c>
      <c r="Q120" s="203" t="s">
        <v>205</v>
      </c>
      <c r="S120" s="203" t="s">
        <v>205</v>
      </c>
      <c r="U120" s="203" t="s">
        <v>205</v>
      </c>
      <c r="W120" s="203" t="s">
        <v>205</v>
      </c>
      <c r="Y120" s="203" t="s">
        <v>205</v>
      </c>
      <c r="AA120" s="203" t="s">
        <v>205</v>
      </c>
      <c r="AC120" s="203" t="s">
        <v>205</v>
      </c>
      <c r="AE120" s="203" t="s">
        <v>205</v>
      </c>
      <c r="AF120" s="205" t="str">
        <f t="shared" si="3"/>
        <v>C</v>
      </c>
      <c r="AG120" s="204" t="str">
        <f t="shared" si="4"/>
        <v>UTILIZOU O PDA CORRETAMENTE</v>
      </c>
      <c r="AH120" s="203" t="s">
        <v>205</v>
      </c>
      <c r="AI120" s="246" t="s">
        <v>6</v>
      </c>
      <c r="AJ120" s="246" t="str">
        <f t="shared" si="5"/>
        <v>SÃO PAULO</v>
      </c>
      <c r="AK120" s="247" t="s">
        <v>39</v>
      </c>
    </row>
    <row r="121" spans="1:37" s="204" customFormat="1" ht="30" customHeight="1">
      <c r="A121" s="215" t="s">
        <v>198</v>
      </c>
      <c r="B121" s="215">
        <v>2618861714</v>
      </c>
      <c r="C121" s="215" t="s">
        <v>94</v>
      </c>
      <c r="D121" s="215" t="s">
        <v>77</v>
      </c>
      <c r="E121" s="215" t="s">
        <v>5</v>
      </c>
      <c r="F121" s="215" t="s">
        <v>480</v>
      </c>
      <c r="G121" s="215">
        <v>175</v>
      </c>
      <c r="H121" s="215" t="s">
        <v>226</v>
      </c>
      <c r="I121" s="215" t="s">
        <v>343</v>
      </c>
      <c r="J121" s="215" t="s">
        <v>94</v>
      </c>
      <c r="K121" s="215" t="s">
        <v>200</v>
      </c>
      <c r="L121" s="216">
        <v>46239.59097222222</v>
      </c>
      <c r="M121" s="216">
        <v>46239.614583333336</v>
      </c>
      <c r="N121" s="215" t="s">
        <v>310</v>
      </c>
      <c r="O121" s="203" t="s">
        <v>205</v>
      </c>
      <c r="Q121" s="203" t="s">
        <v>205</v>
      </c>
      <c r="S121" s="203" t="s">
        <v>205</v>
      </c>
      <c r="U121" s="203" t="s">
        <v>205</v>
      </c>
      <c r="W121" s="203" t="s">
        <v>205</v>
      </c>
      <c r="Y121" s="203" t="s">
        <v>205</v>
      </c>
      <c r="AA121" s="203" t="s">
        <v>205</v>
      </c>
      <c r="AC121" s="203" t="s">
        <v>205</v>
      </c>
      <c r="AE121" s="203" t="s">
        <v>205</v>
      </c>
      <c r="AF121" s="205" t="str">
        <f t="shared" si="3"/>
        <v>C</v>
      </c>
      <c r="AG121" s="204" t="str">
        <f t="shared" si="4"/>
        <v>UTILIZOU O PDA CORRETAMENTE</v>
      </c>
      <c r="AH121" s="203" t="s">
        <v>205</v>
      </c>
      <c r="AI121" s="246" t="s">
        <v>6</v>
      </c>
      <c r="AJ121" s="246" t="str">
        <f t="shared" si="5"/>
        <v>SÃO PAULO</v>
      </c>
      <c r="AK121" s="247" t="s">
        <v>39</v>
      </c>
    </row>
    <row r="122" spans="1:37" s="204" customFormat="1" ht="30" customHeight="1">
      <c r="A122" s="215" t="s">
        <v>198</v>
      </c>
      <c r="B122" s="215">
        <v>2618861720</v>
      </c>
      <c r="C122" s="215" t="s">
        <v>96</v>
      </c>
      <c r="D122" s="215" t="s">
        <v>77</v>
      </c>
      <c r="E122" s="215" t="s">
        <v>5</v>
      </c>
      <c r="F122" s="215" t="s">
        <v>480</v>
      </c>
      <c r="G122" s="215">
        <v>175</v>
      </c>
      <c r="H122" s="215" t="s">
        <v>481</v>
      </c>
      <c r="I122" s="215" t="s">
        <v>343</v>
      </c>
      <c r="J122" s="215" t="s">
        <v>96</v>
      </c>
      <c r="K122" s="215"/>
      <c r="L122" s="216">
        <v>46239.574305555558</v>
      </c>
      <c r="M122" s="216">
        <v>46239.576388888891</v>
      </c>
      <c r="N122" s="215" t="s">
        <v>310</v>
      </c>
      <c r="O122" s="203" t="s">
        <v>205</v>
      </c>
      <c r="Q122" s="203" t="s">
        <v>205</v>
      </c>
      <c r="S122" s="203" t="s">
        <v>205</v>
      </c>
      <c r="U122" s="203" t="s">
        <v>205</v>
      </c>
      <c r="W122" s="203" t="s">
        <v>205</v>
      </c>
      <c r="Y122" s="203" t="s">
        <v>205</v>
      </c>
      <c r="AA122" s="203" t="s">
        <v>205</v>
      </c>
      <c r="AC122" s="203" t="s">
        <v>205</v>
      </c>
      <c r="AE122" s="203" t="s">
        <v>205</v>
      </c>
      <c r="AF122" s="205" t="s">
        <v>205</v>
      </c>
      <c r="AG122" s="204" t="str">
        <f t="shared" si="4"/>
        <v>UTILIZOU O PDA CORRETAMENTE</v>
      </c>
      <c r="AH122" s="203" t="s">
        <v>205</v>
      </c>
      <c r="AI122" s="246" t="s">
        <v>6</v>
      </c>
      <c r="AJ122" s="246" t="str">
        <f t="shared" si="5"/>
        <v>SÃO PAULO</v>
      </c>
      <c r="AK122" s="247" t="s">
        <v>39</v>
      </c>
    </row>
    <row r="123" spans="1:37" s="204" customFormat="1" ht="30" customHeight="1">
      <c r="A123" s="215" t="s">
        <v>198</v>
      </c>
      <c r="B123" s="215">
        <v>2618861719</v>
      </c>
      <c r="C123" s="215" t="s">
        <v>96</v>
      </c>
      <c r="D123" s="215" t="s">
        <v>77</v>
      </c>
      <c r="E123" s="215" t="s">
        <v>5</v>
      </c>
      <c r="F123" s="215" t="s">
        <v>480</v>
      </c>
      <c r="G123" s="215">
        <v>175</v>
      </c>
      <c r="H123" s="215" t="s">
        <v>318</v>
      </c>
      <c r="I123" s="215" t="s">
        <v>343</v>
      </c>
      <c r="J123" s="215" t="s">
        <v>96</v>
      </c>
      <c r="K123" s="215" t="s">
        <v>200</v>
      </c>
      <c r="L123" s="216">
        <v>46239.570833333331</v>
      </c>
      <c r="M123" s="216">
        <v>46239.573611111111</v>
      </c>
      <c r="N123" s="215" t="s">
        <v>310</v>
      </c>
      <c r="O123" s="203" t="s">
        <v>205</v>
      </c>
      <c r="Q123" s="203" t="s">
        <v>205</v>
      </c>
      <c r="S123" s="203" t="s">
        <v>205</v>
      </c>
      <c r="U123" s="203" t="s">
        <v>205</v>
      </c>
      <c r="W123" s="203" t="s">
        <v>205</v>
      </c>
      <c r="Y123" s="203" t="s">
        <v>205</v>
      </c>
      <c r="AA123" s="203" t="s">
        <v>205</v>
      </c>
      <c r="AC123" s="203" t="s">
        <v>205</v>
      </c>
      <c r="AE123" s="203" t="s">
        <v>205</v>
      </c>
      <c r="AF123" s="205" t="s">
        <v>205</v>
      </c>
      <c r="AG123" s="204" t="str">
        <f t="shared" si="4"/>
        <v>UTILIZOU O PDA CORRETAMENTE</v>
      </c>
      <c r="AH123" s="203" t="s">
        <v>205</v>
      </c>
      <c r="AI123" s="246" t="s">
        <v>6</v>
      </c>
      <c r="AJ123" s="246" t="str">
        <f t="shared" si="5"/>
        <v>SÃO PAULO</v>
      </c>
      <c r="AK123" s="247" t="s">
        <v>39</v>
      </c>
    </row>
    <row r="124" spans="1:37" s="204" customFormat="1" ht="30" customHeight="1">
      <c r="A124" s="215" t="s">
        <v>198</v>
      </c>
      <c r="B124" s="215">
        <v>2618470228</v>
      </c>
      <c r="C124" s="215" t="s">
        <v>106</v>
      </c>
      <c r="D124" s="215" t="s">
        <v>81</v>
      </c>
      <c r="E124" s="215" t="s">
        <v>5</v>
      </c>
      <c r="F124" s="215" t="s">
        <v>482</v>
      </c>
      <c r="G124" s="215">
        <v>153</v>
      </c>
      <c r="H124" s="215" t="s">
        <v>226</v>
      </c>
      <c r="I124" s="215" t="s">
        <v>328</v>
      </c>
      <c r="J124" s="215" t="s">
        <v>350</v>
      </c>
      <c r="K124" s="215"/>
      <c r="L124" s="216">
        <v>46239.25</v>
      </c>
      <c r="M124" s="216">
        <v>46239.250694444447</v>
      </c>
      <c r="N124" s="215" t="s">
        <v>326</v>
      </c>
      <c r="O124" s="203" t="s">
        <v>205</v>
      </c>
      <c r="Q124" s="203" t="s">
        <v>205</v>
      </c>
      <c r="S124" s="203" t="s">
        <v>205</v>
      </c>
      <c r="U124" s="203" t="s">
        <v>205</v>
      </c>
      <c r="W124" s="203" t="s">
        <v>205</v>
      </c>
      <c r="Y124" s="203" t="s">
        <v>205</v>
      </c>
      <c r="AA124" s="203" t="s">
        <v>205</v>
      </c>
      <c r="AC124" s="203" t="s">
        <v>205</v>
      </c>
      <c r="AE124" s="203" t="s">
        <v>205</v>
      </c>
      <c r="AF124" s="205" t="str">
        <f t="shared" si="3"/>
        <v>C</v>
      </c>
      <c r="AG124" s="204" t="str">
        <f t="shared" si="4"/>
        <v>UTILIZOU O PDA CORRETAMENTE</v>
      </c>
      <c r="AH124" s="203" t="s">
        <v>205</v>
      </c>
      <c r="AI124" s="246" t="s">
        <v>6</v>
      </c>
      <c r="AJ124" s="246" t="str">
        <f t="shared" si="5"/>
        <v>SÃO PAULO</v>
      </c>
      <c r="AK124" s="247" t="s">
        <v>39</v>
      </c>
    </row>
    <row r="125" spans="1:37" s="204" customFormat="1" ht="30" customHeight="1">
      <c r="A125" s="215" t="s">
        <v>198</v>
      </c>
      <c r="B125" s="215">
        <v>2618861721</v>
      </c>
      <c r="C125" s="215" t="s">
        <v>96</v>
      </c>
      <c r="D125" s="215" t="s">
        <v>77</v>
      </c>
      <c r="E125" s="215" t="s">
        <v>5</v>
      </c>
      <c r="F125" s="215" t="s">
        <v>480</v>
      </c>
      <c r="G125" s="215">
        <v>175</v>
      </c>
      <c r="H125" s="215" t="s">
        <v>363</v>
      </c>
      <c r="I125" s="215" t="s">
        <v>343</v>
      </c>
      <c r="J125" s="215" t="s">
        <v>96</v>
      </c>
      <c r="K125" s="215" t="s">
        <v>200</v>
      </c>
      <c r="L125" s="216">
        <v>46239.585416666669</v>
      </c>
      <c r="M125" s="216">
        <v>46239.590277777781</v>
      </c>
      <c r="N125" s="215" t="s">
        <v>310</v>
      </c>
      <c r="O125" s="203" t="s">
        <v>205</v>
      </c>
      <c r="Q125" s="203" t="s">
        <v>205</v>
      </c>
      <c r="S125" s="203" t="s">
        <v>205</v>
      </c>
      <c r="U125" s="203" t="s">
        <v>205</v>
      </c>
      <c r="W125" s="203" t="s">
        <v>205</v>
      </c>
      <c r="Y125" s="203" t="s">
        <v>205</v>
      </c>
      <c r="AA125" s="203" t="s">
        <v>205</v>
      </c>
      <c r="AC125" s="203" t="s">
        <v>205</v>
      </c>
      <c r="AE125" s="203" t="s">
        <v>205</v>
      </c>
      <c r="AF125" s="205" t="s">
        <v>205</v>
      </c>
      <c r="AG125" s="204" t="str">
        <f t="shared" si="4"/>
        <v>UTILIZOU O PDA CORRETAMENTE</v>
      </c>
      <c r="AH125" s="203" t="s">
        <v>205</v>
      </c>
      <c r="AI125" s="246" t="s">
        <v>6</v>
      </c>
      <c r="AJ125" s="246" t="str">
        <f t="shared" si="5"/>
        <v>SÃO PAULO</v>
      </c>
      <c r="AK125" s="247" t="s">
        <v>39</v>
      </c>
    </row>
    <row r="126" spans="1:37" s="204" customFormat="1" ht="30" customHeight="1">
      <c r="A126" s="215" t="s">
        <v>198</v>
      </c>
      <c r="B126" s="215">
        <v>2619156523</v>
      </c>
      <c r="C126" s="215" t="s">
        <v>103</v>
      </c>
      <c r="D126" s="215" t="s">
        <v>81</v>
      </c>
      <c r="E126" s="215" t="s">
        <v>5</v>
      </c>
      <c r="F126" s="215" t="s">
        <v>483</v>
      </c>
      <c r="G126" s="215">
        <v>33</v>
      </c>
      <c r="H126" s="215" t="s">
        <v>226</v>
      </c>
      <c r="I126" s="215" t="s">
        <v>484</v>
      </c>
      <c r="J126" s="215" t="s">
        <v>322</v>
      </c>
      <c r="K126" s="215"/>
      <c r="L126" s="216">
        <v>46239.366666666669</v>
      </c>
      <c r="M126" s="216">
        <v>46239.397222222222</v>
      </c>
      <c r="N126" s="215" t="s">
        <v>359</v>
      </c>
      <c r="O126" s="203" t="s">
        <v>205</v>
      </c>
      <c r="Q126" s="203" t="s">
        <v>205</v>
      </c>
      <c r="S126" s="203" t="s">
        <v>205</v>
      </c>
      <c r="U126" s="203" t="s">
        <v>205</v>
      </c>
      <c r="W126" s="203" t="s">
        <v>205</v>
      </c>
      <c r="Y126" s="203" t="s">
        <v>62</v>
      </c>
      <c r="AA126" s="203" t="s">
        <v>205</v>
      </c>
      <c r="AC126" s="203" t="s">
        <v>205</v>
      </c>
      <c r="AE126" s="203" t="s">
        <v>205</v>
      </c>
      <c r="AF126" s="205" t="str">
        <f t="shared" si="3"/>
        <v>C</v>
      </c>
      <c r="AG126" s="204" t="str">
        <f t="shared" si="4"/>
        <v>UTILIZOU O PDA CORRETAMENTE</v>
      </c>
      <c r="AH126" s="203" t="s">
        <v>205</v>
      </c>
      <c r="AI126" s="246" t="s">
        <v>6</v>
      </c>
      <c r="AJ126" s="246" t="str">
        <f t="shared" si="5"/>
        <v>SÃO PAULO</v>
      </c>
      <c r="AK126" s="247" t="s">
        <v>39</v>
      </c>
    </row>
    <row r="127" spans="1:37" s="204" customFormat="1" ht="30" customHeight="1">
      <c r="A127" s="215" t="s">
        <v>198</v>
      </c>
      <c r="B127" s="215">
        <v>2618906242</v>
      </c>
      <c r="C127" s="215" t="s">
        <v>106</v>
      </c>
      <c r="D127" s="215" t="s">
        <v>81</v>
      </c>
      <c r="E127" s="215" t="s">
        <v>5</v>
      </c>
      <c r="F127" s="215" t="s">
        <v>485</v>
      </c>
      <c r="G127" s="215">
        <v>555</v>
      </c>
      <c r="H127" s="215"/>
      <c r="I127" s="215" t="s">
        <v>486</v>
      </c>
      <c r="J127" s="215" t="s">
        <v>459</v>
      </c>
      <c r="K127" s="215" t="s">
        <v>487</v>
      </c>
      <c r="L127" s="216">
        <v>46239.430555555555</v>
      </c>
      <c r="M127" s="216">
        <v>46239.474999999999</v>
      </c>
      <c r="N127" s="215" t="s">
        <v>230</v>
      </c>
      <c r="O127" s="203" t="s">
        <v>205</v>
      </c>
      <c r="Q127" s="203" t="s">
        <v>205</v>
      </c>
      <c r="S127" s="203" t="s">
        <v>205</v>
      </c>
      <c r="U127" s="203" t="s">
        <v>205</v>
      </c>
      <c r="W127" s="203" t="s">
        <v>205</v>
      </c>
      <c r="Y127" s="203" t="s">
        <v>62</v>
      </c>
      <c r="AA127" s="203" t="s">
        <v>205</v>
      </c>
      <c r="AC127" s="203" t="s">
        <v>205</v>
      </c>
      <c r="AE127" s="203" t="s">
        <v>205</v>
      </c>
      <c r="AF127" s="205" t="str">
        <f t="shared" si="3"/>
        <v>C</v>
      </c>
      <c r="AG127" s="204" t="str">
        <f t="shared" si="4"/>
        <v>UTILIZOU O PDA CORRETAMENTE</v>
      </c>
      <c r="AH127" s="203" t="s">
        <v>205</v>
      </c>
      <c r="AI127" s="246" t="s">
        <v>6</v>
      </c>
      <c r="AJ127" s="246" t="str">
        <f t="shared" si="5"/>
        <v>SÃO PAULO</v>
      </c>
      <c r="AK127" s="247" t="s">
        <v>39</v>
      </c>
    </row>
    <row r="128" spans="1:37" s="204" customFormat="1" ht="30" customHeight="1">
      <c r="A128" s="215" t="s">
        <v>198</v>
      </c>
      <c r="B128" s="215">
        <v>2619135146</v>
      </c>
      <c r="C128" s="215" t="s">
        <v>95</v>
      </c>
      <c r="D128" s="215" t="s">
        <v>77</v>
      </c>
      <c r="E128" s="215" t="s">
        <v>5</v>
      </c>
      <c r="F128" s="215" t="s">
        <v>488</v>
      </c>
      <c r="G128" s="215">
        <v>178</v>
      </c>
      <c r="H128" s="215" t="s">
        <v>226</v>
      </c>
      <c r="I128" s="215" t="s">
        <v>412</v>
      </c>
      <c r="J128" s="215" t="s">
        <v>95</v>
      </c>
      <c r="K128" s="215" t="s">
        <v>200</v>
      </c>
      <c r="L128" s="216">
        <v>46239.45416666667</v>
      </c>
      <c r="M128" s="216">
        <v>46239.456944444442</v>
      </c>
      <c r="N128" s="215" t="s">
        <v>254</v>
      </c>
      <c r="O128" s="203" t="s">
        <v>205</v>
      </c>
      <c r="Q128" s="203" t="s">
        <v>205</v>
      </c>
      <c r="S128" s="203" t="s">
        <v>205</v>
      </c>
      <c r="U128" s="203" t="s">
        <v>205</v>
      </c>
      <c r="W128" s="203" t="s">
        <v>205</v>
      </c>
      <c r="Y128" s="203" t="s">
        <v>205</v>
      </c>
      <c r="AA128" s="203" t="s">
        <v>205</v>
      </c>
      <c r="AC128" s="203" t="s">
        <v>205</v>
      </c>
      <c r="AE128" s="203" t="s">
        <v>205</v>
      </c>
      <c r="AF128" s="205" t="str">
        <f t="shared" si="3"/>
        <v>C</v>
      </c>
      <c r="AG128" s="204" t="str">
        <f t="shared" si="4"/>
        <v>UTILIZOU O PDA CORRETAMENTE</v>
      </c>
      <c r="AH128" s="203" t="s">
        <v>205</v>
      </c>
      <c r="AI128" s="246" t="s">
        <v>6</v>
      </c>
      <c r="AJ128" s="246" t="str">
        <f t="shared" si="5"/>
        <v>SÃO PAULO</v>
      </c>
      <c r="AK128" s="247" t="s">
        <v>39</v>
      </c>
    </row>
    <row r="129" spans="1:37" s="204" customFormat="1" ht="30" customHeight="1">
      <c r="A129" s="215" t="s">
        <v>198</v>
      </c>
      <c r="B129" s="215">
        <v>2619135147</v>
      </c>
      <c r="C129" s="215" t="s">
        <v>97</v>
      </c>
      <c r="D129" s="215" t="s">
        <v>77</v>
      </c>
      <c r="E129" s="215" t="s">
        <v>5</v>
      </c>
      <c r="F129" s="215" t="s">
        <v>488</v>
      </c>
      <c r="G129" s="215">
        <v>178</v>
      </c>
      <c r="H129" s="215" t="s">
        <v>318</v>
      </c>
      <c r="I129" s="215" t="s">
        <v>412</v>
      </c>
      <c r="J129" s="215" t="s">
        <v>97</v>
      </c>
      <c r="K129" s="215" t="s">
        <v>489</v>
      </c>
      <c r="L129" s="216">
        <v>46239.447916666664</v>
      </c>
      <c r="M129" s="216">
        <v>46239.450694444444</v>
      </c>
      <c r="N129" s="215" t="s">
        <v>254</v>
      </c>
      <c r="O129" s="203" t="s">
        <v>205</v>
      </c>
      <c r="Q129" s="203" t="s">
        <v>205</v>
      </c>
      <c r="S129" s="203" t="s">
        <v>205</v>
      </c>
      <c r="U129" s="203" t="s">
        <v>205</v>
      </c>
      <c r="W129" s="203" t="s">
        <v>205</v>
      </c>
      <c r="Y129" s="203" t="s">
        <v>205</v>
      </c>
      <c r="AA129" s="203" t="s">
        <v>205</v>
      </c>
      <c r="AC129" s="203" t="s">
        <v>205</v>
      </c>
      <c r="AE129" s="203" t="s">
        <v>205</v>
      </c>
      <c r="AF129" s="205" t="str">
        <f t="shared" si="3"/>
        <v>C</v>
      </c>
      <c r="AG129" s="204" t="str">
        <f t="shared" si="4"/>
        <v>UTILIZOU O PDA CORRETAMENTE</v>
      </c>
      <c r="AH129" s="203" t="s">
        <v>205</v>
      </c>
      <c r="AI129" s="246" t="s">
        <v>6</v>
      </c>
      <c r="AJ129" s="246" t="str">
        <f t="shared" si="5"/>
        <v>SÃO PAULO</v>
      </c>
      <c r="AK129" s="247" t="s">
        <v>39</v>
      </c>
    </row>
    <row r="130" spans="1:37" s="204" customFormat="1" ht="30" customHeight="1">
      <c r="A130" s="215" t="s">
        <v>198</v>
      </c>
      <c r="B130" s="215">
        <v>2692718801</v>
      </c>
      <c r="C130" s="215" t="s">
        <v>103</v>
      </c>
      <c r="D130" s="215" t="s">
        <v>81</v>
      </c>
      <c r="E130" s="215" t="s">
        <v>5</v>
      </c>
      <c r="F130" s="215" t="s">
        <v>490</v>
      </c>
      <c r="G130" s="215">
        <v>15</v>
      </c>
      <c r="H130" s="215" t="s">
        <v>409</v>
      </c>
      <c r="I130" s="215" t="s">
        <v>491</v>
      </c>
      <c r="J130" s="215" t="s">
        <v>322</v>
      </c>
      <c r="K130" s="215" t="s">
        <v>492</v>
      </c>
      <c r="L130" s="216">
        <v>46239.25</v>
      </c>
      <c r="M130" s="216">
        <v>46239.250694444447</v>
      </c>
      <c r="N130" s="215" t="s">
        <v>341</v>
      </c>
      <c r="O130" s="203" t="s">
        <v>206</v>
      </c>
      <c r="Q130" s="203" t="s">
        <v>206</v>
      </c>
      <c r="S130" s="203" t="s">
        <v>206</v>
      </c>
      <c r="U130" s="203" t="s">
        <v>206</v>
      </c>
      <c r="W130" s="203" t="s">
        <v>206</v>
      </c>
      <c r="Y130" s="203" t="s">
        <v>206</v>
      </c>
      <c r="AA130" s="203" t="s">
        <v>206</v>
      </c>
      <c r="AC130" s="203" t="s">
        <v>206</v>
      </c>
      <c r="AE130" s="203" t="s">
        <v>239</v>
      </c>
      <c r="AF130" s="205" t="str">
        <f t="shared" ref="AF130:AF193" si="6">IF(AND(O130="",Q130="",S130="",U130="",W130="",Y130="",AA130="",AC130=""),"",IF(OR(AND(O130&lt;&gt;"NA",O130&lt;&gt;"C",O130&lt;&gt;"NC",O130&lt;&gt;"SF",O130&lt;&gt;""),AND(Q130&lt;&gt;"NA",Q130&lt;&gt;"C",Q130&lt;&gt;"NC",Q130&lt;&gt;"SF",Q130&lt;&gt;""),AND(S130&lt;&gt;"NA",S130&lt;&gt;"C",S130&lt;&gt;"NC",S130&lt;&gt;"SF",S130&lt;&gt;""),AND(U130&lt;&gt;"NA",U130&lt;&gt;"C",U130&lt;&gt;"NC",U130&lt;&gt;"SF",U130&lt;&gt;""),AND(W130&lt;&gt;"NA",W130&lt;&gt;"C",W130&lt;&gt;"NC",W130&lt;&gt;"SF",W130&lt;&gt;""),AND(Y130&lt;&gt;"NA",Y130&lt;&gt;"C",Y130&lt;&gt;"NC",Y130&lt;&gt;"SF",Y130&lt;&gt;""),AND(AA130&lt;&gt;"NA",AA130&lt;&gt;"C",AA130&lt;&gt;"NC",AA130&lt;&gt;"SF",AA130&lt;&gt;""),AND(AC130&lt;&gt;"NA",AC130&lt;&gt;"C",AC130&lt;&gt;"NC",AC130&lt;&gt;"SF",AC130&lt;&gt;"")),"FALSO",IF(AND(O130="NA",Q130="NA",S130="NA",U130="NA",W130="NA",Y130="NA",AA130="NA",AC130="NA"),"NA",IF(OR(O130="NC",Q130="NC",S130="NC",U130="NC",W130="NC",Y130="NC",AA130="NC",AC130="NC",O130="SF",Q130="SF",S130="SF",U130="SF",W130="SF",Y130="SF",AA130="SF",AC130="SF"),"NC",IF(OR(O130="C",Q130="C",S130="C",U130="C",W130="C",Y130="C",AA130="C",AC130="C"),"C","")))))</f>
        <v>NC</v>
      </c>
      <c r="AG130" s="204" t="str">
        <f t="shared" ref="AG130:AG193" si="7">IF(AND(AE130="C",AF130="C"),"UTILIZOU O PDA CORRETAMENTE",IF(AND(AE130="C",AF130="NC"),"UTILIZOU O PDA CORRETAMENTE. NÃO HÁ FOTOS DE TODAS AS ETAPAS",IF(AND(AE130="NC",AF130="NC"),"NÃO UTILIZOU O PDA",IF(AND(AE130="NA",AF130="NA"),"NÃO AVALIADO POR FALHA DE SINCRONISMO"))))</f>
        <v>NÃO UTILIZOU O PDA</v>
      </c>
      <c r="AH130" s="203" t="s">
        <v>205</v>
      </c>
      <c r="AI130" s="246" t="s">
        <v>6</v>
      </c>
      <c r="AJ130" s="246" t="str">
        <f t="shared" ref="AJ130:AJ193" si="8">E130</f>
        <v>SÃO PAULO</v>
      </c>
      <c r="AK130" s="247" t="s">
        <v>39</v>
      </c>
    </row>
    <row r="131" spans="1:37" s="204" customFormat="1" ht="30" customHeight="1">
      <c r="A131" s="215" t="s">
        <v>198</v>
      </c>
      <c r="B131" s="215">
        <v>2619136087</v>
      </c>
      <c r="C131" s="215" t="s">
        <v>287</v>
      </c>
      <c r="D131" s="215" t="s">
        <v>81</v>
      </c>
      <c r="E131" s="215" t="s">
        <v>5</v>
      </c>
      <c r="F131" s="215" t="s">
        <v>441</v>
      </c>
      <c r="G131" s="215">
        <v>5762</v>
      </c>
      <c r="H131" s="215"/>
      <c r="I131" s="215" t="s">
        <v>442</v>
      </c>
      <c r="J131" s="215" t="s">
        <v>290</v>
      </c>
      <c r="K131" s="215" t="s">
        <v>493</v>
      </c>
      <c r="L131" s="216">
        <v>46239.495833333334</v>
      </c>
      <c r="M131" s="216">
        <v>46239.496527777781</v>
      </c>
      <c r="N131" s="215" t="s">
        <v>235</v>
      </c>
      <c r="O131" s="203" t="s">
        <v>205</v>
      </c>
      <c r="Q131" s="203" t="s">
        <v>205</v>
      </c>
      <c r="S131" s="203" t="s">
        <v>205</v>
      </c>
      <c r="U131" s="203" t="s">
        <v>205</v>
      </c>
      <c r="W131" s="203" t="s">
        <v>205</v>
      </c>
      <c r="Y131" s="203" t="s">
        <v>205</v>
      </c>
      <c r="AA131" s="203" t="s">
        <v>205</v>
      </c>
      <c r="AC131" s="203" t="s">
        <v>205</v>
      </c>
      <c r="AE131" s="203" t="s">
        <v>205</v>
      </c>
      <c r="AF131" s="205" t="str">
        <f t="shared" si="6"/>
        <v>C</v>
      </c>
      <c r="AG131" s="204" t="str">
        <f t="shared" si="7"/>
        <v>UTILIZOU O PDA CORRETAMENTE</v>
      </c>
      <c r="AH131" s="203" t="s">
        <v>205</v>
      </c>
      <c r="AI131" s="246" t="s">
        <v>6</v>
      </c>
      <c r="AJ131" s="246" t="str">
        <f t="shared" si="8"/>
        <v>SÃO PAULO</v>
      </c>
      <c r="AK131" s="247" t="s">
        <v>39</v>
      </c>
    </row>
    <row r="132" spans="1:37" s="204" customFormat="1" ht="30" customHeight="1">
      <c r="A132" s="215" t="s">
        <v>198</v>
      </c>
      <c r="B132" s="215">
        <v>2619136087</v>
      </c>
      <c r="C132" s="215" t="s">
        <v>100</v>
      </c>
      <c r="D132" s="215" t="s">
        <v>81</v>
      </c>
      <c r="E132" s="215" t="s">
        <v>5</v>
      </c>
      <c r="F132" s="215" t="s">
        <v>441</v>
      </c>
      <c r="G132" s="215">
        <v>5762</v>
      </c>
      <c r="H132" s="215" t="s">
        <v>200</v>
      </c>
      <c r="I132" s="215" t="s">
        <v>442</v>
      </c>
      <c r="J132" s="215" t="s">
        <v>243</v>
      </c>
      <c r="K132" s="215" t="s">
        <v>494</v>
      </c>
      <c r="L132" s="216">
        <v>46239.49722222222</v>
      </c>
      <c r="M132" s="216">
        <v>46239.498611111114</v>
      </c>
      <c r="N132" s="215" t="s">
        <v>235</v>
      </c>
      <c r="O132" s="203" t="s">
        <v>206</v>
      </c>
      <c r="Q132" s="203" t="s">
        <v>206</v>
      </c>
      <c r="S132" s="203" t="s">
        <v>206</v>
      </c>
      <c r="U132" s="203" t="s">
        <v>206</v>
      </c>
      <c r="W132" s="203" t="s">
        <v>206</v>
      </c>
      <c r="Y132" s="203" t="s">
        <v>206</v>
      </c>
      <c r="AA132" s="203" t="s">
        <v>206</v>
      </c>
      <c r="AC132" s="203" t="s">
        <v>206</v>
      </c>
      <c r="AE132" s="203" t="s">
        <v>239</v>
      </c>
      <c r="AF132" s="205" t="str">
        <f t="shared" si="6"/>
        <v>NC</v>
      </c>
      <c r="AG132" s="204" t="str">
        <f t="shared" si="7"/>
        <v>NÃO UTILIZOU O PDA</v>
      </c>
      <c r="AH132" s="203" t="s">
        <v>205</v>
      </c>
      <c r="AI132" s="246" t="s">
        <v>6</v>
      </c>
      <c r="AJ132" s="246" t="str">
        <f t="shared" si="8"/>
        <v>SÃO PAULO</v>
      </c>
      <c r="AK132" s="247" t="s">
        <v>39</v>
      </c>
    </row>
    <row r="133" spans="1:37" s="204" customFormat="1" ht="30" customHeight="1">
      <c r="A133" s="215" t="s">
        <v>198</v>
      </c>
      <c r="B133" s="215">
        <v>2618776484</v>
      </c>
      <c r="C133" s="215" t="s">
        <v>314</v>
      </c>
      <c r="D133" s="215" t="s">
        <v>77</v>
      </c>
      <c r="E133" s="215" t="s">
        <v>5</v>
      </c>
      <c r="F133" s="215" t="s">
        <v>495</v>
      </c>
      <c r="G133" s="215">
        <v>436</v>
      </c>
      <c r="H133" s="215" t="s">
        <v>496</v>
      </c>
      <c r="I133" s="215" t="s">
        <v>497</v>
      </c>
      <c r="J133" s="215" t="s">
        <v>317</v>
      </c>
      <c r="K133" s="215"/>
      <c r="L133" s="216">
        <v>46239.647916666669</v>
      </c>
      <c r="M133" s="216">
        <v>46239.697222222225</v>
      </c>
      <c r="N133" s="215" t="s">
        <v>254</v>
      </c>
      <c r="O133" s="203" t="s">
        <v>205</v>
      </c>
      <c r="Q133" s="203" t="s">
        <v>205</v>
      </c>
      <c r="S133" s="203" t="s">
        <v>205</v>
      </c>
      <c r="U133" s="203" t="s">
        <v>205</v>
      </c>
      <c r="W133" s="203" t="s">
        <v>205</v>
      </c>
      <c r="Y133" s="203" t="s">
        <v>205</v>
      </c>
      <c r="AA133" s="203" t="s">
        <v>205</v>
      </c>
      <c r="AC133" s="203" t="s">
        <v>205</v>
      </c>
      <c r="AE133" s="203" t="s">
        <v>205</v>
      </c>
      <c r="AF133" s="205" t="str">
        <f t="shared" si="6"/>
        <v>C</v>
      </c>
      <c r="AG133" s="204" t="str">
        <f t="shared" si="7"/>
        <v>UTILIZOU O PDA CORRETAMENTE</v>
      </c>
      <c r="AH133" s="203" t="s">
        <v>205</v>
      </c>
      <c r="AI133" s="246" t="s">
        <v>6</v>
      </c>
      <c r="AJ133" s="246" t="str">
        <f t="shared" si="8"/>
        <v>SÃO PAULO</v>
      </c>
      <c r="AK133" s="247" t="s">
        <v>39</v>
      </c>
    </row>
    <row r="134" spans="1:37" s="204" customFormat="1" ht="30" customHeight="1">
      <c r="A134" s="215" t="s">
        <v>198</v>
      </c>
      <c r="B134" s="215">
        <v>2618776491</v>
      </c>
      <c r="C134" s="215" t="s">
        <v>314</v>
      </c>
      <c r="D134" s="215" t="s">
        <v>77</v>
      </c>
      <c r="E134" s="215" t="s">
        <v>5</v>
      </c>
      <c r="F134" s="215" t="s">
        <v>495</v>
      </c>
      <c r="G134" s="215">
        <v>436</v>
      </c>
      <c r="H134" s="215" t="s">
        <v>498</v>
      </c>
      <c r="I134" s="215" t="s">
        <v>497</v>
      </c>
      <c r="J134" s="215" t="s">
        <v>317</v>
      </c>
      <c r="K134" s="215" t="s">
        <v>499</v>
      </c>
      <c r="L134" s="216">
        <v>46239.636111111111</v>
      </c>
      <c r="M134" s="216">
        <v>46239.638194444444</v>
      </c>
      <c r="N134" s="215" t="s">
        <v>254</v>
      </c>
      <c r="O134" s="203" t="s">
        <v>205</v>
      </c>
      <c r="Q134" s="203" t="s">
        <v>205</v>
      </c>
      <c r="S134" s="203" t="s">
        <v>205</v>
      </c>
      <c r="U134" s="203" t="s">
        <v>205</v>
      </c>
      <c r="W134" s="203" t="s">
        <v>205</v>
      </c>
      <c r="Y134" s="203" t="s">
        <v>205</v>
      </c>
      <c r="AA134" s="203" t="s">
        <v>205</v>
      </c>
      <c r="AC134" s="203" t="s">
        <v>205</v>
      </c>
      <c r="AE134" s="203" t="s">
        <v>205</v>
      </c>
      <c r="AF134" s="205" t="str">
        <f t="shared" si="6"/>
        <v>C</v>
      </c>
      <c r="AG134" s="204" t="str">
        <f t="shared" si="7"/>
        <v>UTILIZOU O PDA CORRETAMENTE</v>
      </c>
      <c r="AH134" s="203" t="s">
        <v>205</v>
      </c>
      <c r="AI134" s="246" t="s">
        <v>6</v>
      </c>
      <c r="AJ134" s="246" t="str">
        <f t="shared" si="8"/>
        <v>SÃO PAULO</v>
      </c>
      <c r="AK134" s="247" t="s">
        <v>39</v>
      </c>
    </row>
    <row r="135" spans="1:37" s="204" customFormat="1" ht="30" customHeight="1">
      <c r="A135" s="215" t="s">
        <v>198</v>
      </c>
      <c r="B135" s="215">
        <v>2618776486</v>
      </c>
      <c r="C135" s="215" t="s">
        <v>314</v>
      </c>
      <c r="D135" s="215" t="s">
        <v>77</v>
      </c>
      <c r="E135" s="215" t="s">
        <v>5</v>
      </c>
      <c r="F135" s="215" t="s">
        <v>495</v>
      </c>
      <c r="G135" s="215">
        <v>436</v>
      </c>
      <c r="H135" s="215" t="s">
        <v>500</v>
      </c>
      <c r="I135" s="215" t="s">
        <v>497</v>
      </c>
      <c r="J135" s="215" t="s">
        <v>317</v>
      </c>
      <c r="K135" s="215" t="s">
        <v>499</v>
      </c>
      <c r="L135" s="216">
        <v>46239.62777777778</v>
      </c>
      <c r="M135" s="216">
        <v>46239.629166666666</v>
      </c>
      <c r="N135" s="215" t="s">
        <v>254</v>
      </c>
      <c r="O135" s="203" t="s">
        <v>205</v>
      </c>
      <c r="Q135" s="203" t="s">
        <v>205</v>
      </c>
      <c r="S135" s="203" t="s">
        <v>205</v>
      </c>
      <c r="U135" s="203" t="s">
        <v>205</v>
      </c>
      <c r="W135" s="203" t="s">
        <v>205</v>
      </c>
      <c r="Y135" s="203" t="s">
        <v>205</v>
      </c>
      <c r="AA135" s="203" t="s">
        <v>205</v>
      </c>
      <c r="AC135" s="203" t="s">
        <v>205</v>
      </c>
      <c r="AE135" s="203" t="s">
        <v>205</v>
      </c>
      <c r="AF135" s="205" t="str">
        <f t="shared" si="6"/>
        <v>C</v>
      </c>
      <c r="AG135" s="204" t="str">
        <f t="shared" si="7"/>
        <v>UTILIZOU O PDA CORRETAMENTE</v>
      </c>
      <c r="AH135" s="203" t="s">
        <v>205</v>
      </c>
      <c r="AI135" s="246" t="s">
        <v>6</v>
      </c>
      <c r="AJ135" s="246" t="str">
        <f t="shared" si="8"/>
        <v>SÃO PAULO</v>
      </c>
      <c r="AK135" s="247" t="s">
        <v>39</v>
      </c>
    </row>
    <row r="136" spans="1:37" s="204" customFormat="1" ht="30" customHeight="1">
      <c r="A136" s="215" t="s">
        <v>198</v>
      </c>
      <c r="B136" s="215">
        <v>2618776494</v>
      </c>
      <c r="C136" s="215" t="s">
        <v>314</v>
      </c>
      <c r="D136" s="215" t="s">
        <v>77</v>
      </c>
      <c r="E136" s="215" t="s">
        <v>5</v>
      </c>
      <c r="F136" s="215" t="s">
        <v>495</v>
      </c>
      <c r="G136" s="215">
        <v>436</v>
      </c>
      <c r="H136" s="215" t="s">
        <v>501</v>
      </c>
      <c r="I136" s="215" t="s">
        <v>497</v>
      </c>
      <c r="J136" s="215" t="s">
        <v>317</v>
      </c>
      <c r="K136" s="215" t="s">
        <v>502</v>
      </c>
      <c r="L136" s="216">
        <v>46239.64166666667</v>
      </c>
      <c r="M136" s="216">
        <v>46239.644444444442</v>
      </c>
      <c r="N136" s="215" t="s">
        <v>254</v>
      </c>
      <c r="O136" s="203" t="s">
        <v>205</v>
      </c>
      <c r="Q136" s="203" t="s">
        <v>205</v>
      </c>
      <c r="S136" s="203" t="s">
        <v>205</v>
      </c>
      <c r="U136" s="203" t="s">
        <v>205</v>
      </c>
      <c r="W136" s="203" t="s">
        <v>205</v>
      </c>
      <c r="Y136" s="203" t="s">
        <v>205</v>
      </c>
      <c r="AA136" s="203" t="s">
        <v>205</v>
      </c>
      <c r="AC136" s="203" t="s">
        <v>205</v>
      </c>
      <c r="AE136" s="203" t="s">
        <v>205</v>
      </c>
      <c r="AF136" s="205" t="str">
        <f t="shared" si="6"/>
        <v>C</v>
      </c>
      <c r="AG136" s="204" t="str">
        <f t="shared" si="7"/>
        <v>UTILIZOU O PDA CORRETAMENTE</v>
      </c>
      <c r="AH136" s="203" t="s">
        <v>205</v>
      </c>
      <c r="AI136" s="246" t="s">
        <v>6</v>
      </c>
      <c r="AJ136" s="246" t="str">
        <f t="shared" si="8"/>
        <v>SÃO PAULO</v>
      </c>
      <c r="AK136" s="247" t="s">
        <v>39</v>
      </c>
    </row>
    <row r="137" spans="1:37" s="204" customFormat="1" ht="30" customHeight="1">
      <c r="A137" s="215" t="s">
        <v>198</v>
      </c>
      <c r="B137" s="215">
        <v>2618776490</v>
      </c>
      <c r="C137" s="215" t="s">
        <v>314</v>
      </c>
      <c r="D137" s="215" t="s">
        <v>77</v>
      </c>
      <c r="E137" s="215" t="s">
        <v>5</v>
      </c>
      <c r="F137" s="215" t="s">
        <v>495</v>
      </c>
      <c r="G137" s="215">
        <v>436</v>
      </c>
      <c r="H137" s="215" t="s">
        <v>503</v>
      </c>
      <c r="I137" s="215" t="s">
        <v>497</v>
      </c>
      <c r="J137" s="215" t="s">
        <v>317</v>
      </c>
      <c r="K137" s="215" t="s">
        <v>499</v>
      </c>
      <c r="L137" s="216">
        <v>46239.634027777778</v>
      </c>
      <c r="M137" s="216">
        <v>46239.635416666664</v>
      </c>
      <c r="N137" s="215" t="s">
        <v>254</v>
      </c>
      <c r="O137" s="203" t="s">
        <v>205</v>
      </c>
      <c r="Q137" s="203" t="s">
        <v>205</v>
      </c>
      <c r="S137" s="203" t="s">
        <v>205</v>
      </c>
      <c r="U137" s="203" t="s">
        <v>205</v>
      </c>
      <c r="W137" s="203" t="s">
        <v>205</v>
      </c>
      <c r="Y137" s="203" t="s">
        <v>205</v>
      </c>
      <c r="AA137" s="203" t="s">
        <v>205</v>
      </c>
      <c r="AC137" s="203" t="s">
        <v>205</v>
      </c>
      <c r="AE137" s="203" t="s">
        <v>205</v>
      </c>
      <c r="AF137" s="205" t="str">
        <f t="shared" si="6"/>
        <v>C</v>
      </c>
      <c r="AG137" s="204" t="str">
        <f t="shared" si="7"/>
        <v>UTILIZOU O PDA CORRETAMENTE</v>
      </c>
      <c r="AH137" s="203" t="s">
        <v>205</v>
      </c>
      <c r="AI137" s="246" t="s">
        <v>6</v>
      </c>
      <c r="AJ137" s="246" t="str">
        <f t="shared" si="8"/>
        <v>SÃO PAULO</v>
      </c>
      <c r="AK137" s="247" t="s">
        <v>39</v>
      </c>
    </row>
    <row r="138" spans="1:37" s="204" customFormat="1" ht="30" customHeight="1">
      <c r="A138" s="215" t="s">
        <v>198</v>
      </c>
      <c r="B138" s="215">
        <v>2618776485</v>
      </c>
      <c r="C138" s="215" t="s">
        <v>314</v>
      </c>
      <c r="D138" s="215" t="s">
        <v>77</v>
      </c>
      <c r="E138" s="215" t="s">
        <v>5</v>
      </c>
      <c r="F138" s="215" t="s">
        <v>495</v>
      </c>
      <c r="G138" s="215">
        <v>436</v>
      </c>
      <c r="H138" s="215" t="s">
        <v>504</v>
      </c>
      <c r="I138" s="215" t="s">
        <v>497</v>
      </c>
      <c r="J138" s="215" t="s">
        <v>317</v>
      </c>
      <c r="K138" s="215" t="s">
        <v>499</v>
      </c>
      <c r="L138" s="216">
        <v>46239.625</v>
      </c>
      <c r="M138" s="216">
        <v>46239.627083333333</v>
      </c>
      <c r="N138" s="215" t="s">
        <v>254</v>
      </c>
      <c r="O138" s="203" t="s">
        <v>205</v>
      </c>
      <c r="Q138" s="203" t="s">
        <v>205</v>
      </c>
      <c r="S138" s="203" t="s">
        <v>205</v>
      </c>
      <c r="U138" s="203" t="s">
        <v>205</v>
      </c>
      <c r="W138" s="203" t="s">
        <v>205</v>
      </c>
      <c r="Y138" s="203" t="s">
        <v>205</v>
      </c>
      <c r="AA138" s="203" t="s">
        <v>205</v>
      </c>
      <c r="AC138" s="203" t="s">
        <v>205</v>
      </c>
      <c r="AE138" s="203" t="s">
        <v>205</v>
      </c>
      <c r="AF138" s="205" t="str">
        <f t="shared" si="6"/>
        <v>C</v>
      </c>
      <c r="AG138" s="204" t="str">
        <f t="shared" si="7"/>
        <v>UTILIZOU O PDA CORRETAMENTE</v>
      </c>
      <c r="AH138" s="203" t="s">
        <v>205</v>
      </c>
      <c r="AI138" s="246" t="s">
        <v>6</v>
      </c>
      <c r="AJ138" s="246" t="str">
        <f t="shared" si="8"/>
        <v>SÃO PAULO</v>
      </c>
      <c r="AK138" s="247" t="s">
        <v>39</v>
      </c>
    </row>
    <row r="139" spans="1:37" s="204" customFormat="1" ht="30" customHeight="1">
      <c r="A139" s="215" t="s">
        <v>198</v>
      </c>
      <c r="B139" s="215">
        <v>2618776488</v>
      </c>
      <c r="C139" s="215" t="s">
        <v>314</v>
      </c>
      <c r="D139" s="215" t="s">
        <v>77</v>
      </c>
      <c r="E139" s="215" t="s">
        <v>5</v>
      </c>
      <c r="F139" s="215" t="s">
        <v>495</v>
      </c>
      <c r="G139" s="215">
        <v>436</v>
      </c>
      <c r="H139" s="215" t="s">
        <v>505</v>
      </c>
      <c r="I139" s="215" t="s">
        <v>497</v>
      </c>
      <c r="J139" s="215" t="s">
        <v>317</v>
      </c>
      <c r="K139" s="215" t="s">
        <v>499</v>
      </c>
      <c r="L139" s="216">
        <v>46239.629166666666</v>
      </c>
      <c r="M139" s="216">
        <v>46239.630555555559</v>
      </c>
      <c r="N139" s="215" t="s">
        <v>254</v>
      </c>
      <c r="O139" s="203" t="s">
        <v>205</v>
      </c>
      <c r="Q139" s="203" t="s">
        <v>205</v>
      </c>
      <c r="S139" s="203" t="s">
        <v>205</v>
      </c>
      <c r="U139" s="203" t="s">
        <v>205</v>
      </c>
      <c r="W139" s="203" t="s">
        <v>205</v>
      </c>
      <c r="Y139" s="203" t="s">
        <v>205</v>
      </c>
      <c r="AA139" s="203" t="s">
        <v>205</v>
      </c>
      <c r="AC139" s="203" t="s">
        <v>205</v>
      </c>
      <c r="AE139" s="203" t="s">
        <v>205</v>
      </c>
      <c r="AF139" s="205" t="str">
        <f t="shared" si="6"/>
        <v>C</v>
      </c>
      <c r="AG139" s="204" t="str">
        <f t="shared" si="7"/>
        <v>UTILIZOU O PDA CORRETAMENTE</v>
      </c>
      <c r="AH139" s="203" t="s">
        <v>205</v>
      </c>
      <c r="AI139" s="246" t="s">
        <v>6</v>
      </c>
      <c r="AJ139" s="246" t="str">
        <f t="shared" si="8"/>
        <v>SÃO PAULO</v>
      </c>
      <c r="AK139" s="247" t="s">
        <v>39</v>
      </c>
    </row>
    <row r="140" spans="1:37" s="204" customFormat="1" ht="30" customHeight="1">
      <c r="A140" s="215" t="s">
        <v>198</v>
      </c>
      <c r="B140" s="215">
        <v>2618776495</v>
      </c>
      <c r="C140" s="215" t="s">
        <v>314</v>
      </c>
      <c r="D140" s="215" t="s">
        <v>77</v>
      </c>
      <c r="E140" s="215" t="s">
        <v>5</v>
      </c>
      <c r="F140" s="215" t="s">
        <v>495</v>
      </c>
      <c r="G140" s="215">
        <v>436</v>
      </c>
      <c r="H140" s="215" t="s">
        <v>506</v>
      </c>
      <c r="I140" s="215" t="s">
        <v>497</v>
      </c>
      <c r="J140" s="215" t="s">
        <v>317</v>
      </c>
      <c r="K140" s="215" t="s">
        <v>499</v>
      </c>
      <c r="L140" s="216">
        <v>46239.644444444442</v>
      </c>
      <c r="M140" s="216">
        <v>46239.645833333336</v>
      </c>
      <c r="N140" s="215" t="s">
        <v>254</v>
      </c>
      <c r="O140" s="203" t="s">
        <v>205</v>
      </c>
      <c r="Q140" s="203" t="s">
        <v>205</v>
      </c>
      <c r="S140" s="203" t="s">
        <v>205</v>
      </c>
      <c r="U140" s="203" t="s">
        <v>205</v>
      </c>
      <c r="W140" s="203" t="s">
        <v>205</v>
      </c>
      <c r="Y140" s="203" t="s">
        <v>205</v>
      </c>
      <c r="AA140" s="203" t="s">
        <v>205</v>
      </c>
      <c r="AC140" s="203" t="s">
        <v>205</v>
      </c>
      <c r="AE140" s="203" t="s">
        <v>205</v>
      </c>
      <c r="AF140" s="205" t="str">
        <f t="shared" si="6"/>
        <v>C</v>
      </c>
      <c r="AG140" s="204" t="str">
        <f t="shared" si="7"/>
        <v>UTILIZOU O PDA CORRETAMENTE</v>
      </c>
      <c r="AH140" s="203" t="s">
        <v>205</v>
      </c>
      <c r="AI140" s="246" t="s">
        <v>6</v>
      </c>
      <c r="AJ140" s="246" t="str">
        <f t="shared" si="8"/>
        <v>SÃO PAULO</v>
      </c>
      <c r="AK140" s="247" t="s">
        <v>39</v>
      </c>
    </row>
    <row r="141" spans="1:37" s="204" customFormat="1" ht="30" customHeight="1">
      <c r="A141" s="215" t="s">
        <v>198</v>
      </c>
      <c r="B141" s="215">
        <v>2618776492</v>
      </c>
      <c r="C141" s="215" t="s">
        <v>314</v>
      </c>
      <c r="D141" s="215" t="s">
        <v>77</v>
      </c>
      <c r="E141" s="215" t="s">
        <v>5</v>
      </c>
      <c r="F141" s="215" t="s">
        <v>495</v>
      </c>
      <c r="G141" s="215">
        <v>436</v>
      </c>
      <c r="H141" s="215" t="s">
        <v>507</v>
      </c>
      <c r="I141" s="215" t="s">
        <v>497</v>
      </c>
      <c r="J141" s="215" t="s">
        <v>317</v>
      </c>
      <c r="K141" s="215" t="s">
        <v>499</v>
      </c>
      <c r="L141" s="216">
        <v>46239.638888888891</v>
      </c>
      <c r="M141" s="216">
        <v>46239.640277777777</v>
      </c>
      <c r="N141" s="215" t="s">
        <v>254</v>
      </c>
      <c r="O141" s="203" t="s">
        <v>205</v>
      </c>
      <c r="Q141" s="203" t="s">
        <v>205</v>
      </c>
      <c r="S141" s="203" t="s">
        <v>205</v>
      </c>
      <c r="U141" s="203" t="s">
        <v>205</v>
      </c>
      <c r="W141" s="203" t="s">
        <v>205</v>
      </c>
      <c r="Y141" s="203" t="s">
        <v>205</v>
      </c>
      <c r="AA141" s="203" t="s">
        <v>205</v>
      </c>
      <c r="AC141" s="203" t="s">
        <v>205</v>
      </c>
      <c r="AE141" s="203" t="s">
        <v>205</v>
      </c>
      <c r="AF141" s="205" t="str">
        <f t="shared" si="6"/>
        <v>C</v>
      </c>
      <c r="AG141" s="204" t="str">
        <f t="shared" si="7"/>
        <v>UTILIZOU O PDA CORRETAMENTE</v>
      </c>
      <c r="AH141" s="203" t="s">
        <v>205</v>
      </c>
      <c r="AI141" s="246" t="s">
        <v>6</v>
      </c>
      <c r="AJ141" s="246" t="str">
        <f t="shared" si="8"/>
        <v>SÃO PAULO</v>
      </c>
      <c r="AK141" s="247" t="s">
        <v>39</v>
      </c>
    </row>
    <row r="142" spans="1:37" s="204" customFormat="1" ht="30" customHeight="1">
      <c r="A142" s="215" t="s">
        <v>198</v>
      </c>
      <c r="B142" s="215">
        <v>2618776489</v>
      </c>
      <c r="C142" s="215" t="s">
        <v>314</v>
      </c>
      <c r="D142" s="215" t="s">
        <v>77</v>
      </c>
      <c r="E142" s="215" t="s">
        <v>5</v>
      </c>
      <c r="F142" s="215" t="s">
        <v>495</v>
      </c>
      <c r="G142" s="215">
        <v>436</v>
      </c>
      <c r="H142" s="215" t="s">
        <v>508</v>
      </c>
      <c r="I142" s="215" t="s">
        <v>497</v>
      </c>
      <c r="J142" s="215" t="s">
        <v>317</v>
      </c>
      <c r="K142" s="215" t="s">
        <v>502</v>
      </c>
      <c r="L142" s="216">
        <v>46239.631249999999</v>
      </c>
      <c r="M142" s="216">
        <v>46239.633333333331</v>
      </c>
      <c r="N142" s="215" t="s">
        <v>254</v>
      </c>
      <c r="O142" s="203" t="s">
        <v>205</v>
      </c>
      <c r="Q142" s="203" t="s">
        <v>205</v>
      </c>
      <c r="S142" s="203" t="s">
        <v>205</v>
      </c>
      <c r="U142" s="203" t="s">
        <v>205</v>
      </c>
      <c r="W142" s="203" t="s">
        <v>205</v>
      </c>
      <c r="Y142" s="203" t="s">
        <v>205</v>
      </c>
      <c r="AA142" s="203" t="s">
        <v>205</v>
      </c>
      <c r="AC142" s="203" t="s">
        <v>205</v>
      </c>
      <c r="AE142" s="203" t="s">
        <v>205</v>
      </c>
      <c r="AF142" s="205" t="str">
        <f t="shared" si="6"/>
        <v>C</v>
      </c>
      <c r="AG142" s="204" t="str">
        <f t="shared" si="7"/>
        <v>UTILIZOU O PDA CORRETAMENTE</v>
      </c>
      <c r="AH142" s="203" t="s">
        <v>205</v>
      </c>
      <c r="AI142" s="246" t="s">
        <v>6</v>
      </c>
      <c r="AJ142" s="246" t="str">
        <f t="shared" si="8"/>
        <v>SÃO PAULO</v>
      </c>
      <c r="AK142" s="247" t="s">
        <v>39</v>
      </c>
    </row>
    <row r="143" spans="1:37" s="204" customFormat="1" ht="30" customHeight="1">
      <c r="A143" s="215" t="s">
        <v>198</v>
      </c>
      <c r="B143" s="215">
        <v>2692652395</v>
      </c>
      <c r="C143" s="215" t="s">
        <v>99</v>
      </c>
      <c r="D143" s="215" t="s">
        <v>81</v>
      </c>
      <c r="E143" s="215" t="s">
        <v>5</v>
      </c>
      <c r="F143" s="215" t="s">
        <v>509</v>
      </c>
      <c r="G143" s="215">
        <v>48</v>
      </c>
      <c r="H143" s="215"/>
      <c r="I143" s="215" t="s">
        <v>510</v>
      </c>
      <c r="J143" s="215" t="s">
        <v>268</v>
      </c>
      <c r="K143" s="215"/>
      <c r="L143" s="216">
        <v>46239.253472222219</v>
      </c>
      <c r="M143" s="216">
        <v>46239.254166666666</v>
      </c>
      <c r="N143" s="215" t="s">
        <v>248</v>
      </c>
      <c r="O143" s="203" t="s">
        <v>62</v>
      </c>
      <c r="Q143" s="203" t="s">
        <v>62</v>
      </c>
      <c r="S143" s="203" t="s">
        <v>62</v>
      </c>
      <c r="U143" s="203" t="s">
        <v>62</v>
      </c>
      <c r="W143" s="203" t="s">
        <v>62</v>
      </c>
      <c r="Y143" s="203" t="s">
        <v>62</v>
      </c>
      <c r="AA143" s="203" t="s">
        <v>62</v>
      </c>
      <c r="AC143" s="203" t="s">
        <v>62</v>
      </c>
      <c r="AE143" s="203" t="s">
        <v>62</v>
      </c>
      <c r="AF143" s="205" t="str">
        <f t="shared" si="6"/>
        <v>NA</v>
      </c>
      <c r="AG143" s="204" t="str">
        <f t="shared" si="7"/>
        <v>NÃO AVALIADO POR FALHA DE SINCRONISMO</v>
      </c>
      <c r="AH143" s="203" t="s">
        <v>205</v>
      </c>
      <c r="AI143" s="246" t="s">
        <v>6</v>
      </c>
      <c r="AJ143" s="246" t="str">
        <f t="shared" si="8"/>
        <v>SÃO PAULO</v>
      </c>
      <c r="AK143" s="247" t="s">
        <v>39</v>
      </c>
    </row>
    <row r="144" spans="1:37" s="204" customFormat="1" ht="30" customHeight="1">
      <c r="A144" s="215" t="s">
        <v>198</v>
      </c>
      <c r="B144" s="215">
        <v>2692672321</v>
      </c>
      <c r="C144" s="215" t="s">
        <v>99</v>
      </c>
      <c r="D144" s="215" t="s">
        <v>81</v>
      </c>
      <c r="E144" s="215" t="s">
        <v>5</v>
      </c>
      <c r="F144" s="215" t="s">
        <v>511</v>
      </c>
      <c r="G144" s="215">
        <v>628</v>
      </c>
      <c r="H144" s="215" t="s">
        <v>200</v>
      </c>
      <c r="I144" s="215" t="s">
        <v>512</v>
      </c>
      <c r="J144" s="215" t="s">
        <v>268</v>
      </c>
      <c r="K144" s="215" t="s">
        <v>200</v>
      </c>
      <c r="L144" s="216">
        <v>46239.256944444445</v>
      </c>
      <c r="M144" s="216">
        <v>46239.257638888892</v>
      </c>
      <c r="N144" s="215" t="s">
        <v>357</v>
      </c>
      <c r="O144" s="203" t="s">
        <v>205</v>
      </c>
      <c r="Q144" s="203" t="s">
        <v>205</v>
      </c>
      <c r="S144" s="203" t="s">
        <v>205</v>
      </c>
      <c r="U144" s="203" t="s">
        <v>205</v>
      </c>
      <c r="W144" s="203" t="s">
        <v>205</v>
      </c>
      <c r="Y144" s="203" t="s">
        <v>205</v>
      </c>
      <c r="AA144" s="203" t="s">
        <v>205</v>
      </c>
      <c r="AC144" s="203" t="s">
        <v>205</v>
      </c>
      <c r="AE144" s="203" t="s">
        <v>205</v>
      </c>
      <c r="AF144" s="205" t="str">
        <f t="shared" si="6"/>
        <v>C</v>
      </c>
      <c r="AG144" s="204" t="str">
        <f t="shared" si="7"/>
        <v>UTILIZOU O PDA CORRETAMENTE</v>
      </c>
      <c r="AH144" s="203" t="s">
        <v>205</v>
      </c>
      <c r="AI144" s="246" t="s">
        <v>6</v>
      </c>
      <c r="AJ144" s="246" t="str">
        <f t="shared" si="8"/>
        <v>SÃO PAULO</v>
      </c>
      <c r="AK144" s="247" t="s">
        <v>39</v>
      </c>
    </row>
    <row r="145" spans="1:37" s="204" customFormat="1" ht="30" customHeight="1">
      <c r="A145" s="215" t="s">
        <v>198</v>
      </c>
      <c r="B145" s="215">
        <v>2619317263</v>
      </c>
      <c r="C145" s="215" t="s">
        <v>107</v>
      </c>
      <c r="D145" s="215" t="s">
        <v>81</v>
      </c>
      <c r="E145" s="215" t="s">
        <v>5</v>
      </c>
      <c r="F145" s="215" t="s">
        <v>513</v>
      </c>
      <c r="G145" s="215">
        <v>2000</v>
      </c>
      <c r="H145" s="215" t="s">
        <v>514</v>
      </c>
      <c r="I145" s="215" t="s">
        <v>515</v>
      </c>
      <c r="J145" s="215" t="s">
        <v>220</v>
      </c>
      <c r="K145" s="215"/>
      <c r="L145" s="216">
        <v>46239.613194444442</v>
      </c>
      <c r="M145" s="216">
        <v>46239.638194444444</v>
      </c>
      <c r="N145" s="215" t="s">
        <v>230</v>
      </c>
      <c r="O145" s="203" t="s">
        <v>205</v>
      </c>
      <c r="Q145" s="203" t="s">
        <v>205</v>
      </c>
      <c r="S145" s="203" t="s">
        <v>205</v>
      </c>
      <c r="U145" s="203" t="s">
        <v>205</v>
      </c>
      <c r="W145" s="203" t="s">
        <v>205</v>
      </c>
      <c r="Y145" s="203" t="s">
        <v>62</v>
      </c>
      <c r="AA145" s="203" t="s">
        <v>205</v>
      </c>
      <c r="AC145" s="203" t="s">
        <v>205</v>
      </c>
      <c r="AE145" s="203" t="s">
        <v>205</v>
      </c>
      <c r="AF145" s="205" t="str">
        <f t="shared" si="6"/>
        <v>C</v>
      </c>
      <c r="AG145" s="204" t="str">
        <f t="shared" si="7"/>
        <v>UTILIZOU O PDA CORRETAMENTE</v>
      </c>
      <c r="AH145" s="203" t="s">
        <v>205</v>
      </c>
      <c r="AI145" s="246" t="s">
        <v>6</v>
      </c>
      <c r="AJ145" s="246" t="str">
        <f t="shared" si="8"/>
        <v>SÃO PAULO</v>
      </c>
      <c r="AK145" s="247" t="s">
        <v>39</v>
      </c>
    </row>
    <row r="146" spans="1:37" s="204" customFormat="1" ht="30" customHeight="1">
      <c r="A146" s="215" t="s">
        <v>198</v>
      </c>
      <c r="B146" s="215">
        <v>2619329689</v>
      </c>
      <c r="C146" s="215" t="s">
        <v>100</v>
      </c>
      <c r="D146" s="215" t="s">
        <v>81</v>
      </c>
      <c r="E146" s="215" t="s">
        <v>5</v>
      </c>
      <c r="F146" s="215" t="s">
        <v>482</v>
      </c>
      <c r="G146" s="215">
        <v>161</v>
      </c>
      <c r="H146" s="215" t="s">
        <v>200</v>
      </c>
      <c r="I146" s="215" t="s">
        <v>328</v>
      </c>
      <c r="J146" s="215" t="s">
        <v>243</v>
      </c>
      <c r="K146" s="215" t="s">
        <v>516</v>
      </c>
      <c r="L146" s="216">
        <v>46239.552777777775</v>
      </c>
      <c r="M146" s="216">
        <v>46239.554166666669</v>
      </c>
      <c r="N146" s="215" t="s">
        <v>326</v>
      </c>
      <c r="O146" s="203" t="s">
        <v>239</v>
      </c>
      <c r="P146" s="204" t="s">
        <v>303</v>
      </c>
      <c r="Q146" s="203" t="s">
        <v>239</v>
      </c>
      <c r="R146" s="204" t="s">
        <v>303</v>
      </c>
      <c r="S146" s="203" t="s">
        <v>239</v>
      </c>
      <c r="T146" s="204" t="s">
        <v>303</v>
      </c>
      <c r="U146" s="203" t="s">
        <v>239</v>
      </c>
      <c r="V146" s="204" t="s">
        <v>303</v>
      </c>
      <c r="W146" s="203" t="s">
        <v>239</v>
      </c>
      <c r="X146" s="204" t="s">
        <v>303</v>
      </c>
      <c r="Y146" s="203" t="s">
        <v>239</v>
      </c>
      <c r="Z146" s="204" t="s">
        <v>303</v>
      </c>
      <c r="AA146" s="203" t="s">
        <v>239</v>
      </c>
      <c r="AB146" s="204" t="s">
        <v>303</v>
      </c>
      <c r="AC146" s="203" t="s">
        <v>239</v>
      </c>
      <c r="AD146" s="204" t="s">
        <v>303</v>
      </c>
      <c r="AE146" s="203" t="s">
        <v>239</v>
      </c>
      <c r="AF146" s="205" t="str">
        <f t="shared" si="6"/>
        <v>NC</v>
      </c>
      <c r="AG146" s="204" t="str">
        <f t="shared" si="7"/>
        <v>NÃO UTILIZOU O PDA</v>
      </c>
      <c r="AH146" s="203" t="s">
        <v>205</v>
      </c>
      <c r="AI146" s="246" t="s">
        <v>6</v>
      </c>
      <c r="AJ146" s="246" t="str">
        <f t="shared" si="8"/>
        <v>SÃO PAULO</v>
      </c>
      <c r="AK146" s="247" t="s">
        <v>39</v>
      </c>
    </row>
    <row r="147" spans="1:37" s="204" customFormat="1" ht="30" customHeight="1">
      <c r="A147" s="215" t="s">
        <v>198</v>
      </c>
      <c r="B147" s="215">
        <v>2619135362</v>
      </c>
      <c r="C147" s="215" t="s">
        <v>100</v>
      </c>
      <c r="D147" s="215" t="s">
        <v>81</v>
      </c>
      <c r="E147" s="215" t="s">
        <v>5</v>
      </c>
      <c r="F147" s="215" t="s">
        <v>517</v>
      </c>
      <c r="G147" s="215">
        <v>300</v>
      </c>
      <c r="H147" s="215"/>
      <c r="I147" s="215" t="s">
        <v>412</v>
      </c>
      <c r="J147" s="215" t="s">
        <v>243</v>
      </c>
      <c r="K147" s="215"/>
      <c r="L147" s="216">
        <v>46239.636111111111</v>
      </c>
      <c r="M147" s="216">
        <v>46239.637499999997</v>
      </c>
      <c r="N147" s="215" t="s">
        <v>235</v>
      </c>
      <c r="O147" s="203" t="s">
        <v>205</v>
      </c>
      <c r="Q147" s="203" t="s">
        <v>205</v>
      </c>
      <c r="S147" s="203" t="s">
        <v>205</v>
      </c>
      <c r="U147" s="203" t="s">
        <v>205</v>
      </c>
      <c r="W147" s="203" t="s">
        <v>205</v>
      </c>
      <c r="Y147" s="203" t="s">
        <v>205</v>
      </c>
      <c r="AA147" s="203" t="s">
        <v>205</v>
      </c>
      <c r="AC147" s="203" t="s">
        <v>205</v>
      </c>
      <c r="AE147" s="203" t="s">
        <v>205</v>
      </c>
      <c r="AF147" s="205" t="str">
        <f t="shared" si="6"/>
        <v>C</v>
      </c>
      <c r="AG147" s="204" t="str">
        <f t="shared" si="7"/>
        <v>UTILIZOU O PDA CORRETAMENTE</v>
      </c>
      <c r="AH147" s="203" t="s">
        <v>205</v>
      </c>
      <c r="AI147" s="246" t="s">
        <v>6</v>
      </c>
      <c r="AJ147" s="246" t="str">
        <f t="shared" si="8"/>
        <v>SÃO PAULO</v>
      </c>
      <c r="AK147" s="247" t="s">
        <v>39</v>
      </c>
    </row>
    <row r="148" spans="1:37" s="204" customFormat="1" ht="30" customHeight="1">
      <c r="A148" s="215" t="s">
        <v>198</v>
      </c>
      <c r="B148" s="215">
        <v>2619337664</v>
      </c>
      <c r="C148" s="215" t="s">
        <v>100</v>
      </c>
      <c r="D148" s="215" t="s">
        <v>81</v>
      </c>
      <c r="E148" s="215" t="s">
        <v>5</v>
      </c>
      <c r="F148" s="215" t="s">
        <v>472</v>
      </c>
      <c r="G148" s="215">
        <v>533</v>
      </c>
      <c r="H148" s="215" t="s">
        <v>200</v>
      </c>
      <c r="I148" s="215" t="s">
        <v>215</v>
      </c>
      <c r="J148" s="215" t="s">
        <v>243</v>
      </c>
      <c r="K148" s="215" t="s">
        <v>518</v>
      </c>
      <c r="L148" s="216">
        <v>46239.638194444444</v>
      </c>
      <c r="M148" s="216">
        <v>46239.640972222223</v>
      </c>
      <c r="N148" s="215" t="s">
        <v>357</v>
      </c>
      <c r="O148" s="203" t="s">
        <v>205</v>
      </c>
      <c r="Q148" s="203" t="s">
        <v>205</v>
      </c>
      <c r="S148" s="203" t="s">
        <v>205</v>
      </c>
      <c r="U148" s="203" t="s">
        <v>205</v>
      </c>
      <c r="W148" s="203" t="s">
        <v>205</v>
      </c>
      <c r="Y148" s="204" t="s">
        <v>239</v>
      </c>
      <c r="Z148" s="204" t="s">
        <v>519</v>
      </c>
      <c r="AA148" s="203" t="s">
        <v>205</v>
      </c>
      <c r="AC148" s="203" t="s">
        <v>205</v>
      </c>
      <c r="AE148" s="203" t="s">
        <v>205</v>
      </c>
      <c r="AF148" s="205" t="str">
        <f t="shared" si="6"/>
        <v>NC</v>
      </c>
      <c r="AG148" s="204" t="str">
        <f t="shared" si="7"/>
        <v>UTILIZOU O PDA CORRETAMENTE. NÃO HÁ FOTOS DE TODAS AS ETAPAS</v>
      </c>
      <c r="AH148" s="203" t="s">
        <v>205</v>
      </c>
      <c r="AI148" s="246" t="s">
        <v>6</v>
      </c>
      <c r="AJ148" s="246" t="str">
        <f t="shared" si="8"/>
        <v>SÃO PAULO</v>
      </c>
      <c r="AK148" s="247" t="s">
        <v>39</v>
      </c>
    </row>
    <row r="149" spans="1:37" s="204" customFormat="1" ht="30" customHeight="1">
      <c r="A149" s="215" t="s">
        <v>198</v>
      </c>
      <c r="B149" s="215">
        <v>2619319715</v>
      </c>
      <c r="C149" s="215" t="s">
        <v>107</v>
      </c>
      <c r="D149" s="215" t="s">
        <v>81</v>
      </c>
      <c r="E149" s="215" t="s">
        <v>5</v>
      </c>
      <c r="F149" s="215" t="s">
        <v>520</v>
      </c>
      <c r="G149" s="215">
        <v>104</v>
      </c>
      <c r="H149" s="215"/>
      <c r="I149" s="215" t="s">
        <v>521</v>
      </c>
      <c r="J149" s="215" t="s">
        <v>220</v>
      </c>
      <c r="K149" s="215"/>
      <c r="L149" s="216">
        <v>46239.418749999997</v>
      </c>
      <c r="M149" s="216">
        <v>46239.419444444444</v>
      </c>
      <c r="N149" s="215" t="s">
        <v>341</v>
      </c>
      <c r="O149" s="203" t="s">
        <v>62</v>
      </c>
      <c r="Q149" s="203" t="s">
        <v>62</v>
      </c>
      <c r="S149" s="203" t="s">
        <v>62</v>
      </c>
      <c r="U149" s="203" t="s">
        <v>62</v>
      </c>
      <c r="W149" s="203" t="s">
        <v>62</v>
      </c>
      <c r="Y149" s="203" t="s">
        <v>62</v>
      </c>
      <c r="AA149" s="203" t="s">
        <v>62</v>
      </c>
      <c r="AC149" s="203" t="s">
        <v>62</v>
      </c>
      <c r="AE149" s="203" t="s">
        <v>62</v>
      </c>
      <c r="AF149" s="205" t="str">
        <f t="shared" si="6"/>
        <v>NA</v>
      </c>
      <c r="AG149" s="204" t="str">
        <f t="shared" si="7"/>
        <v>NÃO AVALIADO POR FALHA DE SINCRONISMO</v>
      </c>
      <c r="AH149" s="203" t="s">
        <v>205</v>
      </c>
      <c r="AI149" s="246" t="s">
        <v>6</v>
      </c>
      <c r="AJ149" s="246" t="str">
        <f t="shared" si="8"/>
        <v>SÃO PAULO</v>
      </c>
      <c r="AK149" s="247" t="s">
        <v>39</v>
      </c>
    </row>
    <row r="150" spans="1:37" s="204" customFormat="1" ht="30" customHeight="1">
      <c r="A150" s="215" t="s">
        <v>198</v>
      </c>
      <c r="B150" s="215">
        <v>2618862239</v>
      </c>
      <c r="C150" s="215" t="s">
        <v>105</v>
      </c>
      <c r="D150" s="215" t="s">
        <v>81</v>
      </c>
      <c r="E150" s="215" t="s">
        <v>5</v>
      </c>
      <c r="F150" s="215" t="s">
        <v>522</v>
      </c>
      <c r="G150" s="215">
        <v>8</v>
      </c>
      <c r="H150" s="215" t="s">
        <v>318</v>
      </c>
      <c r="I150" s="215" t="s">
        <v>523</v>
      </c>
      <c r="J150" s="215" t="s">
        <v>350</v>
      </c>
      <c r="K150" s="215" t="s">
        <v>524</v>
      </c>
      <c r="L150" s="216">
        <v>46270.457638888889</v>
      </c>
      <c r="M150" s="216">
        <v>46270.46597222222</v>
      </c>
      <c r="N150" s="215" t="s">
        <v>326</v>
      </c>
      <c r="O150" s="203" t="s">
        <v>62</v>
      </c>
      <c r="Q150" s="203" t="s">
        <v>62</v>
      </c>
      <c r="S150" s="203" t="s">
        <v>62</v>
      </c>
      <c r="U150" s="203" t="s">
        <v>62</v>
      </c>
      <c r="W150" s="203" t="s">
        <v>62</v>
      </c>
      <c r="Y150" s="203" t="s">
        <v>62</v>
      </c>
      <c r="AA150" s="203" t="s">
        <v>62</v>
      </c>
      <c r="AC150" s="203" t="s">
        <v>62</v>
      </c>
      <c r="AD150" s="204" t="s">
        <v>525</v>
      </c>
      <c r="AE150" s="203" t="s">
        <v>62</v>
      </c>
      <c r="AF150" s="205" t="str">
        <f t="shared" si="6"/>
        <v>NA</v>
      </c>
      <c r="AG150" s="204" t="str">
        <f t="shared" si="7"/>
        <v>NÃO AVALIADO POR FALHA DE SINCRONISMO</v>
      </c>
      <c r="AH150" s="203" t="s">
        <v>205</v>
      </c>
      <c r="AI150" s="246" t="s">
        <v>6</v>
      </c>
      <c r="AJ150" s="246" t="str">
        <f t="shared" si="8"/>
        <v>SÃO PAULO</v>
      </c>
      <c r="AK150" s="247" t="s">
        <v>39</v>
      </c>
    </row>
    <row r="151" spans="1:37" s="204" customFormat="1" ht="30" customHeight="1">
      <c r="A151" s="215" t="s">
        <v>198</v>
      </c>
      <c r="B151" s="215">
        <v>2618896099</v>
      </c>
      <c r="C151" s="215" t="s">
        <v>86</v>
      </c>
      <c r="D151" s="215" t="s">
        <v>77</v>
      </c>
      <c r="E151" s="215" t="s">
        <v>5</v>
      </c>
      <c r="F151" s="215" t="s">
        <v>526</v>
      </c>
      <c r="G151" s="215">
        <v>2439</v>
      </c>
      <c r="H151" s="215"/>
      <c r="I151" s="215" t="s">
        <v>343</v>
      </c>
      <c r="J151" s="215" t="s">
        <v>86</v>
      </c>
      <c r="K151" s="215" t="s">
        <v>527</v>
      </c>
      <c r="L151" s="216">
        <v>46270.472222222219</v>
      </c>
      <c r="M151" s="216">
        <v>46270.477083333331</v>
      </c>
      <c r="N151" s="215" t="s">
        <v>235</v>
      </c>
      <c r="O151" s="203" t="s">
        <v>205</v>
      </c>
      <c r="Q151" s="203" t="s">
        <v>205</v>
      </c>
      <c r="S151" s="203" t="s">
        <v>205</v>
      </c>
      <c r="U151" s="203" t="s">
        <v>205</v>
      </c>
      <c r="W151" s="203" t="s">
        <v>205</v>
      </c>
      <c r="Y151" s="203" t="s">
        <v>205</v>
      </c>
      <c r="AA151" s="203" t="s">
        <v>205</v>
      </c>
      <c r="AC151" s="203" t="s">
        <v>205</v>
      </c>
      <c r="AE151" s="203" t="s">
        <v>205</v>
      </c>
      <c r="AF151" s="205" t="str">
        <f t="shared" si="6"/>
        <v>C</v>
      </c>
      <c r="AG151" s="204" t="str">
        <f t="shared" si="7"/>
        <v>UTILIZOU O PDA CORRETAMENTE</v>
      </c>
      <c r="AH151" s="203" t="s">
        <v>205</v>
      </c>
      <c r="AI151" s="246" t="s">
        <v>6</v>
      </c>
      <c r="AJ151" s="246" t="str">
        <f t="shared" si="8"/>
        <v>SÃO PAULO</v>
      </c>
      <c r="AK151" s="247" t="s">
        <v>39</v>
      </c>
    </row>
    <row r="152" spans="1:37" s="204" customFormat="1" ht="30" customHeight="1">
      <c r="A152" s="215" t="s">
        <v>198</v>
      </c>
      <c r="B152" s="215">
        <v>2618861820</v>
      </c>
      <c r="C152" s="215" t="s">
        <v>105</v>
      </c>
      <c r="D152" s="215" t="s">
        <v>81</v>
      </c>
      <c r="E152" s="215" t="s">
        <v>5</v>
      </c>
      <c r="F152" s="215" t="s">
        <v>528</v>
      </c>
      <c r="G152" s="215">
        <v>420</v>
      </c>
      <c r="H152" s="215" t="s">
        <v>200</v>
      </c>
      <c r="I152" s="215" t="s">
        <v>529</v>
      </c>
      <c r="J152" s="215" t="s">
        <v>459</v>
      </c>
      <c r="K152" s="215" t="s">
        <v>530</v>
      </c>
      <c r="L152" s="216">
        <v>46270.385416666664</v>
      </c>
      <c r="M152" s="216">
        <v>46270.418749999997</v>
      </c>
      <c r="N152" s="215" t="s">
        <v>326</v>
      </c>
      <c r="O152" s="203" t="s">
        <v>205</v>
      </c>
      <c r="Q152" s="203" t="s">
        <v>205</v>
      </c>
      <c r="S152" s="203" t="s">
        <v>205</v>
      </c>
      <c r="U152" s="203" t="s">
        <v>205</v>
      </c>
      <c r="W152" s="203" t="s">
        <v>205</v>
      </c>
      <c r="Y152" s="203" t="s">
        <v>62</v>
      </c>
      <c r="AA152" s="203" t="s">
        <v>205</v>
      </c>
      <c r="AC152" s="203" t="s">
        <v>205</v>
      </c>
      <c r="AE152" s="203" t="s">
        <v>205</v>
      </c>
      <c r="AF152" s="205" t="str">
        <f t="shared" si="6"/>
        <v>C</v>
      </c>
      <c r="AG152" s="204" t="str">
        <f t="shared" si="7"/>
        <v>UTILIZOU O PDA CORRETAMENTE</v>
      </c>
      <c r="AH152" s="203" t="s">
        <v>205</v>
      </c>
      <c r="AI152" s="246" t="s">
        <v>6</v>
      </c>
      <c r="AJ152" s="246" t="str">
        <f t="shared" si="8"/>
        <v>SÃO PAULO</v>
      </c>
      <c r="AK152" s="247" t="s">
        <v>39</v>
      </c>
    </row>
    <row r="153" spans="1:37" s="204" customFormat="1" ht="30" customHeight="1">
      <c r="A153" s="215" t="s">
        <v>198</v>
      </c>
      <c r="B153" s="215">
        <v>2619205600</v>
      </c>
      <c r="C153" s="215" t="s">
        <v>105</v>
      </c>
      <c r="D153" s="215" t="s">
        <v>81</v>
      </c>
      <c r="E153" s="215" t="s">
        <v>5</v>
      </c>
      <c r="F153" s="215" t="s">
        <v>526</v>
      </c>
      <c r="G153" s="215">
        <v>2439</v>
      </c>
      <c r="H153" s="215"/>
      <c r="I153" s="215" t="s">
        <v>531</v>
      </c>
      <c r="J153" s="215" t="s">
        <v>459</v>
      </c>
      <c r="K153" s="215" t="s">
        <v>532</v>
      </c>
      <c r="L153" s="216">
        <v>46270.470833333333</v>
      </c>
      <c r="M153" s="216">
        <v>46270.47152777778</v>
      </c>
      <c r="N153" s="215" t="s">
        <v>235</v>
      </c>
      <c r="O153" s="203" t="s">
        <v>205</v>
      </c>
      <c r="Q153" s="203" t="s">
        <v>205</v>
      </c>
      <c r="S153" s="203" t="s">
        <v>205</v>
      </c>
      <c r="U153" s="203" t="s">
        <v>205</v>
      </c>
      <c r="W153" s="203" t="s">
        <v>205</v>
      </c>
      <c r="Y153" s="203" t="s">
        <v>205</v>
      </c>
      <c r="AA153" s="203" t="s">
        <v>205</v>
      </c>
      <c r="AC153" s="203" t="s">
        <v>205</v>
      </c>
      <c r="AE153" s="203" t="s">
        <v>205</v>
      </c>
      <c r="AF153" s="205" t="str">
        <f t="shared" si="6"/>
        <v>C</v>
      </c>
      <c r="AG153" s="204" t="str">
        <f t="shared" si="7"/>
        <v>UTILIZOU O PDA CORRETAMENTE</v>
      </c>
      <c r="AH153" s="203" t="s">
        <v>205</v>
      </c>
      <c r="AI153" s="246" t="s">
        <v>6</v>
      </c>
      <c r="AJ153" s="246" t="str">
        <f t="shared" si="8"/>
        <v>SÃO PAULO</v>
      </c>
      <c r="AK153" s="247" t="s">
        <v>39</v>
      </c>
    </row>
    <row r="154" spans="1:37" s="204" customFormat="1" ht="30" customHeight="1">
      <c r="A154" s="215" t="s">
        <v>198</v>
      </c>
      <c r="B154" s="215">
        <v>2619190818</v>
      </c>
      <c r="C154" s="215" t="s">
        <v>105</v>
      </c>
      <c r="D154" s="215" t="s">
        <v>81</v>
      </c>
      <c r="E154" s="215" t="s">
        <v>5</v>
      </c>
      <c r="F154" s="215" t="s">
        <v>533</v>
      </c>
      <c r="G154" s="215">
        <v>468</v>
      </c>
      <c r="H154" s="215" t="s">
        <v>226</v>
      </c>
      <c r="I154" s="215" t="s">
        <v>277</v>
      </c>
      <c r="J154" s="215" t="s">
        <v>459</v>
      </c>
      <c r="K154" s="215" t="s">
        <v>200</v>
      </c>
      <c r="L154" s="216">
        <v>46270.603472222225</v>
      </c>
      <c r="M154" s="216">
        <v>46270.632638888892</v>
      </c>
      <c r="N154" s="215" t="s">
        <v>235</v>
      </c>
      <c r="O154" s="203" t="s">
        <v>205</v>
      </c>
      <c r="Q154" s="203" t="s">
        <v>205</v>
      </c>
      <c r="S154" s="203" t="s">
        <v>205</v>
      </c>
      <c r="U154" s="203" t="s">
        <v>205</v>
      </c>
      <c r="W154" s="203" t="s">
        <v>205</v>
      </c>
      <c r="Y154" s="203" t="s">
        <v>62</v>
      </c>
      <c r="AA154" s="203" t="s">
        <v>205</v>
      </c>
      <c r="AC154" s="203" t="s">
        <v>205</v>
      </c>
      <c r="AE154" s="203" t="s">
        <v>205</v>
      </c>
      <c r="AF154" s="205" t="str">
        <f t="shared" si="6"/>
        <v>C</v>
      </c>
      <c r="AG154" s="204" t="str">
        <f t="shared" si="7"/>
        <v>UTILIZOU O PDA CORRETAMENTE</v>
      </c>
      <c r="AH154" s="203" t="s">
        <v>205</v>
      </c>
      <c r="AI154" s="246" t="s">
        <v>6</v>
      </c>
      <c r="AJ154" s="246" t="str">
        <f t="shared" si="8"/>
        <v>SÃO PAULO</v>
      </c>
      <c r="AK154" s="247" t="s">
        <v>39</v>
      </c>
    </row>
    <row r="155" spans="1:37" s="204" customFormat="1" ht="30" customHeight="1">
      <c r="A155" s="215" t="s">
        <v>198</v>
      </c>
      <c r="B155" s="215">
        <v>2618770926</v>
      </c>
      <c r="C155" s="215" t="s">
        <v>106</v>
      </c>
      <c r="D155" s="215" t="s">
        <v>81</v>
      </c>
      <c r="E155" s="215" t="s">
        <v>5</v>
      </c>
      <c r="F155" s="215" t="s">
        <v>534</v>
      </c>
      <c r="G155" s="215">
        <v>574</v>
      </c>
      <c r="H155" s="215"/>
      <c r="I155" s="215" t="s">
        <v>535</v>
      </c>
      <c r="J155" s="215" t="s">
        <v>536</v>
      </c>
      <c r="K155" s="215"/>
      <c r="L155" s="216">
        <v>46270.444444444445</v>
      </c>
      <c r="M155" s="216">
        <v>46270.477777777778</v>
      </c>
      <c r="N155" s="215" t="s">
        <v>359</v>
      </c>
      <c r="O155" s="203" t="s">
        <v>205</v>
      </c>
      <c r="Q155" s="203" t="s">
        <v>205</v>
      </c>
      <c r="S155" s="203" t="s">
        <v>205</v>
      </c>
      <c r="U155" s="203" t="s">
        <v>205</v>
      </c>
      <c r="W155" s="203" t="s">
        <v>205</v>
      </c>
      <c r="Y155" s="203" t="s">
        <v>62</v>
      </c>
      <c r="AA155" s="203" t="s">
        <v>205</v>
      </c>
      <c r="AC155" s="203" t="s">
        <v>205</v>
      </c>
      <c r="AE155" s="203" t="s">
        <v>205</v>
      </c>
      <c r="AF155" s="205" t="str">
        <f t="shared" si="6"/>
        <v>C</v>
      </c>
      <c r="AG155" s="204" t="str">
        <f t="shared" si="7"/>
        <v>UTILIZOU O PDA CORRETAMENTE</v>
      </c>
      <c r="AH155" s="203" t="s">
        <v>205</v>
      </c>
      <c r="AI155" s="246" t="s">
        <v>6</v>
      </c>
      <c r="AJ155" s="246" t="str">
        <f t="shared" si="8"/>
        <v>SÃO PAULO</v>
      </c>
      <c r="AK155" s="247" t="s">
        <v>39</v>
      </c>
    </row>
    <row r="156" spans="1:37" s="204" customFormat="1" ht="30" customHeight="1">
      <c r="A156" s="215" t="s">
        <v>198</v>
      </c>
      <c r="B156" s="215">
        <v>2692790105</v>
      </c>
      <c r="C156" s="215" t="s">
        <v>107</v>
      </c>
      <c r="D156" s="215" t="s">
        <v>81</v>
      </c>
      <c r="E156" s="215" t="s">
        <v>5</v>
      </c>
      <c r="F156" s="215" t="s">
        <v>537</v>
      </c>
      <c r="G156" s="215">
        <v>358</v>
      </c>
      <c r="H156" s="215" t="s">
        <v>481</v>
      </c>
      <c r="I156" s="215" t="s">
        <v>227</v>
      </c>
      <c r="J156" s="215" t="s">
        <v>268</v>
      </c>
      <c r="K156" s="215" t="s">
        <v>538</v>
      </c>
      <c r="L156" s="216">
        <v>46270.333333333336</v>
      </c>
      <c r="M156" s="216">
        <v>46270.347222222219</v>
      </c>
      <c r="N156" s="215" t="s">
        <v>341</v>
      </c>
      <c r="O156" s="203" t="s">
        <v>206</v>
      </c>
      <c r="Q156" s="203" t="s">
        <v>206</v>
      </c>
      <c r="S156" s="203" t="s">
        <v>206</v>
      </c>
      <c r="U156" s="203" t="s">
        <v>206</v>
      </c>
      <c r="W156" s="203" t="s">
        <v>206</v>
      </c>
      <c r="Y156" s="203" t="s">
        <v>206</v>
      </c>
      <c r="AA156" s="203" t="s">
        <v>206</v>
      </c>
      <c r="AC156" s="203" t="s">
        <v>206</v>
      </c>
      <c r="AE156" s="203" t="s">
        <v>239</v>
      </c>
      <c r="AF156" s="205" t="str">
        <f t="shared" si="6"/>
        <v>NC</v>
      </c>
      <c r="AG156" s="204" t="str">
        <f t="shared" si="7"/>
        <v>NÃO UTILIZOU O PDA</v>
      </c>
      <c r="AH156" s="203" t="s">
        <v>205</v>
      </c>
      <c r="AI156" s="246" t="s">
        <v>6</v>
      </c>
      <c r="AJ156" s="246" t="str">
        <f t="shared" si="8"/>
        <v>SÃO PAULO</v>
      </c>
      <c r="AK156" s="247" t="s">
        <v>39</v>
      </c>
    </row>
    <row r="157" spans="1:37" s="204" customFormat="1" ht="30" customHeight="1">
      <c r="A157" s="215" t="s">
        <v>198</v>
      </c>
      <c r="B157" s="215">
        <v>2619463592</v>
      </c>
      <c r="C157" s="215" t="s">
        <v>89</v>
      </c>
      <c r="D157" s="215" t="s">
        <v>78</v>
      </c>
      <c r="E157" s="215" t="s">
        <v>5</v>
      </c>
      <c r="F157" s="215" t="s">
        <v>539</v>
      </c>
      <c r="G157" s="215">
        <v>1430</v>
      </c>
      <c r="H157" s="215" t="s">
        <v>387</v>
      </c>
      <c r="I157" s="215" t="s">
        <v>540</v>
      </c>
      <c r="J157" s="215" t="s">
        <v>238</v>
      </c>
      <c r="K157" s="215"/>
      <c r="L157" s="216">
        <v>46270.356249999997</v>
      </c>
      <c r="M157" s="216">
        <v>46270.452777777777</v>
      </c>
      <c r="N157" s="215" t="s">
        <v>357</v>
      </c>
      <c r="O157" s="203" t="s">
        <v>205</v>
      </c>
      <c r="Q157" s="203" t="s">
        <v>205</v>
      </c>
      <c r="S157" s="203" t="s">
        <v>205</v>
      </c>
      <c r="U157" s="203" t="s">
        <v>205</v>
      </c>
      <c r="W157" s="203" t="s">
        <v>205</v>
      </c>
      <c r="Y157" s="203" t="s">
        <v>62</v>
      </c>
      <c r="AA157" s="203" t="s">
        <v>205</v>
      </c>
      <c r="AC157" s="203" t="s">
        <v>205</v>
      </c>
      <c r="AE157" s="203" t="s">
        <v>205</v>
      </c>
      <c r="AF157" s="205" t="str">
        <f t="shared" si="6"/>
        <v>C</v>
      </c>
      <c r="AG157" s="204" t="str">
        <f t="shared" si="7"/>
        <v>UTILIZOU O PDA CORRETAMENTE</v>
      </c>
      <c r="AH157" s="203"/>
      <c r="AI157" s="246" t="s">
        <v>6</v>
      </c>
      <c r="AJ157" s="246" t="str">
        <f t="shared" si="8"/>
        <v>SÃO PAULO</v>
      </c>
      <c r="AK157" s="247" t="s">
        <v>39</v>
      </c>
    </row>
    <row r="158" spans="1:37" s="204" customFormat="1" ht="30" customHeight="1">
      <c r="A158" s="215" t="s">
        <v>198</v>
      </c>
      <c r="B158" s="215">
        <v>2619465901</v>
      </c>
      <c r="C158" s="215" t="s">
        <v>87</v>
      </c>
      <c r="D158" s="215" t="s">
        <v>80</v>
      </c>
      <c r="E158" s="215" t="s">
        <v>5</v>
      </c>
      <c r="F158" s="215" t="s">
        <v>539</v>
      </c>
      <c r="G158" s="215">
        <v>1430</v>
      </c>
      <c r="H158" s="215" t="s">
        <v>387</v>
      </c>
      <c r="I158" s="215" t="s">
        <v>540</v>
      </c>
      <c r="J158" s="215" t="s">
        <v>216</v>
      </c>
      <c r="K158" s="215" t="s">
        <v>541</v>
      </c>
      <c r="L158" s="216">
        <v>46270.465277777781</v>
      </c>
      <c r="M158" s="216">
        <v>46270.466666666667</v>
      </c>
      <c r="N158" s="215" t="s">
        <v>357</v>
      </c>
      <c r="O158" s="203" t="s">
        <v>205</v>
      </c>
      <c r="Q158" s="203" t="s">
        <v>205</v>
      </c>
      <c r="S158" s="203" t="s">
        <v>205</v>
      </c>
      <c r="U158" s="203" t="s">
        <v>205</v>
      </c>
      <c r="W158" s="203" t="s">
        <v>205</v>
      </c>
      <c r="Y158" s="203" t="s">
        <v>62</v>
      </c>
      <c r="AA158" s="203" t="s">
        <v>205</v>
      </c>
      <c r="AC158" s="203" t="s">
        <v>205</v>
      </c>
      <c r="AE158" s="203" t="s">
        <v>205</v>
      </c>
      <c r="AF158" s="205" t="str">
        <f t="shared" si="6"/>
        <v>C</v>
      </c>
      <c r="AG158" s="204" t="str">
        <f t="shared" si="7"/>
        <v>UTILIZOU O PDA CORRETAMENTE</v>
      </c>
      <c r="AH158" s="203"/>
      <c r="AI158" s="246" t="s">
        <v>6</v>
      </c>
      <c r="AJ158" s="246" t="str">
        <f t="shared" si="8"/>
        <v>SÃO PAULO</v>
      </c>
      <c r="AK158" s="247" t="s">
        <v>39</v>
      </c>
    </row>
    <row r="159" spans="1:37" s="204" customFormat="1" ht="30" customHeight="1">
      <c r="A159" s="215" t="s">
        <v>198</v>
      </c>
      <c r="B159" s="215">
        <v>2619466127</v>
      </c>
      <c r="C159" s="215" t="s">
        <v>87</v>
      </c>
      <c r="D159" s="215" t="s">
        <v>80</v>
      </c>
      <c r="E159" s="215" t="s">
        <v>5</v>
      </c>
      <c r="F159" s="215" t="s">
        <v>539</v>
      </c>
      <c r="G159" s="215">
        <v>1430</v>
      </c>
      <c r="H159" s="215"/>
      <c r="I159" s="215" t="s">
        <v>540</v>
      </c>
      <c r="J159" s="215" t="s">
        <v>216</v>
      </c>
      <c r="K159" s="215" t="s">
        <v>542</v>
      </c>
      <c r="L159" s="216">
        <v>46270.467361111114</v>
      </c>
      <c r="M159" s="216">
        <v>46270.470138888886</v>
      </c>
      <c r="N159" s="215" t="s">
        <v>357</v>
      </c>
      <c r="O159" s="203" t="s">
        <v>205</v>
      </c>
      <c r="Q159" s="203" t="s">
        <v>205</v>
      </c>
      <c r="S159" s="203" t="s">
        <v>205</v>
      </c>
      <c r="U159" s="203" t="s">
        <v>205</v>
      </c>
      <c r="W159" s="203" t="s">
        <v>205</v>
      </c>
      <c r="Y159" s="203" t="s">
        <v>62</v>
      </c>
      <c r="AA159" s="203" t="s">
        <v>205</v>
      </c>
      <c r="AC159" s="203" t="s">
        <v>205</v>
      </c>
      <c r="AE159" s="203" t="s">
        <v>205</v>
      </c>
      <c r="AF159" s="205" t="str">
        <f t="shared" si="6"/>
        <v>C</v>
      </c>
      <c r="AG159" s="204" t="str">
        <f t="shared" si="7"/>
        <v>UTILIZOU O PDA CORRETAMENTE</v>
      </c>
      <c r="AH159" s="203"/>
      <c r="AI159" s="246" t="s">
        <v>6</v>
      </c>
      <c r="AJ159" s="246" t="str">
        <f t="shared" si="8"/>
        <v>SÃO PAULO</v>
      </c>
      <c r="AK159" s="247" t="s">
        <v>39</v>
      </c>
    </row>
    <row r="160" spans="1:37" s="204" customFormat="1" ht="30" customHeight="1">
      <c r="A160" s="215" t="s">
        <v>198</v>
      </c>
      <c r="B160" s="215">
        <v>2619358767</v>
      </c>
      <c r="C160" s="215" t="s">
        <v>89</v>
      </c>
      <c r="D160" s="215" t="s">
        <v>78</v>
      </c>
      <c r="E160" s="215" t="s">
        <v>5</v>
      </c>
      <c r="F160" s="215" t="s">
        <v>543</v>
      </c>
      <c r="G160" s="215">
        <v>60</v>
      </c>
      <c r="H160" s="215" t="s">
        <v>200</v>
      </c>
      <c r="I160" s="215" t="s">
        <v>426</v>
      </c>
      <c r="J160" s="215" t="s">
        <v>238</v>
      </c>
      <c r="K160" s="215" t="s">
        <v>544</v>
      </c>
      <c r="L160" s="216">
        <v>46270.417361111111</v>
      </c>
      <c r="M160" s="216">
        <v>46270.418055555558</v>
      </c>
      <c r="N160" s="215" t="s">
        <v>359</v>
      </c>
      <c r="O160" s="203" t="s">
        <v>205</v>
      </c>
      <c r="Q160" s="203" t="s">
        <v>205</v>
      </c>
      <c r="S160" s="203" t="s">
        <v>205</v>
      </c>
      <c r="U160" s="203" t="s">
        <v>205</v>
      </c>
      <c r="W160" s="203" t="s">
        <v>205</v>
      </c>
      <c r="Y160" s="203" t="s">
        <v>62</v>
      </c>
      <c r="AA160" s="203" t="s">
        <v>205</v>
      </c>
      <c r="AC160" s="203" t="s">
        <v>205</v>
      </c>
      <c r="AE160" s="203" t="s">
        <v>205</v>
      </c>
      <c r="AF160" s="205" t="str">
        <f t="shared" si="6"/>
        <v>C</v>
      </c>
      <c r="AG160" s="204" t="str">
        <f t="shared" si="7"/>
        <v>UTILIZOU O PDA CORRETAMENTE</v>
      </c>
      <c r="AH160" s="203"/>
      <c r="AI160" s="246" t="s">
        <v>6</v>
      </c>
      <c r="AJ160" s="246" t="str">
        <f t="shared" si="8"/>
        <v>SÃO PAULO</v>
      </c>
      <c r="AK160" s="247" t="s">
        <v>39</v>
      </c>
    </row>
    <row r="161" spans="1:37" s="204" customFormat="1" ht="30" customHeight="1">
      <c r="A161" s="215" t="s">
        <v>198</v>
      </c>
      <c r="B161" s="215">
        <v>2619467827</v>
      </c>
      <c r="C161" s="215" t="s">
        <v>105</v>
      </c>
      <c r="D161" s="215" t="s">
        <v>81</v>
      </c>
      <c r="E161" s="215" t="s">
        <v>5</v>
      </c>
      <c r="F161" s="215" t="s">
        <v>545</v>
      </c>
      <c r="G161" s="215">
        <v>33</v>
      </c>
      <c r="H161" s="215" t="s">
        <v>226</v>
      </c>
      <c r="I161" s="215" t="s">
        <v>546</v>
      </c>
      <c r="J161" s="215" t="s">
        <v>281</v>
      </c>
      <c r="K161" s="219" t="s">
        <v>547</v>
      </c>
      <c r="L161" s="216">
        <v>46270.7</v>
      </c>
      <c r="M161" s="216">
        <v>46270.70208333333</v>
      </c>
      <c r="N161" s="215" t="s">
        <v>326</v>
      </c>
      <c r="O161" s="203" t="s">
        <v>62</v>
      </c>
      <c r="Q161" s="203" t="s">
        <v>62</v>
      </c>
      <c r="S161" s="203" t="s">
        <v>62</v>
      </c>
      <c r="U161" s="203" t="s">
        <v>62</v>
      </c>
      <c r="W161" s="203" t="s">
        <v>62</v>
      </c>
      <c r="Y161" s="203" t="s">
        <v>62</v>
      </c>
      <c r="AA161" s="203" t="s">
        <v>62</v>
      </c>
      <c r="AC161" s="203" t="s">
        <v>62</v>
      </c>
      <c r="AD161" s="204" t="s">
        <v>525</v>
      </c>
      <c r="AE161" s="203" t="s">
        <v>62</v>
      </c>
      <c r="AF161" s="205" t="str">
        <f t="shared" si="6"/>
        <v>NA</v>
      </c>
      <c r="AG161" s="204" t="str">
        <f t="shared" si="7"/>
        <v>NÃO AVALIADO POR FALHA DE SINCRONISMO</v>
      </c>
      <c r="AH161" s="203"/>
      <c r="AI161" s="246" t="s">
        <v>6</v>
      </c>
      <c r="AJ161" s="246" t="str">
        <f t="shared" si="8"/>
        <v>SÃO PAULO</v>
      </c>
      <c r="AK161" s="247" t="s">
        <v>39</v>
      </c>
    </row>
    <row r="162" spans="1:37" s="204" customFormat="1" ht="30" customHeight="1">
      <c r="A162" s="215" t="s">
        <v>198</v>
      </c>
      <c r="B162" s="215">
        <v>2692878697</v>
      </c>
      <c r="C162" s="215" t="s">
        <v>99</v>
      </c>
      <c r="D162" s="215" t="s">
        <v>81</v>
      </c>
      <c r="E162" s="215" t="s">
        <v>5</v>
      </c>
      <c r="F162" s="215" t="s">
        <v>548</v>
      </c>
      <c r="G162" s="215">
        <v>5</v>
      </c>
      <c r="H162" s="215"/>
      <c r="I162" s="215" t="s">
        <v>549</v>
      </c>
      <c r="J162" s="215" t="s">
        <v>268</v>
      </c>
      <c r="K162" s="215" t="s">
        <v>550</v>
      </c>
      <c r="L162" s="216">
        <v>46270.594444444447</v>
      </c>
      <c r="M162" s="216">
        <v>46270.597222222219</v>
      </c>
      <c r="N162" s="215" t="s">
        <v>341</v>
      </c>
      <c r="O162" s="203" t="s">
        <v>206</v>
      </c>
      <c r="Q162" s="203" t="s">
        <v>206</v>
      </c>
      <c r="S162" s="203" t="s">
        <v>206</v>
      </c>
      <c r="U162" s="203" t="s">
        <v>206</v>
      </c>
      <c r="W162" s="203" t="s">
        <v>206</v>
      </c>
      <c r="Y162" s="203" t="s">
        <v>206</v>
      </c>
      <c r="AA162" s="203" t="s">
        <v>206</v>
      </c>
      <c r="AC162" s="203" t="s">
        <v>206</v>
      </c>
      <c r="AE162" s="203" t="s">
        <v>239</v>
      </c>
      <c r="AF162" s="205" t="str">
        <f t="shared" si="6"/>
        <v>NC</v>
      </c>
      <c r="AG162" s="204" t="str">
        <f t="shared" si="7"/>
        <v>NÃO UTILIZOU O PDA</v>
      </c>
      <c r="AH162" s="203" t="s">
        <v>205</v>
      </c>
      <c r="AI162" s="246" t="s">
        <v>6</v>
      </c>
      <c r="AJ162" s="246" t="str">
        <f t="shared" si="8"/>
        <v>SÃO PAULO</v>
      </c>
      <c r="AK162" s="247" t="s">
        <v>39</v>
      </c>
    </row>
    <row r="163" spans="1:37" s="204" customFormat="1" ht="30" customHeight="1">
      <c r="A163" s="215" t="s">
        <v>198</v>
      </c>
      <c r="B163" s="215">
        <v>2619300704</v>
      </c>
      <c r="C163" s="215" t="s">
        <v>287</v>
      </c>
      <c r="D163" s="215" t="s">
        <v>81</v>
      </c>
      <c r="E163" s="215" t="s">
        <v>5</v>
      </c>
      <c r="F163" s="215" t="s">
        <v>551</v>
      </c>
      <c r="G163" s="215">
        <v>185</v>
      </c>
      <c r="H163" s="215" t="s">
        <v>200</v>
      </c>
      <c r="I163" s="215" t="s">
        <v>552</v>
      </c>
      <c r="J163" s="215" t="s">
        <v>290</v>
      </c>
      <c r="K163" s="215" t="s">
        <v>553</v>
      </c>
      <c r="L163" s="216">
        <v>46270.614583333336</v>
      </c>
      <c r="M163" s="216">
        <v>46270.615972222222</v>
      </c>
      <c r="N163" s="215" t="s">
        <v>357</v>
      </c>
      <c r="O163" s="203" t="s">
        <v>205</v>
      </c>
      <c r="Q163" s="203" t="s">
        <v>205</v>
      </c>
      <c r="S163" s="203" t="s">
        <v>205</v>
      </c>
      <c r="U163" s="203" t="s">
        <v>62</v>
      </c>
      <c r="W163" s="203" t="s">
        <v>62</v>
      </c>
      <c r="Y163" s="203" t="s">
        <v>62</v>
      </c>
      <c r="AA163" s="203" t="s">
        <v>62</v>
      </c>
      <c r="AC163" s="203" t="s">
        <v>205</v>
      </c>
      <c r="AE163" s="203" t="s">
        <v>205</v>
      </c>
      <c r="AF163" s="205" t="str">
        <f t="shared" si="6"/>
        <v>C</v>
      </c>
      <c r="AG163" s="204" t="str">
        <f t="shared" si="7"/>
        <v>UTILIZOU O PDA CORRETAMENTE</v>
      </c>
      <c r="AH163" s="203" t="s">
        <v>205</v>
      </c>
      <c r="AI163" s="246" t="s">
        <v>6</v>
      </c>
      <c r="AJ163" s="246" t="str">
        <f t="shared" si="8"/>
        <v>SÃO PAULO</v>
      </c>
      <c r="AK163" s="247" t="s">
        <v>39</v>
      </c>
    </row>
    <row r="164" spans="1:37" s="204" customFormat="1" ht="30" customHeight="1">
      <c r="A164" s="215" t="s">
        <v>198</v>
      </c>
      <c r="B164" s="215">
        <v>2619371409</v>
      </c>
      <c r="C164" s="215" t="s">
        <v>99</v>
      </c>
      <c r="D164" s="215" t="s">
        <v>81</v>
      </c>
      <c r="E164" s="215" t="s">
        <v>5</v>
      </c>
      <c r="F164" s="215" t="s">
        <v>554</v>
      </c>
      <c r="G164" s="215">
        <v>178</v>
      </c>
      <c r="H164" s="215"/>
      <c r="I164" s="215" t="s">
        <v>246</v>
      </c>
      <c r="J164" s="215" t="s">
        <v>268</v>
      </c>
      <c r="K164" s="215" t="s">
        <v>555</v>
      </c>
      <c r="L164" s="216">
        <v>46270.65347222222</v>
      </c>
      <c r="M164" s="216">
        <v>46270.65625</v>
      </c>
      <c r="N164" s="215" t="s">
        <v>248</v>
      </c>
      <c r="O164" s="203" t="s">
        <v>205</v>
      </c>
      <c r="Q164" s="203" t="s">
        <v>205</v>
      </c>
      <c r="S164" s="203" t="s">
        <v>205</v>
      </c>
      <c r="U164" s="203" t="s">
        <v>205</v>
      </c>
      <c r="W164" s="203" t="s">
        <v>205</v>
      </c>
      <c r="Y164" s="203" t="s">
        <v>205</v>
      </c>
      <c r="AA164" s="203" t="s">
        <v>205</v>
      </c>
      <c r="AC164" s="203" t="s">
        <v>205</v>
      </c>
      <c r="AE164" s="203" t="s">
        <v>205</v>
      </c>
      <c r="AF164" s="205" t="str">
        <f t="shared" si="6"/>
        <v>C</v>
      </c>
      <c r="AG164" s="204" t="str">
        <f t="shared" si="7"/>
        <v>UTILIZOU O PDA CORRETAMENTE</v>
      </c>
      <c r="AH164" s="203" t="s">
        <v>205</v>
      </c>
      <c r="AI164" s="246" t="s">
        <v>6</v>
      </c>
      <c r="AJ164" s="246" t="str">
        <f t="shared" si="8"/>
        <v>SÃO PAULO</v>
      </c>
      <c r="AK164" s="247" t="s">
        <v>39</v>
      </c>
    </row>
    <row r="165" spans="1:37" s="204" customFormat="1" ht="30" customHeight="1">
      <c r="A165" s="215" t="s">
        <v>198</v>
      </c>
      <c r="B165" s="215">
        <v>2619468355</v>
      </c>
      <c r="C165" s="215" t="s">
        <v>100</v>
      </c>
      <c r="D165" s="215" t="s">
        <v>81</v>
      </c>
      <c r="E165" s="215" t="s">
        <v>5</v>
      </c>
      <c r="F165" s="215" t="s">
        <v>556</v>
      </c>
      <c r="G165" s="215">
        <v>427</v>
      </c>
      <c r="H165" s="215" t="s">
        <v>226</v>
      </c>
      <c r="I165" s="215" t="s">
        <v>260</v>
      </c>
      <c r="J165" s="215" t="s">
        <v>243</v>
      </c>
      <c r="K165" s="215" t="s">
        <v>557</v>
      </c>
      <c r="L165" s="216">
        <v>46270.669444444444</v>
      </c>
      <c r="M165" s="216">
        <v>46270.670138888891</v>
      </c>
      <c r="N165" s="215" t="s">
        <v>359</v>
      </c>
      <c r="O165" s="203" t="s">
        <v>205</v>
      </c>
      <c r="Q165" s="203" t="s">
        <v>205</v>
      </c>
      <c r="S165" s="203" t="s">
        <v>205</v>
      </c>
      <c r="U165" s="203" t="s">
        <v>205</v>
      </c>
      <c r="W165" s="203" t="s">
        <v>205</v>
      </c>
      <c r="Y165" s="203" t="s">
        <v>205</v>
      </c>
      <c r="AA165" s="203" t="s">
        <v>205</v>
      </c>
      <c r="AC165" s="203" t="s">
        <v>205</v>
      </c>
      <c r="AE165" s="203" t="s">
        <v>205</v>
      </c>
      <c r="AF165" s="205" t="str">
        <f t="shared" si="6"/>
        <v>C</v>
      </c>
      <c r="AG165" s="204" t="str">
        <f t="shared" si="7"/>
        <v>UTILIZOU O PDA CORRETAMENTE</v>
      </c>
      <c r="AH165" s="203" t="s">
        <v>205</v>
      </c>
      <c r="AI165" s="246" t="s">
        <v>6</v>
      </c>
      <c r="AJ165" s="246" t="str">
        <f t="shared" si="8"/>
        <v>SÃO PAULO</v>
      </c>
      <c r="AK165" s="247" t="s">
        <v>39</v>
      </c>
    </row>
    <row r="166" spans="1:37" s="204" customFormat="1" ht="30" customHeight="1">
      <c r="A166" s="215" t="s">
        <v>198</v>
      </c>
      <c r="B166" s="215">
        <v>2619136305</v>
      </c>
      <c r="C166" s="215" t="s">
        <v>287</v>
      </c>
      <c r="D166" s="215" t="s">
        <v>81</v>
      </c>
      <c r="E166" s="215" t="s">
        <v>5</v>
      </c>
      <c r="F166" s="215" t="s">
        <v>284</v>
      </c>
      <c r="G166" s="215">
        <v>397</v>
      </c>
      <c r="H166" s="215" t="s">
        <v>226</v>
      </c>
      <c r="I166" s="215" t="s">
        <v>285</v>
      </c>
      <c r="J166" s="215" t="s">
        <v>290</v>
      </c>
      <c r="K166" s="215" t="s">
        <v>558</v>
      </c>
      <c r="L166" s="216">
        <v>46270.683333333334</v>
      </c>
      <c r="M166" s="216">
        <v>46270.68472222222</v>
      </c>
      <c r="N166" s="215" t="s">
        <v>357</v>
      </c>
      <c r="O166" s="203" t="s">
        <v>205</v>
      </c>
      <c r="Q166" s="203" t="s">
        <v>205</v>
      </c>
      <c r="S166" s="203" t="s">
        <v>205</v>
      </c>
      <c r="U166" s="203" t="s">
        <v>205</v>
      </c>
      <c r="W166" s="203" t="s">
        <v>205</v>
      </c>
      <c r="Y166" s="203" t="s">
        <v>62</v>
      </c>
      <c r="AA166" s="203" t="s">
        <v>239</v>
      </c>
      <c r="AC166" s="203" t="s">
        <v>205</v>
      </c>
      <c r="AE166" s="203" t="s">
        <v>205</v>
      </c>
      <c r="AF166" s="205" t="str">
        <f t="shared" si="6"/>
        <v>NC</v>
      </c>
      <c r="AG166" s="204" t="str">
        <f t="shared" si="7"/>
        <v>UTILIZOU O PDA CORRETAMENTE. NÃO HÁ FOTOS DE TODAS AS ETAPAS</v>
      </c>
      <c r="AH166" s="203"/>
      <c r="AI166" s="246" t="s">
        <v>6</v>
      </c>
      <c r="AJ166" s="246" t="str">
        <f t="shared" si="8"/>
        <v>SÃO PAULO</v>
      </c>
      <c r="AK166" s="247" t="s">
        <v>39</v>
      </c>
    </row>
    <row r="167" spans="1:37" s="204" customFormat="1" ht="30" customHeight="1">
      <c r="A167" s="215" t="s">
        <v>198</v>
      </c>
      <c r="B167" s="215">
        <v>2692891973</v>
      </c>
      <c r="C167" s="215" t="s">
        <v>89</v>
      </c>
      <c r="D167" s="215" t="s">
        <v>78</v>
      </c>
      <c r="E167" s="215" t="s">
        <v>5</v>
      </c>
      <c r="F167" s="215" t="s">
        <v>559</v>
      </c>
      <c r="G167" s="215">
        <v>80</v>
      </c>
      <c r="H167" s="215" t="s">
        <v>200</v>
      </c>
      <c r="I167" s="215" t="s">
        <v>328</v>
      </c>
      <c r="J167" s="215" t="s">
        <v>238</v>
      </c>
      <c r="K167" s="215" t="s">
        <v>560</v>
      </c>
      <c r="L167" s="216">
        <v>46270.706250000003</v>
      </c>
      <c r="M167" s="216">
        <v>46270.706944444442</v>
      </c>
      <c r="N167" s="215" t="s">
        <v>235</v>
      </c>
      <c r="O167" s="203" t="s">
        <v>206</v>
      </c>
      <c r="Q167" s="203" t="s">
        <v>206</v>
      </c>
      <c r="S167" s="203" t="s">
        <v>206</v>
      </c>
      <c r="U167" s="203" t="s">
        <v>206</v>
      </c>
      <c r="W167" s="203" t="s">
        <v>206</v>
      </c>
      <c r="Y167" s="203" t="s">
        <v>206</v>
      </c>
      <c r="AA167" s="203" t="s">
        <v>206</v>
      </c>
      <c r="AC167" s="203" t="s">
        <v>206</v>
      </c>
      <c r="AE167" s="203" t="s">
        <v>239</v>
      </c>
      <c r="AF167" s="205" t="str">
        <f t="shared" si="6"/>
        <v>NC</v>
      </c>
      <c r="AG167" s="204" t="str">
        <f t="shared" si="7"/>
        <v>NÃO UTILIZOU O PDA</v>
      </c>
      <c r="AH167" s="203"/>
      <c r="AI167" s="246" t="s">
        <v>6</v>
      </c>
      <c r="AJ167" s="246" t="str">
        <f t="shared" si="8"/>
        <v>SÃO PAULO</v>
      </c>
      <c r="AK167" s="247" t="s">
        <v>39</v>
      </c>
    </row>
    <row r="168" spans="1:37" s="204" customFormat="1" ht="30" customHeight="1">
      <c r="A168" s="215" t="s">
        <v>198</v>
      </c>
      <c r="B168" s="215">
        <v>2619519055</v>
      </c>
      <c r="C168" s="215" t="s">
        <v>90</v>
      </c>
      <c r="D168" s="215" t="s">
        <v>78</v>
      </c>
      <c r="E168" s="215" t="s">
        <v>5</v>
      </c>
      <c r="F168" s="215" t="s">
        <v>561</v>
      </c>
      <c r="G168" s="215">
        <v>2001</v>
      </c>
      <c r="H168" s="215"/>
      <c r="I168" s="215" t="s">
        <v>562</v>
      </c>
      <c r="J168" s="215" t="s">
        <v>261</v>
      </c>
      <c r="K168" s="215"/>
      <c r="L168" s="216">
        <v>46300.520833333336</v>
      </c>
      <c r="M168" s="216">
        <v>46300.521527777775</v>
      </c>
      <c r="N168" s="215" t="s">
        <v>357</v>
      </c>
      <c r="O168" s="203" t="s">
        <v>205</v>
      </c>
      <c r="Q168" s="203" t="s">
        <v>205</v>
      </c>
      <c r="S168" s="203" t="s">
        <v>205</v>
      </c>
      <c r="U168" s="203" t="s">
        <v>62</v>
      </c>
      <c r="W168" s="203" t="s">
        <v>62</v>
      </c>
      <c r="Y168" s="203" t="s">
        <v>62</v>
      </c>
      <c r="AA168" s="203" t="s">
        <v>205</v>
      </c>
      <c r="AC168" s="203" t="s">
        <v>205</v>
      </c>
      <c r="AE168" s="203" t="s">
        <v>205</v>
      </c>
      <c r="AF168" s="205" t="str">
        <f t="shared" si="6"/>
        <v>C</v>
      </c>
      <c r="AG168" s="204" t="str">
        <f t="shared" si="7"/>
        <v>UTILIZOU O PDA CORRETAMENTE</v>
      </c>
      <c r="AH168" s="203" t="s">
        <v>205</v>
      </c>
      <c r="AI168" s="246" t="s">
        <v>6</v>
      </c>
      <c r="AJ168" s="246" t="str">
        <f t="shared" si="8"/>
        <v>SÃO PAULO</v>
      </c>
      <c r="AK168" s="247" t="s">
        <v>39</v>
      </c>
    </row>
    <row r="169" spans="1:37" s="204" customFormat="1" ht="30" customHeight="1">
      <c r="A169" s="215" t="s">
        <v>198</v>
      </c>
      <c r="B169" s="215">
        <v>2692917058</v>
      </c>
      <c r="C169" s="215" t="s">
        <v>103</v>
      </c>
      <c r="D169" s="215" t="s">
        <v>81</v>
      </c>
      <c r="E169" s="215" t="s">
        <v>5</v>
      </c>
      <c r="F169" s="215" t="s">
        <v>563</v>
      </c>
      <c r="G169" s="215">
        <v>165</v>
      </c>
      <c r="H169" s="215" t="s">
        <v>481</v>
      </c>
      <c r="I169" s="215" t="s">
        <v>546</v>
      </c>
      <c r="J169" s="215" t="s">
        <v>220</v>
      </c>
      <c r="K169" s="215" t="s">
        <v>325</v>
      </c>
      <c r="L169" s="216">
        <v>46300.449305555558</v>
      </c>
      <c r="M169" s="216">
        <v>46300.469444444447</v>
      </c>
      <c r="N169" s="215" t="s">
        <v>326</v>
      </c>
      <c r="O169" s="203" t="s">
        <v>239</v>
      </c>
      <c r="P169" s="204" t="s">
        <v>303</v>
      </c>
      <c r="Q169" s="203" t="s">
        <v>239</v>
      </c>
      <c r="R169" s="204" t="s">
        <v>303</v>
      </c>
      <c r="S169" s="203" t="s">
        <v>239</v>
      </c>
      <c r="T169" s="204" t="s">
        <v>303</v>
      </c>
      <c r="U169" s="203" t="s">
        <v>239</v>
      </c>
      <c r="V169" s="204" t="s">
        <v>303</v>
      </c>
      <c r="W169" s="203" t="s">
        <v>239</v>
      </c>
      <c r="X169" s="204" t="s">
        <v>303</v>
      </c>
      <c r="Y169" s="203" t="s">
        <v>239</v>
      </c>
      <c r="Z169" s="204" t="s">
        <v>303</v>
      </c>
      <c r="AA169" s="203" t="s">
        <v>239</v>
      </c>
      <c r="AB169" s="204" t="s">
        <v>303</v>
      </c>
      <c r="AC169" s="203" t="s">
        <v>239</v>
      </c>
      <c r="AD169" s="204" t="s">
        <v>303</v>
      </c>
      <c r="AE169" s="203" t="s">
        <v>239</v>
      </c>
      <c r="AF169" s="205" t="str">
        <f t="shared" si="6"/>
        <v>NC</v>
      </c>
      <c r="AG169" s="204" t="str">
        <f t="shared" si="7"/>
        <v>NÃO UTILIZOU O PDA</v>
      </c>
      <c r="AH169" s="203" t="s">
        <v>205</v>
      </c>
      <c r="AI169" s="246" t="s">
        <v>6</v>
      </c>
      <c r="AJ169" s="246" t="str">
        <f t="shared" si="8"/>
        <v>SÃO PAULO</v>
      </c>
      <c r="AK169" s="247" t="s">
        <v>39</v>
      </c>
    </row>
    <row r="170" spans="1:37" s="204" customFormat="1" ht="30" customHeight="1">
      <c r="A170" s="215" t="s">
        <v>198</v>
      </c>
      <c r="B170" s="215">
        <v>2619467289</v>
      </c>
      <c r="C170" s="215" t="s">
        <v>105</v>
      </c>
      <c r="D170" s="215" t="s">
        <v>81</v>
      </c>
      <c r="E170" s="215" t="s">
        <v>5</v>
      </c>
      <c r="F170" s="215" t="s">
        <v>564</v>
      </c>
      <c r="G170" s="215">
        <v>53</v>
      </c>
      <c r="H170" s="215" t="s">
        <v>226</v>
      </c>
      <c r="I170" s="215" t="s">
        <v>565</v>
      </c>
      <c r="J170" s="215" t="s">
        <v>228</v>
      </c>
      <c r="K170" s="219" t="s">
        <v>566</v>
      </c>
      <c r="L170" s="216">
        <v>46300.418055555558</v>
      </c>
      <c r="M170" s="216">
        <v>46300.418749999997</v>
      </c>
      <c r="N170" s="215" t="s">
        <v>326</v>
      </c>
      <c r="O170" s="203" t="s">
        <v>62</v>
      </c>
      <c r="Q170" s="203" t="s">
        <v>62</v>
      </c>
      <c r="S170" s="203" t="s">
        <v>62</v>
      </c>
      <c r="U170" s="203" t="s">
        <v>62</v>
      </c>
      <c r="W170" s="203" t="s">
        <v>62</v>
      </c>
      <c r="Y170" s="203" t="s">
        <v>62</v>
      </c>
      <c r="AA170" s="203" t="s">
        <v>62</v>
      </c>
      <c r="AC170" s="203" t="s">
        <v>62</v>
      </c>
      <c r="AD170" s="204" t="s">
        <v>525</v>
      </c>
      <c r="AE170" s="203" t="s">
        <v>62</v>
      </c>
      <c r="AF170" s="205" t="str">
        <f t="shared" si="6"/>
        <v>NA</v>
      </c>
      <c r="AG170" s="204" t="str">
        <f t="shared" si="7"/>
        <v>NÃO AVALIADO POR FALHA DE SINCRONISMO</v>
      </c>
      <c r="AH170" s="203" t="s">
        <v>205</v>
      </c>
      <c r="AI170" s="246" t="s">
        <v>6</v>
      </c>
      <c r="AJ170" s="246" t="str">
        <f t="shared" si="8"/>
        <v>SÃO PAULO</v>
      </c>
      <c r="AK170" s="247" t="s">
        <v>39</v>
      </c>
    </row>
    <row r="171" spans="1:37" s="204" customFormat="1" ht="30" customHeight="1">
      <c r="A171" s="215" t="s">
        <v>198</v>
      </c>
      <c r="B171" s="215">
        <v>2619475616</v>
      </c>
      <c r="C171" s="215" t="s">
        <v>101</v>
      </c>
      <c r="D171" s="215" t="s">
        <v>79</v>
      </c>
      <c r="E171" s="215" t="s">
        <v>5</v>
      </c>
      <c r="F171" s="215" t="s">
        <v>332</v>
      </c>
      <c r="G171" s="215">
        <v>245</v>
      </c>
      <c r="H171" s="215" t="s">
        <v>200</v>
      </c>
      <c r="I171" s="215" t="s">
        <v>567</v>
      </c>
      <c r="J171" s="215" t="s">
        <v>233</v>
      </c>
      <c r="K171" s="215" t="s">
        <v>568</v>
      </c>
      <c r="L171" s="216">
        <v>46300.418749999997</v>
      </c>
      <c r="M171" s="216">
        <v>46300.631249999999</v>
      </c>
      <c r="N171" s="215" t="s">
        <v>235</v>
      </c>
      <c r="O171" s="203" t="s">
        <v>205</v>
      </c>
      <c r="Q171" s="203" t="s">
        <v>205</v>
      </c>
      <c r="S171" s="203" t="s">
        <v>205</v>
      </c>
      <c r="U171" s="203" t="s">
        <v>205</v>
      </c>
      <c r="W171" s="203" t="s">
        <v>205</v>
      </c>
      <c r="Y171" s="203" t="s">
        <v>205</v>
      </c>
      <c r="AA171" s="203" t="s">
        <v>205</v>
      </c>
      <c r="AC171" s="203" t="s">
        <v>205</v>
      </c>
      <c r="AE171" s="203" t="s">
        <v>205</v>
      </c>
      <c r="AF171" s="205" t="str">
        <f t="shared" si="6"/>
        <v>C</v>
      </c>
      <c r="AG171" s="204" t="str">
        <f t="shared" si="7"/>
        <v>UTILIZOU O PDA CORRETAMENTE</v>
      </c>
      <c r="AH171" s="203" t="s">
        <v>205</v>
      </c>
      <c r="AI171" s="246" t="s">
        <v>6</v>
      </c>
      <c r="AJ171" s="246" t="str">
        <f t="shared" si="8"/>
        <v>SÃO PAULO</v>
      </c>
      <c r="AK171" s="247" t="s">
        <v>39</v>
      </c>
    </row>
    <row r="172" spans="1:37" s="204" customFormat="1" ht="30" customHeight="1">
      <c r="A172" s="215" t="s">
        <v>198</v>
      </c>
      <c r="B172" s="215">
        <v>2619778117</v>
      </c>
      <c r="C172" s="215" t="s">
        <v>105</v>
      </c>
      <c r="D172" s="215" t="s">
        <v>81</v>
      </c>
      <c r="E172" s="215" t="s">
        <v>5</v>
      </c>
      <c r="F172" s="215" t="s">
        <v>569</v>
      </c>
      <c r="G172" s="215">
        <v>10</v>
      </c>
      <c r="H172" s="215" t="s">
        <v>409</v>
      </c>
      <c r="I172" s="215" t="s">
        <v>565</v>
      </c>
      <c r="J172" s="215" t="s">
        <v>228</v>
      </c>
      <c r="K172" s="219" t="s">
        <v>570</v>
      </c>
      <c r="L172" s="216">
        <v>46300.484027777777</v>
      </c>
      <c r="M172" s="216">
        <v>46300.48541666667</v>
      </c>
      <c r="N172" s="215" t="s">
        <v>326</v>
      </c>
      <c r="O172" s="203" t="s">
        <v>62</v>
      </c>
      <c r="Q172" s="203" t="s">
        <v>62</v>
      </c>
      <c r="S172" s="203" t="s">
        <v>62</v>
      </c>
      <c r="U172" s="203" t="s">
        <v>62</v>
      </c>
      <c r="W172" s="203" t="s">
        <v>62</v>
      </c>
      <c r="Y172" s="203" t="s">
        <v>62</v>
      </c>
      <c r="AA172" s="203" t="s">
        <v>62</v>
      </c>
      <c r="AC172" s="203" t="s">
        <v>62</v>
      </c>
      <c r="AD172" s="204" t="s">
        <v>525</v>
      </c>
      <c r="AE172" s="203" t="s">
        <v>62</v>
      </c>
      <c r="AF172" s="205" t="str">
        <f t="shared" si="6"/>
        <v>NA</v>
      </c>
      <c r="AG172" s="204" t="str">
        <f t="shared" si="7"/>
        <v>NÃO AVALIADO POR FALHA DE SINCRONISMO</v>
      </c>
      <c r="AH172" s="203"/>
      <c r="AI172" s="246" t="s">
        <v>6</v>
      </c>
      <c r="AJ172" s="246" t="str">
        <f t="shared" si="8"/>
        <v>SÃO PAULO</v>
      </c>
      <c r="AK172" s="247" t="s">
        <v>39</v>
      </c>
    </row>
    <row r="173" spans="1:37" s="204" customFormat="1" ht="30" customHeight="1">
      <c r="A173" s="215" t="s">
        <v>198</v>
      </c>
      <c r="B173" s="215">
        <v>2619477724</v>
      </c>
      <c r="C173" s="215" t="s">
        <v>89</v>
      </c>
      <c r="D173" s="215" t="s">
        <v>78</v>
      </c>
      <c r="E173" s="215" t="s">
        <v>5</v>
      </c>
      <c r="F173" s="215" t="s">
        <v>571</v>
      </c>
      <c r="G173" s="215">
        <v>293</v>
      </c>
      <c r="H173" s="215" t="s">
        <v>226</v>
      </c>
      <c r="I173" s="215" t="s">
        <v>572</v>
      </c>
      <c r="J173" s="215" t="s">
        <v>238</v>
      </c>
      <c r="K173" s="219" t="s">
        <v>573</v>
      </c>
      <c r="L173" s="216">
        <v>46300.366666666669</v>
      </c>
      <c r="M173" s="216">
        <v>46300.367361111108</v>
      </c>
      <c r="N173" s="215" t="s">
        <v>359</v>
      </c>
      <c r="O173" s="203" t="s">
        <v>205</v>
      </c>
      <c r="Q173" s="203" t="s">
        <v>205</v>
      </c>
      <c r="S173" s="203" t="s">
        <v>205</v>
      </c>
      <c r="U173" s="203" t="s">
        <v>205</v>
      </c>
      <c r="W173" s="203" t="s">
        <v>62</v>
      </c>
      <c r="Y173" s="203" t="s">
        <v>62</v>
      </c>
      <c r="AA173" s="203" t="s">
        <v>205</v>
      </c>
      <c r="AC173" s="203" t="s">
        <v>205</v>
      </c>
      <c r="AE173" s="203" t="s">
        <v>205</v>
      </c>
      <c r="AF173" s="205" t="str">
        <f t="shared" si="6"/>
        <v>C</v>
      </c>
      <c r="AG173" s="204" t="str">
        <f t="shared" si="7"/>
        <v>UTILIZOU O PDA CORRETAMENTE</v>
      </c>
      <c r="AH173" s="203"/>
      <c r="AI173" s="246" t="s">
        <v>6</v>
      </c>
      <c r="AJ173" s="246" t="str">
        <f t="shared" si="8"/>
        <v>SÃO PAULO</v>
      </c>
      <c r="AK173" s="247" t="s">
        <v>39</v>
      </c>
    </row>
    <row r="174" spans="1:37" s="204" customFormat="1" ht="30" customHeight="1">
      <c r="A174" s="215" t="s">
        <v>198</v>
      </c>
      <c r="B174" s="215">
        <v>2619467301</v>
      </c>
      <c r="C174" s="215" t="s">
        <v>103</v>
      </c>
      <c r="D174" s="215" t="s">
        <v>81</v>
      </c>
      <c r="E174" s="215" t="s">
        <v>5</v>
      </c>
      <c r="F174" s="215" t="s">
        <v>574</v>
      </c>
      <c r="G174" s="215">
        <v>35</v>
      </c>
      <c r="H174" s="215"/>
      <c r="I174" s="215" t="s">
        <v>215</v>
      </c>
      <c r="J174" s="215" t="s">
        <v>322</v>
      </c>
      <c r="K174" s="215" t="s">
        <v>575</v>
      </c>
      <c r="L174" s="216">
        <v>46300.333333333336</v>
      </c>
      <c r="M174" s="216">
        <v>46300.354166666664</v>
      </c>
      <c r="N174" s="215" t="s">
        <v>341</v>
      </c>
      <c r="O174" s="203" t="s">
        <v>62</v>
      </c>
      <c r="Q174" s="203" t="s">
        <v>62</v>
      </c>
      <c r="S174" s="203" t="s">
        <v>62</v>
      </c>
      <c r="U174" s="203" t="s">
        <v>62</v>
      </c>
      <c r="W174" s="203" t="s">
        <v>62</v>
      </c>
      <c r="Y174" s="203" t="s">
        <v>62</v>
      </c>
      <c r="AA174" s="203" t="s">
        <v>62</v>
      </c>
      <c r="AC174" s="203" t="s">
        <v>62</v>
      </c>
      <c r="AD174" s="204" t="s">
        <v>525</v>
      </c>
      <c r="AE174" s="203" t="s">
        <v>62</v>
      </c>
      <c r="AF174" s="205" t="str">
        <f t="shared" si="6"/>
        <v>NA</v>
      </c>
      <c r="AG174" s="204" t="str">
        <f t="shared" si="7"/>
        <v>NÃO AVALIADO POR FALHA DE SINCRONISMO</v>
      </c>
      <c r="AH174" s="203"/>
      <c r="AI174" s="246" t="s">
        <v>6</v>
      </c>
      <c r="AJ174" s="246" t="str">
        <f t="shared" si="8"/>
        <v>SÃO PAULO</v>
      </c>
      <c r="AK174" s="247" t="s">
        <v>39</v>
      </c>
    </row>
    <row r="175" spans="1:37" s="204" customFormat="1" ht="30" customHeight="1">
      <c r="A175" s="215" t="s">
        <v>198</v>
      </c>
      <c r="B175" s="215">
        <v>2692916238</v>
      </c>
      <c r="C175" s="215" t="s">
        <v>99</v>
      </c>
      <c r="D175" s="215" t="s">
        <v>81</v>
      </c>
      <c r="E175" s="215" t="s">
        <v>5</v>
      </c>
      <c r="F175" s="215" t="s">
        <v>576</v>
      </c>
      <c r="G175" s="215">
        <v>11</v>
      </c>
      <c r="H175" s="215" t="s">
        <v>387</v>
      </c>
      <c r="I175" s="215" t="s">
        <v>577</v>
      </c>
      <c r="J175" s="215" t="s">
        <v>268</v>
      </c>
      <c r="K175" s="219" t="s">
        <v>578</v>
      </c>
      <c r="L175" s="216">
        <v>46300.488888888889</v>
      </c>
      <c r="M175" s="216">
        <v>46300.490277777775</v>
      </c>
      <c r="N175" s="215" t="s">
        <v>359</v>
      </c>
      <c r="O175" s="203" t="s">
        <v>206</v>
      </c>
      <c r="Q175" s="203" t="s">
        <v>206</v>
      </c>
      <c r="S175" s="203" t="s">
        <v>206</v>
      </c>
      <c r="U175" s="203" t="s">
        <v>206</v>
      </c>
      <c r="W175" s="203" t="s">
        <v>206</v>
      </c>
      <c r="Y175" s="203" t="s">
        <v>206</v>
      </c>
      <c r="AA175" s="203" t="s">
        <v>206</v>
      </c>
      <c r="AC175" s="203" t="s">
        <v>206</v>
      </c>
      <c r="AE175" s="203" t="s">
        <v>239</v>
      </c>
      <c r="AF175" s="205" t="str">
        <f t="shared" si="6"/>
        <v>NC</v>
      </c>
      <c r="AG175" s="204" t="str">
        <f t="shared" si="7"/>
        <v>NÃO UTILIZOU O PDA</v>
      </c>
      <c r="AH175" s="203"/>
      <c r="AI175" s="246" t="s">
        <v>6</v>
      </c>
      <c r="AJ175" s="246" t="str">
        <f t="shared" si="8"/>
        <v>SÃO PAULO</v>
      </c>
      <c r="AK175" s="247" t="s">
        <v>39</v>
      </c>
    </row>
    <row r="176" spans="1:37" s="204" customFormat="1" ht="30" customHeight="1">
      <c r="A176" s="215" t="s">
        <v>198</v>
      </c>
      <c r="B176" s="215">
        <v>2619514848</v>
      </c>
      <c r="C176" s="215" t="s">
        <v>99</v>
      </c>
      <c r="D176" s="215" t="s">
        <v>81</v>
      </c>
      <c r="E176" s="215" t="s">
        <v>5</v>
      </c>
      <c r="F176" s="215" t="s">
        <v>517</v>
      </c>
      <c r="G176" s="215">
        <v>15</v>
      </c>
      <c r="H176" s="215" t="s">
        <v>579</v>
      </c>
      <c r="I176" s="215" t="s">
        <v>412</v>
      </c>
      <c r="J176" s="215" t="s">
        <v>268</v>
      </c>
      <c r="K176" s="219" t="s">
        <v>580</v>
      </c>
      <c r="L176" s="216">
        <v>46300.569444444445</v>
      </c>
      <c r="M176" s="216">
        <v>46300.588888888888</v>
      </c>
      <c r="N176" s="215" t="s">
        <v>248</v>
      </c>
      <c r="O176" s="203" t="s">
        <v>206</v>
      </c>
      <c r="Q176" s="203" t="s">
        <v>206</v>
      </c>
      <c r="S176" s="203" t="s">
        <v>206</v>
      </c>
      <c r="U176" s="203" t="s">
        <v>206</v>
      </c>
      <c r="W176" s="203" t="s">
        <v>206</v>
      </c>
      <c r="Y176" s="203" t="s">
        <v>206</v>
      </c>
      <c r="AA176" s="203" t="s">
        <v>206</v>
      </c>
      <c r="AC176" s="203" t="s">
        <v>206</v>
      </c>
      <c r="AE176" s="203" t="s">
        <v>239</v>
      </c>
      <c r="AF176" s="205" t="str">
        <f t="shared" si="6"/>
        <v>NC</v>
      </c>
      <c r="AG176" s="204" t="str">
        <f t="shared" si="7"/>
        <v>NÃO UTILIZOU O PDA</v>
      </c>
      <c r="AH176" s="203" t="s">
        <v>205</v>
      </c>
      <c r="AI176" s="246" t="s">
        <v>6</v>
      </c>
      <c r="AJ176" s="246" t="str">
        <f t="shared" si="8"/>
        <v>SÃO PAULO</v>
      </c>
      <c r="AK176" s="247" t="s">
        <v>39</v>
      </c>
    </row>
    <row r="177" spans="1:37" s="204" customFormat="1" ht="30" customHeight="1">
      <c r="A177" s="215" t="s">
        <v>198</v>
      </c>
      <c r="B177" s="215">
        <v>2619779026</v>
      </c>
      <c r="C177" s="215" t="s">
        <v>100</v>
      </c>
      <c r="D177" s="215" t="s">
        <v>81</v>
      </c>
      <c r="E177" s="215" t="s">
        <v>5</v>
      </c>
      <c r="F177" s="215" t="s">
        <v>517</v>
      </c>
      <c r="G177" s="215">
        <v>31</v>
      </c>
      <c r="H177" s="215" t="s">
        <v>200</v>
      </c>
      <c r="I177" s="215" t="s">
        <v>412</v>
      </c>
      <c r="J177" s="215" t="s">
        <v>243</v>
      </c>
      <c r="K177" s="219" t="s">
        <v>581</v>
      </c>
      <c r="L177" s="216">
        <v>46300.583333333336</v>
      </c>
      <c r="M177" s="216">
        <v>46300.587500000001</v>
      </c>
      <c r="N177" s="215" t="s">
        <v>248</v>
      </c>
      <c r="O177" s="203" t="s">
        <v>206</v>
      </c>
      <c r="Q177" s="203" t="s">
        <v>206</v>
      </c>
      <c r="S177" s="203" t="s">
        <v>206</v>
      </c>
      <c r="U177" s="203" t="s">
        <v>206</v>
      </c>
      <c r="W177" s="203" t="s">
        <v>206</v>
      </c>
      <c r="Y177" s="203" t="s">
        <v>206</v>
      </c>
      <c r="AA177" s="203" t="s">
        <v>206</v>
      </c>
      <c r="AC177" s="203" t="s">
        <v>206</v>
      </c>
      <c r="AE177" s="203" t="s">
        <v>239</v>
      </c>
      <c r="AF177" s="205" t="str">
        <f t="shared" si="6"/>
        <v>NC</v>
      </c>
      <c r="AG177" s="204" t="str">
        <f t="shared" si="7"/>
        <v>NÃO UTILIZOU O PDA</v>
      </c>
      <c r="AH177" s="203" t="s">
        <v>205</v>
      </c>
      <c r="AI177" s="246" t="s">
        <v>6</v>
      </c>
      <c r="AJ177" s="246" t="str">
        <f t="shared" si="8"/>
        <v>SÃO PAULO</v>
      </c>
      <c r="AK177" s="247" t="s">
        <v>39</v>
      </c>
    </row>
    <row r="178" spans="1:37" s="204" customFormat="1" ht="30" customHeight="1">
      <c r="A178" s="215" t="s">
        <v>198</v>
      </c>
      <c r="B178" s="215">
        <v>2619780337</v>
      </c>
      <c r="C178" s="215" t="s">
        <v>101</v>
      </c>
      <c r="D178" s="215" t="s">
        <v>79</v>
      </c>
      <c r="E178" s="215" t="s">
        <v>5</v>
      </c>
      <c r="F178" s="215" t="s">
        <v>574</v>
      </c>
      <c r="G178" s="215">
        <v>35</v>
      </c>
      <c r="H178" s="215"/>
      <c r="I178" s="215" t="s">
        <v>215</v>
      </c>
      <c r="J178" s="215" t="s">
        <v>233</v>
      </c>
      <c r="K178" s="215" t="s">
        <v>582</v>
      </c>
      <c r="L178" s="216">
        <v>46300.625</v>
      </c>
      <c r="M178" s="216">
        <v>46300.631944444445</v>
      </c>
      <c r="N178" s="215" t="s">
        <v>341</v>
      </c>
      <c r="O178" s="203" t="s">
        <v>62</v>
      </c>
      <c r="Q178" s="203" t="s">
        <v>62</v>
      </c>
      <c r="S178" s="203" t="s">
        <v>62</v>
      </c>
      <c r="U178" s="203" t="s">
        <v>62</v>
      </c>
      <c r="W178" s="203" t="s">
        <v>62</v>
      </c>
      <c r="Y178" s="203" t="s">
        <v>62</v>
      </c>
      <c r="AA178" s="203" t="s">
        <v>62</v>
      </c>
      <c r="AC178" s="203" t="s">
        <v>62</v>
      </c>
      <c r="AD178" s="204" t="s">
        <v>525</v>
      </c>
      <c r="AE178" s="203" t="s">
        <v>62</v>
      </c>
      <c r="AF178" s="205" t="str">
        <f t="shared" si="6"/>
        <v>NA</v>
      </c>
      <c r="AG178" s="204" t="str">
        <f t="shared" si="7"/>
        <v>NÃO AVALIADO POR FALHA DE SINCRONISMO</v>
      </c>
      <c r="AH178" s="203" t="s">
        <v>205</v>
      </c>
      <c r="AI178" s="246" t="s">
        <v>6</v>
      </c>
      <c r="AJ178" s="246" t="str">
        <f t="shared" si="8"/>
        <v>SÃO PAULO</v>
      </c>
      <c r="AK178" s="247" t="s">
        <v>39</v>
      </c>
    </row>
    <row r="179" spans="1:37" s="204" customFormat="1" ht="30" customHeight="1">
      <c r="A179" s="228" t="s">
        <v>198</v>
      </c>
      <c r="B179" s="228">
        <v>2619780346</v>
      </c>
      <c r="C179" s="228" t="s">
        <v>100</v>
      </c>
      <c r="D179" s="228" t="s">
        <v>81</v>
      </c>
      <c r="E179" s="228" t="s">
        <v>5</v>
      </c>
      <c r="F179" s="228" t="s">
        <v>583</v>
      </c>
      <c r="G179" s="228">
        <v>685</v>
      </c>
      <c r="H179" s="228" t="s">
        <v>226</v>
      </c>
      <c r="I179" s="228" t="s">
        <v>562</v>
      </c>
      <c r="J179" s="228" t="s">
        <v>243</v>
      </c>
      <c r="K179" s="228" t="s">
        <v>200</v>
      </c>
      <c r="L179" s="230">
        <v>46300.643055555556</v>
      </c>
      <c r="M179" s="230">
        <v>46300.668055555558</v>
      </c>
      <c r="N179" s="228" t="s">
        <v>326</v>
      </c>
      <c r="O179" s="203" t="s">
        <v>205</v>
      </c>
      <c r="Q179" s="203" t="s">
        <v>205</v>
      </c>
      <c r="S179" s="203" t="s">
        <v>205</v>
      </c>
      <c r="U179" s="203" t="s">
        <v>205</v>
      </c>
      <c r="W179" s="203" t="s">
        <v>205</v>
      </c>
      <c r="Y179" s="203" t="s">
        <v>205</v>
      </c>
      <c r="AA179" s="203" t="s">
        <v>205</v>
      </c>
      <c r="AC179" s="203" t="s">
        <v>205</v>
      </c>
      <c r="AE179" s="203" t="s">
        <v>205</v>
      </c>
      <c r="AF179" s="205" t="str">
        <f t="shared" si="6"/>
        <v>C</v>
      </c>
      <c r="AG179" s="204" t="str">
        <f t="shared" si="7"/>
        <v>UTILIZOU O PDA CORRETAMENTE</v>
      </c>
      <c r="AH179" s="203" t="s">
        <v>205</v>
      </c>
      <c r="AI179" s="246" t="s">
        <v>6</v>
      </c>
      <c r="AJ179" s="246" t="str">
        <f t="shared" si="8"/>
        <v>SÃO PAULO</v>
      </c>
      <c r="AK179" s="247" t="s">
        <v>39</v>
      </c>
    </row>
    <row r="180" spans="1:37" s="302" customFormat="1" ht="30" customHeight="1">
      <c r="A180" s="215" t="s">
        <v>198</v>
      </c>
      <c r="B180" s="215">
        <v>2613850950</v>
      </c>
      <c r="C180" s="215" t="s">
        <v>584</v>
      </c>
      <c r="D180" s="215" t="s">
        <v>80</v>
      </c>
      <c r="E180" s="215" t="s">
        <v>5</v>
      </c>
      <c r="F180" s="215" t="s">
        <v>585</v>
      </c>
      <c r="G180" s="215">
        <v>13</v>
      </c>
      <c r="H180" s="215" t="s">
        <v>226</v>
      </c>
      <c r="I180" s="215" t="s">
        <v>215</v>
      </c>
      <c r="J180" s="215" t="s">
        <v>586</v>
      </c>
      <c r="K180" s="215" t="s">
        <v>587</v>
      </c>
      <c r="L180" s="216">
        <v>46331.350694444445</v>
      </c>
      <c r="M180" s="216">
        <v>46331.357638888891</v>
      </c>
      <c r="N180" s="215" t="s">
        <v>212</v>
      </c>
      <c r="O180" s="295" t="s">
        <v>205</v>
      </c>
      <c r="P180" s="296"/>
      <c r="Q180" s="297" t="s">
        <v>205</v>
      </c>
      <c r="R180" s="296"/>
      <c r="S180" s="297" t="s">
        <v>205</v>
      </c>
      <c r="T180" s="296"/>
      <c r="U180" s="297" t="s">
        <v>205</v>
      </c>
      <c r="V180" s="296"/>
      <c r="W180" s="297" t="s">
        <v>205</v>
      </c>
      <c r="X180" s="296"/>
      <c r="Y180" s="297" t="s">
        <v>62</v>
      </c>
      <c r="Z180" s="296"/>
      <c r="AA180" s="297" t="s">
        <v>205</v>
      </c>
      <c r="AB180" s="296"/>
      <c r="AC180" s="297" t="s">
        <v>205</v>
      </c>
      <c r="AD180" s="296"/>
      <c r="AE180" s="297" t="s">
        <v>205</v>
      </c>
      <c r="AF180" s="289" t="str">
        <f t="shared" si="6"/>
        <v>C</v>
      </c>
      <c r="AG180" s="298" t="str">
        <f t="shared" si="7"/>
        <v>UTILIZOU O PDA CORRETAMENTE</v>
      </c>
      <c r="AH180" s="297" t="s">
        <v>205</v>
      </c>
      <c r="AI180" s="299" t="s">
        <v>6</v>
      </c>
      <c r="AJ180" s="300" t="str">
        <f t="shared" si="8"/>
        <v>SÃO PAULO</v>
      </c>
      <c r="AK180" s="301" t="s">
        <v>39</v>
      </c>
    </row>
    <row r="181" spans="1:37" s="302" customFormat="1" ht="30" customHeight="1">
      <c r="A181" s="215" t="s">
        <v>198</v>
      </c>
      <c r="B181" s="215">
        <v>2619341686</v>
      </c>
      <c r="C181" s="215" t="s">
        <v>84</v>
      </c>
      <c r="D181" s="215" t="s">
        <v>77</v>
      </c>
      <c r="E181" s="215" t="s">
        <v>5</v>
      </c>
      <c r="F181" s="215" t="s">
        <v>588</v>
      </c>
      <c r="G181" s="215">
        <v>326</v>
      </c>
      <c r="H181" s="215" t="s">
        <v>363</v>
      </c>
      <c r="I181" s="215" t="s">
        <v>589</v>
      </c>
      <c r="J181" s="215" t="s">
        <v>252</v>
      </c>
      <c r="K181" s="215" t="s">
        <v>200</v>
      </c>
      <c r="L181" s="216">
        <v>46331.356944444444</v>
      </c>
      <c r="M181" s="216">
        <v>46331.373611111114</v>
      </c>
      <c r="N181" s="215" t="s">
        <v>590</v>
      </c>
      <c r="O181" s="290" t="s">
        <v>205</v>
      </c>
      <c r="P181" s="161"/>
      <c r="Q181" s="160" t="s">
        <v>62</v>
      </c>
      <c r="R181" s="161"/>
      <c r="S181" s="160" t="s">
        <v>62</v>
      </c>
      <c r="T181" s="161"/>
      <c r="U181" s="160" t="s">
        <v>62</v>
      </c>
      <c r="V181" s="161"/>
      <c r="W181" s="160" t="s">
        <v>62</v>
      </c>
      <c r="X181" s="161"/>
      <c r="Y181" s="160" t="s">
        <v>62</v>
      </c>
      <c r="Z181" s="161"/>
      <c r="AA181" s="160" t="s">
        <v>62</v>
      </c>
      <c r="AB181" s="161"/>
      <c r="AC181" s="160" t="s">
        <v>205</v>
      </c>
      <c r="AD181" s="161"/>
      <c r="AE181" s="160" t="s">
        <v>205</v>
      </c>
      <c r="AF181" s="289" t="str">
        <f t="shared" si="6"/>
        <v>C</v>
      </c>
      <c r="AG181" s="204" t="str">
        <f t="shared" si="7"/>
        <v>UTILIZOU O PDA CORRETAMENTE</v>
      </c>
      <c r="AH181" s="160" t="s">
        <v>205</v>
      </c>
      <c r="AI181" s="303" t="s">
        <v>6</v>
      </c>
      <c r="AJ181" s="304" t="str">
        <f t="shared" si="8"/>
        <v>SÃO PAULO</v>
      </c>
      <c r="AK181" s="305" t="s">
        <v>39</v>
      </c>
    </row>
    <row r="182" spans="1:37" s="302" customFormat="1" ht="30" customHeight="1">
      <c r="A182" s="215" t="s">
        <v>198</v>
      </c>
      <c r="B182" s="215">
        <v>2619780225</v>
      </c>
      <c r="C182" s="215" t="s">
        <v>103</v>
      </c>
      <c r="D182" s="215" t="s">
        <v>81</v>
      </c>
      <c r="E182" s="215" t="s">
        <v>5</v>
      </c>
      <c r="F182" s="215" t="s">
        <v>591</v>
      </c>
      <c r="G182" s="215">
        <v>555</v>
      </c>
      <c r="H182" s="215" t="s">
        <v>387</v>
      </c>
      <c r="I182" s="215" t="s">
        <v>592</v>
      </c>
      <c r="J182" s="215" t="s">
        <v>322</v>
      </c>
      <c r="K182" s="215" t="s">
        <v>200</v>
      </c>
      <c r="L182" s="216">
        <v>46331.25</v>
      </c>
      <c r="M182" s="216">
        <v>46331.250694444447</v>
      </c>
      <c r="N182" s="215" t="s">
        <v>357</v>
      </c>
      <c r="O182" s="290" t="s">
        <v>205</v>
      </c>
      <c r="P182" s="161"/>
      <c r="Q182" s="160" t="s">
        <v>205</v>
      </c>
      <c r="R182" s="161"/>
      <c r="S182" s="160" t="s">
        <v>205</v>
      </c>
      <c r="T182" s="161"/>
      <c r="U182" s="160" t="s">
        <v>205</v>
      </c>
      <c r="V182" s="161"/>
      <c r="W182" s="160" t="s">
        <v>205</v>
      </c>
      <c r="X182" s="161"/>
      <c r="Y182" s="160" t="s">
        <v>62</v>
      </c>
      <c r="Z182" s="161"/>
      <c r="AA182" s="160" t="s">
        <v>205</v>
      </c>
      <c r="AB182" s="161"/>
      <c r="AC182" s="160" t="s">
        <v>205</v>
      </c>
      <c r="AD182" s="161"/>
      <c r="AE182" s="160" t="s">
        <v>205</v>
      </c>
      <c r="AF182" s="289" t="str">
        <f t="shared" si="6"/>
        <v>C</v>
      </c>
      <c r="AG182" s="204" t="str">
        <f t="shared" si="7"/>
        <v>UTILIZOU O PDA CORRETAMENTE</v>
      </c>
      <c r="AH182" s="160" t="s">
        <v>205</v>
      </c>
      <c r="AI182" s="303" t="s">
        <v>6</v>
      </c>
      <c r="AJ182" s="304" t="str">
        <f t="shared" si="8"/>
        <v>SÃO PAULO</v>
      </c>
      <c r="AK182" s="305" t="s">
        <v>39</v>
      </c>
    </row>
    <row r="183" spans="1:37" s="302" customFormat="1" ht="30" customHeight="1">
      <c r="A183" s="215" t="s">
        <v>198</v>
      </c>
      <c r="B183" s="215">
        <v>2619192755</v>
      </c>
      <c r="C183" s="215" t="s">
        <v>105</v>
      </c>
      <c r="D183" s="215" t="s">
        <v>81</v>
      </c>
      <c r="E183" s="215" t="s">
        <v>5</v>
      </c>
      <c r="F183" s="215" t="s">
        <v>517</v>
      </c>
      <c r="G183" s="215">
        <v>48</v>
      </c>
      <c r="H183" s="215"/>
      <c r="I183" s="215" t="s">
        <v>593</v>
      </c>
      <c r="J183" s="215" t="s">
        <v>536</v>
      </c>
      <c r="K183" s="215"/>
      <c r="L183" s="216">
        <v>46331.407638888886</v>
      </c>
      <c r="M183" s="216">
        <v>46331.482638888891</v>
      </c>
      <c r="N183" s="215" t="s">
        <v>254</v>
      </c>
      <c r="O183" s="290" t="s">
        <v>239</v>
      </c>
      <c r="P183" s="161" t="s">
        <v>303</v>
      </c>
      <c r="Q183" s="160" t="s">
        <v>239</v>
      </c>
      <c r="R183" s="161" t="s">
        <v>303</v>
      </c>
      <c r="S183" s="160" t="s">
        <v>239</v>
      </c>
      <c r="T183" s="161" t="s">
        <v>303</v>
      </c>
      <c r="U183" s="160" t="s">
        <v>239</v>
      </c>
      <c r="V183" s="161" t="s">
        <v>303</v>
      </c>
      <c r="W183" s="160" t="s">
        <v>239</v>
      </c>
      <c r="X183" s="161" t="s">
        <v>303</v>
      </c>
      <c r="Y183" s="160" t="s">
        <v>239</v>
      </c>
      <c r="Z183" s="161" t="s">
        <v>303</v>
      </c>
      <c r="AA183" s="160" t="s">
        <v>239</v>
      </c>
      <c r="AB183" s="161" t="s">
        <v>303</v>
      </c>
      <c r="AC183" s="160" t="s">
        <v>239</v>
      </c>
      <c r="AD183" s="161" t="s">
        <v>303</v>
      </c>
      <c r="AE183" s="160" t="s">
        <v>239</v>
      </c>
      <c r="AF183" s="289" t="str">
        <f t="shared" si="6"/>
        <v>NC</v>
      </c>
      <c r="AG183" s="204" t="str">
        <f t="shared" si="7"/>
        <v>NÃO UTILIZOU O PDA</v>
      </c>
      <c r="AH183" s="160"/>
      <c r="AI183" s="303" t="s">
        <v>6</v>
      </c>
      <c r="AJ183" s="304" t="str">
        <f t="shared" si="8"/>
        <v>SÃO PAULO</v>
      </c>
      <c r="AK183" s="305" t="s">
        <v>39</v>
      </c>
    </row>
    <row r="184" spans="1:37" s="302" customFormat="1" ht="30" customHeight="1">
      <c r="A184" s="215" t="s">
        <v>198</v>
      </c>
      <c r="B184" s="215">
        <v>2619800757</v>
      </c>
      <c r="C184" s="215" t="s">
        <v>106</v>
      </c>
      <c r="D184" s="215" t="s">
        <v>81</v>
      </c>
      <c r="E184" s="215" t="s">
        <v>5</v>
      </c>
      <c r="F184" s="215" t="s">
        <v>561</v>
      </c>
      <c r="G184" s="215">
        <v>1132</v>
      </c>
      <c r="H184" s="215" t="s">
        <v>200</v>
      </c>
      <c r="I184" s="215" t="s">
        <v>223</v>
      </c>
      <c r="J184" s="215" t="s">
        <v>350</v>
      </c>
      <c r="K184" s="215" t="s">
        <v>594</v>
      </c>
      <c r="L184" s="216">
        <v>46331.436111111114</v>
      </c>
      <c r="M184" s="216">
        <v>46331.4375</v>
      </c>
      <c r="N184" s="215" t="s">
        <v>357</v>
      </c>
      <c r="O184" s="290" t="s">
        <v>205</v>
      </c>
      <c r="P184" s="161"/>
      <c r="Q184" s="160" t="s">
        <v>205</v>
      </c>
      <c r="R184" s="161"/>
      <c r="S184" s="160" t="s">
        <v>205</v>
      </c>
      <c r="T184" s="161"/>
      <c r="U184" s="160" t="s">
        <v>205</v>
      </c>
      <c r="V184" s="161"/>
      <c r="W184" s="160" t="s">
        <v>205</v>
      </c>
      <c r="X184" s="161"/>
      <c r="Y184" s="160" t="s">
        <v>62</v>
      </c>
      <c r="Z184" s="161"/>
      <c r="AA184" s="160" t="s">
        <v>206</v>
      </c>
      <c r="AB184" s="161"/>
      <c r="AC184" s="160" t="s">
        <v>206</v>
      </c>
      <c r="AD184" s="161"/>
      <c r="AE184" s="160" t="s">
        <v>205</v>
      </c>
      <c r="AF184" s="289" t="str">
        <f t="shared" si="6"/>
        <v>NC</v>
      </c>
      <c r="AG184" s="204" t="str">
        <f t="shared" si="7"/>
        <v>UTILIZOU O PDA CORRETAMENTE. NÃO HÁ FOTOS DE TODAS AS ETAPAS</v>
      </c>
      <c r="AH184" s="160"/>
      <c r="AI184" s="303" t="s">
        <v>6</v>
      </c>
      <c r="AJ184" s="304" t="str">
        <f t="shared" si="8"/>
        <v>SÃO PAULO</v>
      </c>
      <c r="AK184" s="305" t="s">
        <v>39</v>
      </c>
    </row>
    <row r="185" spans="1:37" s="302" customFormat="1" ht="30" customHeight="1">
      <c r="A185" s="215" t="s">
        <v>198</v>
      </c>
      <c r="B185" s="215">
        <v>2619797662</v>
      </c>
      <c r="C185" s="215" t="s">
        <v>584</v>
      </c>
      <c r="D185" s="215" t="s">
        <v>80</v>
      </c>
      <c r="E185" s="215" t="s">
        <v>5</v>
      </c>
      <c r="F185" s="215" t="s">
        <v>595</v>
      </c>
      <c r="G185" s="215">
        <v>60</v>
      </c>
      <c r="H185" s="215"/>
      <c r="I185" s="215" t="s">
        <v>397</v>
      </c>
      <c r="J185" s="215" t="s">
        <v>586</v>
      </c>
      <c r="K185" s="215"/>
      <c r="L185" s="216">
        <v>46331.629861111112</v>
      </c>
      <c r="M185" s="216">
        <v>46331.711111111108</v>
      </c>
      <c r="N185" s="215" t="s">
        <v>326</v>
      </c>
      <c r="O185" s="290" t="s">
        <v>205</v>
      </c>
      <c r="P185" s="161"/>
      <c r="Q185" s="160" t="s">
        <v>205</v>
      </c>
      <c r="R185" s="161"/>
      <c r="S185" s="160" t="s">
        <v>205</v>
      </c>
      <c r="T185" s="161"/>
      <c r="U185" s="160" t="s">
        <v>205</v>
      </c>
      <c r="V185" s="161"/>
      <c r="W185" s="160" t="s">
        <v>205</v>
      </c>
      <c r="X185" s="161"/>
      <c r="Y185" s="160" t="s">
        <v>239</v>
      </c>
      <c r="Z185" s="161" t="s">
        <v>386</v>
      </c>
      <c r="AA185" s="160" t="s">
        <v>205</v>
      </c>
      <c r="AB185" s="161"/>
      <c r="AC185" s="160" t="s">
        <v>205</v>
      </c>
      <c r="AD185" s="161"/>
      <c r="AE185" s="160" t="s">
        <v>205</v>
      </c>
      <c r="AF185" s="289" t="str">
        <f t="shared" si="6"/>
        <v>NC</v>
      </c>
      <c r="AG185" s="204" t="str">
        <f t="shared" si="7"/>
        <v>UTILIZOU O PDA CORRETAMENTE. NÃO HÁ FOTOS DE TODAS AS ETAPAS</v>
      </c>
      <c r="AH185" s="160"/>
      <c r="AI185" s="303" t="s">
        <v>6</v>
      </c>
      <c r="AJ185" s="304" t="str">
        <f t="shared" si="8"/>
        <v>SÃO PAULO</v>
      </c>
      <c r="AK185" s="305" t="s">
        <v>39</v>
      </c>
    </row>
    <row r="186" spans="1:37" s="302" customFormat="1" ht="30" customHeight="1">
      <c r="A186" s="215" t="s">
        <v>198</v>
      </c>
      <c r="B186" s="215">
        <v>2619798117</v>
      </c>
      <c r="C186" s="215" t="s">
        <v>207</v>
      </c>
      <c r="D186" s="215" t="s">
        <v>80</v>
      </c>
      <c r="E186" s="215" t="s">
        <v>5</v>
      </c>
      <c r="F186" s="215" t="s">
        <v>595</v>
      </c>
      <c r="G186" s="215">
        <v>60</v>
      </c>
      <c r="H186" s="215" t="s">
        <v>200</v>
      </c>
      <c r="I186" s="215" t="s">
        <v>397</v>
      </c>
      <c r="J186" s="215" t="s">
        <v>210</v>
      </c>
      <c r="K186" s="215" t="s">
        <v>596</v>
      </c>
      <c r="L186" s="216">
        <v>46331.712500000001</v>
      </c>
      <c r="M186" s="216">
        <v>46331.713888888888</v>
      </c>
      <c r="N186" s="215" t="s">
        <v>326</v>
      </c>
      <c r="O186" s="290" t="s">
        <v>205</v>
      </c>
      <c r="P186" s="161"/>
      <c r="Q186" s="160" t="s">
        <v>205</v>
      </c>
      <c r="R186" s="161"/>
      <c r="S186" s="160" t="s">
        <v>205</v>
      </c>
      <c r="T186" s="161"/>
      <c r="U186" s="160" t="s">
        <v>205</v>
      </c>
      <c r="V186" s="161"/>
      <c r="W186" s="160" t="s">
        <v>205</v>
      </c>
      <c r="X186" s="161"/>
      <c r="Y186" s="160" t="s">
        <v>239</v>
      </c>
      <c r="Z186" s="161" t="s">
        <v>386</v>
      </c>
      <c r="AA186" s="160" t="s">
        <v>205</v>
      </c>
      <c r="AB186" s="161"/>
      <c r="AC186" s="160" t="s">
        <v>205</v>
      </c>
      <c r="AD186" s="161"/>
      <c r="AE186" s="160" t="s">
        <v>205</v>
      </c>
      <c r="AF186" s="289" t="str">
        <f t="shared" si="6"/>
        <v>NC</v>
      </c>
      <c r="AG186" s="204" t="str">
        <f t="shared" si="7"/>
        <v>UTILIZOU O PDA CORRETAMENTE. NÃO HÁ FOTOS DE TODAS AS ETAPAS</v>
      </c>
      <c r="AH186" s="160"/>
      <c r="AI186" s="303" t="s">
        <v>6</v>
      </c>
      <c r="AJ186" s="304" t="str">
        <f t="shared" si="8"/>
        <v>SÃO PAULO</v>
      </c>
      <c r="AK186" s="305" t="s">
        <v>39</v>
      </c>
    </row>
    <row r="187" spans="1:37" s="302" customFormat="1" ht="30" customHeight="1">
      <c r="A187" s="215" t="s">
        <v>198</v>
      </c>
      <c r="B187" s="215">
        <v>2619791012</v>
      </c>
      <c r="C187" s="215" t="s">
        <v>107</v>
      </c>
      <c r="D187" s="215" t="s">
        <v>81</v>
      </c>
      <c r="E187" s="215" t="s">
        <v>5</v>
      </c>
      <c r="F187" s="215" t="s">
        <v>526</v>
      </c>
      <c r="G187" s="215">
        <v>3736</v>
      </c>
      <c r="H187" s="215"/>
      <c r="I187" s="215" t="s">
        <v>343</v>
      </c>
      <c r="J187" s="215" t="s">
        <v>322</v>
      </c>
      <c r="K187" s="215"/>
      <c r="L187" s="216">
        <v>46331.48333333333</v>
      </c>
      <c r="M187" s="216">
        <v>46331.654861111114</v>
      </c>
      <c r="N187" s="215" t="s">
        <v>359</v>
      </c>
      <c r="O187" s="290" t="s">
        <v>205</v>
      </c>
      <c r="P187" s="161"/>
      <c r="Q187" s="160" t="s">
        <v>205</v>
      </c>
      <c r="R187" s="161"/>
      <c r="S187" s="160" t="s">
        <v>205</v>
      </c>
      <c r="T187" s="161"/>
      <c r="U187" s="160" t="s">
        <v>205</v>
      </c>
      <c r="V187" s="161"/>
      <c r="W187" s="160" t="s">
        <v>205</v>
      </c>
      <c r="X187" s="161"/>
      <c r="Y187" s="160" t="s">
        <v>62</v>
      </c>
      <c r="Z187" s="161"/>
      <c r="AA187" s="160" t="s">
        <v>205</v>
      </c>
      <c r="AB187" s="161"/>
      <c r="AC187" s="160" t="s">
        <v>205</v>
      </c>
      <c r="AD187" s="161"/>
      <c r="AE187" s="160" t="s">
        <v>205</v>
      </c>
      <c r="AF187" s="289" t="str">
        <f t="shared" si="6"/>
        <v>C</v>
      </c>
      <c r="AG187" s="204" t="str">
        <f t="shared" si="7"/>
        <v>UTILIZOU O PDA CORRETAMENTE</v>
      </c>
      <c r="AH187" s="160" t="s">
        <v>205</v>
      </c>
      <c r="AI187" s="303" t="s">
        <v>6</v>
      </c>
      <c r="AJ187" s="304" t="str">
        <f t="shared" si="8"/>
        <v>SÃO PAULO</v>
      </c>
      <c r="AK187" s="305" t="s">
        <v>39</v>
      </c>
    </row>
    <row r="188" spans="1:37" s="302" customFormat="1" ht="30" customHeight="1">
      <c r="A188" s="215" t="s">
        <v>198</v>
      </c>
      <c r="B188" s="215">
        <v>2619807009</v>
      </c>
      <c r="C188" s="215" t="s">
        <v>105</v>
      </c>
      <c r="D188" s="215" t="s">
        <v>81</v>
      </c>
      <c r="E188" s="215" t="s">
        <v>5</v>
      </c>
      <c r="F188" s="215" t="s">
        <v>559</v>
      </c>
      <c r="G188" s="215">
        <v>84</v>
      </c>
      <c r="H188" s="215" t="s">
        <v>200</v>
      </c>
      <c r="I188" s="215" t="s">
        <v>328</v>
      </c>
      <c r="J188" s="215" t="s">
        <v>459</v>
      </c>
      <c r="K188" s="215" t="s">
        <v>597</v>
      </c>
      <c r="L188" s="216">
        <v>46331.56527777778</v>
      </c>
      <c r="M188" s="216">
        <v>46331.565972222219</v>
      </c>
      <c r="N188" s="215" t="s">
        <v>235</v>
      </c>
      <c r="O188" s="290" t="s">
        <v>206</v>
      </c>
      <c r="P188" s="161"/>
      <c r="Q188" s="160" t="s">
        <v>206</v>
      </c>
      <c r="R188" s="161"/>
      <c r="S188" s="160" t="s">
        <v>206</v>
      </c>
      <c r="T188" s="161"/>
      <c r="U188" s="160" t="s">
        <v>206</v>
      </c>
      <c r="V188" s="161"/>
      <c r="W188" s="160" t="s">
        <v>206</v>
      </c>
      <c r="X188" s="161"/>
      <c r="Y188" s="160" t="s">
        <v>206</v>
      </c>
      <c r="Z188" s="161"/>
      <c r="AA188" s="160" t="s">
        <v>206</v>
      </c>
      <c r="AB188" s="161"/>
      <c r="AC188" s="160" t="s">
        <v>206</v>
      </c>
      <c r="AD188" s="161"/>
      <c r="AE188" s="160" t="s">
        <v>239</v>
      </c>
      <c r="AF188" s="289" t="str">
        <f t="shared" si="6"/>
        <v>NC</v>
      </c>
      <c r="AG188" s="204" t="str">
        <f t="shared" si="7"/>
        <v>NÃO UTILIZOU O PDA</v>
      </c>
      <c r="AH188" s="160"/>
      <c r="AI188" s="303" t="s">
        <v>6</v>
      </c>
      <c r="AJ188" s="304" t="str">
        <f t="shared" si="8"/>
        <v>SÃO PAULO</v>
      </c>
      <c r="AK188" s="305" t="s">
        <v>39</v>
      </c>
    </row>
    <row r="189" spans="1:37" s="302" customFormat="1" ht="30" customHeight="1">
      <c r="A189" s="215" t="s">
        <v>198</v>
      </c>
      <c r="B189" s="215">
        <v>2619798182</v>
      </c>
      <c r="C189" s="215" t="s">
        <v>107</v>
      </c>
      <c r="D189" s="215" t="s">
        <v>81</v>
      </c>
      <c r="E189" s="215" t="s">
        <v>5</v>
      </c>
      <c r="F189" s="215" t="s">
        <v>598</v>
      </c>
      <c r="G189" s="215">
        <v>4869</v>
      </c>
      <c r="H189" s="215"/>
      <c r="I189" s="215" t="s">
        <v>260</v>
      </c>
      <c r="J189" s="215" t="s">
        <v>322</v>
      </c>
      <c r="K189" s="215" t="s">
        <v>399</v>
      </c>
      <c r="L189" s="216">
        <v>46331.696527777778</v>
      </c>
      <c r="M189" s="216">
        <v>46331.753472222219</v>
      </c>
      <c r="N189" s="215" t="s">
        <v>254</v>
      </c>
      <c r="O189" s="290" t="s">
        <v>205</v>
      </c>
      <c r="P189" s="161"/>
      <c r="Q189" s="160" t="s">
        <v>205</v>
      </c>
      <c r="R189" s="161"/>
      <c r="S189" s="160" t="s">
        <v>206</v>
      </c>
      <c r="T189" s="161"/>
      <c r="U189" s="160" t="s">
        <v>205</v>
      </c>
      <c r="V189" s="161"/>
      <c r="W189" s="160" t="s">
        <v>206</v>
      </c>
      <c r="X189" s="161"/>
      <c r="Y189" s="160" t="s">
        <v>62</v>
      </c>
      <c r="Z189" s="161"/>
      <c r="AA189" s="160" t="s">
        <v>205</v>
      </c>
      <c r="AB189" s="161"/>
      <c r="AC189" s="160" t="s">
        <v>205</v>
      </c>
      <c r="AD189" s="161"/>
      <c r="AE189" s="160" t="s">
        <v>205</v>
      </c>
      <c r="AF189" s="289" t="str">
        <f t="shared" si="6"/>
        <v>NC</v>
      </c>
      <c r="AG189" s="204" t="str">
        <f t="shared" si="7"/>
        <v>UTILIZOU O PDA CORRETAMENTE. NÃO HÁ FOTOS DE TODAS AS ETAPAS</v>
      </c>
      <c r="AH189" s="160" t="s">
        <v>205</v>
      </c>
      <c r="AI189" s="303" t="s">
        <v>6</v>
      </c>
      <c r="AJ189" s="304" t="str">
        <f t="shared" si="8"/>
        <v>SÃO PAULO</v>
      </c>
      <c r="AK189" s="305" t="s">
        <v>39</v>
      </c>
    </row>
    <row r="190" spans="1:37" s="302" customFormat="1" ht="30" customHeight="1">
      <c r="A190" s="215" t="s">
        <v>198</v>
      </c>
      <c r="B190" s="215">
        <v>2619778657</v>
      </c>
      <c r="C190" s="215" t="s">
        <v>99</v>
      </c>
      <c r="D190" s="215" t="s">
        <v>81</v>
      </c>
      <c r="E190" s="215" t="s">
        <v>5</v>
      </c>
      <c r="F190" s="215" t="s">
        <v>599</v>
      </c>
      <c r="G190" s="215">
        <v>96</v>
      </c>
      <c r="H190" s="215"/>
      <c r="I190" s="215" t="s">
        <v>412</v>
      </c>
      <c r="J190" s="215" t="s">
        <v>268</v>
      </c>
      <c r="K190" s="215"/>
      <c r="L190" s="216">
        <v>46331.256944444445</v>
      </c>
      <c r="M190" s="216">
        <v>46331.257638888892</v>
      </c>
      <c r="N190" s="215" t="s">
        <v>248</v>
      </c>
      <c r="O190" s="290" t="s">
        <v>205</v>
      </c>
      <c r="P190" s="161"/>
      <c r="Q190" s="160" t="s">
        <v>205</v>
      </c>
      <c r="R190" s="161"/>
      <c r="S190" s="160" t="s">
        <v>205</v>
      </c>
      <c r="T190" s="161"/>
      <c r="U190" s="160" t="s">
        <v>205</v>
      </c>
      <c r="V190" s="161"/>
      <c r="W190" s="160" t="s">
        <v>205</v>
      </c>
      <c r="X190" s="161"/>
      <c r="Y190" s="160" t="s">
        <v>205</v>
      </c>
      <c r="Z190" s="161"/>
      <c r="AA190" s="160" t="s">
        <v>205</v>
      </c>
      <c r="AB190" s="161"/>
      <c r="AC190" s="160" t="s">
        <v>205</v>
      </c>
      <c r="AD190" s="161"/>
      <c r="AE190" s="160" t="s">
        <v>205</v>
      </c>
      <c r="AF190" s="289" t="str">
        <f t="shared" si="6"/>
        <v>C</v>
      </c>
      <c r="AG190" s="204" t="str">
        <f t="shared" si="7"/>
        <v>UTILIZOU O PDA CORRETAMENTE</v>
      </c>
      <c r="AH190" s="160"/>
      <c r="AI190" s="303" t="s">
        <v>6</v>
      </c>
      <c r="AJ190" s="304" t="str">
        <f t="shared" si="8"/>
        <v>SÃO PAULO</v>
      </c>
      <c r="AK190" s="305" t="s">
        <v>39</v>
      </c>
    </row>
    <row r="191" spans="1:37" s="302" customFormat="1" ht="30" customHeight="1">
      <c r="A191" s="215" t="s">
        <v>198</v>
      </c>
      <c r="B191" s="215">
        <v>2619861015</v>
      </c>
      <c r="C191" s="215" t="s">
        <v>101</v>
      </c>
      <c r="D191" s="215" t="s">
        <v>79</v>
      </c>
      <c r="E191" s="215" t="s">
        <v>5</v>
      </c>
      <c r="F191" s="215" t="s">
        <v>595</v>
      </c>
      <c r="G191" s="215">
        <v>25</v>
      </c>
      <c r="H191" s="215"/>
      <c r="I191" s="215" t="s">
        <v>397</v>
      </c>
      <c r="J191" s="215" t="s">
        <v>233</v>
      </c>
      <c r="K191" s="215" t="s">
        <v>596</v>
      </c>
      <c r="L191" s="216">
        <v>46331.718055555553</v>
      </c>
      <c r="M191" s="216">
        <v>46331.719444444447</v>
      </c>
      <c r="N191" s="215" t="s">
        <v>326</v>
      </c>
      <c r="O191" s="290" t="s">
        <v>205</v>
      </c>
      <c r="P191" s="161"/>
      <c r="Q191" s="160" t="s">
        <v>205</v>
      </c>
      <c r="R191" s="161"/>
      <c r="S191" s="160" t="s">
        <v>205</v>
      </c>
      <c r="T191" s="161"/>
      <c r="U191" s="160" t="s">
        <v>205</v>
      </c>
      <c r="V191" s="161"/>
      <c r="W191" s="160" t="s">
        <v>205</v>
      </c>
      <c r="X191" s="161"/>
      <c r="Y191" s="160" t="s">
        <v>239</v>
      </c>
      <c r="Z191" s="161" t="s">
        <v>386</v>
      </c>
      <c r="AA191" s="160" t="s">
        <v>205</v>
      </c>
      <c r="AB191" s="161"/>
      <c r="AC191" s="160" t="s">
        <v>205</v>
      </c>
      <c r="AD191" s="161"/>
      <c r="AE191" s="160" t="s">
        <v>205</v>
      </c>
      <c r="AF191" s="289" t="str">
        <f t="shared" si="6"/>
        <v>NC</v>
      </c>
      <c r="AG191" s="204" t="str">
        <f t="shared" si="7"/>
        <v>UTILIZOU O PDA CORRETAMENTE. NÃO HÁ FOTOS DE TODAS AS ETAPAS</v>
      </c>
      <c r="AH191" s="160"/>
      <c r="AI191" s="303" t="s">
        <v>6</v>
      </c>
      <c r="AJ191" s="304" t="str">
        <f t="shared" si="8"/>
        <v>SÃO PAULO</v>
      </c>
      <c r="AK191" s="305" t="s">
        <v>39</v>
      </c>
    </row>
    <row r="192" spans="1:37" s="302" customFormat="1" ht="30" customHeight="1">
      <c r="A192" s="215" t="s">
        <v>198</v>
      </c>
      <c r="B192" s="215">
        <v>2619851836</v>
      </c>
      <c r="C192" s="215" t="s">
        <v>101</v>
      </c>
      <c r="D192" s="215" t="s">
        <v>79</v>
      </c>
      <c r="E192" s="215" t="s">
        <v>5</v>
      </c>
      <c r="F192" s="215" t="s">
        <v>600</v>
      </c>
      <c r="G192" s="215">
        <v>53</v>
      </c>
      <c r="H192" s="215" t="s">
        <v>601</v>
      </c>
      <c r="I192" s="215" t="s">
        <v>397</v>
      </c>
      <c r="J192" s="215" t="s">
        <v>233</v>
      </c>
      <c r="K192" s="215" t="s">
        <v>596</v>
      </c>
      <c r="L192" s="216">
        <v>46331.714583333334</v>
      </c>
      <c r="M192" s="216">
        <v>46331.71597222222</v>
      </c>
      <c r="N192" s="215" t="s">
        <v>326</v>
      </c>
      <c r="O192" s="290" t="s">
        <v>205</v>
      </c>
      <c r="P192" s="161"/>
      <c r="Q192" s="160" t="s">
        <v>205</v>
      </c>
      <c r="R192" s="161"/>
      <c r="S192" s="160" t="s">
        <v>205</v>
      </c>
      <c r="T192" s="161"/>
      <c r="U192" s="160" t="s">
        <v>205</v>
      </c>
      <c r="V192" s="161"/>
      <c r="W192" s="160" t="s">
        <v>205</v>
      </c>
      <c r="X192" s="161"/>
      <c r="Y192" s="160" t="s">
        <v>239</v>
      </c>
      <c r="Z192" s="161" t="s">
        <v>386</v>
      </c>
      <c r="AA192" s="160" t="s">
        <v>205</v>
      </c>
      <c r="AB192" s="161"/>
      <c r="AC192" s="160" t="s">
        <v>205</v>
      </c>
      <c r="AD192" s="161"/>
      <c r="AE192" s="160" t="s">
        <v>205</v>
      </c>
      <c r="AF192" s="289" t="str">
        <f t="shared" si="6"/>
        <v>NC</v>
      </c>
      <c r="AG192" s="204" t="str">
        <f t="shared" si="7"/>
        <v>UTILIZOU O PDA CORRETAMENTE. NÃO HÁ FOTOS DE TODAS AS ETAPAS</v>
      </c>
      <c r="AH192" s="160"/>
      <c r="AI192" s="303" t="s">
        <v>6</v>
      </c>
      <c r="AJ192" s="304" t="str">
        <f t="shared" si="8"/>
        <v>SÃO PAULO</v>
      </c>
      <c r="AK192" s="305" t="s">
        <v>39</v>
      </c>
    </row>
    <row r="193" spans="1:37" s="302" customFormat="1" ht="30" customHeight="1">
      <c r="A193" s="215" t="s">
        <v>198</v>
      </c>
      <c r="B193" s="215">
        <v>2619861166</v>
      </c>
      <c r="C193" s="215" t="s">
        <v>101</v>
      </c>
      <c r="D193" s="215" t="s">
        <v>79</v>
      </c>
      <c r="E193" s="215" t="s">
        <v>5</v>
      </c>
      <c r="F193" s="215" t="s">
        <v>595</v>
      </c>
      <c r="G193" s="215">
        <v>26</v>
      </c>
      <c r="H193" s="215" t="s">
        <v>409</v>
      </c>
      <c r="I193" s="215" t="s">
        <v>397</v>
      </c>
      <c r="J193" s="215" t="s">
        <v>233</v>
      </c>
      <c r="K193" s="215" t="s">
        <v>596</v>
      </c>
      <c r="L193" s="216">
        <v>46331.71597222222</v>
      </c>
      <c r="M193" s="216">
        <v>46331.718055555553</v>
      </c>
      <c r="N193" s="215" t="s">
        <v>326</v>
      </c>
      <c r="O193" s="290" t="s">
        <v>205</v>
      </c>
      <c r="P193" s="161"/>
      <c r="Q193" s="160" t="s">
        <v>205</v>
      </c>
      <c r="R193" s="161"/>
      <c r="S193" s="160" t="s">
        <v>205</v>
      </c>
      <c r="T193" s="161"/>
      <c r="U193" s="160" t="s">
        <v>205</v>
      </c>
      <c r="V193" s="161"/>
      <c r="W193" s="160" t="s">
        <v>205</v>
      </c>
      <c r="X193" s="161"/>
      <c r="Y193" s="160" t="s">
        <v>239</v>
      </c>
      <c r="Z193" s="161" t="s">
        <v>386</v>
      </c>
      <c r="AA193" s="160" t="s">
        <v>205</v>
      </c>
      <c r="AB193" s="161"/>
      <c r="AC193" s="160" t="s">
        <v>205</v>
      </c>
      <c r="AD193" s="161"/>
      <c r="AE193" s="160" t="s">
        <v>205</v>
      </c>
      <c r="AF193" s="289" t="str">
        <f t="shared" si="6"/>
        <v>NC</v>
      </c>
      <c r="AG193" s="204" t="str">
        <f t="shared" si="7"/>
        <v>UTILIZOU O PDA CORRETAMENTE. NÃO HÁ FOTOS DE TODAS AS ETAPAS</v>
      </c>
      <c r="AH193" s="160"/>
      <c r="AI193" s="303" t="s">
        <v>6</v>
      </c>
      <c r="AJ193" s="304" t="str">
        <f t="shared" si="8"/>
        <v>SÃO PAULO</v>
      </c>
      <c r="AK193" s="305" t="s">
        <v>39</v>
      </c>
    </row>
    <row r="194" spans="1:37" s="302" customFormat="1" ht="30" customHeight="1">
      <c r="A194" s="215" t="s">
        <v>198</v>
      </c>
      <c r="B194" s="215">
        <v>2619832582</v>
      </c>
      <c r="C194" s="215" t="s">
        <v>99</v>
      </c>
      <c r="D194" s="215" t="s">
        <v>81</v>
      </c>
      <c r="E194" s="215" t="s">
        <v>5</v>
      </c>
      <c r="F194" s="215" t="s">
        <v>602</v>
      </c>
      <c r="G194" s="215">
        <v>85</v>
      </c>
      <c r="H194" s="215" t="s">
        <v>387</v>
      </c>
      <c r="I194" s="215" t="s">
        <v>246</v>
      </c>
      <c r="J194" s="215" t="s">
        <v>268</v>
      </c>
      <c r="K194" s="215" t="s">
        <v>200</v>
      </c>
      <c r="L194" s="216">
        <v>46331.673611111109</v>
      </c>
      <c r="M194" s="216">
        <v>46331.675000000003</v>
      </c>
      <c r="N194" s="215" t="s">
        <v>235</v>
      </c>
      <c r="O194" s="290" t="s">
        <v>205</v>
      </c>
      <c r="P194" s="161"/>
      <c r="Q194" s="160" t="s">
        <v>205</v>
      </c>
      <c r="R194" s="161"/>
      <c r="S194" s="160" t="s">
        <v>205</v>
      </c>
      <c r="T194" s="161"/>
      <c r="U194" s="160" t="s">
        <v>205</v>
      </c>
      <c r="V194" s="161"/>
      <c r="W194" s="160" t="s">
        <v>205</v>
      </c>
      <c r="X194" s="161"/>
      <c r="Y194" s="160" t="s">
        <v>205</v>
      </c>
      <c r="Z194" s="161"/>
      <c r="AA194" s="160" t="s">
        <v>205</v>
      </c>
      <c r="AB194" s="161"/>
      <c r="AC194" s="160" t="s">
        <v>205</v>
      </c>
      <c r="AD194" s="161"/>
      <c r="AE194" s="160" t="s">
        <v>205</v>
      </c>
      <c r="AF194" s="289" t="str">
        <f t="shared" ref="AF194:AF256" si="9">IF(AND(O194="",Q194="",S194="",U194="",W194="",Y194="",AA194="",AC194=""),"",IF(OR(AND(O194&lt;&gt;"NA",O194&lt;&gt;"C",O194&lt;&gt;"NC",O194&lt;&gt;"SF",O194&lt;&gt;""),AND(Q194&lt;&gt;"NA",Q194&lt;&gt;"C",Q194&lt;&gt;"NC",Q194&lt;&gt;"SF",Q194&lt;&gt;""),AND(S194&lt;&gt;"NA",S194&lt;&gt;"C",S194&lt;&gt;"NC",S194&lt;&gt;"SF",S194&lt;&gt;""),AND(U194&lt;&gt;"NA",U194&lt;&gt;"C",U194&lt;&gt;"NC",U194&lt;&gt;"SF",U194&lt;&gt;""),AND(W194&lt;&gt;"NA",W194&lt;&gt;"C",W194&lt;&gt;"NC",W194&lt;&gt;"SF",W194&lt;&gt;""),AND(Y194&lt;&gt;"NA",Y194&lt;&gt;"C",Y194&lt;&gt;"NC",Y194&lt;&gt;"SF",Y194&lt;&gt;""),AND(AA194&lt;&gt;"NA",AA194&lt;&gt;"C",AA194&lt;&gt;"NC",AA194&lt;&gt;"SF",AA194&lt;&gt;""),AND(AC194&lt;&gt;"NA",AC194&lt;&gt;"C",AC194&lt;&gt;"NC",AC194&lt;&gt;"SF",AC194&lt;&gt;"")),"FALSO",IF(AND(O194="NA",Q194="NA",S194="NA",U194="NA",W194="NA",Y194="NA",AA194="NA",AC194="NA"),"NA",IF(OR(O194="NC",Q194="NC",S194="NC",U194="NC",W194="NC",Y194="NC",AA194="NC",AC194="NC",O194="SF",Q194="SF",S194="SF",U194="SF",W194="SF",Y194="SF",AA194="SF",AC194="SF"),"NC",IF(OR(O194="C",Q194="C",S194="C",U194="C",W194="C",Y194="C",AA194="C",AC194="C"),"C","")))))</f>
        <v>C</v>
      </c>
      <c r="AG194" s="204" t="str">
        <f t="shared" ref="AG194:AG256" si="10">IF(AND(AE194="C",AF194="C"),"UTILIZOU O PDA CORRETAMENTE",IF(AND(AE194="C",AF194="NC"),"UTILIZOU O PDA CORRETAMENTE. NÃO HÁ FOTOS DE TODAS AS ETAPAS",IF(AND(AE194="NC",AF194="NC"),"NÃO UTILIZOU O PDA",IF(AND(AE194="NA",AF194="NA"),"NÃO AVALIADO POR FALHA DE SINCRONISMO"))))</f>
        <v>UTILIZOU O PDA CORRETAMENTE</v>
      </c>
      <c r="AH194" s="160"/>
      <c r="AI194" s="303" t="s">
        <v>6</v>
      </c>
      <c r="AJ194" s="304" t="str">
        <f t="shared" ref="AJ194:AJ256" si="11">E194</f>
        <v>SÃO PAULO</v>
      </c>
      <c r="AK194" s="305" t="s">
        <v>39</v>
      </c>
    </row>
    <row r="195" spans="1:37" s="302" customFormat="1" ht="30" customHeight="1">
      <c r="A195" s="215" t="s">
        <v>198</v>
      </c>
      <c r="B195" s="215">
        <v>2692943910</v>
      </c>
      <c r="C195" s="215" t="s">
        <v>89</v>
      </c>
      <c r="D195" s="215" t="s">
        <v>78</v>
      </c>
      <c r="E195" s="215" t="s">
        <v>5</v>
      </c>
      <c r="F195" s="215" t="s">
        <v>603</v>
      </c>
      <c r="G195" s="215">
        <v>20</v>
      </c>
      <c r="H195" s="215" t="s">
        <v>318</v>
      </c>
      <c r="I195" s="215" t="s">
        <v>215</v>
      </c>
      <c r="J195" s="215" t="s">
        <v>238</v>
      </c>
      <c r="K195" s="215" t="s">
        <v>604</v>
      </c>
      <c r="L195" s="216">
        <v>46331.25</v>
      </c>
      <c r="M195" s="216">
        <v>46331.250694444447</v>
      </c>
      <c r="N195" s="215" t="s">
        <v>341</v>
      </c>
      <c r="O195" s="290" t="s">
        <v>62</v>
      </c>
      <c r="P195" s="306"/>
      <c r="Q195" s="307" t="s">
        <v>62</v>
      </c>
      <c r="R195" s="308"/>
      <c r="S195" s="307" t="s">
        <v>62</v>
      </c>
      <c r="T195" s="308"/>
      <c r="U195" s="307" t="s">
        <v>62</v>
      </c>
      <c r="V195" s="308"/>
      <c r="W195" s="307" t="s">
        <v>62</v>
      </c>
      <c r="X195" s="308"/>
      <c r="Y195" s="307" t="s">
        <v>62</v>
      </c>
      <c r="Z195" s="308"/>
      <c r="AA195" s="307" t="s">
        <v>62</v>
      </c>
      <c r="AB195" s="308"/>
      <c r="AC195" s="307" t="s">
        <v>62</v>
      </c>
      <c r="AD195" s="308"/>
      <c r="AE195" s="309" t="s">
        <v>62</v>
      </c>
      <c r="AF195" s="289" t="str">
        <f t="shared" si="9"/>
        <v>NA</v>
      </c>
      <c r="AG195" s="204" t="str">
        <f t="shared" si="10"/>
        <v>NÃO AVALIADO POR FALHA DE SINCRONISMO</v>
      </c>
      <c r="AH195" s="160"/>
      <c r="AI195" s="303" t="s">
        <v>6</v>
      </c>
      <c r="AJ195" s="304" t="str">
        <f t="shared" si="11"/>
        <v>SÃO PAULO</v>
      </c>
      <c r="AK195" s="305" t="s">
        <v>39</v>
      </c>
    </row>
    <row r="196" spans="1:37" s="302" customFormat="1" ht="30" customHeight="1">
      <c r="A196" s="215" t="s">
        <v>198</v>
      </c>
      <c r="B196" s="215">
        <v>2692974467</v>
      </c>
      <c r="C196" s="215" t="s">
        <v>99</v>
      </c>
      <c r="D196" s="215" t="s">
        <v>81</v>
      </c>
      <c r="E196" s="215" t="s">
        <v>5</v>
      </c>
      <c r="F196" s="215" t="s">
        <v>605</v>
      </c>
      <c r="G196" s="215">
        <v>2</v>
      </c>
      <c r="H196" s="215" t="s">
        <v>606</v>
      </c>
      <c r="I196" s="215" t="s">
        <v>607</v>
      </c>
      <c r="J196" s="215" t="s">
        <v>268</v>
      </c>
      <c r="K196" s="215" t="s">
        <v>608</v>
      </c>
      <c r="L196" s="216">
        <v>46331.417361111111</v>
      </c>
      <c r="M196" s="216">
        <v>46331.418055555558</v>
      </c>
      <c r="N196" s="215" t="s">
        <v>341</v>
      </c>
      <c r="O196" s="290" t="s">
        <v>62</v>
      </c>
      <c r="P196" s="310"/>
      <c r="Q196" s="311" t="s">
        <v>62</v>
      </c>
      <c r="R196" s="312"/>
      <c r="S196" s="311" t="s">
        <v>62</v>
      </c>
      <c r="T196" s="312"/>
      <c r="U196" s="311" t="s">
        <v>62</v>
      </c>
      <c r="V196" s="312"/>
      <c r="W196" s="311" t="s">
        <v>62</v>
      </c>
      <c r="X196" s="312"/>
      <c r="Y196" s="311" t="s">
        <v>62</v>
      </c>
      <c r="Z196" s="312"/>
      <c r="AA196" s="311" t="s">
        <v>62</v>
      </c>
      <c r="AB196" s="312"/>
      <c r="AC196" s="311" t="s">
        <v>62</v>
      </c>
      <c r="AD196" s="312"/>
      <c r="AE196" s="313" t="s">
        <v>62</v>
      </c>
      <c r="AF196" s="289" t="str">
        <f t="shared" si="9"/>
        <v>NA</v>
      </c>
      <c r="AG196" s="204" t="str">
        <f t="shared" si="10"/>
        <v>NÃO AVALIADO POR FALHA DE SINCRONISMO</v>
      </c>
      <c r="AH196" s="160"/>
      <c r="AI196" s="303" t="s">
        <v>6</v>
      </c>
      <c r="AJ196" s="304" t="str">
        <f t="shared" si="11"/>
        <v>SÃO PAULO</v>
      </c>
      <c r="AK196" s="305" t="s">
        <v>39</v>
      </c>
    </row>
    <row r="197" spans="1:37" s="302" customFormat="1" ht="30" customHeight="1">
      <c r="A197" s="228" t="s">
        <v>198</v>
      </c>
      <c r="B197" s="228">
        <v>2619780414</v>
      </c>
      <c r="C197" s="228" t="s">
        <v>99</v>
      </c>
      <c r="D197" s="228" t="s">
        <v>81</v>
      </c>
      <c r="E197" s="228" t="s">
        <v>5</v>
      </c>
      <c r="F197" s="228" t="s">
        <v>609</v>
      </c>
      <c r="G197" s="228">
        <v>8</v>
      </c>
      <c r="H197" s="228" t="s">
        <v>226</v>
      </c>
      <c r="I197" s="228" t="s">
        <v>346</v>
      </c>
      <c r="J197" s="228" t="s">
        <v>268</v>
      </c>
      <c r="K197" s="228"/>
      <c r="L197" s="230">
        <v>46331.754166666666</v>
      </c>
      <c r="M197" s="230">
        <v>46331.755555555559</v>
      </c>
      <c r="N197" s="228" t="s">
        <v>221</v>
      </c>
      <c r="O197" s="290" t="s">
        <v>206</v>
      </c>
      <c r="P197" s="310"/>
      <c r="Q197" s="311" t="s">
        <v>206</v>
      </c>
      <c r="R197" s="312"/>
      <c r="S197" s="311" t="s">
        <v>206</v>
      </c>
      <c r="T197" s="312"/>
      <c r="U197" s="311" t="s">
        <v>206</v>
      </c>
      <c r="V197" s="312"/>
      <c r="W197" s="311" t="s">
        <v>206</v>
      </c>
      <c r="X197" s="312"/>
      <c r="Y197" s="311" t="s">
        <v>206</v>
      </c>
      <c r="Z197" s="312"/>
      <c r="AA197" s="311" t="s">
        <v>206</v>
      </c>
      <c r="AB197" s="312"/>
      <c r="AC197" s="311" t="s">
        <v>206</v>
      </c>
      <c r="AD197" s="312"/>
      <c r="AE197" s="313" t="s">
        <v>239</v>
      </c>
      <c r="AF197" s="289" t="str">
        <f t="shared" si="9"/>
        <v>NC</v>
      </c>
      <c r="AG197" s="204" t="str">
        <f t="shared" si="10"/>
        <v>NÃO UTILIZOU O PDA</v>
      </c>
      <c r="AH197" s="160"/>
      <c r="AI197" s="303" t="s">
        <v>6</v>
      </c>
      <c r="AJ197" s="304" t="str">
        <f t="shared" si="11"/>
        <v>SÃO PAULO</v>
      </c>
      <c r="AK197" s="305" t="s">
        <v>39</v>
      </c>
    </row>
    <row r="198" spans="1:37" s="302" customFormat="1" ht="30" customHeight="1">
      <c r="A198" s="215" t="s">
        <v>198</v>
      </c>
      <c r="B198" s="215">
        <v>2618635330</v>
      </c>
      <c r="C198" s="215" t="s">
        <v>444</v>
      </c>
      <c r="D198" s="215" t="s">
        <v>80</v>
      </c>
      <c r="E198" s="215" t="s">
        <v>5</v>
      </c>
      <c r="F198" s="215" t="s">
        <v>610</v>
      </c>
      <c r="G198" s="215">
        <v>326</v>
      </c>
      <c r="H198" s="215" t="s">
        <v>387</v>
      </c>
      <c r="I198" s="215" t="s">
        <v>237</v>
      </c>
      <c r="J198" s="215" t="s">
        <v>445</v>
      </c>
      <c r="K198" s="215"/>
      <c r="L198" s="216">
        <v>46361.370138888888</v>
      </c>
      <c r="M198" s="216">
        <v>46361.370833333334</v>
      </c>
      <c r="N198" s="215" t="s">
        <v>217</v>
      </c>
      <c r="O198" s="290" t="s">
        <v>205</v>
      </c>
      <c r="P198" s="288"/>
      <c r="Q198" s="285" t="s">
        <v>205</v>
      </c>
      <c r="R198" s="288"/>
      <c r="S198" s="285" t="s">
        <v>205</v>
      </c>
      <c r="T198" s="288"/>
      <c r="U198" s="285" t="s">
        <v>62</v>
      </c>
      <c r="V198" s="288"/>
      <c r="W198" s="285" t="s">
        <v>62</v>
      </c>
      <c r="X198" s="288"/>
      <c r="Y198" s="285" t="s">
        <v>62</v>
      </c>
      <c r="Z198" s="288"/>
      <c r="AA198" s="285" t="s">
        <v>206</v>
      </c>
      <c r="AB198" s="288"/>
      <c r="AC198" s="285" t="s">
        <v>205</v>
      </c>
      <c r="AD198" s="288"/>
      <c r="AE198" s="286" t="s">
        <v>205</v>
      </c>
      <c r="AF198" s="289" t="s">
        <v>239</v>
      </c>
      <c r="AG198" s="204" t="s">
        <v>611</v>
      </c>
      <c r="AH198" s="160" t="s">
        <v>205</v>
      </c>
      <c r="AI198" s="292" t="s">
        <v>6</v>
      </c>
      <c r="AJ198" s="293" t="str">
        <f t="shared" si="11"/>
        <v>SÃO PAULO</v>
      </c>
      <c r="AK198" s="294" t="s">
        <v>39</v>
      </c>
    </row>
    <row r="199" spans="1:37" s="302" customFormat="1" ht="30" customHeight="1">
      <c r="A199" s="215" t="s">
        <v>198</v>
      </c>
      <c r="B199" s="215">
        <v>2619866028</v>
      </c>
      <c r="C199" s="215" t="s">
        <v>107</v>
      </c>
      <c r="D199" s="215" t="s">
        <v>81</v>
      </c>
      <c r="E199" s="215" t="s">
        <v>5</v>
      </c>
      <c r="F199" s="215" t="s">
        <v>612</v>
      </c>
      <c r="G199" s="215">
        <v>226</v>
      </c>
      <c r="H199" s="215" t="s">
        <v>226</v>
      </c>
      <c r="I199" s="215" t="s">
        <v>613</v>
      </c>
      <c r="J199" s="215" t="s">
        <v>322</v>
      </c>
      <c r="K199" s="215" t="s">
        <v>200</v>
      </c>
      <c r="L199" s="216">
        <v>46361.386805555558</v>
      </c>
      <c r="M199" s="216">
        <v>46361.429166666669</v>
      </c>
      <c r="N199" s="215" t="s">
        <v>221</v>
      </c>
      <c r="O199" s="290" t="s">
        <v>205</v>
      </c>
      <c r="P199" s="288"/>
      <c r="Q199" s="285" t="s">
        <v>205</v>
      </c>
      <c r="R199" s="288"/>
      <c r="S199" s="285" t="s">
        <v>205</v>
      </c>
      <c r="T199" s="288"/>
      <c r="U199" s="285" t="s">
        <v>205</v>
      </c>
      <c r="V199" s="288"/>
      <c r="W199" s="285" t="s">
        <v>205</v>
      </c>
      <c r="X199" s="288"/>
      <c r="Y199" s="285" t="s">
        <v>62</v>
      </c>
      <c r="Z199" s="288"/>
      <c r="AA199" s="285" t="s">
        <v>205</v>
      </c>
      <c r="AB199" s="288"/>
      <c r="AC199" s="285" t="s">
        <v>205</v>
      </c>
      <c r="AD199" s="288"/>
      <c r="AE199" s="286" t="s">
        <v>205</v>
      </c>
      <c r="AF199" s="289" t="s">
        <v>205</v>
      </c>
      <c r="AG199" s="291" t="str">
        <f t="shared" si="10"/>
        <v>UTILIZOU O PDA CORRETAMENTE</v>
      </c>
      <c r="AH199" s="160" t="s">
        <v>205</v>
      </c>
      <c r="AI199" s="292" t="s">
        <v>6</v>
      </c>
      <c r="AJ199" s="293" t="str">
        <f t="shared" si="11"/>
        <v>SÃO PAULO</v>
      </c>
      <c r="AK199" s="294" t="s">
        <v>39</v>
      </c>
    </row>
    <row r="200" spans="1:37" s="302" customFormat="1" ht="30" customHeight="1">
      <c r="A200" s="215" t="s">
        <v>198</v>
      </c>
      <c r="B200" s="215">
        <v>2619808466</v>
      </c>
      <c r="C200" s="215" t="s">
        <v>106</v>
      </c>
      <c r="D200" s="215" t="s">
        <v>81</v>
      </c>
      <c r="E200" s="215" t="s">
        <v>5</v>
      </c>
      <c r="F200" s="215" t="s">
        <v>614</v>
      </c>
      <c r="G200" s="215">
        <v>88</v>
      </c>
      <c r="H200" s="215"/>
      <c r="I200" s="215" t="s">
        <v>372</v>
      </c>
      <c r="J200" s="215" t="s">
        <v>228</v>
      </c>
      <c r="K200" s="215" t="s">
        <v>615</v>
      </c>
      <c r="L200" s="216">
        <v>46361.615972222222</v>
      </c>
      <c r="M200" s="216">
        <v>46361.62777777778</v>
      </c>
      <c r="N200" s="215" t="s">
        <v>326</v>
      </c>
      <c r="O200" s="290" t="s">
        <v>205</v>
      </c>
      <c r="P200" s="288"/>
      <c r="Q200" s="285" t="s">
        <v>205</v>
      </c>
      <c r="R200" s="288"/>
      <c r="S200" s="285" t="s">
        <v>205</v>
      </c>
      <c r="T200" s="288"/>
      <c r="U200" s="285" t="s">
        <v>205</v>
      </c>
      <c r="V200" s="288"/>
      <c r="W200" s="285" t="s">
        <v>205</v>
      </c>
      <c r="X200" s="288"/>
      <c r="Y200" s="285" t="s">
        <v>62</v>
      </c>
      <c r="Z200" s="288"/>
      <c r="AA200" s="285" t="s">
        <v>205</v>
      </c>
      <c r="AB200" s="288"/>
      <c r="AC200" s="285" t="s">
        <v>205</v>
      </c>
      <c r="AD200" s="288"/>
      <c r="AE200" s="286" t="s">
        <v>205</v>
      </c>
      <c r="AF200" s="289" t="s">
        <v>205</v>
      </c>
      <c r="AG200" s="291" t="str">
        <f t="shared" si="10"/>
        <v>UTILIZOU O PDA CORRETAMENTE</v>
      </c>
      <c r="AH200" s="160"/>
      <c r="AI200" s="292" t="s">
        <v>6</v>
      </c>
      <c r="AJ200" s="293" t="str">
        <f t="shared" si="11"/>
        <v>SÃO PAULO</v>
      </c>
      <c r="AK200" s="294" t="s">
        <v>39</v>
      </c>
    </row>
    <row r="201" spans="1:37" s="302" customFormat="1" ht="30" customHeight="1">
      <c r="A201" s="215" t="s">
        <v>198</v>
      </c>
      <c r="B201" s="215">
        <v>2619844074</v>
      </c>
      <c r="C201" s="215" t="s">
        <v>103</v>
      </c>
      <c r="D201" s="215" t="s">
        <v>81</v>
      </c>
      <c r="E201" s="215" t="s">
        <v>5</v>
      </c>
      <c r="F201" s="215" t="s">
        <v>616</v>
      </c>
      <c r="G201" s="215">
        <v>229</v>
      </c>
      <c r="H201" s="215" t="s">
        <v>226</v>
      </c>
      <c r="I201" s="215" t="s">
        <v>565</v>
      </c>
      <c r="J201" s="215" t="s">
        <v>322</v>
      </c>
      <c r="K201" s="215" t="s">
        <v>200</v>
      </c>
      <c r="L201" s="216">
        <v>46361.25</v>
      </c>
      <c r="M201" s="216">
        <v>46361.250694444447</v>
      </c>
      <c r="N201" s="215" t="s">
        <v>310</v>
      </c>
      <c r="O201" s="290" t="s">
        <v>205</v>
      </c>
      <c r="P201" s="288"/>
      <c r="Q201" s="285" t="s">
        <v>205</v>
      </c>
      <c r="R201" s="288"/>
      <c r="S201" s="285" t="s">
        <v>205</v>
      </c>
      <c r="T201" s="288"/>
      <c r="U201" s="284" t="s">
        <v>205</v>
      </c>
      <c r="V201" s="288"/>
      <c r="W201" s="288" t="s">
        <v>205</v>
      </c>
      <c r="X201" s="288"/>
      <c r="Y201" s="284" t="s">
        <v>62</v>
      </c>
      <c r="Z201" s="284"/>
      <c r="AA201" s="284" t="s">
        <v>205</v>
      </c>
      <c r="AB201" s="288"/>
      <c r="AC201" s="284" t="s">
        <v>205</v>
      </c>
      <c r="AD201" s="288"/>
      <c r="AE201" s="287" t="s">
        <v>205</v>
      </c>
      <c r="AF201" s="289" t="s">
        <v>205</v>
      </c>
      <c r="AG201" s="291" t="str">
        <f t="shared" si="10"/>
        <v>UTILIZOU O PDA CORRETAMENTE</v>
      </c>
      <c r="AH201" s="160" t="s">
        <v>205</v>
      </c>
      <c r="AI201" s="292" t="s">
        <v>6</v>
      </c>
      <c r="AJ201" s="293" t="str">
        <f t="shared" si="11"/>
        <v>SÃO PAULO</v>
      </c>
      <c r="AK201" s="294" t="s">
        <v>39</v>
      </c>
    </row>
    <row r="202" spans="1:37" s="302" customFormat="1" ht="30" customHeight="1">
      <c r="A202" s="215" t="s">
        <v>198</v>
      </c>
      <c r="B202" s="215">
        <v>2693053410</v>
      </c>
      <c r="C202" s="215" t="s">
        <v>107</v>
      </c>
      <c r="D202" s="215" t="s">
        <v>81</v>
      </c>
      <c r="E202" s="215" t="s">
        <v>5</v>
      </c>
      <c r="F202" s="215" t="s">
        <v>617</v>
      </c>
      <c r="G202" s="215">
        <v>343</v>
      </c>
      <c r="H202" s="215"/>
      <c r="I202" s="215" t="s">
        <v>419</v>
      </c>
      <c r="J202" s="215" t="s">
        <v>322</v>
      </c>
      <c r="K202" s="215" t="s">
        <v>618</v>
      </c>
      <c r="L202" s="216">
        <v>46361.430555555555</v>
      </c>
      <c r="M202" s="216">
        <v>46361.432638888888</v>
      </c>
      <c r="N202" s="215" t="s">
        <v>341</v>
      </c>
      <c r="O202" s="290" t="s">
        <v>205</v>
      </c>
      <c r="P202" s="284"/>
      <c r="Q202" s="285" t="s">
        <v>205</v>
      </c>
      <c r="R202" s="284"/>
      <c r="S202" s="285" t="s">
        <v>205</v>
      </c>
      <c r="T202" s="284"/>
      <c r="U202" s="284" t="s">
        <v>205</v>
      </c>
      <c r="V202" s="284"/>
      <c r="W202" s="284" t="s">
        <v>205</v>
      </c>
      <c r="X202" s="284"/>
      <c r="Y202" s="284" t="s">
        <v>62</v>
      </c>
      <c r="Z202" s="284"/>
      <c r="AA202" s="284" t="s">
        <v>205</v>
      </c>
      <c r="AB202" s="284"/>
      <c r="AC202" s="284" t="s">
        <v>205</v>
      </c>
      <c r="AD202" s="284"/>
      <c r="AE202" s="287" t="s">
        <v>205</v>
      </c>
      <c r="AF202" s="289" t="s">
        <v>205</v>
      </c>
      <c r="AG202" s="291" t="str">
        <f t="shared" si="10"/>
        <v>UTILIZOU O PDA CORRETAMENTE</v>
      </c>
      <c r="AH202" s="160" t="s">
        <v>205</v>
      </c>
      <c r="AI202" s="292" t="s">
        <v>6</v>
      </c>
      <c r="AJ202" s="293" t="str">
        <f t="shared" si="11"/>
        <v>SÃO PAULO</v>
      </c>
      <c r="AK202" s="294" t="s">
        <v>39</v>
      </c>
    </row>
    <row r="203" spans="1:37" s="302" customFormat="1" ht="30" customHeight="1">
      <c r="A203" s="215" t="s">
        <v>198</v>
      </c>
      <c r="B203" s="215">
        <v>2619831939</v>
      </c>
      <c r="C203" s="215" t="s">
        <v>331</v>
      </c>
      <c r="D203" s="215" t="s">
        <v>79</v>
      </c>
      <c r="E203" s="215" t="s">
        <v>5</v>
      </c>
      <c r="F203" s="215" t="s">
        <v>585</v>
      </c>
      <c r="G203" s="215">
        <v>13</v>
      </c>
      <c r="H203" s="215" t="s">
        <v>318</v>
      </c>
      <c r="I203" s="215" t="s">
        <v>215</v>
      </c>
      <c r="J203" s="215" t="s">
        <v>334</v>
      </c>
      <c r="K203" s="215" t="s">
        <v>619</v>
      </c>
      <c r="L203" s="216">
        <v>46361.595833333333</v>
      </c>
      <c r="M203" s="216">
        <v>46361.82916666667</v>
      </c>
      <c r="N203" s="215" t="s">
        <v>230</v>
      </c>
      <c r="O203" s="290" t="s">
        <v>205</v>
      </c>
      <c r="P203" s="288"/>
      <c r="Q203" s="285" t="s">
        <v>205</v>
      </c>
      <c r="R203" s="288"/>
      <c r="S203" s="285" t="s">
        <v>205</v>
      </c>
      <c r="T203" s="288"/>
      <c r="U203" s="285" t="s">
        <v>205</v>
      </c>
      <c r="V203" s="288"/>
      <c r="W203" s="285" t="s">
        <v>205</v>
      </c>
      <c r="X203" s="288"/>
      <c r="Y203" s="285" t="s">
        <v>205</v>
      </c>
      <c r="Z203" s="288"/>
      <c r="AA203" s="285" t="s">
        <v>205</v>
      </c>
      <c r="AB203" s="288"/>
      <c r="AC203" s="285" t="s">
        <v>205</v>
      </c>
      <c r="AD203" s="288"/>
      <c r="AE203" s="286" t="s">
        <v>205</v>
      </c>
      <c r="AF203" s="289" t="s">
        <v>205</v>
      </c>
      <c r="AG203" s="291" t="str">
        <f t="shared" si="10"/>
        <v>UTILIZOU O PDA CORRETAMENTE</v>
      </c>
      <c r="AH203" s="160" t="s">
        <v>205</v>
      </c>
      <c r="AI203" s="292" t="s">
        <v>6</v>
      </c>
      <c r="AJ203" s="293" t="str">
        <f t="shared" si="11"/>
        <v>SÃO PAULO</v>
      </c>
      <c r="AK203" s="294" t="s">
        <v>39</v>
      </c>
    </row>
    <row r="204" spans="1:37" s="302" customFormat="1" ht="30" customHeight="1">
      <c r="A204" s="215" t="s">
        <v>198</v>
      </c>
      <c r="B204" s="215">
        <v>2619832294</v>
      </c>
      <c r="C204" s="215" t="s">
        <v>331</v>
      </c>
      <c r="D204" s="215" t="s">
        <v>79</v>
      </c>
      <c r="E204" s="215" t="s">
        <v>5</v>
      </c>
      <c r="F204" s="215" t="s">
        <v>585</v>
      </c>
      <c r="G204" s="215">
        <v>17</v>
      </c>
      <c r="H204" s="215" t="s">
        <v>226</v>
      </c>
      <c r="I204" s="215" t="s">
        <v>620</v>
      </c>
      <c r="J204" s="215" t="s">
        <v>334</v>
      </c>
      <c r="K204" s="215" t="s">
        <v>621</v>
      </c>
      <c r="L204" s="216">
        <v>46361.853472222225</v>
      </c>
      <c r="M204" s="216">
        <v>46361.854861111111</v>
      </c>
      <c r="N204" s="215" t="s">
        <v>230</v>
      </c>
      <c r="O204" s="290" t="s">
        <v>205</v>
      </c>
      <c r="P204" s="288"/>
      <c r="Q204" s="285" t="s">
        <v>205</v>
      </c>
      <c r="R204" s="288"/>
      <c r="S204" s="285" t="s">
        <v>205</v>
      </c>
      <c r="T204" s="288"/>
      <c r="U204" s="285" t="s">
        <v>205</v>
      </c>
      <c r="V204" s="288"/>
      <c r="W204" s="285" t="s">
        <v>205</v>
      </c>
      <c r="X204" s="288"/>
      <c r="Y204" s="285" t="s">
        <v>205</v>
      </c>
      <c r="Z204" s="288"/>
      <c r="AA204" s="285" t="s">
        <v>205</v>
      </c>
      <c r="AB204" s="288"/>
      <c r="AC204" s="285" t="s">
        <v>205</v>
      </c>
      <c r="AD204" s="288"/>
      <c r="AE204" s="286" t="s">
        <v>205</v>
      </c>
      <c r="AF204" s="289" t="s">
        <v>205</v>
      </c>
      <c r="AG204" s="291" t="str">
        <f t="shared" si="10"/>
        <v>UTILIZOU O PDA CORRETAMENTE</v>
      </c>
      <c r="AH204" s="160" t="s">
        <v>205</v>
      </c>
      <c r="AI204" s="292" t="s">
        <v>6</v>
      </c>
      <c r="AJ204" s="293" t="str">
        <f t="shared" si="11"/>
        <v>SÃO PAULO</v>
      </c>
      <c r="AK204" s="294" t="s">
        <v>39</v>
      </c>
    </row>
    <row r="205" spans="1:37" s="302" customFormat="1" ht="30" customHeight="1">
      <c r="A205" s="215" t="s">
        <v>198</v>
      </c>
      <c r="B205" s="215">
        <v>2619827493</v>
      </c>
      <c r="C205" s="215" t="s">
        <v>314</v>
      </c>
      <c r="D205" s="215" t="s">
        <v>77</v>
      </c>
      <c r="E205" s="215" t="s">
        <v>5</v>
      </c>
      <c r="F205" s="215" t="s">
        <v>622</v>
      </c>
      <c r="G205" s="215">
        <v>62</v>
      </c>
      <c r="H205" s="215" t="s">
        <v>226</v>
      </c>
      <c r="I205" s="215" t="s">
        <v>257</v>
      </c>
      <c r="J205" s="215" t="s">
        <v>317</v>
      </c>
      <c r="K205" s="215" t="s">
        <v>200</v>
      </c>
      <c r="L205" s="216">
        <v>46361.45416666667</v>
      </c>
      <c r="M205" s="216">
        <v>46361.504861111112</v>
      </c>
      <c r="N205" s="215" t="s">
        <v>235</v>
      </c>
      <c r="O205" s="290" t="s">
        <v>205</v>
      </c>
      <c r="P205" s="288"/>
      <c r="Q205" s="285" t="s">
        <v>205</v>
      </c>
      <c r="R205" s="285"/>
      <c r="S205" s="285" t="s">
        <v>205</v>
      </c>
      <c r="T205" s="288"/>
      <c r="U205" s="285" t="s">
        <v>205</v>
      </c>
      <c r="V205" s="285"/>
      <c r="W205" s="285" t="s">
        <v>205</v>
      </c>
      <c r="X205" s="288"/>
      <c r="Y205" s="285" t="s">
        <v>205</v>
      </c>
      <c r="Z205" s="288"/>
      <c r="AA205" s="285" t="s">
        <v>205</v>
      </c>
      <c r="AB205" s="288"/>
      <c r="AC205" s="284" t="s">
        <v>205</v>
      </c>
      <c r="AD205" s="288"/>
      <c r="AE205" s="287" t="s">
        <v>205</v>
      </c>
      <c r="AF205" s="289" t="s">
        <v>205</v>
      </c>
      <c r="AG205" s="291" t="str">
        <f t="shared" si="10"/>
        <v>UTILIZOU O PDA CORRETAMENTE</v>
      </c>
      <c r="AH205" s="160" t="s">
        <v>205</v>
      </c>
      <c r="AI205" s="292" t="s">
        <v>6</v>
      </c>
      <c r="AJ205" s="293" t="str">
        <f t="shared" si="11"/>
        <v>SÃO PAULO</v>
      </c>
      <c r="AK205" s="294" t="s">
        <v>39</v>
      </c>
    </row>
    <row r="206" spans="1:37" s="302" customFormat="1" ht="30" customHeight="1">
      <c r="A206" s="215" t="s">
        <v>198</v>
      </c>
      <c r="B206" s="215">
        <v>2619827552</v>
      </c>
      <c r="C206" s="215" t="s">
        <v>314</v>
      </c>
      <c r="D206" s="215" t="s">
        <v>77</v>
      </c>
      <c r="E206" s="215" t="s">
        <v>5</v>
      </c>
      <c r="F206" s="215" t="s">
        <v>622</v>
      </c>
      <c r="G206" s="215">
        <v>62</v>
      </c>
      <c r="H206" s="215" t="s">
        <v>318</v>
      </c>
      <c r="I206" s="215" t="s">
        <v>257</v>
      </c>
      <c r="J206" s="215" t="s">
        <v>317</v>
      </c>
      <c r="K206" s="215"/>
      <c r="L206" s="216">
        <v>46361.507638888892</v>
      </c>
      <c r="M206" s="216">
        <v>46361.509027777778</v>
      </c>
      <c r="N206" s="215" t="s">
        <v>235</v>
      </c>
      <c r="O206" s="290" t="s">
        <v>205</v>
      </c>
      <c r="P206" s="288"/>
      <c r="Q206" s="285" t="s">
        <v>205</v>
      </c>
      <c r="R206" s="288"/>
      <c r="S206" s="285" t="s">
        <v>205</v>
      </c>
      <c r="T206" s="288"/>
      <c r="U206" s="285" t="s">
        <v>205</v>
      </c>
      <c r="V206" s="288"/>
      <c r="W206" s="285" t="s">
        <v>205</v>
      </c>
      <c r="X206" s="288"/>
      <c r="Y206" s="285" t="s">
        <v>205</v>
      </c>
      <c r="Z206" s="288"/>
      <c r="AA206" s="285" t="s">
        <v>205</v>
      </c>
      <c r="AB206" s="288"/>
      <c r="AC206" s="285" t="s">
        <v>205</v>
      </c>
      <c r="AD206" s="288"/>
      <c r="AE206" s="286" t="s">
        <v>205</v>
      </c>
      <c r="AF206" s="289" t="s">
        <v>205</v>
      </c>
      <c r="AG206" s="291" t="str">
        <f t="shared" si="10"/>
        <v>UTILIZOU O PDA CORRETAMENTE</v>
      </c>
      <c r="AH206" s="160" t="s">
        <v>205</v>
      </c>
      <c r="AI206" s="292" t="s">
        <v>6</v>
      </c>
      <c r="AJ206" s="293" t="str">
        <f t="shared" si="11"/>
        <v>SÃO PAULO</v>
      </c>
      <c r="AK206" s="294" t="s">
        <v>39</v>
      </c>
    </row>
    <row r="207" spans="1:37" s="302" customFormat="1" ht="30" customHeight="1">
      <c r="A207" s="215" t="s">
        <v>198</v>
      </c>
      <c r="B207" s="215">
        <v>2619844185</v>
      </c>
      <c r="C207" s="215" t="s">
        <v>314</v>
      </c>
      <c r="D207" s="215" t="s">
        <v>77</v>
      </c>
      <c r="E207" s="215" t="s">
        <v>5</v>
      </c>
      <c r="F207" s="215" t="s">
        <v>623</v>
      </c>
      <c r="G207" s="215">
        <v>163</v>
      </c>
      <c r="H207" s="215" t="s">
        <v>481</v>
      </c>
      <c r="I207" s="215" t="s">
        <v>624</v>
      </c>
      <c r="J207" s="215" t="s">
        <v>317</v>
      </c>
      <c r="K207" s="215" t="s">
        <v>200</v>
      </c>
      <c r="L207" s="216">
        <v>46361.727083333331</v>
      </c>
      <c r="M207" s="216">
        <v>46361.728472222225</v>
      </c>
      <c r="N207" s="215" t="s">
        <v>235</v>
      </c>
      <c r="O207" s="290" t="s">
        <v>205</v>
      </c>
      <c r="P207" s="288"/>
      <c r="Q207" s="285" t="s">
        <v>205</v>
      </c>
      <c r="R207" s="285"/>
      <c r="S207" s="285" t="s">
        <v>205</v>
      </c>
      <c r="T207" s="288"/>
      <c r="U207" s="285" t="s">
        <v>205</v>
      </c>
      <c r="V207" s="288"/>
      <c r="W207" s="285" t="s">
        <v>205</v>
      </c>
      <c r="X207" s="288"/>
      <c r="Y207" s="284" t="s">
        <v>205</v>
      </c>
      <c r="Z207" s="288"/>
      <c r="AA207" s="284" t="s">
        <v>205</v>
      </c>
      <c r="AB207" s="288"/>
      <c r="AC207" s="284" t="s">
        <v>205</v>
      </c>
      <c r="AD207" s="288"/>
      <c r="AE207" s="287" t="s">
        <v>205</v>
      </c>
      <c r="AF207" s="289" t="s">
        <v>205</v>
      </c>
      <c r="AG207" s="291" t="str">
        <f t="shared" si="10"/>
        <v>UTILIZOU O PDA CORRETAMENTE</v>
      </c>
      <c r="AH207" s="160" t="s">
        <v>205</v>
      </c>
      <c r="AI207" s="292" t="s">
        <v>6</v>
      </c>
      <c r="AJ207" s="293" t="str">
        <f t="shared" si="11"/>
        <v>SÃO PAULO</v>
      </c>
      <c r="AK207" s="294" t="s">
        <v>39</v>
      </c>
    </row>
    <row r="208" spans="1:37" s="302" customFormat="1" ht="30" customHeight="1">
      <c r="A208" s="215" t="s">
        <v>198</v>
      </c>
      <c r="B208" s="215">
        <v>2619844186</v>
      </c>
      <c r="C208" s="215" t="s">
        <v>314</v>
      </c>
      <c r="D208" s="215" t="s">
        <v>77</v>
      </c>
      <c r="E208" s="215" t="s">
        <v>5</v>
      </c>
      <c r="F208" s="215" t="s">
        <v>623</v>
      </c>
      <c r="G208" s="215">
        <v>163</v>
      </c>
      <c r="H208" s="215" t="s">
        <v>363</v>
      </c>
      <c r="I208" s="215" t="s">
        <v>624</v>
      </c>
      <c r="J208" s="215" t="s">
        <v>317</v>
      </c>
      <c r="K208" s="215"/>
      <c r="L208" s="216">
        <v>46361.73333333333</v>
      </c>
      <c r="M208" s="216">
        <v>46361.734027777777</v>
      </c>
      <c r="N208" s="215" t="s">
        <v>235</v>
      </c>
      <c r="O208" s="290" t="s">
        <v>205</v>
      </c>
      <c r="P208" s="288"/>
      <c r="Q208" s="285" t="s">
        <v>205</v>
      </c>
      <c r="R208" s="288"/>
      <c r="S208" s="285" t="s">
        <v>205</v>
      </c>
      <c r="T208" s="288"/>
      <c r="U208" s="285" t="s">
        <v>205</v>
      </c>
      <c r="V208" s="288"/>
      <c r="W208" s="285" t="s">
        <v>205</v>
      </c>
      <c r="X208" s="288"/>
      <c r="Y208" s="285" t="s">
        <v>205</v>
      </c>
      <c r="Z208" s="288"/>
      <c r="AA208" s="285" t="s">
        <v>205</v>
      </c>
      <c r="AB208" s="288"/>
      <c r="AC208" s="285" t="s">
        <v>205</v>
      </c>
      <c r="AD208" s="288"/>
      <c r="AE208" s="286" t="s">
        <v>205</v>
      </c>
      <c r="AF208" s="289" t="s">
        <v>205</v>
      </c>
      <c r="AG208" s="291" t="str">
        <f t="shared" si="10"/>
        <v>UTILIZOU O PDA CORRETAMENTE</v>
      </c>
      <c r="AH208" s="160" t="s">
        <v>205</v>
      </c>
      <c r="AI208" s="292" t="s">
        <v>6</v>
      </c>
      <c r="AJ208" s="293" t="str">
        <f t="shared" si="11"/>
        <v>SÃO PAULO</v>
      </c>
      <c r="AK208" s="294" t="s">
        <v>39</v>
      </c>
    </row>
    <row r="209" spans="1:37" s="302" customFormat="1" ht="30" customHeight="1">
      <c r="A209" s="215" t="s">
        <v>198</v>
      </c>
      <c r="B209" s="215">
        <v>2619844182</v>
      </c>
      <c r="C209" s="215" t="s">
        <v>314</v>
      </c>
      <c r="D209" s="215" t="s">
        <v>77</v>
      </c>
      <c r="E209" s="215" t="s">
        <v>5</v>
      </c>
      <c r="F209" s="215" t="s">
        <v>623</v>
      </c>
      <c r="G209" s="215">
        <v>163</v>
      </c>
      <c r="H209" s="215" t="s">
        <v>226</v>
      </c>
      <c r="I209" s="215" t="s">
        <v>624</v>
      </c>
      <c r="J209" s="215" t="s">
        <v>317</v>
      </c>
      <c r="K209" s="215" t="s">
        <v>200</v>
      </c>
      <c r="L209" s="216">
        <v>46361.736805555556</v>
      </c>
      <c r="M209" s="216">
        <v>46361.745833333334</v>
      </c>
      <c r="N209" s="215" t="s">
        <v>235</v>
      </c>
      <c r="O209" s="290" t="s">
        <v>205</v>
      </c>
      <c r="P209" s="288"/>
      <c r="Q209" s="285" t="s">
        <v>205</v>
      </c>
      <c r="R209" s="288"/>
      <c r="S209" s="285" t="s">
        <v>205</v>
      </c>
      <c r="T209" s="288"/>
      <c r="U209" s="284" t="s">
        <v>205</v>
      </c>
      <c r="V209" s="288"/>
      <c r="W209" s="284" t="s">
        <v>205</v>
      </c>
      <c r="X209" s="288"/>
      <c r="Y209" s="284" t="s">
        <v>205</v>
      </c>
      <c r="Z209" s="288"/>
      <c r="AA209" s="284" t="s">
        <v>205</v>
      </c>
      <c r="AB209" s="288"/>
      <c r="AC209" s="284" t="s">
        <v>205</v>
      </c>
      <c r="AD209" s="288"/>
      <c r="AE209" s="287" t="s">
        <v>205</v>
      </c>
      <c r="AF209" s="289" t="s">
        <v>205</v>
      </c>
      <c r="AG209" s="291" t="str">
        <f t="shared" si="10"/>
        <v>UTILIZOU O PDA CORRETAMENTE</v>
      </c>
      <c r="AH209" s="160" t="s">
        <v>205</v>
      </c>
      <c r="AI209" s="292" t="s">
        <v>6</v>
      </c>
      <c r="AJ209" s="293" t="str">
        <f t="shared" si="11"/>
        <v>SÃO PAULO</v>
      </c>
      <c r="AK209" s="294" t="s">
        <v>39</v>
      </c>
    </row>
    <row r="210" spans="1:37" s="302" customFormat="1" ht="30" customHeight="1">
      <c r="A210" s="215" t="s">
        <v>198</v>
      </c>
      <c r="B210" s="215">
        <v>2619844184</v>
      </c>
      <c r="C210" s="215" t="s">
        <v>314</v>
      </c>
      <c r="D210" s="215" t="s">
        <v>77</v>
      </c>
      <c r="E210" s="215" t="s">
        <v>5</v>
      </c>
      <c r="F210" s="215" t="s">
        <v>623</v>
      </c>
      <c r="G210" s="215">
        <v>163</v>
      </c>
      <c r="H210" s="215" t="s">
        <v>318</v>
      </c>
      <c r="I210" s="215" t="s">
        <v>624</v>
      </c>
      <c r="J210" s="215" t="s">
        <v>317</v>
      </c>
      <c r="K210" s="215"/>
      <c r="L210" s="216">
        <v>46361.724305555559</v>
      </c>
      <c r="M210" s="216">
        <v>46361.726388888892</v>
      </c>
      <c r="N210" s="215" t="s">
        <v>235</v>
      </c>
      <c r="O210" s="290" t="s">
        <v>205</v>
      </c>
      <c r="P210" s="288"/>
      <c r="Q210" s="285" t="s">
        <v>205</v>
      </c>
      <c r="R210" s="288"/>
      <c r="S210" s="285" t="s">
        <v>205</v>
      </c>
      <c r="T210" s="288"/>
      <c r="U210" s="285" t="s">
        <v>205</v>
      </c>
      <c r="V210" s="288"/>
      <c r="W210" s="285" t="s">
        <v>205</v>
      </c>
      <c r="X210" s="288"/>
      <c r="Y210" s="285" t="s">
        <v>205</v>
      </c>
      <c r="Z210" s="288"/>
      <c r="AA210" s="285" t="s">
        <v>205</v>
      </c>
      <c r="AB210" s="288"/>
      <c r="AC210" s="285" t="s">
        <v>205</v>
      </c>
      <c r="AD210" s="288"/>
      <c r="AE210" s="286" t="s">
        <v>205</v>
      </c>
      <c r="AF210" s="289" t="s">
        <v>205</v>
      </c>
      <c r="AG210" s="291" t="str">
        <f t="shared" si="10"/>
        <v>UTILIZOU O PDA CORRETAMENTE</v>
      </c>
      <c r="AH210" s="160" t="s">
        <v>205</v>
      </c>
      <c r="AI210" s="292" t="s">
        <v>6</v>
      </c>
      <c r="AJ210" s="293" t="str">
        <f t="shared" si="11"/>
        <v>SÃO PAULO</v>
      </c>
      <c r="AK210" s="294" t="s">
        <v>39</v>
      </c>
    </row>
    <row r="211" spans="1:37" s="302" customFormat="1" ht="30" customHeight="1">
      <c r="A211" s="215" t="s">
        <v>198</v>
      </c>
      <c r="B211" s="215">
        <v>2619939250</v>
      </c>
      <c r="C211" s="215" t="s">
        <v>101</v>
      </c>
      <c r="D211" s="215" t="s">
        <v>79</v>
      </c>
      <c r="E211" s="215" t="s">
        <v>5</v>
      </c>
      <c r="F211" s="215" t="s">
        <v>625</v>
      </c>
      <c r="G211" s="215">
        <v>501</v>
      </c>
      <c r="H211" s="215" t="s">
        <v>200</v>
      </c>
      <c r="I211" s="215" t="s">
        <v>626</v>
      </c>
      <c r="J211" s="215" t="s">
        <v>233</v>
      </c>
      <c r="K211" s="215" t="s">
        <v>627</v>
      </c>
      <c r="L211" s="216">
        <v>46361.418055555558</v>
      </c>
      <c r="M211" s="216">
        <v>46361.480555555558</v>
      </c>
      <c r="N211" s="215" t="s">
        <v>230</v>
      </c>
      <c r="O211" s="290" t="s">
        <v>205</v>
      </c>
      <c r="P211" s="288"/>
      <c r="Q211" s="285" t="s">
        <v>205</v>
      </c>
      <c r="R211" s="288"/>
      <c r="S211" s="285" t="s">
        <v>205</v>
      </c>
      <c r="T211" s="288"/>
      <c r="U211" s="285" t="s">
        <v>205</v>
      </c>
      <c r="V211" s="288"/>
      <c r="W211" s="285" t="s">
        <v>205</v>
      </c>
      <c r="X211" s="288"/>
      <c r="Y211" s="285" t="s">
        <v>205</v>
      </c>
      <c r="Z211" s="288"/>
      <c r="AA211" s="285" t="s">
        <v>205</v>
      </c>
      <c r="AB211" s="288"/>
      <c r="AC211" s="285" t="s">
        <v>205</v>
      </c>
      <c r="AD211" s="288"/>
      <c r="AE211" s="286" t="s">
        <v>205</v>
      </c>
      <c r="AF211" s="289" t="s">
        <v>205</v>
      </c>
      <c r="AG211" s="291" t="str">
        <f t="shared" si="10"/>
        <v>UTILIZOU O PDA CORRETAMENTE</v>
      </c>
      <c r="AH211" s="160" t="s">
        <v>205</v>
      </c>
      <c r="AI211" s="292" t="s">
        <v>6</v>
      </c>
      <c r="AJ211" s="293" t="str">
        <f t="shared" si="11"/>
        <v>SÃO PAULO</v>
      </c>
      <c r="AK211" s="294" t="s">
        <v>39</v>
      </c>
    </row>
    <row r="212" spans="1:37" s="302" customFormat="1" ht="30" customHeight="1">
      <c r="A212" s="215" t="s">
        <v>198</v>
      </c>
      <c r="B212" s="215">
        <v>2693067195</v>
      </c>
      <c r="C212" s="215" t="s">
        <v>103</v>
      </c>
      <c r="D212" s="215" t="s">
        <v>81</v>
      </c>
      <c r="E212" s="215" t="s">
        <v>5</v>
      </c>
      <c r="F212" s="215" t="s">
        <v>628</v>
      </c>
      <c r="G212" s="215">
        <v>202</v>
      </c>
      <c r="H212" s="215" t="s">
        <v>200</v>
      </c>
      <c r="I212" s="215" t="s">
        <v>232</v>
      </c>
      <c r="J212" s="215" t="s">
        <v>322</v>
      </c>
      <c r="K212" s="215" t="s">
        <v>200</v>
      </c>
      <c r="L212" s="216">
        <v>46361.45</v>
      </c>
      <c r="M212" s="216">
        <v>46361.537499999999</v>
      </c>
      <c r="N212" s="215" t="s">
        <v>359</v>
      </c>
      <c r="O212" s="290" t="s">
        <v>205</v>
      </c>
      <c r="P212" s="288"/>
      <c r="Q212" s="285" t="s">
        <v>205</v>
      </c>
      <c r="R212" s="285"/>
      <c r="S212" s="285" t="s">
        <v>205</v>
      </c>
      <c r="T212" s="288"/>
      <c r="U212" s="285" t="s">
        <v>205</v>
      </c>
      <c r="V212" s="288"/>
      <c r="W212" s="285" t="s">
        <v>205</v>
      </c>
      <c r="X212" s="288"/>
      <c r="Y212" s="284" t="s">
        <v>62</v>
      </c>
      <c r="Z212" s="288"/>
      <c r="AA212" s="284" t="s">
        <v>205</v>
      </c>
      <c r="AB212" s="288"/>
      <c r="AC212" s="284" t="s">
        <v>205</v>
      </c>
      <c r="AD212" s="288"/>
      <c r="AE212" s="287" t="s">
        <v>205</v>
      </c>
      <c r="AF212" s="289" t="s">
        <v>205</v>
      </c>
      <c r="AG212" s="291" t="str">
        <f t="shared" si="10"/>
        <v>UTILIZOU O PDA CORRETAMENTE</v>
      </c>
      <c r="AH212" s="160" t="s">
        <v>205</v>
      </c>
      <c r="AI212" s="292" t="s">
        <v>6</v>
      </c>
      <c r="AJ212" s="293" t="str">
        <f t="shared" si="11"/>
        <v>SÃO PAULO</v>
      </c>
      <c r="AK212" s="294" t="s">
        <v>39</v>
      </c>
    </row>
    <row r="213" spans="1:37" s="302" customFormat="1" ht="30" customHeight="1">
      <c r="A213" s="215" t="s">
        <v>198</v>
      </c>
      <c r="B213" s="215">
        <v>2619944940</v>
      </c>
      <c r="C213" s="215" t="s">
        <v>105</v>
      </c>
      <c r="D213" s="215" t="s">
        <v>81</v>
      </c>
      <c r="E213" s="215" t="s">
        <v>5</v>
      </c>
      <c r="F213" s="215" t="s">
        <v>629</v>
      </c>
      <c r="G213" s="215">
        <v>369</v>
      </c>
      <c r="H213" s="215" t="s">
        <v>226</v>
      </c>
      <c r="I213" s="215" t="s">
        <v>515</v>
      </c>
      <c r="J213" s="215" t="s">
        <v>228</v>
      </c>
      <c r="K213" s="215" t="s">
        <v>630</v>
      </c>
      <c r="L213" s="216">
        <v>46361.507638888892</v>
      </c>
      <c r="M213" s="216">
        <v>46361.575694444444</v>
      </c>
      <c r="N213" s="215" t="s">
        <v>248</v>
      </c>
      <c r="O213" s="290" t="s">
        <v>205</v>
      </c>
      <c r="P213" s="288"/>
      <c r="Q213" s="285" t="s">
        <v>205</v>
      </c>
      <c r="R213" s="288"/>
      <c r="S213" s="285" t="s">
        <v>205</v>
      </c>
      <c r="T213" s="288"/>
      <c r="U213" s="285" t="s">
        <v>205</v>
      </c>
      <c r="V213" s="288"/>
      <c r="W213" s="285" t="s">
        <v>205</v>
      </c>
      <c r="X213" s="288"/>
      <c r="Y213" s="285" t="s">
        <v>62</v>
      </c>
      <c r="Z213" s="288"/>
      <c r="AA213" s="285" t="s">
        <v>205</v>
      </c>
      <c r="AB213" s="288"/>
      <c r="AC213" s="285" t="s">
        <v>205</v>
      </c>
      <c r="AD213" s="288"/>
      <c r="AE213" s="286" t="s">
        <v>205</v>
      </c>
      <c r="AF213" s="289" t="s">
        <v>205</v>
      </c>
      <c r="AG213" s="291" t="str">
        <f t="shared" si="10"/>
        <v>UTILIZOU O PDA CORRETAMENTE</v>
      </c>
      <c r="AH213" s="160" t="s">
        <v>205</v>
      </c>
      <c r="AI213" s="292" t="s">
        <v>6</v>
      </c>
      <c r="AJ213" s="293" t="str">
        <f t="shared" si="11"/>
        <v>SÃO PAULO</v>
      </c>
      <c r="AK213" s="294" t="s">
        <v>39</v>
      </c>
    </row>
    <row r="214" spans="1:37" s="302" customFormat="1" ht="30" customHeight="1">
      <c r="A214" s="215" t="s">
        <v>198</v>
      </c>
      <c r="B214" s="215">
        <v>2619524778</v>
      </c>
      <c r="C214" s="215" t="s">
        <v>100</v>
      </c>
      <c r="D214" s="215" t="s">
        <v>81</v>
      </c>
      <c r="E214" s="215" t="s">
        <v>5</v>
      </c>
      <c r="F214" s="215" t="s">
        <v>631</v>
      </c>
      <c r="G214" s="215">
        <v>791</v>
      </c>
      <c r="H214" s="215" t="s">
        <v>200</v>
      </c>
      <c r="I214" s="215" t="s">
        <v>397</v>
      </c>
      <c r="J214" s="215" t="s">
        <v>243</v>
      </c>
      <c r="K214" s="215" t="s">
        <v>200</v>
      </c>
      <c r="L214" s="216">
        <v>46361.446527777778</v>
      </c>
      <c r="M214" s="216">
        <v>46361.452777777777</v>
      </c>
      <c r="N214" s="215" t="s">
        <v>326</v>
      </c>
      <c r="O214" s="290" t="s">
        <v>205</v>
      </c>
      <c r="P214" s="288"/>
      <c r="Q214" s="285" t="s">
        <v>205</v>
      </c>
      <c r="R214" s="288"/>
      <c r="S214" s="285" t="s">
        <v>205</v>
      </c>
      <c r="T214" s="288"/>
      <c r="U214" s="285" t="s">
        <v>205</v>
      </c>
      <c r="V214" s="288"/>
      <c r="W214" s="285" t="s">
        <v>205</v>
      </c>
      <c r="X214" s="288"/>
      <c r="Y214" s="285" t="s">
        <v>205</v>
      </c>
      <c r="Z214" s="288"/>
      <c r="AA214" s="285" t="s">
        <v>205</v>
      </c>
      <c r="AB214" s="288"/>
      <c r="AC214" s="285" t="s">
        <v>205</v>
      </c>
      <c r="AD214" s="288"/>
      <c r="AE214" s="286" t="s">
        <v>205</v>
      </c>
      <c r="AF214" s="289" t="s">
        <v>205</v>
      </c>
      <c r="AG214" s="291" t="str">
        <f t="shared" si="10"/>
        <v>UTILIZOU O PDA CORRETAMENTE</v>
      </c>
      <c r="AH214" s="160" t="s">
        <v>205</v>
      </c>
      <c r="AI214" s="292" t="s">
        <v>6</v>
      </c>
      <c r="AJ214" s="293" t="str">
        <f t="shared" si="11"/>
        <v>SÃO PAULO</v>
      </c>
      <c r="AK214" s="294" t="s">
        <v>39</v>
      </c>
    </row>
    <row r="215" spans="1:37" s="302" customFormat="1" ht="30" customHeight="1">
      <c r="A215" s="215" t="s">
        <v>198</v>
      </c>
      <c r="B215" s="215">
        <v>2619965869</v>
      </c>
      <c r="C215" s="215" t="s">
        <v>105</v>
      </c>
      <c r="D215" s="215" t="s">
        <v>81</v>
      </c>
      <c r="E215" s="215" t="s">
        <v>5</v>
      </c>
      <c r="F215" s="215" t="s">
        <v>605</v>
      </c>
      <c r="G215" s="215">
        <v>2</v>
      </c>
      <c r="H215" s="215" t="s">
        <v>226</v>
      </c>
      <c r="I215" s="215" t="s">
        <v>607</v>
      </c>
      <c r="J215" s="215" t="s">
        <v>350</v>
      </c>
      <c r="K215" s="219" t="s">
        <v>632</v>
      </c>
      <c r="L215" s="216">
        <v>46361.5</v>
      </c>
      <c r="M215" s="216">
        <v>46361.500694444447</v>
      </c>
      <c r="N215" s="215" t="s">
        <v>341</v>
      </c>
      <c r="O215" s="290" t="s">
        <v>62</v>
      </c>
      <c r="P215" s="288"/>
      <c r="Q215" s="285" t="s">
        <v>62</v>
      </c>
      <c r="R215" s="288"/>
      <c r="S215" s="285" t="s">
        <v>62</v>
      </c>
      <c r="T215" s="288"/>
      <c r="U215" s="285" t="s">
        <v>62</v>
      </c>
      <c r="V215" s="288"/>
      <c r="W215" s="285" t="s">
        <v>62</v>
      </c>
      <c r="X215" s="288"/>
      <c r="Y215" s="285" t="s">
        <v>62</v>
      </c>
      <c r="Z215" s="288"/>
      <c r="AA215" s="285" t="s">
        <v>62</v>
      </c>
      <c r="AB215" s="288"/>
      <c r="AC215" s="285" t="s">
        <v>62</v>
      </c>
      <c r="AD215" s="288"/>
      <c r="AE215" s="286" t="s">
        <v>62</v>
      </c>
      <c r="AF215" s="289" t="s">
        <v>62</v>
      </c>
      <c r="AG215" s="291" t="str">
        <f t="shared" si="10"/>
        <v>NÃO AVALIADO POR FALHA DE SINCRONISMO</v>
      </c>
      <c r="AH215" s="160" t="s">
        <v>205</v>
      </c>
      <c r="AI215" s="292" t="s">
        <v>6</v>
      </c>
      <c r="AJ215" s="293" t="str">
        <f t="shared" si="11"/>
        <v>SÃO PAULO</v>
      </c>
      <c r="AK215" s="294" t="s">
        <v>39</v>
      </c>
    </row>
    <row r="216" spans="1:37" s="302" customFormat="1" ht="30" customHeight="1">
      <c r="A216" s="215" t="s">
        <v>198</v>
      </c>
      <c r="B216" s="215">
        <v>2619946401</v>
      </c>
      <c r="C216" s="215" t="s">
        <v>100</v>
      </c>
      <c r="D216" s="215" t="s">
        <v>81</v>
      </c>
      <c r="E216" s="215" t="s">
        <v>5</v>
      </c>
      <c r="F216" s="215" t="s">
        <v>633</v>
      </c>
      <c r="G216" s="215">
        <v>313</v>
      </c>
      <c r="H216" s="215" t="s">
        <v>401</v>
      </c>
      <c r="I216" s="215" t="s">
        <v>215</v>
      </c>
      <c r="J216" s="215" t="s">
        <v>243</v>
      </c>
      <c r="K216" s="215" t="s">
        <v>634</v>
      </c>
      <c r="L216" s="216">
        <v>46361.539583333331</v>
      </c>
      <c r="M216" s="216">
        <v>46361.545138888891</v>
      </c>
      <c r="N216" s="215" t="s">
        <v>357</v>
      </c>
      <c r="O216" s="290" t="s">
        <v>205</v>
      </c>
      <c r="P216" s="288"/>
      <c r="Q216" s="326" t="s">
        <v>205</v>
      </c>
      <c r="R216" s="288"/>
      <c r="S216" s="326" t="s">
        <v>205</v>
      </c>
      <c r="T216" s="288"/>
      <c r="U216" s="326" t="s">
        <v>205</v>
      </c>
      <c r="V216" s="288"/>
      <c r="W216" s="285" t="s">
        <v>205</v>
      </c>
      <c r="X216" s="288"/>
      <c r="Y216" s="326" t="s">
        <v>205</v>
      </c>
      <c r="Z216" s="288"/>
      <c r="AA216" s="326" t="s">
        <v>205</v>
      </c>
      <c r="AB216" s="288"/>
      <c r="AC216" s="326" t="s">
        <v>205</v>
      </c>
      <c r="AD216" s="288"/>
      <c r="AE216" s="324" t="s">
        <v>205</v>
      </c>
      <c r="AF216" s="289" t="s">
        <v>205</v>
      </c>
      <c r="AG216" s="291" t="str">
        <f t="shared" si="10"/>
        <v>UTILIZOU O PDA CORRETAMENTE</v>
      </c>
      <c r="AH216" s="160" t="s">
        <v>205</v>
      </c>
      <c r="AI216" s="292" t="s">
        <v>6</v>
      </c>
      <c r="AJ216" s="293" t="str">
        <f t="shared" si="11"/>
        <v>SÃO PAULO</v>
      </c>
      <c r="AK216" s="294" t="s">
        <v>39</v>
      </c>
    </row>
    <row r="217" spans="1:37" s="302" customFormat="1" ht="30" customHeight="1">
      <c r="A217" s="215" t="s">
        <v>198</v>
      </c>
      <c r="B217" s="215">
        <v>2619868266</v>
      </c>
      <c r="C217" s="215" t="s">
        <v>100</v>
      </c>
      <c r="D217" s="215" t="s">
        <v>81</v>
      </c>
      <c r="E217" s="215" t="s">
        <v>5</v>
      </c>
      <c r="F217" s="215" t="s">
        <v>633</v>
      </c>
      <c r="G217" s="215">
        <v>303</v>
      </c>
      <c r="H217" s="215" t="s">
        <v>226</v>
      </c>
      <c r="I217" s="215" t="s">
        <v>215</v>
      </c>
      <c r="J217" s="215" t="s">
        <v>243</v>
      </c>
      <c r="K217" s="215" t="s">
        <v>635</v>
      </c>
      <c r="L217" s="216">
        <v>46361.542361111111</v>
      </c>
      <c r="M217" s="216">
        <v>46361.543749999997</v>
      </c>
      <c r="N217" s="215" t="s">
        <v>357</v>
      </c>
      <c r="O217" s="290" t="s">
        <v>205</v>
      </c>
      <c r="P217" s="325"/>
      <c r="Q217" s="321" t="s">
        <v>205</v>
      </c>
      <c r="R217" s="325"/>
      <c r="S217" s="321" t="s">
        <v>205</v>
      </c>
      <c r="T217" s="325"/>
      <c r="U217" s="321" t="s">
        <v>205</v>
      </c>
      <c r="V217" s="288"/>
      <c r="W217" s="314" t="s">
        <v>205</v>
      </c>
      <c r="X217" s="322"/>
      <c r="Y217" s="321" t="s">
        <v>205</v>
      </c>
      <c r="Z217" s="325"/>
      <c r="AA217" s="321" t="s">
        <v>205</v>
      </c>
      <c r="AB217" s="325"/>
      <c r="AC217" s="321" t="s">
        <v>205</v>
      </c>
      <c r="AD217" s="325"/>
      <c r="AE217" s="321" t="s">
        <v>205</v>
      </c>
      <c r="AF217" s="323" t="s">
        <v>205</v>
      </c>
      <c r="AG217" s="291" t="str">
        <f t="shared" si="10"/>
        <v>UTILIZOU O PDA CORRETAMENTE</v>
      </c>
      <c r="AH217" s="160" t="s">
        <v>205</v>
      </c>
      <c r="AI217" s="292" t="s">
        <v>6</v>
      </c>
      <c r="AJ217" s="293" t="str">
        <f t="shared" si="11"/>
        <v>SÃO PAULO</v>
      </c>
      <c r="AK217" s="294" t="s">
        <v>39</v>
      </c>
    </row>
    <row r="218" spans="1:37" s="302" customFormat="1" ht="30" customHeight="1">
      <c r="A218" s="215" t="s">
        <v>198</v>
      </c>
      <c r="B218" s="215">
        <v>2619958374</v>
      </c>
      <c r="C218" s="215" t="s">
        <v>99</v>
      </c>
      <c r="D218" s="215" t="s">
        <v>81</v>
      </c>
      <c r="E218" s="215" t="s">
        <v>5</v>
      </c>
      <c r="F218" s="215" t="s">
        <v>612</v>
      </c>
      <c r="G218" s="215">
        <v>210</v>
      </c>
      <c r="H218" s="215" t="s">
        <v>200</v>
      </c>
      <c r="I218" s="215" t="s">
        <v>613</v>
      </c>
      <c r="J218" s="215" t="s">
        <v>268</v>
      </c>
      <c r="K218" s="219" t="s">
        <v>636</v>
      </c>
      <c r="L218" s="216">
        <v>46361.553472222222</v>
      </c>
      <c r="M218" s="216">
        <v>46361.55972222222</v>
      </c>
      <c r="N218" s="215" t="s">
        <v>221</v>
      </c>
      <c r="O218" s="290" t="s">
        <v>205</v>
      </c>
      <c r="P218" s="288"/>
      <c r="Q218" s="285" t="s">
        <v>205</v>
      </c>
      <c r="R218" s="288"/>
      <c r="S218" s="285" t="s">
        <v>205</v>
      </c>
      <c r="T218" s="288"/>
      <c r="U218" s="285" t="s">
        <v>205</v>
      </c>
      <c r="V218" s="288"/>
      <c r="W218" s="315" t="s">
        <v>205</v>
      </c>
      <c r="X218" s="288"/>
      <c r="Y218" s="285" t="s">
        <v>62</v>
      </c>
      <c r="Z218" s="288"/>
      <c r="AA218" s="285" t="s">
        <v>205</v>
      </c>
      <c r="AB218" s="288"/>
      <c r="AC218" s="285" t="s">
        <v>205</v>
      </c>
      <c r="AD218" s="288"/>
      <c r="AE218" s="286" t="s">
        <v>205</v>
      </c>
      <c r="AF218" s="289" t="s">
        <v>205</v>
      </c>
      <c r="AG218" s="291" t="str">
        <f t="shared" si="10"/>
        <v>UTILIZOU O PDA CORRETAMENTE</v>
      </c>
      <c r="AH218" s="160" t="s">
        <v>205</v>
      </c>
      <c r="AI218" s="292" t="s">
        <v>6</v>
      </c>
      <c r="AJ218" s="293" t="str">
        <f t="shared" si="11"/>
        <v>SÃO PAULO</v>
      </c>
      <c r="AK218" s="294" t="s">
        <v>39</v>
      </c>
    </row>
    <row r="219" spans="1:37" s="302" customFormat="1" ht="30" customHeight="1">
      <c r="A219" s="215" t="s">
        <v>198</v>
      </c>
      <c r="B219" s="215">
        <v>2619962485</v>
      </c>
      <c r="C219" s="215" t="s">
        <v>105</v>
      </c>
      <c r="D219" s="215" t="s">
        <v>81</v>
      </c>
      <c r="E219" s="215" t="s">
        <v>5</v>
      </c>
      <c r="F219" s="215" t="s">
        <v>249</v>
      </c>
      <c r="G219" s="215">
        <v>197</v>
      </c>
      <c r="H219" s="215"/>
      <c r="I219" s="215" t="s">
        <v>215</v>
      </c>
      <c r="J219" s="215" t="s">
        <v>228</v>
      </c>
      <c r="K219" s="215" t="s">
        <v>637</v>
      </c>
      <c r="L219" s="216">
        <v>46361.695138888892</v>
      </c>
      <c r="M219" s="216">
        <v>46361.696527777778</v>
      </c>
      <c r="N219" s="215" t="s">
        <v>357</v>
      </c>
      <c r="O219" s="290" t="s">
        <v>62</v>
      </c>
      <c r="P219" s="316"/>
      <c r="Q219" s="160" t="s">
        <v>62</v>
      </c>
      <c r="R219" s="161"/>
      <c r="S219" s="160" t="s">
        <v>62</v>
      </c>
      <c r="T219" s="161"/>
      <c r="U219" s="160" t="s">
        <v>62</v>
      </c>
      <c r="V219" s="161"/>
      <c r="W219" s="160" t="s">
        <v>62</v>
      </c>
      <c r="X219" s="161"/>
      <c r="Y219" s="160" t="s">
        <v>62</v>
      </c>
      <c r="Z219" s="161"/>
      <c r="AA219" s="160" t="s">
        <v>62</v>
      </c>
      <c r="AB219" s="161"/>
      <c r="AC219" s="160" t="s">
        <v>62</v>
      </c>
      <c r="AD219" s="161" t="s">
        <v>525</v>
      </c>
      <c r="AE219" s="160" t="s">
        <v>62</v>
      </c>
      <c r="AF219" s="289" t="s">
        <v>62</v>
      </c>
      <c r="AG219" s="291" t="str">
        <f t="shared" si="10"/>
        <v>NÃO AVALIADO POR FALHA DE SINCRONISMO</v>
      </c>
      <c r="AH219" s="160" t="s">
        <v>205</v>
      </c>
      <c r="AI219" s="292" t="s">
        <v>6</v>
      </c>
      <c r="AJ219" s="293" t="str">
        <f t="shared" si="11"/>
        <v>SÃO PAULO</v>
      </c>
      <c r="AK219" s="294" t="s">
        <v>39</v>
      </c>
    </row>
    <row r="220" spans="1:37" s="302" customFormat="1" ht="30" customHeight="1">
      <c r="A220" s="215" t="s">
        <v>198</v>
      </c>
      <c r="B220" s="215">
        <v>2620070162</v>
      </c>
      <c r="C220" s="215" t="s">
        <v>331</v>
      </c>
      <c r="D220" s="215" t="s">
        <v>79</v>
      </c>
      <c r="E220" s="215" t="s">
        <v>5</v>
      </c>
      <c r="F220" s="215" t="s">
        <v>585</v>
      </c>
      <c r="G220" s="215">
        <v>104</v>
      </c>
      <c r="H220" s="215" t="s">
        <v>409</v>
      </c>
      <c r="I220" s="215" t="s">
        <v>620</v>
      </c>
      <c r="J220" s="215" t="s">
        <v>334</v>
      </c>
      <c r="K220" s="215" t="s">
        <v>638</v>
      </c>
      <c r="L220" s="216">
        <v>46361.847916666666</v>
      </c>
      <c r="M220" s="216">
        <v>46361.852083333331</v>
      </c>
      <c r="N220" s="215" t="s">
        <v>230</v>
      </c>
      <c r="O220" s="290" t="s">
        <v>205</v>
      </c>
      <c r="P220" s="316"/>
      <c r="Q220" s="160" t="s">
        <v>205</v>
      </c>
      <c r="R220" s="161"/>
      <c r="S220" s="160" t="s">
        <v>205</v>
      </c>
      <c r="T220" s="161"/>
      <c r="U220" s="160" t="s">
        <v>205</v>
      </c>
      <c r="V220" s="161"/>
      <c r="W220" s="160" t="s">
        <v>205</v>
      </c>
      <c r="X220" s="161"/>
      <c r="Y220" s="160" t="s">
        <v>205</v>
      </c>
      <c r="Z220" s="161"/>
      <c r="AA220" s="160" t="s">
        <v>205</v>
      </c>
      <c r="AB220" s="161"/>
      <c r="AC220" s="160" t="s">
        <v>205</v>
      </c>
      <c r="AD220" s="161"/>
      <c r="AE220" s="160" t="s">
        <v>205</v>
      </c>
      <c r="AF220" s="289" t="s">
        <v>205</v>
      </c>
      <c r="AG220" s="291" t="str">
        <f t="shared" si="10"/>
        <v>UTILIZOU O PDA CORRETAMENTE</v>
      </c>
      <c r="AH220" s="160" t="s">
        <v>205</v>
      </c>
      <c r="AI220" s="292" t="s">
        <v>6</v>
      </c>
      <c r="AJ220" s="293" t="str">
        <f t="shared" si="11"/>
        <v>SÃO PAULO</v>
      </c>
      <c r="AK220" s="294" t="s">
        <v>39</v>
      </c>
    </row>
    <row r="221" spans="1:37" s="302" customFormat="1" ht="30" customHeight="1">
      <c r="A221" s="215" t="s">
        <v>198</v>
      </c>
      <c r="B221" s="215">
        <v>2620072439</v>
      </c>
      <c r="C221" s="215" t="s">
        <v>331</v>
      </c>
      <c r="D221" s="215" t="s">
        <v>79</v>
      </c>
      <c r="E221" s="215" t="s">
        <v>5</v>
      </c>
      <c r="F221" s="215" t="s">
        <v>585</v>
      </c>
      <c r="G221" s="215">
        <v>112</v>
      </c>
      <c r="H221" s="215"/>
      <c r="I221" s="215" t="s">
        <v>215</v>
      </c>
      <c r="J221" s="215" t="s">
        <v>334</v>
      </c>
      <c r="K221" s="215" t="s">
        <v>638</v>
      </c>
      <c r="L221" s="216">
        <v>46361.835416666669</v>
      </c>
      <c r="M221" s="216">
        <v>46361.842361111114</v>
      </c>
      <c r="N221" s="215" t="s">
        <v>230</v>
      </c>
      <c r="O221" s="290" t="s">
        <v>205</v>
      </c>
      <c r="P221" s="316"/>
      <c r="Q221" s="160" t="s">
        <v>205</v>
      </c>
      <c r="R221" s="161"/>
      <c r="S221" s="160" t="s">
        <v>205</v>
      </c>
      <c r="T221" s="161"/>
      <c r="U221" s="160" t="s">
        <v>205</v>
      </c>
      <c r="V221" s="161"/>
      <c r="W221" s="160" t="s">
        <v>205</v>
      </c>
      <c r="X221" s="161"/>
      <c r="Y221" s="160" t="s">
        <v>205</v>
      </c>
      <c r="Z221" s="161"/>
      <c r="AA221" s="160" t="s">
        <v>205</v>
      </c>
      <c r="AB221" s="161"/>
      <c r="AC221" s="160" t="s">
        <v>205</v>
      </c>
      <c r="AD221" s="161"/>
      <c r="AE221" s="160" t="s">
        <v>205</v>
      </c>
      <c r="AF221" s="289" t="s">
        <v>205</v>
      </c>
      <c r="AG221" s="291" t="str">
        <f t="shared" si="10"/>
        <v>UTILIZOU O PDA CORRETAMENTE</v>
      </c>
      <c r="AH221" s="160" t="s">
        <v>205</v>
      </c>
      <c r="AI221" s="292" t="s">
        <v>6</v>
      </c>
      <c r="AJ221" s="293" t="str">
        <f t="shared" si="11"/>
        <v>SÃO PAULO</v>
      </c>
      <c r="AK221" s="294" t="s">
        <v>39</v>
      </c>
    </row>
    <row r="222" spans="1:37" s="302" customFormat="1" ht="30" customHeight="1">
      <c r="A222" s="215" t="s">
        <v>198</v>
      </c>
      <c r="B222" s="215">
        <v>2619869727</v>
      </c>
      <c r="C222" s="215" t="s">
        <v>100</v>
      </c>
      <c r="D222" s="215" t="s">
        <v>81</v>
      </c>
      <c r="E222" s="215" t="s">
        <v>5</v>
      </c>
      <c r="F222" s="215" t="s">
        <v>639</v>
      </c>
      <c r="G222" s="215">
        <v>41</v>
      </c>
      <c r="H222" s="215" t="s">
        <v>226</v>
      </c>
      <c r="I222" s="215" t="s">
        <v>640</v>
      </c>
      <c r="J222" s="215" t="s">
        <v>243</v>
      </c>
      <c r="K222" s="215" t="s">
        <v>641</v>
      </c>
      <c r="L222" s="216">
        <v>46361.67083333333</v>
      </c>
      <c r="M222" s="216">
        <v>46361.675694444442</v>
      </c>
      <c r="N222" s="215" t="s">
        <v>357</v>
      </c>
      <c r="O222" s="290" t="s">
        <v>205</v>
      </c>
      <c r="P222" s="316"/>
      <c r="Q222" s="160" t="s">
        <v>205</v>
      </c>
      <c r="R222" s="161"/>
      <c r="S222" s="160" t="s">
        <v>205</v>
      </c>
      <c r="T222" s="161"/>
      <c r="U222" s="160" t="s">
        <v>205</v>
      </c>
      <c r="V222" s="161"/>
      <c r="W222" s="160" t="s">
        <v>205</v>
      </c>
      <c r="X222" s="161"/>
      <c r="Y222" s="160" t="s">
        <v>205</v>
      </c>
      <c r="Z222" s="161"/>
      <c r="AA222" s="160" t="s">
        <v>205</v>
      </c>
      <c r="AB222" s="161"/>
      <c r="AC222" s="160" t="s">
        <v>206</v>
      </c>
      <c r="AD222" s="161"/>
      <c r="AE222" s="160" t="s">
        <v>205</v>
      </c>
      <c r="AF222" s="289" t="s">
        <v>239</v>
      </c>
      <c r="AG222" s="291" t="str">
        <f t="shared" si="10"/>
        <v>UTILIZOU O PDA CORRETAMENTE. NÃO HÁ FOTOS DE TODAS AS ETAPAS</v>
      </c>
      <c r="AH222" s="160" t="s">
        <v>205</v>
      </c>
      <c r="AI222" s="292" t="s">
        <v>6</v>
      </c>
      <c r="AJ222" s="293" t="str">
        <f t="shared" si="11"/>
        <v>SÃO PAULO</v>
      </c>
      <c r="AK222" s="294" t="s">
        <v>39</v>
      </c>
    </row>
    <row r="223" spans="1:37" s="302" customFormat="1" ht="30" customHeight="1">
      <c r="A223" s="215" t="s">
        <v>198</v>
      </c>
      <c r="B223" s="215">
        <v>2693096717</v>
      </c>
      <c r="C223" s="215" t="s">
        <v>99</v>
      </c>
      <c r="D223" s="215" t="s">
        <v>81</v>
      </c>
      <c r="E223" s="215" t="s">
        <v>5</v>
      </c>
      <c r="F223" s="215" t="s">
        <v>642</v>
      </c>
      <c r="G223" s="215">
        <v>82</v>
      </c>
      <c r="H223" s="215"/>
      <c r="I223" s="215" t="s">
        <v>643</v>
      </c>
      <c r="J223" s="215" t="s">
        <v>268</v>
      </c>
      <c r="K223" s="215"/>
      <c r="L223" s="216">
        <v>46361.686111111114</v>
      </c>
      <c r="M223" s="216">
        <v>46361.691666666666</v>
      </c>
      <c r="N223" s="215" t="s">
        <v>341</v>
      </c>
      <c r="O223" s="290" t="s">
        <v>205</v>
      </c>
      <c r="P223" s="316"/>
      <c r="Q223" s="160" t="s">
        <v>205</v>
      </c>
      <c r="R223" s="161"/>
      <c r="S223" s="160" t="s">
        <v>205</v>
      </c>
      <c r="T223" s="161"/>
      <c r="U223" s="160" t="s">
        <v>205</v>
      </c>
      <c r="V223" s="161"/>
      <c r="W223" s="160" t="s">
        <v>205</v>
      </c>
      <c r="X223" s="161"/>
      <c r="Y223" s="160" t="s">
        <v>205</v>
      </c>
      <c r="Z223" s="161"/>
      <c r="AA223" s="160" t="s">
        <v>205</v>
      </c>
      <c r="AB223" s="161"/>
      <c r="AC223" s="160" t="s">
        <v>205</v>
      </c>
      <c r="AD223" s="161"/>
      <c r="AE223" s="160" t="s">
        <v>205</v>
      </c>
      <c r="AF223" s="289" t="s">
        <v>239</v>
      </c>
      <c r="AG223" s="291" t="str">
        <f t="shared" si="10"/>
        <v>UTILIZOU O PDA CORRETAMENTE. NÃO HÁ FOTOS DE TODAS AS ETAPAS</v>
      </c>
      <c r="AH223" s="160" t="s">
        <v>205</v>
      </c>
      <c r="AI223" s="292" t="s">
        <v>6</v>
      </c>
      <c r="AJ223" s="293" t="str">
        <f t="shared" si="11"/>
        <v>SÃO PAULO</v>
      </c>
      <c r="AK223" s="294" t="s">
        <v>39</v>
      </c>
    </row>
    <row r="224" spans="1:37" s="302" customFormat="1" ht="30" customHeight="1">
      <c r="A224" s="215" t="s">
        <v>198</v>
      </c>
      <c r="B224" s="215">
        <v>2620022037</v>
      </c>
      <c r="C224" s="215" t="s">
        <v>99</v>
      </c>
      <c r="D224" s="215" t="s">
        <v>81</v>
      </c>
      <c r="E224" s="215" t="s">
        <v>5</v>
      </c>
      <c r="F224" s="215" t="s">
        <v>644</v>
      </c>
      <c r="G224" s="215">
        <v>64</v>
      </c>
      <c r="H224" s="215" t="s">
        <v>226</v>
      </c>
      <c r="I224" s="215" t="s">
        <v>346</v>
      </c>
      <c r="J224" s="215" t="s">
        <v>268</v>
      </c>
      <c r="K224" s="215" t="s">
        <v>645</v>
      </c>
      <c r="L224" s="216">
        <v>46361.706944444442</v>
      </c>
      <c r="M224" s="216">
        <v>46361.722916666666</v>
      </c>
      <c r="N224" s="215" t="s">
        <v>221</v>
      </c>
      <c r="O224" s="290" t="s">
        <v>205</v>
      </c>
      <c r="P224" s="316"/>
      <c r="Q224" s="160" t="s">
        <v>205</v>
      </c>
      <c r="R224" s="161"/>
      <c r="S224" s="160" t="s">
        <v>205</v>
      </c>
      <c r="T224" s="161"/>
      <c r="U224" s="160" t="s">
        <v>205</v>
      </c>
      <c r="V224" s="161"/>
      <c r="W224" s="160" t="s">
        <v>205</v>
      </c>
      <c r="X224" s="161"/>
      <c r="Y224" s="160" t="s">
        <v>62</v>
      </c>
      <c r="Z224" s="161" t="s">
        <v>646</v>
      </c>
      <c r="AA224" s="160" t="s">
        <v>205</v>
      </c>
      <c r="AB224" s="161"/>
      <c r="AC224" s="160" t="s">
        <v>205</v>
      </c>
      <c r="AD224" s="161"/>
      <c r="AE224" s="160" t="s">
        <v>205</v>
      </c>
      <c r="AF224" s="289" t="s">
        <v>205</v>
      </c>
      <c r="AG224" s="291" t="str">
        <f t="shared" si="10"/>
        <v>UTILIZOU O PDA CORRETAMENTE</v>
      </c>
      <c r="AH224" s="160" t="s">
        <v>205</v>
      </c>
      <c r="AI224" s="292" t="s">
        <v>6</v>
      </c>
      <c r="AJ224" s="293" t="str">
        <f t="shared" si="11"/>
        <v>SÃO PAULO</v>
      </c>
      <c r="AK224" s="294" t="s">
        <v>39</v>
      </c>
    </row>
    <row r="225" spans="1:37" s="302" customFormat="1" ht="30" customHeight="1">
      <c r="A225" s="215" t="s">
        <v>198</v>
      </c>
      <c r="B225" s="215">
        <v>2619846766</v>
      </c>
      <c r="C225" s="215" t="s">
        <v>287</v>
      </c>
      <c r="D225" s="215" t="s">
        <v>81</v>
      </c>
      <c r="E225" s="215" t="s">
        <v>5</v>
      </c>
      <c r="F225" s="215" t="s">
        <v>647</v>
      </c>
      <c r="G225" s="215">
        <v>400</v>
      </c>
      <c r="H225" s="215"/>
      <c r="I225" s="215" t="s">
        <v>438</v>
      </c>
      <c r="J225" s="215" t="s">
        <v>290</v>
      </c>
      <c r="K225" s="215"/>
      <c r="L225" s="216">
        <v>46361.647222222222</v>
      </c>
      <c r="M225" s="216">
        <v>46361.650694444441</v>
      </c>
      <c r="N225" s="215" t="s">
        <v>326</v>
      </c>
      <c r="O225" s="290" t="s">
        <v>205</v>
      </c>
      <c r="P225" s="316"/>
      <c r="Q225" s="160" t="s">
        <v>206</v>
      </c>
      <c r="R225" s="161"/>
      <c r="S225" s="160" t="s">
        <v>206</v>
      </c>
      <c r="T225" s="161"/>
      <c r="U225" s="160" t="s">
        <v>206</v>
      </c>
      <c r="V225" s="161"/>
      <c r="W225" s="160" t="s">
        <v>206</v>
      </c>
      <c r="X225" s="161"/>
      <c r="Y225" s="160" t="s">
        <v>206</v>
      </c>
      <c r="Z225" s="161"/>
      <c r="AA225" s="160" t="s">
        <v>206</v>
      </c>
      <c r="AB225" s="161"/>
      <c r="AC225" s="160" t="s">
        <v>206</v>
      </c>
      <c r="AD225" s="161"/>
      <c r="AE225" s="160" t="s">
        <v>205</v>
      </c>
      <c r="AF225" s="289" t="s">
        <v>239</v>
      </c>
      <c r="AG225" s="291" t="str">
        <f t="shared" si="10"/>
        <v>UTILIZOU O PDA CORRETAMENTE. NÃO HÁ FOTOS DE TODAS AS ETAPAS</v>
      </c>
      <c r="AH225" s="160"/>
      <c r="AI225" s="292" t="s">
        <v>6</v>
      </c>
      <c r="AJ225" s="293" t="str">
        <f t="shared" si="11"/>
        <v>SÃO PAULO</v>
      </c>
      <c r="AK225" s="294" t="s">
        <v>39</v>
      </c>
    </row>
    <row r="226" spans="1:37" s="302" customFormat="1" ht="30" customHeight="1">
      <c r="A226" s="215" t="s">
        <v>198</v>
      </c>
      <c r="B226" s="215">
        <v>2619823260</v>
      </c>
      <c r="C226" s="215" t="s">
        <v>100</v>
      </c>
      <c r="D226" s="215" t="s">
        <v>81</v>
      </c>
      <c r="E226" s="215" t="s">
        <v>5</v>
      </c>
      <c r="F226" s="215" t="s">
        <v>648</v>
      </c>
      <c r="G226" s="215">
        <v>246</v>
      </c>
      <c r="H226" s="215" t="s">
        <v>200</v>
      </c>
      <c r="I226" s="215" t="s">
        <v>649</v>
      </c>
      <c r="J226" s="215" t="s">
        <v>243</v>
      </c>
      <c r="K226" s="215" t="s">
        <v>650</v>
      </c>
      <c r="L226" s="216">
        <v>46361.657638888886</v>
      </c>
      <c r="M226" s="216">
        <v>46361.669444444444</v>
      </c>
      <c r="N226" s="215" t="s">
        <v>326</v>
      </c>
      <c r="O226" s="290" t="s">
        <v>205</v>
      </c>
      <c r="P226" s="316"/>
      <c r="Q226" s="160" t="s">
        <v>205</v>
      </c>
      <c r="R226" s="161"/>
      <c r="S226" s="160" t="s">
        <v>205</v>
      </c>
      <c r="T226" s="161"/>
      <c r="U226" s="160" t="s">
        <v>205</v>
      </c>
      <c r="V226" s="161"/>
      <c r="W226" s="160" t="s">
        <v>205</v>
      </c>
      <c r="X226" s="161"/>
      <c r="Y226" s="160" t="s">
        <v>205</v>
      </c>
      <c r="Z226" s="161"/>
      <c r="AA226" s="160" t="s">
        <v>205</v>
      </c>
      <c r="AB226" s="161"/>
      <c r="AC226" s="160" t="s">
        <v>205</v>
      </c>
      <c r="AD226" s="161"/>
      <c r="AE226" s="160" t="s">
        <v>205</v>
      </c>
      <c r="AF226" s="289" t="s">
        <v>205</v>
      </c>
      <c r="AG226" s="291" t="str">
        <f t="shared" si="10"/>
        <v>UTILIZOU O PDA CORRETAMENTE</v>
      </c>
      <c r="AH226" s="160" t="s">
        <v>205</v>
      </c>
      <c r="AI226" s="292" t="s">
        <v>6</v>
      </c>
      <c r="AJ226" s="293" t="str">
        <f t="shared" si="11"/>
        <v>SÃO PAULO</v>
      </c>
      <c r="AK226" s="294" t="s">
        <v>39</v>
      </c>
    </row>
    <row r="227" spans="1:37" s="302" customFormat="1" ht="30" customHeight="1">
      <c r="A227" s="228" t="s">
        <v>198</v>
      </c>
      <c r="B227" s="228">
        <v>2619939081</v>
      </c>
      <c r="C227" s="228" t="s">
        <v>89</v>
      </c>
      <c r="D227" s="228" t="s">
        <v>78</v>
      </c>
      <c r="E227" s="228" t="s">
        <v>5</v>
      </c>
      <c r="F227" s="228" t="s">
        <v>631</v>
      </c>
      <c r="G227" s="228">
        <v>275</v>
      </c>
      <c r="H227" s="228" t="s">
        <v>318</v>
      </c>
      <c r="I227" s="228" t="s">
        <v>397</v>
      </c>
      <c r="J227" s="228" t="s">
        <v>238</v>
      </c>
      <c r="K227" s="228"/>
      <c r="L227" s="230">
        <v>46361.628472222219</v>
      </c>
      <c r="M227" s="230">
        <v>46361.628472222219</v>
      </c>
      <c r="N227" s="215" t="s">
        <v>254</v>
      </c>
      <c r="O227" s="290" t="s">
        <v>205</v>
      </c>
      <c r="P227" s="316"/>
      <c r="Q227" s="160" t="s">
        <v>205</v>
      </c>
      <c r="R227" s="161"/>
      <c r="S227" s="160" t="s">
        <v>205</v>
      </c>
      <c r="T227" s="161"/>
      <c r="U227" s="160" t="s">
        <v>205</v>
      </c>
      <c r="V227" s="161"/>
      <c r="W227" s="160" t="s">
        <v>205</v>
      </c>
      <c r="X227" s="161"/>
      <c r="Y227" s="160" t="s">
        <v>62</v>
      </c>
      <c r="Z227" s="161"/>
      <c r="AA227" s="160" t="s">
        <v>205</v>
      </c>
      <c r="AB227" s="161"/>
      <c r="AC227" s="160" t="s">
        <v>205</v>
      </c>
      <c r="AD227" s="161"/>
      <c r="AE227" s="160" t="s">
        <v>205</v>
      </c>
      <c r="AF227" s="289" t="s">
        <v>205</v>
      </c>
      <c r="AG227" s="291" t="str">
        <f t="shared" si="10"/>
        <v>UTILIZOU O PDA CORRETAMENTE</v>
      </c>
      <c r="AH227" s="160"/>
      <c r="AI227" s="292" t="s">
        <v>6</v>
      </c>
      <c r="AJ227" s="293" t="str">
        <f t="shared" si="11"/>
        <v>SÃO PAULO</v>
      </c>
      <c r="AK227" s="294" t="s">
        <v>39</v>
      </c>
    </row>
    <row r="228" spans="1:37" s="302" customFormat="1" ht="30" customHeight="1">
      <c r="A228" s="215" t="s">
        <v>198</v>
      </c>
      <c r="B228" s="215">
        <v>2619380917</v>
      </c>
      <c r="C228" s="215" t="s">
        <v>86</v>
      </c>
      <c r="D228" s="215" t="s">
        <v>77</v>
      </c>
      <c r="E228" s="215" t="s">
        <v>5</v>
      </c>
      <c r="F228" s="215" t="s">
        <v>651</v>
      </c>
      <c r="G228" s="215">
        <v>1217</v>
      </c>
      <c r="H228" s="215" t="s">
        <v>652</v>
      </c>
      <c r="I228" s="215" t="s">
        <v>260</v>
      </c>
      <c r="J228" s="215" t="s">
        <v>86</v>
      </c>
      <c r="K228" s="215" t="s">
        <v>653</v>
      </c>
      <c r="L228" s="215" t="s">
        <v>654</v>
      </c>
      <c r="M228" s="215" t="s">
        <v>655</v>
      </c>
      <c r="N228" s="215" t="s">
        <v>310</v>
      </c>
      <c r="O228" s="290" t="s">
        <v>205</v>
      </c>
      <c r="P228" s="161"/>
      <c r="Q228" s="160" t="s">
        <v>205</v>
      </c>
      <c r="R228" s="161"/>
      <c r="S228" s="160" t="s">
        <v>62</v>
      </c>
      <c r="T228" s="161"/>
      <c r="U228" s="160" t="s">
        <v>62</v>
      </c>
      <c r="V228" s="161"/>
      <c r="W228" s="160" t="s">
        <v>62</v>
      </c>
      <c r="X228" s="161"/>
      <c r="Y228" s="160" t="s">
        <v>62</v>
      </c>
      <c r="Z228" s="161"/>
      <c r="AA228" s="160" t="s">
        <v>62</v>
      </c>
      <c r="AB228" s="161"/>
      <c r="AC228" s="160" t="s">
        <v>205</v>
      </c>
      <c r="AD228" s="161"/>
      <c r="AE228" s="160" t="s">
        <v>205</v>
      </c>
      <c r="AF228" s="289" t="str">
        <f t="shared" si="9"/>
        <v>C</v>
      </c>
      <c r="AG228" s="291" t="str">
        <f t="shared" si="10"/>
        <v>UTILIZOU O PDA CORRETAMENTE</v>
      </c>
      <c r="AH228" s="160" t="s">
        <v>205</v>
      </c>
      <c r="AI228" s="292" t="s">
        <v>6</v>
      </c>
      <c r="AJ228" s="293" t="str">
        <f t="shared" si="11"/>
        <v>SÃO PAULO</v>
      </c>
      <c r="AK228" s="294" t="s">
        <v>39</v>
      </c>
    </row>
    <row r="229" spans="1:37" s="302" customFormat="1" ht="30" customHeight="1">
      <c r="A229" s="215" t="s">
        <v>198</v>
      </c>
      <c r="B229" s="215">
        <v>2619847500</v>
      </c>
      <c r="C229" s="215" t="s">
        <v>97</v>
      </c>
      <c r="D229" s="215" t="s">
        <v>77</v>
      </c>
      <c r="E229" s="215" t="s">
        <v>5</v>
      </c>
      <c r="F229" s="215" t="s">
        <v>656</v>
      </c>
      <c r="G229" s="215">
        <v>154</v>
      </c>
      <c r="H229" s="215" t="s">
        <v>318</v>
      </c>
      <c r="I229" s="215" t="s">
        <v>657</v>
      </c>
      <c r="J229" s="215" t="s">
        <v>97</v>
      </c>
      <c r="K229" s="215"/>
      <c r="L229" s="215" t="s">
        <v>658</v>
      </c>
      <c r="M229" s="215" t="s">
        <v>659</v>
      </c>
      <c r="N229" s="215" t="s">
        <v>310</v>
      </c>
      <c r="O229" s="290" t="s">
        <v>205</v>
      </c>
      <c r="P229" s="161"/>
      <c r="Q229" s="160" t="s">
        <v>206</v>
      </c>
      <c r="R229" s="161"/>
      <c r="S229" s="160" t="s">
        <v>206</v>
      </c>
      <c r="T229" s="161"/>
      <c r="U229" s="160" t="s">
        <v>206</v>
      </c>
      <c r="V229" s="161"/>
      <c r="W229" s="160" t="s">
        <v>206</v>
      </c>
      <c r="X229" s="161"/>
      <c r="Y229" s="160" t="s">
        <v>206</v>
      </c>
      <c r="Z229" s="161"/>
      <c r="AA229" s="160" t="s">
        <v>206</v>
      </c>
      <c r="AB229" s="161"/>
      <c r="AC229" s="160" t="s">
        <v>206</v>
      </c>
      <c r="AD229" s="161"/>
      <c r="AE229" s="160" t="s">
        <v>239</v>
      </c>
      <c r="AF229" s="289" t="str">
        <f t="shared" si="9"/>
        <v>NC</v>
      </c>
      <c r="AG229" s="291" t="str">
        <f t="shared" si="10"/>
        <v>NÃO UTILIZOU O PDA</v>
      </c>
      <c r="AH229" s="160" t="s">
        <v>205</v>
      </c>
      <c r="AI229" s="292" t="s">
        <v>6</v>
      </c>
      <c r="AJ229" s="293" t="str">
        <f t="shared" si="11"/>
        <v>SÃO PAULO</v>
      </c>
      <c r="AK229" s="294" t="s">
        <v>39</v>
      </c>
    </row>
    <row r="230" spans="1:37" s="302" customFormat="1" ht="30" customHeight="1">
      <c r="A230" s="215" t="s">
        <v>198</v>
      </c>
      <c r="B230" s="215">
        <v>2619971192</v>
      </c>
      <c r="C230" s="215" t="s">
        <v>94</v>
      </c>
      <c r="D230" s="215" t="s">
        <v>77</v>
      </c>
      <c r="E230" s="215" t="s">
        <v>5</v>
      </c>
      <c r="F230" s="215" t="s">
        <v>660</v>
      </c>
      <c r="G230" s="215">
        <v>37</v>
      </c>
      <c r="H230" s="215" t="s">
        <v>226</v>
      </c>
      <c r="I230" s="215" t="s">
        <v>661</v>
      </c>
      <c r="J230" s="215" t="s">
        <v>94</v>
      </c>
      <c r="K230" s="215" t="s">
        <v>200</v>
      </c>
      <c r="L230" s="215" t="s">
        <v>662</v>
      </c>
      <c r="M230" s="215" t="s">
        <v>663</v>
      </c>
      <c r="N230" s="215" t="s">
        <v>310</v>
      </c>
      <c r="O230" s="290" t="s">
        <v>205</v>
      </c>
      <c r="P230" s="161"/>
      <c r="Q230" s="160" t="s">
        <v>205</v>
      </c>
      <c r="R230" s="161"/>
      <c r="S230" s="160" t="s">
        <v>205</v>
      </c>
      <c r="T230" s="161"/>
      <c r="U230" s="160" t="s">
        <v>205</v>
      </c>
      <c r="V230" s="161"/>
      <c r="W230" s="160" t="s">
        <v>205</v>
      </c>
      <c r="X230" s="161"/>
      <c r="Y230" s="160" t="s">
        <v>205</v>
      </c>
      <c r="Z230" s="161"/>
      <c r="AA230" s="160" t="s">
        <v>205</v>
      </c>
      <c r="AB230" s="161"/>
      <c r="AC230" s="160" t="s">
        <v>205</v>
      </c>
      <c r="AD230" s="161"/>
      <c r="AE230" s="160" t="s">
        <v>205</v>
      </c>
      <c r="AF230" s="289" t="str">
        <f t="shared" si="9"/>
        <v>C</v>
      </c>
      <c r="AG230" s="291" t="str">
        <f t="shared" si="10"/>
        <v>UTILIZOU O PDA CORRETAMENTE</v>
      </c>
      <c r="AH230" s="160" t="s">
        <v>205</v>
      </c>
      <c r="AI230" s="292" t="s">
        <v>6</v>
      </c>
      <c r="AJ230" s="293" t="str">
        <f t="shared" si="11"/>
        <v>SÃO PAULO</v>
      </c>
      <c r="AK230" s="294" t="s">
        <v>39</v>
      </c>
    </row>
    <row r="231" spans="1:37" s="302" customFormat="1" ht="30" customHeight="1">
      <c r="A231" s="215" t="s">
        <v>198</v>
      </c>
      <c r="B231" s="215">
        <v>2619847471</v>
      </c>
      <c r="C231" s="215" t="s">
        <v>95</v>
      </c>
      <c r="D231" s="215" t="s">
        <v>77</v>
      </c>
      <c r="E231" s="215" t="s">
        <v>5</v>
      </c>
      <c r="F231" s="215" t="s">
        <v>656</v>
      </c>
      <c r="G231" s="215">
        <v>154</v>
      </c>
      <c r="H231" s="215" t="s">
        <v>226</v>
      </c>
      <c r="I231" s="215" t="s">
        <v>657</v>
      </c>
      <c r="J231" s="215" t="s">
        <v>95</v>
      </c>
      <c r="K231" s="215" t="s">
        <v>313</v>
      </c>
      <c r="L231" s="215" t="s">
        <v>659</v>
      </c>
      <c r="M231" s="215" t="s">
        <v>664</v>
      </c>
      <c r="N231" s="215" t="s">
        <v>310</v>
      </c>
      <c r="O231" s="290" t="s">
        <v>205</v>
      </c>
      <c r="P231" s="161"/>
      <c r="Q231" s="160" t="s">
        <v>205</v>
      </c>
      <c r="R231" s="161"/>
      <c r="S231" s="160" t="s">
        <v>205</v>
      </c>
      <c r="T231" s="161"/>
      <c r="U231" s="160" t="s">
        <v>205</v>
      </c>
      <c r="V231" s="161"/>
      <c r="W231" s="160" t="s">
        <v>205</v>
      </c>
      <c r="X231" s="161"/>
      <c r="Y231" s="160" t="s">
        <v>205</v>
      </c>
      <c r="Z231" s="161"/>
      <c r="AA231" s="160" t="s">
        <v>205</v>
      </c>
      <c r="AB231" s="161"/>
      <c r="AC231" s="160" t="s">
        <v>205</v>
      </c>
      <c r="AD231" s="161"/>
      <c r="AE231" s="160" t="s">
        <v>205</v>
      </c>
      <c r="AF231" s="289" t="str">
        <f t="shared" si="9"/>
        <v>C</v>
      </c>
      <c r="AG231" s="291" t="str">
        <f t="shared" si="10"/>
        <v>UTILIZOU O PDA CORRETAMENTE</v>
      </c>
      <c r="AH231" s="160" t="s">
        <v>205</v>
      </c>
      <c r="AI231" s="292" t="s">
        <v>6</v>
      </c>
      <c r="AJ231" s="293" t="str">
        <f t="shared" si="11"/>
        <v>SÃO PAULO</v>
      </c>
      <c r="AK231" s="294" t="s">
        <v>39</v>
      </c>
    </row>
    <row r="232" spans="1:37" s="302" customFormat="1" ht="30" customHeight="1">
      <c r="A232" s="215" t="s">
        <v>198</v>
      </c>
      <c r="B232" s="215">
        <v>2619971197</v>
      </c>
      <c r="C232" s="215" t="s">
        <v>96</v>
      </c>
      <c r="D232" s="215" t="s">
        <v>77</v>
      </c>
      <c r="E232" s="215" t="s">
        <v>5</v>
      </c>
      <c r="F232" s="215" t="s">
        <v>660</v>
      </c>
      <c r="G232" s="215">
        <v>37</v>
      </c>
      <c r="H232" s="215" t="s">
        <v>318</v>
      </c>
      <c r="I232" s="215" t="s">
        <v>661</v>
      </c>
      <c r="J232" s="215" t="s">
        <v>96</v>
      </c>
      <c r="K232" s="215" t="s">
        <v>200</v>
      </c>
      <c r="L232" s="215" t="s">
        <v>665</v>
      </c>
      <c r="M232" s="215" t="s">
        <v>666</v>
      </c>
      <c r="N232" s="215" t="s">
        <v>310</v>
      </c>
      <c r="O232" s="290" t="s">
        <v>205</v>
      </c>
      <c r="P232" s="161"/>
      <c r="Q232" s="160" t="s">
        <v>239</v>
      </c>
      <c r="R232" s="161" t="s">
        <v>667</v>
      </c>
      <c r="S232" s="160" t="s">
        <v>62</v>
      </c>
      <c r="T232" s="161"/>
      <c r="U232" s="160" t="s">
        <v>62</v>
      </c>
      <c r="V232" s="161"/>
      <c r="W232" s="160" t="s">
        <v>62</v>
      </c>
      <c r="X232" s="161"/>
      <c r="Y232" s="160" t="s">
        <v>62</v>
      </c>
      <c r="Z232" s="161"/>
      <c r="AA232" s="160" t="s">
        <v>62</v>
      </c>
      <c r="AB232" s="161"/>
      <c r="AC232" s="160" t="s">
        <v>205</v>
      </c>
      <c r="AD232" s="161"/>
      <c r="AE232" s="160" t="s">
        <v>205</v>
      </c>
      <c r="AF232" s="289" t="str">
        <f t="shared" si="9"/>
        <v>NC</v>
      </c>
      <c r="AG232" s="291" t="str">
        <f t="shared" si="10"/>
        <v>UTILIZOU O PDA CORRETAMENTE. NÃO HÁ FOTOS DE TODAS AS ETAPAS</v>
      </c>
      <c r="AH232" s="160" t="s">
        <v>205</v>
      </c>
      <c r="AI232" s="292" t="s">
        <v>6</v>
      </c>
      <c r="AJ232" s="293" t="str">
        <f t="shared" si="11"/>
        <v>SÃO PAULO</v>
      </c>
      <c r="AK232" s="294" t="s">
        <v>39</v>
      </c>
    </row>
    <row r="233" spans="1:37" s="302" customFormat="1" ht="30" customHeight="1">
      <c r="A233" s="215" t="s">
        <v>198</v>
      </c>
      <c r="B233" s="215">
        <v>2619212083</v>
      </c>
      <c r="C233" s="215" t="s">
        <v>314</v>
      </c>
      <c r="D233" s="215" t="s">
        <v>77</v>
      </c>
      <c r="E233" s="215" t="s">
        <v>5</v>
      </c>
      <c r="F233" s="215" t="s">
        <v>668</v>
      </c>
      <c r="G233" s="215">
        <v>75</v>
      </c>
      <c r="H233" s="215" t="s">
        <v>669</v>
      </c>
      <c r="I233" s="215" t="s">
        <v>624</v>
      </c>
      <c r="J233" s="215" t="s">
        <v>317</v>
      </c>
      <c r="K233" s="215" t="s">
        <v>670</v>
      </c>
      <c r="L233" s="215" t="s">
        <v>671</v>
      </c>
      <c r="M233" s="215" t="s">
        <v>672</v>
      </c>
      <c r="N233" s="215" t="s">
        <v>254</v>
      </c>
      <c r="O233" s="290" t="s">
        <v>205</v>
      </c>
      <c r="P233" s="161"/>
      <c r="Q233" s="160" t="s">
        <v>205</v>
      </c>
      <c r="R233" s="161"/>
      <c r="S233" s="160" t="s">
        <v>205</v>
      </c>
      <c r="T233" s="161"/>
      <c r="U233" s="160" t="s">
        <v>205</v>
      </c>
      <c r="V233" s="161"/>
      <c r="W233" s="160" t="s">
        <v>205</v>
      </c>
      <c r="X233" s="161"/>
      <c r="Y233" s="160" t="s">
        <v>205</v>
      </c>
      <c r="Z233" s="161"/>
      <c r="AA233" s="160" t="s">
        <v>205</v>
      </c>
      <c r="AB233" s="161"/>
      <c r="AC233" s="160" t="s">
        <v>205</v>
      </c>
      <c r="AD233" s="161"/>
      <c r="AE233" s="160" t="s">
        <v>205</v>
      </c>
      <c r="AF233" s="289" t="str">
        <f t="shared" si="9"/>
        <v>C</v>
      </c>
      <c r="AG233" s="291" t="str">
        <f t="shared" si="10"/>
        <v>UTILIZOU O PDA CORRETAMENTE</v>
      </c>
      <c r="AH233" s="160" t="s">
        <v>205</v>
      </c>
      <c r="AI233" s="292" t="s">
        <v>6</v>
      </c>
      <c r="AJ233" s="293" t="str">
        <f t="shared" si="11"/>
        <v>SÃO PAULO</v>
      </c>
      <c r="AK233" s="294" t="s">
        <v>39</v>
      </c>
    </row>
    <row r="234" spans="1:37" s="302" customFormat="1" ht="30" customHeight="1">
      <c r="A234" s="215" t="s">
        <v>198</v>
      </c>
      <c r="B234" s="215">
        <v>2619212051</v>
      </c>
      <c r="C234" s="215" t="s">
        <v>314</v>
      </c>
      <c r="D234" s="215" t="s">
        <v>77</v>
      </c>
      <c r="E234" s="215" t="s">
        <v>5</v>
      </c>
      <c r="F234" s="215" t="s">
        <v>668</v>
      </c>
      <c r="G234" s="215">
        <v>75</v>
      </c>
      <c r="H234" s="215" t="s">
        <v>673</v>
      </c>
      <c r="I234" s="215" t="s">
        <v>624</v>
      </c>
      <c r="J234" s="215" t="s">
        <v>317</v>
      </c>
      <c r="K234" s="215" t="s">
        <v>670</v>
      </c>
      <c r="L234" s="215" t="s">
        <v>674</v>
      </c>
      <c r="M234" s="215" t="s">
        <v>675</v>
      </c>
      <c r="N234" s="215" t="s">
        <v>254</v>
      </c>
      <c r="O234" s="290" t="s">
        <v>205</v>
      </c>
      <c r="P234" s="161"/>
      <c r="Q234" s="160" t="s">
        <v>205</v>
      </c>
      <c r="R234" s="161"/>
      <c r="S234" s="160" t="s">
        <v>205</v>
      </c>
      <c r="T234" s="161"/>
      <c r="U234" s="160" t="s">
        <v>205</v>
      </c>
      <c r="V234" s="161"/>
      <c r="W234" s="160" t="s">
        <v>205</v>
      </c>
      <c r="X234" s="161"/>
      <c r="Y234" s="160" t="s">
        <v>205</v>
      </c>
      <c r="Z234" s="161"/>
      <c r="AA234" s="160" t="s">
        <v>205</v>
      </c>
      <c r="AB234" s="161"/>
      <c r="AC234" s="160" t="s">
        <v>205</v>
      </c>
      <c r="AD234" s="161"/>
      <c r="AE234" s="160" t="s">
        <v>205</v>
      </c>
      <c r="AF234" s="289" t="str">
        <f t="shared" si="9"/>
        <v>C</v>
      </c>
      <c r="AG234" s="291" t="str">
        <f t="shared" si="10"/>
        <v>UTILIZOU O PDA CORRETAMENTE</v>
      </c>
      <c r="AH234" s="160" t="s">
        <v>205</v>
      </c>
      <c r="AI234" s="292" t="s">
        <v>6</v>
      </c>
      <c r="AJ234" s="293" t="str">
        <f t="shared" si="11"/>
        <v>SÃO PAULO</v>
      </c>
      <c r="AK234" s="294" t="s">
        <v>39</v>
      </c>
    </row>
    <row r="235" spans="1:37" s="302" customFormat="1" ht="30" customHeight="1">
      <c r="A235" s="215" t="s">
        <v>198</v>
      </c>
      <c r="B235" s="215">
        <v>2619212066</v>
      </c>
      <c r="C235" s="215" t="s">
        <v>314</v>
      </c>
      <c r="D235" s="215" t="s">
        <v>77</v>
      </c>
      <c r="E235" s="215" t="s">
        <v>5</v>
      </c>
      <c r="F235" s="215" t="s">
        <v>668</v>
      </c>
      <c r="G235" s="215">
        <v>75</v>
      </c>
      <c r="H235" s="215" t="s">
        <v>676</v>
      </c>
      <c r="I235" s="215" t="s">
        <v>624</v>
      </c>
      <c r="J235" s="215" t="s">
        <v>317</v>
      </c>
      <c r="K235" s="215" t="s">
        <v>670</v>
      </c>
      <c r="L235" s="215" t="s">
        <v>677</v>
      </c>
      <c r="M235" s="215" t="s">
        <v>678</v>
      </c>
      <c r="N235" s="215" t="s">
        <v>254</v>
      </c>
      <c r="O235" s="290" t="s">
        <v>205</v>
      </c>
      <c r="P235" s="161"/>
      <c r="Q235" s="160" t="s">
        <v>205</v>
      </c>
      <c r="R235" s="161"/>
      <c r="S235" s="160" t="s">
        <v>205</v>
      </c>
      <c r="T235" s="161"/>
      <c r="U235" s="160" t="s">
        <v>205</v>
      </c>
      <c r="V235" s="161"/>
      <c r="W235" s="160" t="s">
        <v>205</v>
      </c>
      <c r="X235" s="161"/>
      <c r="Y235" s="160" t="s">
        <v>205</v>
      </c>
      <c r="Z235" s="161"/>
      <c r="AA235" s="160" t="s">
        <v>205</v>
      </c>
      <c r="AB235" s="161"/>
      <c r="AC235" s="160" t="s">
        <v>205</v>
      </c>
      <c r="AD235" s="161"/>
      <c r="AE235" s="160" t="s">
        <v>205</v>
      </c>
      <c r="AF235" s="289" t="str">
        <f t="shared" si="9"/>
        <v>C</v>
      </c>
      <c r="AG235" s="291" t="str">
        <f t="shared" si="10"/>
        <v>UTILIZOU O PDA CORRETAMENTE</v>
      </c>
      <c r="AH235" s="160" t="s">
        <v>205</v>
      </c>
      <c r="AI235" s="292" t="s">
        <v>6</v>
      </c>
      <c r="AJ235" s="293" t="str">
        <f t="shared" si="11"/>
        <v>SÃO PAULO</v>
      </c>
      <c r="AK235" s="294" t="s">
        <v>39</v>
      </c>
    </row>
    <row r="236" spans="1:37" s="302" customFormat="1" ht="30" customHeight="1">
      <c r="A236" s="215" t="s">
        <v>198</v>
      </c>
      <c r="B236" s="215">
        <v>2619212047</v>
      </c>
      <c r="C236" s="215" t="s">
        <v>314</v>
      </c>
      <c r="D236" s="215" t="s">
        <v>77</v>
      </c>
      <c r="E236" s="215" t="s">
        <v>5</v>
      </c>
      <c r="F236" s="215" t="s">
        <v>668</v>
      </c>
      <c r="G236" s="215">
        <v>75</v>
      </c>
      <c r="H236" s="215" t="s">
        <v>214</v>
      </c>
      <c r="I236" s="215" t="s">
        <v>624</v>
      </c>
      <c r="J236" s="215" t="s">
        <v>317</v>
      </c>
      <c r="K236" s="215" t="s">
        <v>679</v>
      </c>
      <c r="L236" s="215" t="s">
        <v>680</v>
      </c>
      <c r="M236" s="215" t="s">
        <v>681</v>
      </c>
      <c r="N236" s="215" t="s">
        <v>254</v>
      </c>
      <c r="O236" s="290" t="s">
        <v>205</v>
      </c>
      <c r="P236" s="161"/>
      <c r="Q236" s="160" t="s">
        <v>205</v>
      </c>
      <c r="R236" s="161"/>
      <c r="S236" s="160" t="s">
        <v>205</v>
      </c>
      <c r="T236" s="161"/>
      <c r="U236" s="160" t="s">
        <v>205</v>
      </c>
      <c r="V236" s="161"/>
      <c r="W236" s="160" t="s">
        <v>205</v>
      </c>
      <c r="X236" s="161"/>
      <c r="Y236" s="160" t="s">
        <v>205</v>
      </c>
      <c r="Z236" s="161"/>
      <c r="AA236" s="160" t="s">
        <v>205</v>
      </c>
      <c r="AB236" s="161"/>
      <c r="AC236" s="160" t="s">
        <v>205</v>
      </c>
      <c r="AD236" s="161"/>
      <c r="AE236" s="160" t="s">
        <v>205</v>
      </c>
      <c r="AF236" s="289" t="str">
        <f t="shared" si="9"/>
        <v>C</v>
      </c>
      <c r="AG236" s="291" t="str">
        <f t="shared" si="10"/>
        <v>UTILIZOU O PDA CORRETAMENTE</v>
      </c>
      <c r="AH236" s="160" t="s">
        <v>205</v>
      </c>
      <c r="AI236" s="292" t="s">
        <v>6</v>
      </c>
      <c r="AJ236" s="293" t="str">
        <f t="shared" si="11"/>
        <v>SÃO PAULO</v>
      </c>
      <c r="AK236" s="294" t="s">
        <v>39</v>
      </c>
    </row>
    <row r="237" spans="1:37" s="302" customFormat="1" ht="30" customHeight="1">
      <c r="A237" s="215" t="s">
        <v>198</v>
      </c>
      <c r="B237" s="215">
        <v>2619212049</v>
      </c>
      <c r="C237" s="215" t="s">
        <v>314</v>
      </c>
      <c r="D237" s="215" t="s">
        <v>77</v>
      </c>
      <c r="E237" s="215" t="s">
        <v>5</v>
      </c>
      <c r="F237" s="215" t="s">
        <v>668</v>
      </c>
      <c r="G237" s="215">
        <v>75</v>
      </c>
      <c r="H237" s="215" t="s">
        <v>417</v>
      </c>
      <c r="I237" s="215" t="s">
        <v>624</v>
      </c>
      <c r="J237" s="215" t="s">
        <v>317</v>
      </c>
      <c r="K237" s="215" t="s">
        <v>670</v>
      </c>
      <c r="L237" s="215" t="s">
        <v>682</v>
      </c>
      <c r="M237" s="215" t="s">
        <v>683</v>
      </c>
      <c r="N237" s="215" t="s">
        <v>254</v>
      </c>
      <c r="O237" s="290" t="s">
        <v>205</v>
      </c>
      <c r="P237" s="161"/>
      <c r="Q237" s="160" t="s">
        <v>205</v>
      </c>
      <c r="R237" s="161"/>
      <c r="S237" s="160" t="s">
        <v>205</v>
      </c>
      <c r="T237" s="161"/>
      <c r="U237" s="160" t="s">
        <v>205</v>
      </c>
      <c r="V237" s="161"/>
      <c r="W237" s="160" t="s">
        <v>205</v>
      </c>
      <c r="X237" s="161"/>
      <c r="Y237" s="160" t="s">
        <v>205</v>
      </c>
      <c r="Z237" s="161"/>
      <c r="AA237" s="160" t="s">
        <v>205</v>
      </c>
      <c r="AB237" s="161"/>
      <c r="AC237" s="160" t="s">
        <v>205</v>
      </c>
      <c r="AD237" s="161"/>
      <c r="AE237" s="160" t="s">
        <v>205</v>
      </c>
      <c r="AF237" s="289" t="str">
        <f t="shared" si="9"/>
        <v>C</v>
      </c>
      <c r="AG237" s="291" t="str">
        <f t="shared" si="10"/>
        <v>UTILIZOU O PDA CORRETAMENTE</v>
      </c>
      <c r="AH237" s="160" t="s">
        <v>205</v>
      </c>
      <c r="AI237" s="292" t="s">
        <v>6</v>
      </c>
      <c r="AJ237" s="293" t="str">
        <f t="shared" si="11"/>
        <v>SÃO PAULO</v>
      </c>
      <c r="AK237" s="294" t="s">
        <v>39</v>
      </c>
    </row>
    <row r="238" spans="1:37" s="302" customFormat="1" ht="30" customHeight="1">
      <c r="A238" s="215" t="s">
        <v>198</v>
      </c>
      <c r="B238" s="215">
        <v>2619212071</v>
      </c>
      <c r="C238" s="215" t="s">
        <v>314</v>
      </c>
      <c r="D238" s="215" t="s">
        <v>77</v>
      </c>
      <c r="E238" s="215" t="s">
        <v>5</v>
      </c>
      <c r="F238" s="215" t="s">
        <v>668</v>
      </c>
      <c r="G238" s="215">
        <v>75</v>
      </c>
      <c r="H238" s="215" t="s">
        <v>684</v>
      </c>
      <c r="I238" s="215" t="s">
        <v>624</v>
      </c>
      <c r="J238" s="215" t="s">
        <v>317</v>
      </c>
      <c r="K238" s="215" t="s">
        <v>670</v>
      </c>
      <c r="L238" s="215" t="s">
        <v>685</v>
      </c>
      <c r="M238" s="215" t="s">
        <v>686</v>
      </c>
      <c r="N238" s="215" t="s">
        <v>254</v>
      </c>
      <c r="O238" s="290" t="s">
        <v>205</v>
      </c>
      <c r="P238" s="161"/>
      <c r="Q238" s="160" t="s">
        <v>205</v>
      </c>
      <c r="R238" s="161"/>
      <c r="S238" s="160" t="s">
        <v>205</v>
      </c>
      <c r="T238" s="161"/>
      <c r="U238" s="160" t="s">
        <v>205</v>
      </c>
      <c r="V238" s="161"/>
      <c r="W238" s="160" t="s">
        <v>205</v>
      </c>
      <c r="X238" s="161"/>
      <c r="Y238" s="160" t="s">
        <v>205</v>
      </c>
      <c r="Z238" s="161"/>
      <c r="AA238" s="160" t="s">
        <v>205</v>
      </c>
      <c r="AB238" s="161"/>
      <c r="AC238" s="160" t="s">
        <v>205</v>
      </c>
      <c r="AD238" s="161"/>
      <c r="AE238" s="160" t="s">
        <v>205</v>
      </c>
      <c r="AF238" s="289" t="str">
        <f t="shared" si="9"/>
        <v>C</v>
      </c>
      <c r="AG238" s="291" t="str">
        <f t="shared" si="10"/>
        <v>UTILIZOU O PDA CORRETAMENTE</v>
      </c>
      <c r="AH238" s="160" t="s">
        <v>205</v>
      </c>
      <c r="AI238" s="292" t="s">
        <v>6</v>
      </c>
      <c r="AJ238" s="293" t="str">
        <f t="shared" si="11"/>
        <v>SÃO PAULO</v>
      </c>
      <c r="AK238" s="294" t="s">
        <v>39</v>
      </c>
    </row>
    <row r="239" spans="1:37" s="302" customFormat="1" ht="30" customHeight="1">
      <c r="A239" s="215" t="s">
        <v>198</v>
      </c>
      <c r="B239" s="215">
        <v>2619212070</v>
      </c>
      <c r="C239" s="215" t="s">
        <v>314</v>
      </c>
      <c r="D239" s="215" t="s">
        <v>77</v>
      </c>
      <c r="E239" s="215" t="s">
        <v>5</v>
      </c>
      <c r="F239" s="215" t="s">
        <v>668</v>
      </c>
      <c r="G239" s="215">
        <v>75</v>
      </c>
      <c r="H239" s="215" t="s">
        <v>687</v>
      </c>
      <c r="I239" s="215" t="s">
        <v>624</v>
      </c>
      <c r="J239" s="215" t="s">
        <v>317</v>
      </c>
      <c r="K239" s="215" t="s">
        <v>670</v>
      </c>
      <c r="L239" s="215" t="s">
        <v>688</v>
      </c>
      <c r="M239" s="215" t="s">
        <v>685</v>
      </c>
      <c r="N239" s="215" t="s">
        <v>254</v>
      </c>
      <c r="O239" s="290" t="s">
        <v>205</v>
      </c>
      <c r="P239" s="161"/>
      <c r="Q239" s="160" t="s">
        <v>205</v>
      </c>
      <c r="R239" s="161"/>
      <c r="S239" s="160" t="s">
        <v>205</v>
      </c>
      <c r="T239" s="161"/>
      <c r="U239" s="160" t="s">
        <v>205</v>
      </c>
      <c r="V239" s="161"/>
      <c r="W239" s="160" t="s">
        <v>205</v>
      </c>
      <c r="X239" s="161"/>
      <c r="Y239" s="160" t="s">
        <v>205</v>
      </c>
      <c r="Z239" s="161"/>
      <c r="AA239" s="160" t="s">
        <v>205</v>
      </c>
      <c r="AB239" s="161"/>
      <c r="AC239" s="160" t="s">
        <v>205</v>
      </c>
      <c r="AD239" s="161"/>
      <c r="AE239" s="160" t="s">
        <v>205</v>
      </c>
      <c r="AF239" s="289" t="str">
        <f t="shared" si="9"/>
        <v>C</v>
      </c>
      <c r="AG239" s="291" t="str">
        <f t="shared" si="10"/>
        <v>UTILIZOU O PDA CORRETAMENTE</v>
      </c>
      <c r="AH239" s="160" t="s">
        <v>205</v>
      </c>
      <c r="AI239" s="292" t="s">
        <v>6</v>
      </c>
      <c r="AJ239" s="293" t="str">
        <f t="shared" si="11"/>
        <v>SÃO PAULO</v>
      </c>
      <c r="AK239" s="294" t="s">
        <v>39</v>
      </c>
    </row>
    <row r="240" spans="1:37" s="302" customFormat="1" ht="30" customHeight="1">
      <c r="A240" s="215" t="s">
        <v>198</v>
      </c>
      <c r="B240" s="215">
        <v>2619212069</v>
      </c>
      <c r="C240" s="215" t="s">
        <v>314</v>
      </c>
      <c r="D240" s="215" t="s">
        <v>77</v>
      </c>
      <c r="E240" s="215" t="s">
        <v>5</v>
      </c>
      <c r="F240" s="215" t="s">
        <v>668</v>
      </c>
      <c r="G240" s="215">
        <v>75</v>
      </c>
      <c r="H240" s="215" t="s">
        <v>689</v>
      </c>
      <c r="I240" s="215" t="s">
        <v>624</v>
      </c>
      <c r="J240" s="215" t="s">
        <v>317</v>
      </c>
      <c r="K240" s="215" t="s">
        <v>690</v>
      </c>
      <c r="L240" s="215" t="s">
        <v>691</v>
      </c>
      <c r="M240" s="215" t="s">
        <v>688</v>
      </c>
      <c r="N240" s="215" t="s">
        <v>254</v>
      </c>
      <c r="O240" s="290" t="s">
        <v>205</v>
      </c>
      <c r="P240" s="161"/>
      <c r="Q240" s="160" t="s">
        <v>205</v>
      </c>
      <c r="R240" s="161"/>
      <c r="S240" s="160" t="s">
        <v>205</v>
      </c>
      <c r="T240" s="161"/>
      <c r="U240" s="160" t="s">
        <v>205</v>
      </c>
      <c r="V240" s="161"/>
      <c r="W240" s="160" t="s">
        <v>205</v>
      </c>
      <c r="X240" s="161"/>
      <c r="Y240" s="160" t="s">
        <v>205</v>
      </c>
      <c r="Z240" s="161"/>
      <c r="AA240" s="160" t="s">
        <v>205</v>
      </c>
      <c r="AB240" s="161"/>
      <c r="AC240" s="160" t="s">
        <v>205</v>
      </c>
      <c r="AD240" s="161"/>
      <c r="AE240" s="160" t="s">
        <v>205</v>
      </c>
      <c r="AF240" s="289" t="str">
        <f t="shared" si="9"/>
        <v>C</v>
      </c>
      <c r="AG240" s="291" t="str">
        <f t="shared" si="10"/>
        <v>UTILIZOU O PDA CORRETAMENTE</v>
      </c>
      <c r="AH240" s="160" t="s">
        <v>205</v>
      </c>
      <c r="AI240" s="292" t="s">
        <v>6</v>
      </c>
      <c r="AJ240" s="293" t="str">
        <f t="shared" si="11"/>
        <v>SÃO PAULO</v>
      </c>
      <c r="AK240" s="294" t="s">
        <v>39</v>
      </c>
    </row>
    <row r="241" spans="1:37" s="302" customFormat="1" ht="30" customHeight="1">
      <c r="A241" s="215" t="s">
        <v>198</v>
      </c>
      <c r="B241" s="215">
        <v>2620076459</v>
      </c>
      <c r="C241" s="215" t="s">
        <v>106</v>
      </c>
      <c r="D241" s="215" t="s">
        <v>81</v>
      </c>
      <c r="E241" s="215" t="s">
        <v>5</v>
      </c>
      <c r="F241" s="215" t="s">
        <v>282</v>
      </c>
      <c r="G241" s="215">
        <v>89</v>
      </c>
      <c r="H241" s="215"/>
      <c r="I241" s="215" t="s">
        <v>283</v>
      </c>
      <c r="J241" s="215" t="s">
        <v>281</v>
      </c>
      <c r="K241" s="215" t="s">
        <v>692</v>
      </c>
      <c r="L241" s="215" t="s">
        <v>693</v>
      </c>
      <c r="M241" s="215" t="s">
        <v>694</v>
      </c>
      <c r="N241" s="215" t="s">
        <v>326</v>
      </c>
      <c r="O241" s="290" t="s">
        <v>205</v>
      </c>
      <c r="P241" s="161"/>
      <c r="Q241" s="160" t="s">
        <v>205</v>
      </c>
      <c r="R241" s="161"/>
      <c r="S241" s="160" t="s">
        <v>205</v>
      </c>
      <c r="T241" s="161"/>
      <c r="U241" s="160" t="s">
        <v>205</v>
      </c>
      <c r="V241" s="161"/>
      <c r="W241" s="160" t="s">
        <v>205</v>
      </c>
      <c r="X241" s="161"/>
      <c r="Y241" s="160" t="s">
        <v>62</v>
      </c>
      <c r="Z241" s="161"/>
      <c r="AA241" s="160" t="s">
        <v>205</v>
      </c>
      <c r="AB241" s="161"/>
      <c r="AC241" s="160" t="s">
        <v>205</v>
      </c>
      <c r="AD241" s="161"/>
      <c r="AE241" s="160" t="s">
        <v>205</v>
      </c>
      <c r="AF241" s="289" t="str">
        <f t="shared" si="9"/>
        <v>C</v>
      </c>
      <c r="AG241" s="291" t="str">
        <f t="shared" si="10"/>
        <v>UTILIZOU O PDA CORRETAMENTE</v>
      </c>
      <c r="AH241" s="160"/>
      <c r="AI241" s="292" t="s">
        <v>6</v>
      </c>
      <c r="AJ241" s="293" t="str">
        <f t="shared" si="11"/>
        <v>SÃO PAULO</v>
      </c>
      <c r="AK241" s="294" t="s">
        <v>39</v>
      </c>
    </row>
    <row r="242" spans="1:37" s="302" customFormat="1" ht="30" customHeight="1">
      <c r="A242" s="215" t="s">
        <v>198</v>
      </c>
      <c r="B242" s="215">
        <v>2619979318</v>
      </c>
      <c r="C242" s="215" t="s">
        <v>102</v>
      </c>
      <c r="D242" s="215" t="s">
        <v>81</v>
      </c>
      <c r="E242" s="215" t="s">
        <v>5</v>
      </c>
      <c r="F242" s="215" t="s">
        <v>695</v>
      </c>
      <c r="G242" s="215">
        <v>1371</v>
      </c>
      <c r="H242" s="215" t="s">
        <v>226</v>
      </c>
      <c r="I242" s="215" t="s">
        <v>274</v>
      </c>
      <c r="J242" s="215" t="s">
        <v>322</v>
      </c>
      <c r="K242" s="215" t="s">
        <v>200</v>
      </c>
      <c r="L242" s="215" t="s">
        <v>696</v>
      </c>
      <c r="M242" s="215" t="s">
        <v>697</v>
      </c>
      <c r="N242" s="215" t="s">
        <v>221</v>
      </c>
      <c r="O242" s="290" t="s">
        <v>205</v>
      </c>
      <c r="P242" s="161"/>
      <c r="Q242" s="160" t="s">
        <v>205</v>
      </c>
      <c r="R242" s="161"/>
      <c r="S242" s="160" t="s">
        <v>205</v>
      </c>
      <c r="T242" s="161"/>
      <c r="U242" s="160" t="s">
        <v>205</v>
      </c>
      <c r="V242" s="161"/>
      <c r="W242" s="160" t="s">
        <v>205</v>
      </c>
      <c r="X242" s="161"/>
      <c r="Y242" s="160" t="s">
        <v>205</v>
      </c>
      <c r="Z242" s="161"/>
      <c r="AA242" s="160" t="s">
        <v>205</v>
      </c>
      <c r="AB242" s="161"/>
      <c r="AC242" s="160" t="s">
        <v>205</v>
      </c>
      <c r="AD242" s="161"/>
      <c r="AE242" s="160" t="s">
        <v>205</v>
      </c>
      <c r="AF242" s="289" t="str">
        <f t="shared" si="9"/>
        <v>C</v>
      </c>
      <c r="AG242" s="291" t="str">
        <f t="shared" si="10"/>
        <v>UTILIZOU O PDA CORRETAMENTE</v>
      </c>
      <c r="AH242" s="160" t="s">
        <v>205</v>
      </c>
      <c r="AI242" s="292" t="s">
        <v>6</v>
      </c>
      <c r="AJ242" s="293" t="str">
        <f t="shared" si="11"/>
        <v>SÃO PAULO</v>
      </c>
      <c r="AK242" s="294" t="s">
        <v>39</v>
      </c>
    </row>
    <row r="243" spans="1:37" s="302" customFormat="1" ht="30" customHeight="1">
      <c r="A243" s="215" t="s">
        <v>198</v>
      </c>
      <c r="B243" s="215">
        <v>2619827627</v>
      </c>
      <c r="C243" s="215" t="s">
        <v>97</v>
      </c>
      <c r="D243" s="215" t="s">
        <v>77</v>
      </c>
      <c r="E243" s="215" t="s">
        <v>5</v>
      </c>
      <c r="F243" s="215" t="s">
        <v>698</v>
      </c>
      <c r="G243" s="215">
        <v>17</v>
      </c>
      <c r="H243" s="215" t="s">
        <v>250</v>
      </c>
      <c r="I243" s="215" t="s">
        <v>523</v>
      </c>
      <c r="J243" s="215" t="s">
        <v>97</v>
      </c>
      <c r="K243" s="215"/>
      <c r="L243" s="215" t="s">
        <v>699</v>
      </c>
      <c r="M243" s="215" t="s">
        <v>700</v>
      </c>
      <c r="N243" s="215" t="s">
        <v>235</v>
      </c>
      <c r="O243" s="290" t="s">
        <v>205</v>
      </c>
      <c r="P243" s="161"/>
      <c r="Q243" s="160" t="s">
        <v>205</v>
      </c>
      <c r="R243" s="161"/>
      <c r="S243" s="160" t="s">
        <v>205</v>
      </c>
      <c r="T243" s="161"/>
      <c r="U243" s="160" t="s">
        <v>205</v>
      </c>
      <c r="V243" s="161"/>
      <c r="W243" s="160" t="s">
        <v>205</v>
      </c>
      <c r="X243" s="161"/>
      <c r="Y243" s="160" t="s">
        <v>205</v>
      </c>
      <c r="Z243" s="161"/>
      <c r="AA243" s="160" t="s">
        <v>205</v>
      </c>
      <c r="AB243" s="161"/>
      <c r="AC243" s="160" t="s">
        <v>205</v>
      </c>
      <c r="AD243" s="161"/>
      <c r="AE243" s="160" t="s">
        <v>205</v>
      </c>
      <c r="AF243" s="289" t="str">
        <f t="shared" si="9"/>
        <v>C</v>
      </c>
      <c r="AG243" s="291" t="str">
        <f t="shared" si="10"/>
        <v>UTILIZOU O PDA CORRETAMENTE</v>
      </c>
      <c r="AH243" s="160" t="s">
        <v>205</v>
      </c>
      <c r="AI243" s="292" t="s">
        <v>6</v>
      </c>
      <c r="AJ243" s="293" t="str">
        <f t="shared" si="11"/>
        <v>SÃO PAULO</v>
      </c>
      <c r="AK243" s="294" t="s">
        <v>39</v>
      </c>
    </row>
    <row r="244" spans="1:37" s="302" customFormat="1" ht="30" customHeight="1">
      <c r="A244" s="215" t="s">
        <v>198</v>
      </c>
      <c r="B244" s="215">
        <v>2619827623</v>
      </c>
      <c r="C244" s="215" t="s">
        <v>97</v>
      </c>
      <c r="D244" s="215" t="s">
        <v>77</v>
      </c>
      <c r="E244" s="215" t="s">
        <v>5</v>
      </c>
      <c r="F244" s="215" t="s">
        <v>698</v>
      </c>
      <c r="G244" s="215">
        <v>17</v>
      </c>
      <c r="H244" s="215" t="s">
        <v>481</v>
      </c>
      <c r="I244" s="215" t="s">
        <v>523</v>
      </c>
      <c r="J244" s="215" t="s">
        <v>97</v>
      </c>
      <c r="K244" s="215" t="s">
        <v>200</v>
      </c>
      <c r="L244" s="215" t="s">
        <v>701</v>
      </c>
      <c r="M244" s="215" t="s">
        <v>702</v>
      </c>
      <c r="N244" s="215" t="s">
        <v>235</v>
      </c>
      <c r="O244" s="290" t="s">
        <v>205</v>
      </c>
      <c r="P244" s="161"/>
      <c r="Q244" s="160" t="s">
        <v>205</v>
      </c>
      <c r="R244" s="161"/>
      <c r="S244" s="160" t="s">
        <v>205</v>
      </c>
      <c r="T244" s="161"/>
      <c r="U244" s="160" t="s">
        <v>205</v>
      </c>
      <c r="V244" s="161"/>
      <c r="W244" s="160" t="s">
        <v>205</v>
      </c>
      <c r="X244" s="161"/>
      <c r="Y244" s="160" t="s">
        <v>205</v>
      </c>
      <c r="Z244" s="161"/>
      <c r="AA244" s="160" t="s">
        <v>205</v>
      </c>
      <c r="AB244" s="161"/>
      <c r="AC244" s="160" t="s">
        <v>205</v>
      </c>
      <c r="AD244" s="161"/>
      <c r="AE244" s="160" t="s">
        <v>205</v>
      </c>
      <c r="AF244" s="289" t="str">
        <f t="shared" si="9"/>
        <v>C</v>
      </c>
      <c r="AG244" s="291" t="str">
        <f t="shared" si="10"/>
        <v>UTILIZOU O PDA CORRETAMENTE</v>
      </c>
      <c r="AH244" s="160" t="s">
        <v>205</v>
      </c>
      <c r="AI244" s="292" t="s">
        <v>6</v>
      </c>
      <c r="AJ244" s="293" t="str">
        <f t="shared" si="11"/>
        <v>SÃO PAULO</v>
      </c>
      <c r="AK244" s="294" t="s">
        <v>39</v>
      </c>
    </row>
    <row r="245" spans="1:37" s="302" customFormat="1" ht="30" customHeight="1">
      <c r="A245" s="215" t="s">
        <v>198</v>
      </c>
      <c r="B245" s="215">
        <v>2619827562</v>
      </c>
      <c r="C245" s="215" t="s">
        <v>95</v>
      </c>
      <c r="D245" s="215" t="s">
        <v>77</v>
      </c>
      <c r="E245" s="215" t="s">
        <v>5</v>
      </c>
      <c r="F245" s="215" t="s">
        <v>698</v>
      </c>
      <c r="G245" s="215">
        <v>17</v>
      </c>
      <c r="H245" s="215" t="s">
        <v>226</v>
      </c>
      <c r="I245" s="215" t="s">
        <v>523</v>
      </c>
      <c r="J245" s="215" t="s">
        <v>95</v>
      </c>
      <c r="K245" s="215" t="s">
        <v>703</v>
      </c>
      <c r="L245" s="215" t="s">
        <v>704</v>
      </c>
      <c r="M245" s="215" t="s">
        <v>705</v>
      </c>
      <c r="N245" s="215" t="s">
        <v>235</v>
      </c>
      <c r="O245" s="290" t="s">
        <v>205</v>
      </c>
      <c r="P245" s="161"/>
      <c r="Q245" s="160" t="s">
        <v>205</v>
      </c>
      <c r="R245" s="161"/>
      <c r="S245" s="160" t="s">
        <v>205</v>
      </c>
      <c r="T245" s="161"/>
      <c r="U245" s="160" t="s">
        <v>205</v>
      </c>
      <c r="V245" s="161"/>
      <c r="W245" s="160" t="s">
        <v>205</v>
      </c>
      <c r="X245" s="161"/>
      <c r="Y245" s="160" t="s">
        <v>205</v>
      </c>
      <c r="Z245" s="161"/>
      <c r="AA245" s="160" t="s">
        <v>205</v>
      </c>
      <c r="AB245" s="161"/>
      <c r="AC245" s="160" t="s">
        <v>205</v>
      </c>
      <c r="AD245" s="161"/>
      <c r="AE245" s="160" t="s">
        <v>205</v>
      </c>
      <c r="AF245" s="289" t="str">
        <f t="shared" si="9"/>
        <v>C</v>
      </c>
      <c r="AG245" s="291" t="str">
        <f t="shared" si="10"/>
        <v>UTILIZOU O PDA CORRETAMENTE</v>
      </c>
      <c r="AH245" s="160" t="s">
        <v>205</v>
      </c>
      <c r="AI245" s="292" t="s">
        <v>6</v>
      </c>
      <c r="AJ245" s="293" t="str">
        <f t="shared" si="11"/>
        <v>SÃO PAULO</v>
      </c>
      <c r="AK245" s="294" t="s">
        <v>39</v>
      </c>
    </row>
    <row r="246" spans="1:37" s="302" customFormat="1" ht="30" customHeight="1">
      <c r="A246" s="215" t="s">
        <v>198</v>
      </c>
      <c r="B246" s="215">
        <v>2619827568</v>
      </c>
      <c r="C246" s="215" t="s">
        <v>97</v>
      </c>
      <c r="D246" s="215" t="s">
        <v>77</v>
      </c>
      <c r="E246" s="215" t="s">
        <v>5</v>
      </c>
      <c r="F246" s="215" t="s">
        <v>698</v>
      </c>
      <c r="G246" s="215">
        <v>17</v>
      </c>
      <c r="H246" s="215" t="s">
        <v>318</v>
      </c>
      <c r="I246" s="215" t="s">
        <v>523</v>
      </c>
      <c r="J246" s="215" t="s">
        <v>97</v>
      </c>
      <c r="K246" s="215" t="s">
        <v>200</v>
      </c>
      <c r="L246" s="215" t="s">
        <v>706</v>
      </c>
      <c r="M246" s="215" t="s">
        <v>707</v>
      </c>
      <c r="N246" s="215" t="s">
        <v>235</v>
      </c>
      <c r="O246" s="290" t="s">
        <v>205</v>
      </c>
      <c r="P246" s="161"/>
      <c r="Q246" s="160" t="s">
        <v>205</v>
      </c>
      <c r="R246" s="161"/>
      <c r="S246" s="160" t="s">
        <v>205</v>
      </c>
      <c r="T246" s="161"/>
      <c r="U246" s="160" t="s">
        <v>205</v>
      </c>
      <c r="V246" s="161"/>
      <c r="W246" s="160" t="s">
        <v>205</v>
      </c>
      <c r="X246" s="161"/>
      <c r="Y246" s="160" t="s">
        <v>205</v>
      </c>
      <c r="Z246" s="161"/>
      <c r="AA246" s="160" t="s">
        <v>205</v>
      </c>
      <c r="AB246" s="161"/>
      <c r="AC246" s="160" t="s">
        <v>205</v>
      </c>
      <c r="AD246" s="161"/>
      <c r="AE246" s="160" t="s">
        <v>205</v>
      </c>
      <c r="AF246" s="289" t="str">
        <f t="shared" si="9"/>
        <v>C</v>
      </c>
      <c r="AG246" s="291" t="str">
        <f t="shared" si="10"/>
        <v>UTILIZOU O PDA CORRETAMENTE</v>
      </c>
      <c r="AH246" s="160" t="s">
        <v>205</v>
      </c>
      <c r="AI246" s="292" t="s">
        <v>6</v>
      </c>
      <c r="AJ246" s="293" t="str">
        <f t="shared" si="11"/>
        <v>SÃO PAULO</v>
      </c>
      <c r="AK246" s="294" t="s">
        <v>39</v>
      </c>
    </row>
    <row r="247" spans="1:37" s="302" customFormat="1" ht="30" customHeight="1">
      <c r="A247" s="215" t="s">
        <v>198</v>
      </c>
      <c r="B247" s="215">
        <v>2619827646</v>
      </c>
      <c r="C247" s="215" t="s">
        <v>97</v>
      </c>
      <c r="D247" s="215" t="s">
        <v>77</v>
      </c>
      <c r="E247" s="215" t="s">
        <v>5</v>
      </c>
      <c r="F247" s="215" t="s">
        <v>698</v>
      </c>
      <c r="G247" s="215">
        <v>17</v>
      </c>
      <c r="H247" s="215" t="s">
        <v>708</v>
      </c>
      <c r="I247" s="215" t="s">
        <v>523</v>
      </c>
      <c r="J247" s="215" t="s">
        <v>97</v>
      </c>
      <c r="K247" s="215"/>
      <c r="L247" s="215" t="s">
        <v>700</v>
      </c>
      <c r="M247" s="215" t="s">
        <v>704</v>
      </c>
      <c r="N247" s="215" t="s">
        <v>235</v>
      </c>
      <c r="O247" s="290" t="s">
        <v>205</v>
      </c>
      <c r="P247" s="161"/>
      <c r="Q247" s="160" t="s">
        <v>205</v>
      </c>
      <c r="R247" s="161"/>
      <c r="S247" s="160" t="s">
        <v>205</v>
      </c>
      <c r="T247" s="161"/>
      <c r="U247" s="160" t="s">
        <v>205</v>
      </c>
      <c r="V247" s="161"/>
      <c r="W247" s="160" t="s">
        <v>205</v>
      </c>
      <c r="X247" s="161"/>
      <c r="Y247" s="160" t="s">
        <v>205</v>
      </c>
      <c r="Z247" s="161"/>
      <c r="AA247" s="160" t="s">
        <v>205</v>
      </c>
      <c r="AB247" s="161"/>
      <c r="AC247" s="160" t="s">
        <v>205</v>
      </c>
      <c r="AD247" s="161"/>
      <c r="AE247" s="160" t="s">
        <v>205</v>
      </c>
      <c r="AF247" s="289" t="str">
        <f t="shared" si="9"/>
        <v>C</v>
      </c>
      <c r="AG247" s="291" t="str">
        <f t="shared" si="10"/>
        <v>UTILIZOU O PDA CORRETAMENTE</v>
      </c>
      <c r="AH247" s="160" t="s">
        <v>205</v>
      </c>
      <c r="AI247" s="292" t="s">
        <v>6</v>
      </c>
      <c r="AJ247" s="293" t="str">
        <f t="shared" si="11"/>
        <v>SÃO PAULO</v>
      </c>
      <c r="AK247" s="294" t="s">
        <v>39</v>
      </c>
    </row>
    <row r="248" spans="1:37" s="302" customFormat="1" ht="30" customHeight="1">
      <c r="A248" s="215" t="s">
        <v>198</v>
      </c>
      <c r="B248" s="215">
        <v>2619827625</v>
      </c>
      <c r="C248" s="215" t="s">
        <v>97</v>
      </c>
      <c r="D248" s="215" t="s">
        <v>77</v>
      </c>
      <c r="E248" s="215" t="s">
        <v>5</v>
      </c>
      <c r="F248" s="215" t="s">
        <v>698</v>
      </c>
      <c r="G248" s="215">
        <v>17</v>
      </c>
      <c r="H248" s="215" t="s">
        <v>363</v>
      </c>
      <c r="I248" s="215" t="s">
        <v>523</v>
      </c>
      <c r="J248" s="215" t="s">
        <v>97</v>
      </c>
      <c r="K248" s="215" t="s">
        <v>200</v>
      </c>
      <c r="L248" s="215" t="s">
        <v>662</v>
      </c>
      <c r="M248" s="215" t="s">
        <v>699</v>
      </c>
      <c r="N248" s="215" t="s">
        <v>235</v>
      </c>
      <c r="O248" s="290" t="s">
        <v>205</v>
      </c>
      <c r="P248" s="161"/>
      <c r="Q248" s="160" t="s">
        <v>205</v>
      </c>
      <c r="R248" s="161"/>
      <c r="S248" s="160" t="s">
        <v>205</v>
      </c>
      <c r="T248" s="161"/>
      <c r="U248" s="160" t="s">
        <v>205</v>
      </c>
      <c r="V248" s="161"/>
      <c r="W248" s="160" t="s">
        <v>205</v>
      </c>
      <c r="X248" s="161"/>
      <c r="Y248" s="160" t="s">
        <v>205</v>
      </c>
      <c r="Z248" s="161"/>
      <c r="AA248" s="160" t="s">
        <v>205</v>
      </c>
      <c r="AB248" s="161"/>
      <c r="AC248" s="160" t="s">
        <v>205</v>
      </c>
      <c r="AD248" s="161"/>
      <c r="AE248" s="160" t="s">
        <v>205</v>
      </c>
      <c r="AF248" s="289" t="str">
        <f t="shared" si="9"/>
        <v>C</v>
      </c>
      <c r="AG248" s="291" t="str">
        <f t="shared" si="10"/>
        <v>UTILIZOU O PDA CORRETAMENTE</v>
      </c>
      <c r="AH248" s="160" t="s">
        <v>205</v>
      </c>
      <c r="AI248" s="292" t="s">
        <v>6</v>
      </c>
      <c r="AJ248" s="293" t="str">
        <f t="shared" si="11"/>
        <v>SÃO PAULO</v>
      </c>
      <c r="AK248" s="294" t="s">
        <v>39</v>
      </c>
    </row>
    <row r="249" spans="1:37" s="302" customFormat="1" ht="30" customHeight="1">
      <c r="A249" s="215" t="s">
        <v>198</v>
      </c>
      <c r="B249" s="215">
        <v>2619848020</v>
      </c>
      <c r="C249" s="215" t="s">
        <v>96</v>
      </c>
      <c r="D249" s="215" t="s">
        <v>77</v>
      </c>
      <c r="E249" s="215" t="s">
        <v>5</v>
      </c>
      <c r="F249" s="215" t="s">
        <v>709</v>
      </c>
      <c r="G249" s="215">
        <v>71</v>
      </c>
      <c r="H249" s="215" t="s">
        <v>417</v>
      </c>
      <c r="I249" s="215" t="s">
        <v>251</v>
      </c>
      <c r="J249" s="215" t="s">
        <v>96</v>
      </c>
      <c r="K249" s="215" t="s">
        <v>710</v>
      </c>
      <c r="L249" s="215" t="s">
        <v>711</v>
      </c>
      <c r="M249" s="215" t="s">
        <v>712</v>
      </c>
      <c r="N249" s="215" t="s">
        <v>235</v>
      </c>
      <c r="O249" s="290" t="s">
        <v>205</v>
      </c>
      <c r="P249" s="161"/>
      <c r="Q249" s="160" t="s">
        <v>62</v>
      </c>
      <c r="R249" s="161"/>
      <c r="S249" s="160" t="s">
        <v>62</v>
      </c>
      <c r="T249" s="161"/>
      <c r="U249" s="160" t="s">
        <v>62</v>
      </c>
      <c r="V249" s="161"/>
      <c r="W249" s="160" t="s">
        <v>62</v>
      </c>
      <c r="X249" s="161"/>
      <c r="Y249" s="160" t="s">
        <v>62</v>
      </c>
      <c r="Z249" s="161"/>
      <c r="AA249" s="160" t="s">
        <v>62</v>
      </c>
      <c r="AB249" s="161"/>
      <c r="AC249" s="160" t="s">
        <v>239</v>
      </c>
      <c r="AD249" s="161" t="s">
        <v>413</v>
      </c>
      <c r="AE249" s="160" t="s">
        <v>205</v>
      </c>
      <c r="AF249" s="289" t="str">
        <f t="shared" si="9"/>
        <v>NC</v>
      </c>
      <c r="AG249" s="291" t="str">
        <f t="shared" si="10"/>
        <v>UTILIZOU O PDA CORRETAMENTE. NÃO HÁ FOTOS DE TODAS AS ETAPAS</v>
      </c>
      <c r="AH249" s="160"/>
      <c r="AI249" s="292" t="s">
        <v>6</v>
      </c>
      <c r="AJ249" s="293" t="str">
        <f t="shared" si="11"/>
        <v>SÃO PAULO</v>
      </c>
      <c r="AK249" s="294" t="s">
        <v>39</v>
      </c>
    </row>
    <row r="250" spans="1:37" s="302" customFormat="1" ht="30" customHeight="1">
      <c r="A250" s="215" t="s">
        <v>198</v>
      </c>
      <c r="B250" s="215">
        <v>2619943075</v>
      </c>
      <c r="C250" s="215" t="s">
        <v>96</v>
      </c>
      <c r="D250" s="215" t="s">
        <v>77</v>
      </c>
      <c r="E250" s="215" t="s">
        <v>5</v>
      </c>
      <c r="F250" s="215" t="s">
        <v>709</v>
      </c>
      <c r="G250" s="215">
        <v>259</v>
      </c>
      <c r="H250" s="215" t="s">
        <v>481</v>
      </c>
      <c r="I250" s="215" t="s">
        <v>624</v>
      </c>
      <c r="J250" s="215" t="s">
        <v>96</v>
      </c>
      <c r="K250" s="215" t="s">
        <v>710</v>
      </c>
      <c r="L250" s="215" t="s">
        <v>713</v>
      </c>
      <c r="M250" s="215" t="s">
        <v>714</v>
      </c>
      <c r="N250" s="215" t="s">
        <v>235</v>
      </c>
      <c r="O250" s="290" t="s">
        <v>205</v>
      </c>
      <c r="P250" s="161"/>
      <c r="Q250" s="160" t="s">
        <v>62</v>
      </c>
      <c r="R250" s="161"/>
      <c r="S250" s="160" t="s">
        <v>62</v>
      </c>
      <c r="T250" s="161"/>
      <c r="U250" s="160" t="s">
        <v>62</v>
      </c>
      <c r="V250" s="161"/>
      <c r="W250" s="160" t="s">
        <v>62</v>
      </c>
      <c r="X250" s="161"/>
      <c r="Y250" s="160" t="s">
        <v>62</v>
      </c>
      <c r="Z250" s="161"/>
      <c r="AA250" s="160" t="s">
        <v>62</v>
      </c>
      <c r="AB250" s="161"/>
      <c r="AC250" s="160" t="s">
        <v>239</v>
      </c>
      <c r="AD250" s="161" t="s">
        <v>413</v>
      </c>
      <c r="AE250" s="160" t="s">
        <v>205</v>
      </c>
      <c r="AF250" s="289" t="str">
        <f t="shared" si="9"/>
        <v>NC</v>
      </c>
      <c r="AG250" s="291" t="str">
        <f t="shared" si="10"/>
        <v>UTILIZOU O PDA CORRETAMENTE. NÃO HÁ FOTOS DE TODAS AS ETAPAS</v>
      </c>
      <c r="AH250" s="160"/>
      <c r="AI250" s="292" t="s">
        <v>6</v>
      </c>
      <c r="AJ250" s="293" t="str">
        <f t="shared" si="11"/>
        <v>SÃO PAULO</v>
      </c>
      <c r="AK250" s="294" t="s">
        <v>39</v>
      </c>
    </row>
    <row r="251" spans="1:37" s="302" customFormat="1" ht="30" customHeight="1">
      <c r="A251" s="215" t="s">
        <v>198</v>
      </c>
      <c r="B251" s="215">
        <v>2619847995</v>
      </c>
      <c r="C251" s="215" t="s">
        <v>94</v>
      </c>
      <c r="D251" s="215" t="s">
        <v>77</v>
      </c>
      <c r="E251" s="215" t="s">
        <v>5</v>
      </c>
      <c r="F251" s="215" t="s">
        <v>709</v>
      </c>
      <c r="G251" s="215">
        <v>71</v>
      </c>
      <c r="H251" s="215" t="s">
        <v>214</v>
      </c>
      <c r="I251" s="215" t="s">
        <v>251</v>
      </c>
      <c r="J251" s="215" t="s">
        <v>94</v>
      </c>
      <c r="K251" s="215" t="s">
        <v>710</v>
      </c>
      <c r="L251" s="215" t="s">
        <v>715</v>
      </c>
      <c r="M251" s="215" t="s">
        <v>716</v>
      </c>
      <c r="N251" s="215" t="s">
        <v>235</v>
      </c>
      <c r="O251" s="290" t="s">
        <v>205</v>
      </c>
      <c r="P251" s="161"/>
      <c r="Q251" s="160" t="s">
        <v>62</v>
      </c>
      <c r="R251" s="161"/>
      <c r="S251" s="160" t="s">
        <v>62</v>
      </c>
      <c r="T251" s="161"/>
      <c r="U251" s="160" t="s">
        <v>62</v>
      </c>
      <c r="V251" s="161"/>
      <c r="W251" s="160" t="s">
        <v>62</v>
      </c>
      <c r="X251" s="161"/>
      <c r="Y251" s="160" t="s">
        <v>62</v>
      </c>
      <c r="Z251" s="161"/>
      <c r="AA251" s="160" t="s">
        <v>62</v>
      </c>
      <c r="AB251" s="161"/>
      <c r="AC251" s="160" t="s">
        <v>205</v>
      </c>
      <c r="AD251" s="161"/>
      <c r="AE251" s="160" t="s">
        <v>205</v>
      </c>
      <c r="AF251" s="289" t="str">
        <f t="shared" si="9"/>
        <v>C</v>
      </c>
      <c r="AG251" s="291" t="str">
        <f t="shared" si="10"/>
        <v>UTILIZOU O PDA CORRETAMENTE</v>
      </c>
      <c r="AH251" s="160" t="s">
        <v>205</v>
      </c>
      <c r="AI251" s="292" t="s">
        <v>6</v>
      </c>
      <c r="AJ251" s="293" t="str">
        <f t="shared" si="11"/>
        <v>SÃO PAULO</v>
      </c>
      <c r="AK251" s="294" t="s">
        <v>39</v>
      </c>
    </row>
    <row r="252" spans="1:37" s="302" customFormat="1" ht="30" customHeight="1">
      <c r="A252" s="215" t="s">
        <v>198</v>
      </c>
      <c r="B252" s="215">
        <v>2619943073</v>
      </c>
      <c r="C252" s="215" t="s">
        <v>96</v>
      </c>
      <c r="D252" s="215" t="s">
        <v>77</v>
      </c>
      <c r="E252" s="215" t="s">
        <v>5</v>
      </c>
      <c r="F252" s="215" t="s">
        <v>709</v>
      </c>
      <c r="G252" s="215">
        <v>259</v>
      </c>
      <c r="H252" s="215" t="s">
        <v>318</v>
      </c>
      <c r="I252" s="215" t="s">
        <v>624</v>
      </c>
      <c r="J252" s="215" t="s">
        <v>96</v>
      </c>
      <c r="K252" s="215" t="s">
        <v>710</v>
      </c>
      <c r="L252" s="215" t="s">
        <v>717</v>
      </c>
      <c r="M252" s="215" t="s">
        <v>718</v>
      </c>
      <c r="N252" s="215" t="s">
        <v>235</v>
      </c>
      <c r="O252" s="290" t="s">
        <v>205</v>
      </c>
      <c r="P252" s="161"/>
      <c r="Q252" s="160" t="s">
        <v>62</v>
      </c>
      <c r="R252" s="161"/>
      <c r="S252" s="160" t="s">
        <v>62</v>
      </c>
      <c r="T252" s="161"/>
      <c r="U252" s="160" t="s">
        <v>62</v>
      </c>
      <c r="V252" s="161"/>
      <c r="W252" s="160" t="s">
        <v>62</v>
      </c>
      <c r="X252" s="161"/>
      <c r="Y252" s="160" t="s">
        <v>62</v>
      </c>
      <c r="Z252" s="161"/>
      <c r="AA252" s="160" t="s">
        <v>62</v>
      </c>
      <c r="AB252" s="161"/>
      <c r="AC252" s="160" t="s">
        <v>239</v>
      </c>
      <c r="AD252" s="161" t="s">
        <v>413</v>
      </c>
      <c r="AE252" s="160" t="s">
        <v>205</v>
      </c>
      <c r="AF252" s="289" t="str">
        <f t="shared" si="9"/>
        <v>NC</v>
      </c>
      <c r="AG252" s="291" t="str">
        <f t="shared" si="10"/>
        <v>UTILIZOU O PDA CORRETAMENTE. NÃO HÁ FOTOS DE TODAS AS ETAPAS</v>
      </c>
      <c r="AH252" s="160" t="s">
        <v>205</v>
      </c>
      <c r="AI252" s="292" t="s">
        <v>6</v>
      </c>
      <c r="AJ252" s="293" t="str">
        <f t="shared" si="11"/>
        <v>SÃO PAULO</v>
      </c>
      <c r="AK252" s="294" t="s">
        <v>39</v>
      </c>
    </row>
    <row r="253" spans="1:37" s="302" customFormat="1" ht="30" customHeight="1">
      <c r="A253" s="215" t="s">
        <v>198</v>
      </c>
      <c r="B253" s="215">
        <v>2619943055</v>
      </c>
      <c r="C253" s="215" t="s">
        <v>94</v>
      </c>
      <c r="D253" s="215" t="s">
        <v>77</v>
      </c>
      <c r="E253" s="215" t="s">
        <v>5</v>
      </c>
      <c r="F253" s="215" t="s">
        <v>709</v>
      </c>
      <c r="G253" s="215">
        <v>259</v>
      </c>
      <c r="H253" s="215" t="s">
        <v>226</v>
      </c>
      <c r="I253" s="215" t="s">
        <v>624</v>
      </c>
      <c r="J253" s="215" t="s">
        <v>94</v>
      </c>
      <c r="K253" s="215" t="s">
        <v>710</v>
      </c>
      <c r="L253" s="215" t="s">
        <v>719</v>
      </c>
      <c r="M253" s="215" t="s">
        <v>720</v>
      </c>
      <c r="N253" s="215" t="s">
        <v>235</v>
      </c>
      <c r="O253" s="290" t="s">
        <v>205</v>
      </c>
      <c r="P253" s="161"/>
      <c r="Q253" s="160" t="s">
        <v>62</v>
      </c>
      <c r="R253" s="161"/>
      <c r="S253" s="160" t="s">
        <v>62</v>
      </c>
      <c r="T253" s="161"/>
      <c r="U253" s="160" t="s">
        <v>62</v>
      </c>
      <c r="V253" s="161"/>
      <c r="W253" s="160" t="s">
        <v>62</v>
      </c>
      <c r="X253" s="161"/>
      <c r="Y253" s="160" t="s">
        <v>62</v>
      </c>
      <c r="Z253" s="161"/>
      <c r="AA253" s="160" t="s">
        <v>62</v>
      </c>
      <c r="AB253" s="161"/>
      <c r="AC253" s="160" t="s">
        <v>205</v>
      </c>
      <c r="AD253" s="161"/>
      <c r="AE253" s="160" t="s">
        <v>205</v>
      </c>
      <c r="AF253" s="289" t="str">
        <f t="shared" si="9"/>
        <v>C</v>
      </c>
      <c r="AG253" s="291" t="str">
        <f t="shared" si="10"/>
        <v>UTILIZOU O PDA CORRETAMENTE</v>
      </c>
      <c r="AH253" s="160" t="s">
        <v>205</v>
      </c>
      <c r="AI253" s="292" t="s">
        <v>6</v>
      </c>
      <c r="AJ253" s="293" t="str">
        <f t="shared" si="11"/>
        <v>SÃO PAULO</v>
      </c>
      <c r="AK253" s="294" t="s">
        <v>39</v>
      </c>
    </row>
    <row r="254" spans="1:37" s="302" customFormat="1" ht="30" customHeight="1">
      <c r="A254" s="215" t="s">
        <v>198</v>
      </c>
      <c r="B254" s="215">
        <v>2693150087</v>
      </c>
      <c r="C254" s="215" t="s">
        <v>107</v>
      </c>
      <c r="D254" s="215" t="s">
        <v>81</v>
      </c>
      <c r="E254" s="215" t="s">
        <v>5</v>
      </c>
      <c r="F254" s="215" t="s">
        <v>721</v>
      </c>
      <c r="G254" s="215">
        <v>1482</v>
      </c>
      <c r="H254" s="215" t="s">
        <v>226</v>
      </c>
      <c r="I254" s="215" t="s">
        <v>215</v>
      </c>
      <c r="J254" s="215" t="s">
        <v>220</v>
      </c>
      <c r="K254" s="215" t="s">
        <v>722</v>
      </c>
      <c r="L254" s="215" t="s">
        <v>723</v>
      </c>
      <c r="M254" s="215" t="s">
        <v>724</v>
      </c>
      <c r="N254" s="215" t="s">
        <v>341</v>
      </c>
      <c r="O254" s="290" t="s">
        <v>205</v>
      </c>
      <c r="P254" s="161"/>
      <c r="Q254" s="160" t="s">
        <v>205</v>
      </c>
      <c r="R254" s="161"/>
      <c r="S254" s="160" t="s">
        <v>62</v>
      </c>
      <c r="T254" s="161"/>
      <c r="U254" s="160" t="s">
        <v>62</v>
      </c>
      <c r="V254" s="161"/>
      <c r="W254" s="160" t="s">
        <v>62</v>
      </c>
      <c r="X254" s="161"/>
      <c r="Y254" s="160" t="s">
        <v>62</v>
      </c>
      <c r="Z254" s="161"/>
      <c r="AA254" s="160" t="s">
        <v>62</v>
      </c>
      <c r="AB254" s="161"/>
      <c r="AC254" s="160" t="s">
        <v>206</v>
      </c>
      <c r="AD254" s="161"/>
      <c r="AE254" s="160" t="s">
        <v>205</v>
      </c>
      <c r="AF254" s="289" t="str">
        <f t="shared" si="9"/>
        <v>NC</v>
      </c>
      <c r="AG254" s="291" t="str">
        <f t="shared" si="10"/>
        <v>UTILIZOU O PDA CORRETAMENTE. NÃO HÁ FOTOS DE TODAS AS ETAPAS</v>
      </c>
      <c r="AH254" s="160" t="s">
        <v>205</v>
      </c>
      <c r="AI254" s="292" t="s">
        <v>6</v>
      </c>
      <c r="AJ254" s="293" t="str">
        <f t="shared" si="11"/>
        <v>SÃO PAULO</v>
      </c>
      <c r="AK254" s="294" t="s">
        <v>39</v>
      </c>
    </row>
    <row r="255" spans="1:37" s="302" customFormat="1" ht="30" customHeight="1">
      <c r="A255" s="215" t="s">
        <v>198</v>
      </c>
      <c r="B255" s="215">
        <v>2620192509</v>
      </c>
      <c r="C255" s="215" t="s">
        <v>331</v>
      </c>
      <c r="D255" s="215" t="s">
        <v>79</v>
      </c>
      <c r="E255" s="215" t="s">
        <v>5</v>
      </c>
      <c r="F255" s="215" t="s">
        <v>332</v>
      </c>
      <c r="G255" s="215">
        <v>383</v>
      </c>
      <c r="H255" s="215"/>
      <c r="I255" s="215" t="s">
        <v>333</v>
      </c>
      <c r="J255" s="215" t="s">
        <v>334</v>
      </c>
      <c r="K255" s="215" t="s">
        <v>725</v>
      </c>
      <c r="L255" s="215" t="s">
        <v>726</v>
      </c>
      <c r="M255" s="215" t="s">
        <v>727</v>
      </c>
      <c r="N255" s="215" t="s">
        <v>212</v>
      </c>
      <c r="O255" s="290" t="s">
        <v>205</v>
      </c>
      <c r="P255" s="161"/>
      <c r="Q255" s="160" t="s">
        <v>205</v>
      </c>
      <c r="R255" s="161"/>
      <c r="S255" s="160" t="s">
        <v>205</v>
      </c>
      <c r="T255" s="161"/>
      <c r="U255" s="160" t="s">
        <v>205</v>
      </c>
      <c r="V255" s="161"/>
      <c r="W255" s="160" t="s">
        <v>205</v>
      </c>
      <c r="X255" s="161"/>
      <c r="Y255" s="160" t="s">
        <v>205</v>
      </c>
      <c r="Z255" s="161"/>
      <c r="AA255" s="160" t="s">
        <v>205</v>
      </c>
      <c r="AB255" s="161"/>
      <c r="AC255" s="160" t="s">
        <v>205</v>
      </c>
      <c r="AD255" s="161"/>
      <c r="AE255" s="160" t="s">
        <v>205</v>
      </c>
      <c r="AF255" s="289" t="str">
        <f t="shared" si="9"/>
        <v>C</v>
      </c>
      <c r="AG255" s="291" t="str">
        <f t="shared" si="10"/>
        <v>UTILIZOU O PDA CORRETAMENTE</v>
      </c>
      <c r="AH255" s="160" t="s">
        <v>205</v>
      </c>
      <c r="AI255" s="292" t="s">
        <v>6</v>
      </c>
      <c r="AJ255" s="293" t="str">
        <f t="shared" si="11"/>
        <v>SÃO PAULO</v>
      </c>
      <c r="AK255" s="294" t="s">
        <v>39</v>
      </c>
    </row>
    <row r="256" spans="1:37" s="302" customFormat="1" ht="30" customHeight="1">
      <c r="A256" s="215" t="s">
        <v>198</v>
      </c>
      <c r="B256" s="215">
        <v>2620192976</v>
      </c>
      <c r="C256" s="215" t="s">
        <v>331</v>
      </c>
      <c r="D256" s="215" t="s">
        <v>79</v>
      </c>
      <c r="E256" s="215" t="s">
        <v>5</v>
      </c>
      <c r="F256" s="215" t="s">
        <v>585</v>
      </c>
      <c r="G256" s="215">
        <v>111</v>
      </c>
      <c r="H256" s="215" t="s">
        <v>226</v>
      </c>
      <c r="I256" s="215" t="s">
        <v>620</v>
      </c>
      <c r="J256" s="215" t="s">
        <v>334</v>
      </c>
      <c r="K256" s="215" t="s">
        <v>728</v>
      </c>
      <c r="L256" s="215" t="s">
        <v>729</v>
      </c>
      <c r="M256" s="215" t="s">
        <v>730</v>
      </c>
      <c r="N256" s="215" t="s">
        <v>230</v>
      </c>
      <c r="O256" s="290" t="s">
        <v>205</v>
      </c>
      <c r="P256" s="161"/>
      <c r="Q256" s="160" t="s">
        <v>205</v>
      </c>
      <c r="R256" s="161"/>
      <c r="S256" s="160" t="s">
        <v>205</v>
      </c>
      <c r="T256" s="161"/>
      <c r="U256" s="160" t="s">
        <v>205</v>
      </c>
      <c r="V256" s="161"/>
      <c r="W256" s="160" t="s">
        <v>205</v>
      </c>
      <c r="X256" s="161"/>
      <c r="Y256" s="160" t="s">
        <v>205</v>
      </c>
      <c r="Z256" s="161"/>
      <c r="AA256" s="160" t="s">
        <v>205</v>
      </c>
      <c r="AB256" s="161"/>
      <c r="AC256" s="160" t="s">
        <v>205</v>
      </c>
      <c r="AD256" s="161"/>
      <c r="AE256" s="160" t="s">
        <v>205</v>
      </c>
      <c r="AF256" s="289" t="str">
        <f t="shared" si="9"/>
        <v>C</v>
      </c>
      <c r="AG256" s="291" t="str">
        <f t="shared" si="10"/>
        <v>UTILIZOU O PDA CORRETAMENTE</v>
      </c>
      <c r="AH256" s="160" t="s">
        <v>205</v>
      </c>
      <c r="AI256" s="292" t="s">
        <v>6</v>
      </c>
      <c r="AJ256" s="293" t="str">
        <f t="shared" si="11"/>
        <v>SÃO PAULO</v>
      </c>
      <c r="AK256" s="294" t="s">
        <v>39</v>
      </c>
    </row>
    <row r="257" spans="1:37" s="302" customFormat="1" ht="30" customHeight="1">
      <c r="A257" s="215" t="s">
        <v>198</v>
      </c>
      <c r="B257" s="215">
        <v>2613630877</v>
      </c>
      <c r="C257" s="215" t="s">
        <v>584</v>
      </c>
      <c r="D257" s="215" t="s">
        <v>80</v>
      </c>
      <c r="E257" s="215" t="s">
        <v>5</v>
      </c>
      <c r="F257" s="215" t="s">
        <v>731</v>
      </c>
      <c r="G257" s="215">
        <v>13</v>
      </c>
      <c r="H257" s="215" t="s">
        <v>226</v>
      </c>
      <c r="I257" s="215" t="s">
        <v>732</v>
      </c>
      <c r="J257" s="215" t="s">
        <v>586</v>
      </c>
      <c r="K257" s="219" t="s">
        <v>733</v>
      </c>
      <c r="L257" s="215" t="s">
        <v>734</v>
      </c>
      <c r="M257" s="215" t="s">
        <v>735</v>
      </c>
      <c r="N257" s="215" t="s">
        <v>212</v>
      </c>
      <c r="O257" s="290" t="s">
        <v>205</v>
      </c>
      <c r="P257" s="161"/>
      <c r="Q257" s="160" t="s">
        <v>205</v>
      </c>
      <c r="R257" s="161"/>
      <c r="S257" s="160" t="s">
        <v>205</v>
      </c>
      <c r="T257" s="161"/>
      <c r="U257" s="160" t="s">
        <v>205</v>
      </c>
      <c r="V257" s="161"/>
      <c r="W257" s="160" t="s">
        <v>205</v>
      </c>
      <c r="X257" s="161"/>
      <c r="Y257" s="160" t="s">
        <v>62</v>
      </c>
      <c r="Z257" s="161"/>
      <c r="AA257" s="160" t="s">
        <v>205</v>
      </c>
      <c r="AB257" s="161"/>
      <c r="AC257" s="160" t="s">
        <v>205</v>
      </c>
      <c r="AD257" s="161"/>
      <c r="AE257" s="160" t="s">
        <v>205</v>
      </c>
      <c r="AF257" s="289" t="str">
        <f t="shared" ref="AF257:AF319" si="12">IF(AND(O257="",Q257="",S257="",U257="",W257="",Y257="",AA257="",AC257=""),"",IF(OR(AND(O257&lt;&gt;"NA",O257&lt;&gt;"C",O257&lt;&gt;"NC",O257&lt;&gt;"SF",O257&lt;&gt;""),AND(Q257&lt;&gt;"NA",Q257&lt;&gt;"C",Q257&lt;&gt;"NC",Q257&lt;&gt;"SF",Q257&lt;&gt;""),AND(S257&lt;&gt;"NA",S257&lt;&gt;"C",S257&lt;&gt;"NC",S257&lt;&gt;"SF",S257&lt;&gt;""),AND(U257&lt;&gt;"NA",U257&lt;&gt;"C",U257&lt;&gt;"NC",U257&lt;&gt;"SF",U257&lt;&gt;""),AND(W257&lt;&gt;"NA",W257&lt;&gt;"C",W257&lt;&gt;"NC",W257&lt;&gt;"SF",W257&lt;&gt;""),AND(Y257&lt;&gt;"NA",Y257&lt;&gt;"C",Y257&lt;&gt;"NC",Y257&lt;&gt;"SF",Y257&lt;&gt;""),AND(AA257&lt;&gt;"NA",AA257&lt;&gt;"C",AA257&lt;&gt;"NC",AA257&lt;&gt;"SF",AA257&lt;&gt;""),AND(AC257&lt;&gt;"NA",AC257&lt;&gt;"C",AC257&lt;&gt;"NC",AC257&lt;&gt;"SF",AC257&lt;&gt;"")),"FALSO",IF(AND(O257="NA",Q257="NA",S257="NA",U257="NA",W257="NA",Y257="NA",AA257="NA",AC257="NA"),"NA",IF(OR(O257="NC",Q257="NC",S257="NC",U257="NC",W257="NC",Y257="NC",AA257="NC",AC257="NC",O257="SF",Q257="SF",S257="SF",U257="SF",W257="SF",Y257="SF",AA257="SF",AC257="SF"),"NC",IF(OR(O257="C",Q257="C",S257="C",U257="C",W257="C",Y257="C",AA257="C",AC257="C"),"C","")))))</f>
        <v>C</v>
      </c>
      <c r="AG257" s="291" t="str">
        <f t="shared" ref="AG257:AG319" si="13">IF(AND(AE257="C",AF257="C"),"UTILIZOU O PDA CORRETAMENTE",IF(AND(AE257="C",AF257="NC"),"UTILIZOU O PDA CORRETAMENTE. NÃO HÁ FOTOS DE TODAS AS ETAPAS",IF(AND(AE257="NC",AF257="NC"),"NÃO UTILIZOU O PDA",IF(AND(AE257="NA",AF257="NA"),"NÃO AVALIADO POR FALHA DE SINCRONISMO"))))</f>
        <v>UTILIZOU O PDA CORRETAMENTE</v>
      </c>
      <c r="AH257" s="160" t="s">
        <v>205</v>
      </c>
      <c r="AI257" s="292" t="s">
        <v>6</v>
      </c>
      <c r="AJ257" s="293" t="str">
        <f t="shared" ref="AJ257:AJ319" si="14">E257</f>
        <v>SÃO PAULO</v>
      </c>
      <c r="AK257" s="294" t="s">
        <v>39</v>
      </c>
    </row>
    <row r="258" spans="1:37" s="302" customFormat="1" ht="30" customHeight="1">
      <c r="A258" s="215" t="s">
        <v>198</v>
      </c>
      <c r="B258" s="215">
        <v>2617969248</v>
      </c>
      <c r="C258" s="215" t="s">
        <v>88</v>
      </c>
      <c r="D258" s="215" t="s">
        <v>80</v>
      </c>
      <c r="E258" s="215" t="s">
        <v>5</v>
      </c>
      <c r="F258" s="215" t="s">
        <v>736</v>
      </c>
      <c r="G258" s="215">
        <v>114</v>
      </c>
      <c r="H258" s="215" t="s">
        <v>200</v>
      </c>
      <c r="I258" s="215" t="s">
        <v>737</v>
      </c>
      <c r="J258" s="215" t="s">
        <v>738</v>
      </c>
      <c r="K258" s="219" t="s">
        <v>739</v>
      </c>
      <c r="L258" s="215" t="s">
        <v>734</v>
      </c>
      <c r="M258" s="215" t="s">
        <v>735</v>
      </c>
      <c r="N258" s="215" t="s">
        <v>212</v>
      </c>
      <c r="O258" s="290" t="s">
        <v>62</v>
      </c>
      <c r="P258" s="161"/>
      <c r="Q258" s="160" t="s">
        <v>62</v>
      </c>
      <c r="R258" s="161"/>
      <c r="S258" s="160" t="s">
        <v>62</v>
      </c>
      <c r="T258" s="161"/>
      <c r="U258" s="160" t="s">
        <v>62</v>
      </c>
      <c r="V258" s="161"/>
      <c r="W258" s="160" t="s">
        <v>62</v>
      </c>
      <c r="X258" s="161"/>
      <c r="Y258" s="160" t="s">
        <v>62</v>
      </c>
      <c r="Z258" s="161"/>
      <c r="AA258" s="160" t="s">
        <v>62</v>
      </c>
      <c r="AB258" s="161"/>
      <c r="AC258" s="160" t="s">
        <v>62</v>
      </c>
      <c r="AD258" s="161"/>
      <c r="AE258" s="160" t="s">
        <v>62</v>
      </c>
      <c r="AF258" s="289" t="str">
        <f t="shared" si="12"/>
        <v>NA</v>
      </c>
      <c r="AG258" s="291" t="str">
        <f t="shared" si="13"/>
        <v>NÃO AVALIADO POR FALHA DE SINCRONISMO</v>
      </c>
      <c r="AH258" s="160" t="s">
        <v>205</v>
      </c>
      <c r="AI258" s="292" t="s">
        <v>6</v>
      </c>
      <c r="AJ258" s="293" t="str">
        <f t="shared" si="14"/>
        <v>SÃO PAULO</v>
      </c>
      <c r="AK258" s="294" t="s">
        <v>39</v>
      </c>
    </row>
    <row r="259" spans="1:37" s="302" customFormat="1" ht="30" customHeight="1">
      <c r="A259" s="215" t="s">
        <v>198</v>
      </c>
      <c r="B259" s="215">
        <v>2620192717</v>
      </c>
      <c r="C259" s="215" t="s">
        <v>99</v>
      </c>
      <c r="D259" s="215" t="s">
        <v>81</v>
      </c>
      <c r="E259" s="215" t="s">
        <v>5</v>
      </c>
      <c r="F259" s="215" t="s">
        <v>695</v>
      </c>
      <c r="G259" s="215">
        <v>1371</v>
      </c>
      <c r="H259" s="215" t="s">
        <v>318</v>
      </c>
      <c r="I259" s="215" t="s">
        <v>274</v>
      </c>
      <c r="J259" s="215" t="s">
        <v>268</v>
      </c>
      <c r="K259" s="215" t="s">
        <v>740</v>
      </c>
      <c r="L259" s="215" t="s">
        <v>741</v>
      </c>
      <c r="M259" s="215" t="s">
        <v>742</v>
      </c>
      <c r="N259" s="215" t="s">
        <v>221</v>
      </c>
      <c r="O259" s="290" t="s">
        <v>205</v>
      </c>
      <c r="P259" s="161"/>
      <c r="Q259" s="160" t="s">
        <v>205</v>
      </c>
      <c r="R259" s="161"/>
      <c r="S259" s="160" t="s">
        <v>205</v>
      </c>
      <c r="T259" s="161"/>
      <c r="U259" s="160" t="s">
        <v>205</v>
      </c>
      <c r="V259" s="161"/>
      <c r="W259" s="160" t="s">
        <v>205</v>
      </c>
      <c r="X259" s="161"/>
      <c r="Y259" s="160" t="s">
        <v>205</v>
      </c>
      <c r="Z259" s="161"/>
      <c r="AA259" s="160" t="s">
        <v>205</v>
      </c>
      <c r="AB259" s="161"/>
      <c r="AC259" s="160" t="s">
        <v>205</v>
      </c>
      <c r="AD259" s="161"/>
      <c r="AE259" s="160" t="s">
        <v>205</v>
      </c>
      <c r="AF259" s="289" t="str">
        <f t="shared" si="12"/>
        <v>C</v>
      </c>
      <c r="AG259" s="291" t="str">
        <f t="shared" si="13"/>
        <v>UTILIZOU O PDA CORRETAMENTE</v>
      </c>
      <c r="AH259" s="160" t="s">
        <v>205</v>
      </c>
      <c r="AI259" s="292" t="s">
        <v>6</v>
      </c>
      <c r="AJ259" s="293" t="str">
        <f t="shared" si="14"/>
        <v>SÃO PAULO</v>
      </c>
      <c r="AK259" s="294" t="s">
        <v>39</v>
      </c>
    </row>
    <row r="260" spans="1:37" s="302" customFormat="1" ht="30" customHeight="1">
      <c r="A260" s="215" t="s">
        <v>198</v>
      </c>
      <c r="B260" s="215">
        <v>2619824616</v>
      </c>
      <c r="C260" s="215" t="s">
        <v>331</v>
      </c>
      <c r="D260" s="215" t="s">
        <v>79</v>
      </c>
      <c r="E260" s="215" t="s">
        <v>5</v>
      </c>
      <c r="F260" s="215" t="s">
        <v>332</v>
      </c>
      <c r="G260" s="215">
        <v>221</v>
      </c>
      <c r="H260" s="215" t="s">
        <v>226</v>
      </c>
      <c r="I260" s="215" t="s">
        <v>333</v>
      </c>
      <c r="J260" s="215" t="s">
        <v>334</v>
      </c>
      <c r="K260" s="215" t="s">
        <v>200</v>
      </c>
      <c r="L260" s="215" t="s">
        <v>743</v>
      </c>
      <c r="M260" s="215" t="s">
        <v>744</v>
      </c>
      <c r="N260" s="215" t="s">
        <v>212</v>
      </c>
      <c r="O260" s="290" t="s">
        <v>206</v>
      </c>
      <c r="P260" s="161"/>
      <c r="Q260" s="160" t="s">
        <v>206</v>
      </c>
      <c r="R260" s="161"/>
      <c r="S260" s="160" t="s">
        <v>206</v>
      </c>
      <c r="T260" s="161"/>
      <c r="U260" s="160" t="s">
        <v>206</v>
      </c>
      <c r="V260" s="161"/>
      <c r="W260" s="160" t="s">
        <v>206</v>
      </c>
      <c r="X260" s="161"/>
      <c r="Y260" s="160" t="s">
        <v>206</v>
      </c>
      <c r="Z260" s="161"/>
      <c r="AA260" s="160" t="s">
        <v>206</v>
      </c>
      <c r="AB260" s="161"/>
      <c r="AC260" s="160" t="s">
        <v>206</v>
      </c>
      <c r="AD260" s="161"/>
      <c r="AE260" s="160" t="s">
        <v>239</v>
      </c>
      <c r="AF260" s="289" t="str">
        <f t="shared" si="12"/>
        <v>NC</v>
      </c>
      <c r="AG260" s="291" t="str">
        <f t="shared" si="13"/>
        <v>NÃO UTILIZOU O PDA</v>
      </c>
      <c r="AH260" s="160" t="s">
        <v>205</v>
      </c>
      <c r="AI260" s="292" t="s">
        <v>6</v>
      </c>
      <c r="AJ260" s="293" t="str">
        <f t="shared" si="14"/>
        <v>SÃO PAULO</v>
      </c>
      <c r="AK260" s="294" t="s">
        <v>39</v>
      </c>
    </row>
    <row r="261" spans="1:37" s="302" customFormat="1" ht="30" customHeight="1">
      <c r="A261" s="215" t="s">
        <v>198</v>
      </c>
      <c r="B261" s="215">
        <v>2619819993</v>
      </c>
      <c r="C261" s="215" t="s">
        <v>331</v>
      </c>
      <c r="D261" s="215" t="s">
        <v>79</v>
      </c>
      <c r="E261" s="215" t="s">
        <v>5</v>
      </c>
      <c r="F261" s="215" t="s">
        <v>332</v>
      </c>
      <c r="G261" s="215">
        <v>221</v>
      </c>
      <c r="H261" s="215" t="s">
        <v>745</v>
      </c>
      <c r="I261" s="215" t="s">
        <v>333</v>
      </c>
      <c r="J261" s="215" t="s">
        <v>334</v>
      </c>
      <c r="K261" s="215" t="s">
        <v>746</v>
      </c>
      <c r="L261" s="215" t="s">
        <v>747</v>
      </c>
      <c r="M261" s="215" t="s">
        <v>748</v>
      </c>
      <c r="N261" s="215" t="s">
        <v>212</v>
      </c>
      <c r="O261" s="290" t="s">
        <v>205</v>
      </c>
      <c r="P261" s="161"/>
      <c r="Q261" s="160" t="s">
        <v>205</v>
      </c>
      <c r="R261" s="161"/>
      <c r="S261" s="160" t="s">
        <v>205</v>
      </c>
      <c r="T261" s="161"/>
      <c r="U261" s="160" t="s">
        <v>205</v>
      </c>
      <c r="V261" s="161"/>
      <c r="W261" s="160" t="s">
        <v>205</v>
      </c>
      <c r="X261" s="161"/>
      <c r="Y261" s="160" t="s">
        <v>205</v>
      </c>
      <c r="Z261" s="161"/>
      <c r="AA261" s="160" t="s">
        <v>205</v>
      </c>
      <c r="AB261" s="161"/>
      <c r="AC261" s="160" t="s">
        <v>205</v>
      </c>
      <c r="AD261" s="161"/>
      <c r="AE261" s="160" t="s">
        <v>205</v>
      </c>
      <c r="AF261" s="289" t="str">
        <f t="shared" si="12"/>
        <v>C</v>
      </c>
      <c r="AG261" s="291" t="str">
        <f t="shared" si="13"/>
        <v>UTILIZOU O PDA CORRETAMENTE</v>
      </c>
      <c r="AH261" s="160" t="s">
        <v>205</v>
      </c>
      <c r="AI261" s="292" t="s">
        <v>6</v>
      </c>
      <c r="AJ261" s="293" t="str">
        <f t="shared" si="14"/>
        <v>SÃO PAULO</v>
      </c>
      <c r="AK261" s="294" t="s">
        <v>39</v>
      </c>
    </row>
    <row r="262" spans="1:37" s="302" customFormat="1" ht="30" customHeight="1">
      <c r="A262" s="215" t="s">
        <v>198</v>
      </c>
      <c r="B262" s="215">
        <v>2693142626</v>
      </c>
      <c r="C262" s="215" t="s">
        <v>99</v>
      </c>
      <c r="D262" s="215" t="s">
        <v>81</v>
      </c>
      <c r="E262" s="215" t="s">
        <v>5</v>
      </c>
      <c r="F262" s="215" t="s">
        <v>749</v>
      </c>
      <c r="G262" s="215">
        <v>64</v>
      </c>
      <c r="H262" s="215"/>
      <c r="I262" s="215" t="s">
        <v>215</v>
      </c>
      <c r="J262" s="215" t="s">
        <v>268</v>
      </c>
      <c r="K262" s="215" t="s">
        <v>200</v>
      </c>
      <c r="L262" s="215" t="s">
        <v>750</v>
      </c>
      <c r="M262" s="215" t="s">
        <v>751</v>
      </c>
      <c r="N262" s="215" t="s">
        <v>359</v>
      </c>
      <c r="O262" s="290" t="s">
        <v>205</v>
      </c>
      <c r="P262" s="160"/>
      <c r="Q262" s="160" t="s">
        <v>205</v>
      </c>
      <c r="R262" s="328"/>
      <c r="S262" s="160" t="s">
        <v>205</v>
      </c>
      <c r="T262" s="160"/>
      <c r="U262" s="160" t="s">
        <v>205</v>
      </c>
      <c r="V262" s="160"/>
      <c r="W262" s="160" t="s">
        <v>205</v>
      </c>
      <c r="X262" s="160"/>
      <c r="Y262" s="160" t="s">
        <v>205</v>
      </c>
      <c r="Z262" s="160"/>
      <c r="AA262" s="160" t="s">
        <v>205</v>
      </c>
      <c r="AB262" s="160"/>
      <c r="AC262" s="160" t="s">
        <v>205</v>
      </c>
      <c r="AD262" s="160"/>
      <c r="AE262" s="160" t="s">
        <v>205</v>
      </c>
      <c r="AF262" s="289" t="str">
        <f t="shared" si="12"/>
        <v>C</v>
      </c>
      <c r="AG262" s="291" t="str">
        <f t="shared" si="13"/>
        <v>UTILIZOU O PDA CORRETAMENTE</v>
      </c>
      <c r="AH262" s="160" t="s">
        <v>205</v>
      </c>
      <c r="AI262" s="292" t="s">
        <v>6</v>
      </c>
      <c r="AJ262" s="293" t="str">
        <f t="shared" si="14"/>
        <v>SÃO PAULO</v>
      </c>
      <c r="AK262" s="294" t="s">
        <v>39</v>
      </c>
    </row>
    <row r="263" spans="1:37" s="302" customFormat="1" ht="30" customHeight="1">
      <c r="A263" s="215" t="s">
        <v>198</v>
      </c>
      <c r="B263" s="215">
        <v>2619948063</v>
      </c>
      <c r="C263" s="215" t="s">
        <v>99</v>
      </c>
      <c r="D263" s="215" t="s">
        <v>81</v>
      </c>
      <c r="E263" s="215" t="s">
        <v>5</v>
      </c>
      <c r="F263" s="215" t="s">
        <v>752</v>
      </c>
      <c r="G263" s="215">
        <v>141</v>
      </c>
      <c r="H263" s="215"/>
      <c r="I263" s="215" t="s">
        <v>219</v>
      </c>
      <c r="J263" s="215" t="s">
        <v>268</v>
      </c>
      <c r="K263" s="215"/>
      <c r="L263" s="215" t="s">
        <v>753</v>
      </c>
      <c r="M263" s="215" t="s">
        <v>754</v>
      </c>
      <c r="N263" s="215" t="s">
        <v>357</v>
      </c>
      <c r="O263" s="290" t="s">
        <v>205</v>
      </c>
      <c r="P263" s="160"/>
      <c r="Q263" s="327" t="s">
        <v>205</v>
      </c>
      <c r="R263" s="265"/>
      <c r="S263" s="290" t="s">
        <v>205</v>
      </c>
      <c r="T263" s="160"/>
      <c r="U263" s="160" t="s">
        <v>205</v>
      </c>
      <c r="V263" s="160"/>
      <c r="W263" s="160" t="s">
        <v>205</v>
      </c>
      <c r="X263" s="160"/>
      <c r="Y263" s="160" t="s">
        <v>205</v>
      </c>
      <c r="Z263" s="160"/>
      <c r="AA263" s="160" t="s">
        <v>205</v>
      </c>
      <c r="AB263" s="160"/>
      <c r="AC263" s="160" t="s">
        <v>205</v>
      </c>
      <c r="AD263" s="160"/>
      <c r="AE263" s="160" t="s">
        <v>205</v>
      </c>
      <c r="AF263" s="289" t="str">
        <f t="shared" si="12"/>
        <v>C</v>
      </c>
      <c r="AG263" s="291" t="str">
        <f t="shared" si="13"/>
        <v>UTILIZOU O PDA CORRETAMENTE</v>
      </c>
      <c r="AH263" s="160" t="s">
        <v>205</v>
      </c>
      <c r="AI263" s="292" t="s">
        <v>6</v>
      </c>
      <c r="AJ263" s="293" t="str">
        <f t="shared" si="14"/>
        <v>SÃO PAULO</v>
      </c>
      <c r="AK263" s="294" t="s">
        <v>39</v>
      </c>
    </row>
    <row r="264" spans="1:37" s="302" customFormat="1" ht="30" customHeight="1">
      <c r="A264" s="215" t="s">
        <v>198</v>
      </c>
      <c r="B264" s="215">
        <v>2693160350</v>
      </c>
      <c r="C264" s="215" t="s">
        <v>102</v>
      </c>
      <c r="D264" s="215" t="s">
        <v>81</v>
      </c>
      <c r="E264" s="215" t="s">
        <v>5</v>
      </c>
      <c r="F264" s="215" t="s">
        <v>755</v>
      </c>
      <c r="G264" s="215">
        <v>3</v>
      </c>
      <c r="H264" s="215" t="s">
        <v>200</v>
      </c>
      <c r="I264" s="215" t="s">
        <v>756</v>
      </c>
      <c r="J264" s="215" t="s">
        <v>220</v>
      </c>
      <c r="K264" s="215" t="s">
        <v>200</v>
      </c>
      <c r="L264" s="215" t="s">
        <v>757</v>
      </c>
      <c r="M264" s="215" t="s">
        <v>750</v>
      </c>
      <c r="N264" s="215" t="s">
        <v>326</v>
      </c>
      <c r="O264" s="290" t="s">
        <v>205</v>
      </c>
      <c r="P264" s="160"/>
      <c r="Q264" s="160" t="s">
        <v>205</v>
      </c>
      <c r="R264" s="317"/>
      <c r="S264" s="160" t="s">
        <v>205</v>
      </c>
      <c r="T264" s="160"/>
      <c r="U264" s="160" t="s">
        <v>205</v>
      </c>
      <c r="V264" s="160"/>
      <c r="W264" s="160" t="s">
        <v>205</v>
      </c>
      <c r="X264" s="160"/>
      <c r="Y264" s="160" t="s">
        <v>62</v>
      </c>
      <c r="Z264" s="160"/>
      <c r="AA264" s="160" t="s">
        <v>205</v>
      </c>
      <c r="AB264" s="160"/>
      <c r="AC264" s="160" t="s">
        <v>206</v>
      </c>
      <c r="AD264" s="160"/>
      <c r="AE264" s="160" t="s">
        <v>205</v>
      </c>
      <c r="AF264" s="289" t="str">
        <f t="shared" si="12"/>
        <v>NC</v>
      </c>
      <c r="AG264" s="291" t="str">
        <f t="shared" si="13"/>
        <v>UTILIZOU O PDA CORRETAMENTE. NÃO HÁ FOTOS DE TODAS AS ETAPAS</v>
      </c>
      <c r="AH264" s="318" t="s">
        <v>205</v>
      </c>
      <c r="AI264" s="292" t="s">
        <v>6</v>
      </c>
      <c r="AJ264" s="293" t="str">
        <f t="shared" si="14"/>
        <v>SÃO PAULO</v>
      </c>
      <c r="AK264" s="294" t="s">
        <v>39</v>
      </c>
    </row>
    <row r="265" spans="1:37" s="302" customFormat="1" ht="30" customHeight="1">
      <c r="A265" s="215" t="s">
        <v>198</v>
      </c>
      <c r="B265" s="215">
        <v>2619876865</v>
      </c>
      <c r="C265" s="215" t="s">
        <v>100</v>
      </c>
      <c r="D265" s="215" t="s">
        <v>81</v>
      </c>
      <c r="E265" s="215" t="s">
        <v>5</v>
      </c>
      <c r="F265" s="215" t="s">
        <v>758</v>
      </c>
      <c r="G265" s="215">
        <v>95</v>
      </c>
      <c r="H265" s="215" t="s">
        <v>226</v>
      </c>
      <c r="I265" s="215" t="s">
        <v>759</v>
      </c>
      <c r="J265" s="215" t="s">
        <v>243</v>
      </c>
      <c r="K265" s="215" t="s">
        <v>760</v>
      </c>
      <c r="L265" s="215" t="s">
        <v>761</v>
      </c>
      <c r="M265" s="215" t="s">
        <v>762</v>
      </c>
      <c r="N265" s="215" t="s">
        <v>230</v>
      </c>
      <c r="O265" s="290" t="s">
        <v>205</v>
      </c>
      <c r="P265" s="160"/>
      <c r="Q265" s="160" t="s">
        <v>205</v>
      </c>
      <c r="R265" s="160"/>
      <c r="S265" s="160" t="s">
        <v>205</v>
      </c>
      <c r="T265" s="160"/>
      <c r="U265" s="160" t="s">
        <v>205</v>
      </c>
      <c r="V265" s="160"/>
      <c r="W265" s="160" t="s">
        <v>205</v>
      </c>
      <c r="X265" s="160"/>
      <c r="Y265" s="160" t="s">
        <v>205</v>
      </c>
      <c r="Z265" s="160"/>
      <c r="AA265" s="160" t="s">
        <v>205</v>
      </c>
      <c r="AB265" s="160"/>
      <c r="AC265" s="160" t="s">
        <v>205</v>
      </c>
      <c r="AD265" s="160"/>
      <c r="AE265" s="160" t="s">
        <v>205</v>
      </c>
      <c r="AF265" s="289" t="str">
        <f t="shared" si="12"/>
        <v>C</v>
      </c>
      <c r="AG265" s="291" t="str">
        <f t="shared" si="13"/>
        <v>UTILIZOU O PDA CORRETAMENTE</v>
      </c>
      <c r="AH265" s="319" t="s">
        <v>205</v>
      </c>
      <c r="AI265" s="292" t="s">
        <v>6</v>
      </c>
      <c r="AJ265" s="293" t="str">
        <f t="shared" si="14"/>
        <v>SÃO PAULO</v>
      </c>
      <c r="AK265" s="294" t="s">
        <v>39</v>
      </c>
    </row>
    <row r="266" spans="1:37" s="302" customFormat="1" ht="30" customHeight="1">
      <c r="A266" s="215" t="s">
        <v>198</v>
      </c>
      <c r="B266" s="215">
        <v>2620184384</v>
      </c>
      <c r="C266" s="215" t="s">
        <v>105</v>
      </c>
      <c r="D266" s="215" t="s">
        <v>81</v>
      </c>
      <c r="E266" s="215" t="s">
        <v>5</v>
      </c>
      <c r="F266" s="215" t="s">
        <v>454</v>
      </c>
      <c r="G266" s="215">
        <v>535</v>
      </c>
      <c r="H266" s="215" t="s">
        <v>200</v>
      </c>
      <c r="I266" s="215" t="s">
        <v>402</v>
      </c>
      <c r="J266" s="215" t="s">
        <v>228</v>
      </c>
      <c r="K266" s="215" t="s">
        <v>763</v>
      </c>
      <c r="L266" s="215" t="s">
        <v>717</v>
      </c>
      <c r="M266" s="215" t="s">
        <v>764</v>
      </c>
      <c r="N266" s="215" t="s">
        <v>230</v>
      </c>
      <c r="O266" s="290" t="s">
        <v>205</v>
      </c>
      <c r="P266" s="160"/>
      <c r="Q266" s="160" t="s">
        <v>205</v>
      </c>
      <c r="R266" s="160"/>
      <c r="S266" s="160" t="s">
        <v>205</v>
      </c>
      <c r="T266" s="160"/>
      <c r="U266" s="160" t="s">
        <v>205</v>
      </c>
      <c r="V266" s="160"/>
      <c r="W266" s="160" t="s">
        <v>205</v>
      </c>
      <c r="X266" s="160"/>
      <c r="Y266" s="160" t="s">
        <v>62</v>
      </c>
      <c r="Z266" s="160"/>
      <c r="AA266" s="160" t="s">
        <v>205</v>
      </c>
      <c r="AB266" s="160"/>
      <c r="AC266" s="160" t="s">
        <v>205</v>
      </c>
      <c r="AD266" s="160"/>
      <c r="AE266" s="160" t="s">
        <v>205</v>
      </c>
      <c r="AF266" s="289" t="str">
        <f t="shared" si="12"/>
        <v>C</v>
      </c>
      <c r="AG266" s="291" t="str">
        <f t="shared" si="13"/>
        <v>UTILIZOU O PDA CORRETAMENTE</v>
      </c>
      <c r="AH266" s="318" t="s">
        <v>205</v>
      </c>
      <c r="AI266" s="292" t="s">
        <v>6</v>
      </c>
      <c r="AJ266" s="293" t="str">
        <f t="shared" si="14"/>
        <v>SÃO PAULO</v>
      </c>
      <c r="AK266" s="294" t="s">
        <v>39</v>
      </c>
    </row>
    <row r="267" spans="1:37" s="302" customFormat="1" ht="30" customHeight="1">
      <c r="A267" s="215" t="s">
        <v>198</v>
      </c>
      <c r="B267" s="215">
        <v>2620198550</v>
      </c>
      <c r="C267" s="215" t="s">
        <v>100</v>
      </c>
      <c r="D267" s="215" t="s">
        <v>81</v>
      </c>
      <c r="E267" s="215" t="s">
        <v>5</v>
      </c>
      <c r="F267" s="215" t="s">
        <v>765</v>
      </c>
      <c r="G267" s="215">
        <v>45</v>
      </c>
      <c r="H267" s="215" t="s">
        <v>226</v>
      </c>
      <c r="I267" s="215" t="s">
        <v>593</v>
      </c>
      <c r="J267" s="215" t="s">
        <v>243</v>
      </c>
      <c r="K267" s="215" t="s">
        <v>766</v>
      </c>
      <c r="L267" s="215" t="s">
        <v>767</v>
      </c>
      <c r="M267" s="215" t="s">
        <v>768</v>
      </c>
      <c r="N267" s="215" t="s">
        <v>248</v>
      </c>
      <c r="O267" s="290" t="s">
        <v>205</v>
      </c>
      <c r="P267" s="160"/>
      <c r="Q267" s="160" t="s">
        <v>205</v>
      </c>
      <c r="R267" s="160"/>
      <c r="S267" s="160" t="s">
        <v>205</v>
      </c>
      <c r="T267" s="160"/>
      <c r="U267" s="160" t="s">
        <v>205</v>
      </c>
      <c r="V267" s="160"/>
      <c r="W267" s="160" t="s">
        <v>205</v>
      </c>
      <c r="X267" s="160"/>
      <c r="Y267" s="160" t="s">
        <v>205</v>
      </c>
      <c r="Z267" s="160"/>
      <c r="AA267" s="160" t="s">
        <v>205</v>
      </c>
      <c r="AB267" s="160"/>
      <c r="AC267" s="160" t="s">
        <v>205</v>
      </c>
      <c r="AD267" s="160"/>
      <c r="AE267" s="160" t="s">
        <v>205</v>
      </c>
      <c r="AF267" s="289" t="str">
        <f t="shared" si="12"/>
        <v>C</v>
      </c>
      <c r="AG267" s="291" t="str">
        <f t="shared" si="13"/>
        <v>UTILIZOU O PDA CORRETAMENTE</v>
      </c>
      <c r="AH267" s="320" t="s">
        <v>205</v>
      </c>
      <c r="AI267" s="292" t="s">
        <v>6</v>
      </c>
      <c r="AJ267" s="293" t="str">
        <f t="shared" si="14"/>
        <v>SÃO PAULO</v>
      </c>
      <c r="AK267" s="294" t="s">
        <v>39</v>
      </c>
    </row>
    <row r="268" spans="1:37" s="302" customFormat="1" ht="30" customHeight="1">
      <c r="A268" s="215" t="s">
        <v>198</v>
      </c>
      <c r="B268" s="215">
        <v>2620197690</v>
      </c>
      <c r="C268" s="215" t="s">
        <v>103</v>
      </c>
      <c r="D268" s="215" t="s">
        <v>81</v>
      </c>
      <c r="E268" s="215" t="s">
        <v>5</v>
      </c>
      <c r="F268" s="215" t="s">
        <v>769</v>
      </c>
      <c r="G268" s="215">
        <v>739</v>
      </c>
      <c r="H268" s="215" t="s">
        <v>226</v>
      </c>
      <c r="I268" s="215" t="s">
        <v>246</v>
      </c>
      <c r="J268" s="215" t="s">
        <v>220</v>
      </c>
      <c r="K268" s="215" t="s">
        <v>388</v>
      </c>
      <c r="L268" s="215" t="s">
        <v>770</v>
      </c>
      <c r="M268" s="215" t="s">
        <v>771</v>
      </c>
      <c r="N268" s="215" t="s">
        <v>310</v>
      </c>
      <c r="O268" s="290" t="s">
        <v>205</v>
      </c>
      <c r="P268" s="160"/>
      <c r="Q268" s="160" t="s">
        <v>205</v>
      </c>
      <c r="R268" s="160"/>
      <c r="S268" s="160" t="s">
        <v>205</v>
      </c>
      <c r="T268" s="160"/>
      <c r="U268" s="160" t="s">
        <v>205</v>
      </c>
      <c r="V268" s="160"/>
      <c r="W268" s="160" t="s">
        <v>205</v>
      </c>
      <c r="X268" s="160"/>
      <c r="Y268" s="160" t="s">
        <v>205</v>
      </c>
      <c r="Z268" s="160"/>
      <c r="AA268" s="160" t="s">
        <v>205</v>
      </c>
      <c r="AB268" s="160"/>
      <c r="AC268" s="160" t="s">
        <v>205</v>
      </c>
      <c r="AD268" s="160"/>
      <c r="AE268" s="160" t="s">
        <v>205</v>
      </c>
      <c r="AF268" s="289" t="str">
        <f t="shared" si="12"/>
        <v>C</v>
      </c>
      <c r="AG268" s="291" t="str">
        <f t="shared" si="13"/>
        <v>UTILIZOU O PDA CORRETAMENTE</v>
      </c>
      <c r="AH268" s="320" t="s">
        <v>205</v>
      </c>
      <c r="AI268" s="292" t="s">
        <v>6</v>
      </c>
      <c r="AJ268" s="293" t="str">
        <f t="shared" si="14"/>
        <v>SÃO PAULO</v>
      </c>
      <c r="AK268" s="294" t="s">
        <v>39</v>
      </c>
    </row>
    <row r="269" spans="1:37" s="302" customFormat="1" ht="30" customHeight="1">
      <c r="A269" s="215" t="s">
        <v>198</v>
      </c>
      <c r="B269" s="215">
        <v>2693123582</v>
      </c>
      <c r="C269" s="215" t="s">
        <v>99</v>
      </c>
      <c r="D269" s="215" t="s">
        <v>81</v>
      </c>
      <c r="E269" s="215" t="s">
        <v>5</v>
      </c>
      <c r="F269" s="215" t="s">
        <v>765</v>
      </c>
      <c r="G269" s="215">
        <v>40</v>
      </c>
      <c r="H269" s="215"/>
      <c r="I269" s="215" t="s">
        <v>593</v>
      </c>
      <c r="J269" s="215" t="s">
        <v>268</v>
      </c>
      <c r="K269" s="215"/>
      <c r="L269" s="215" t="s">
        <v>753</v>
      </c>
      <c r="M269" s="215" t="s">
        <v>772</v>
      </c>
      <c r="N269" s="215" t="s">
        <v>248</v>
      </c>
      <c r="O269" s="290" t="s">
        <v>205</v>
      </c>
      <c r="P269" s="160"/>
      <c r="Q269" s="160" t="s">
        <v>205</v>
      </c>
      <c r="R269" s="160"/>
      <c r="S269" s="160" t="s">
        <v>205</v>
      </c>
      <c r="T269" s="160"/>
      <c r="U269" s="160" t="s">
        <v>205</v>
      </c>
      <c r="V269" s="160"/>
      <c r="W269" s="160" t="s">
        <v>205</v>
      </c>
      <c r="X269" s="160"/>
      <c r="Y269" s="160" t="s">
        <v>205</v>
      </c>
      <c r="Z269" s="160"/>
      <c r="AA269" s="160" t="s">
        <v>205</v>
      </c>
      <c r="AB269" s="160"/>
      <c r="AC269" s="160" t="s">
        <v>205</v>
      </c>
      <c r="AD269" s="160"/>
      <c r="AE269" s="160" t="s">
        <v>205</v>
      </c>
      <c r="AF269" s="289" t="str">
        <f t="shared" si="12"/>
        <v>C</v>
      </c>
      <c r="AG269" s="291" t="str">
        <f t="shared" si="13"/>
        <v>UTILIZOU O PDA CORRETAMENTE</v>
      </c>
      <c r="AH269" s="320" t="s">
        <v>205</v>
      </c>
      <c r="AI269" s="292" t="s">
        <v>6</v>
      </c>
      <c r="AJ269" s="293" t="str">
        <f t="shared" si="14"/>
        <v>SÃO PAULO</v>
      </c>
      <c r="AK269" s="294" t="s">
        <v>39</v>
      </c>
    </row>
    <row r="270" spans="1:37" s="302" customFormat="1" ht="30" customHeight="1">
      <c r="A270" s="215" t="s">
        <v>198</v>
      </c>
      <c r="B270" s="215">
        <v>2620241607</v>
      </c>
      <c r="C270" s="215" t="s">
        <v>101</v>
      </c>
      <c r="D270" s="215" t="s">
        <v>79</v>
      </c>
      <c r="E270" s="215" t="s">
        <v>5</v>
      </c>
      <c r="F270" s="215" t="s">
        <v>773</v>
      </c>
      <c r="G270" s="215">
        <v>116</v>
      </c>
      <c r="H270" s="215" t="s">
        <v>200</v>
      </c>
      <c r="I270" s="215" t="s">
        <v>438</v>
      </c>
      <c r="J270" s="215" t="s">
        <v>233</v>
      </c>
      <c r="K270" s="215" t="s">
        <v>774</v>
      </c>
      <c r="L270" s="215" t="s">
        <v>775</v>
      </c>
      <c r="M270" s="215" t="s">
        <v>776</v>
      </c>
      <c r="N270" s="215" t="s">
        <v>359</v>
      </c>
      <c r="O270" s="290" t="s">
        <v>205</v>
      </c>
      <c r="P270" s="160"/>
      <c r="Q270" s="160" t="s">
        <v>205</v>
      </c>
      <c r="R270" s="160"/>
      <c r="S270" s="160" t="s">
        <v>205</v>
      </c>
      <c r="T270" s="160"/>
      <c r="U270" s="160" t="s">
        <v>205</v>
      </c>
      <c r="V270" s="160"/>
      <c r="W270" s="160" t="s">
        <v>205</v>
      </c>
      <c r="X270" s="160"/>
      <c r="Y270" s="160" t="s">
        <v>205</v>
      </c>
      <c r="Z270" s="160"/>
      <c r="AA270" s="160" t="s">
        <v>205</v>
      </c>
      <c r="AB270" s="160"/>
      <c r="AC270" s="160" t="s">
        <v>205</v>
      </c>
      <c r="AD270" s="160"/>
      <c r="AE270" s="160" t="s">
        <v>205</v>
      </c>
      <c r="AF270" s="289" t="str">
        <f t="shared" si="12"/>
        <v>C</v>
      </c>
      <c r="AG270" s="291" t="str">
        <f t="shared" si="13"/>
        <v>UTILIZOU O PDA CORRETAMENTE</v>
      </c>
      <c r="AH270" s="320" t="s">
        <v>205</v>
      </c>
      <c r="AI270" s="292" t="s">
        <v>6</v>
      </c>
      <c r="AJ270" s="293" t="str">
        <f t="shared" si="14"/>
        <v>SÃO PAULO</v>
      </c>
      <c r="AK270" s="294" t="s">
        <v>39</v>
      </c>
    </row>
    <row r="271" spans="1:37" s="302" customFormat="1" ht="30" customHeight="1">
      <c r="A271" s="215" t="s">
        <v>198</v>
      </c>
      <c r="B271" s="215">
        <v>2620192275</v>
      </c>
      <c r="C271" s="215" t="s">
        <v>99</v>
      </c>
      <c r="D271" s="215" t="s">
        <v>81</v>
      </c>
      <c r="E271" s="215" t="s">
        <v>5</v>
      </c>
      <c r="F271" s="215" t="s">
        <v>777</v>
      </c>
      <c r="G271" s="215">
        <v>106</v>
      </c>
      <c r="H271" s="215"/>
      <c r="I271" s="215" t="s">
        <v>593</v>
      </c>
      <c r="J271" s="215" t="s">
        <v>268</v>
      </c>
      <c r="K271" s="215" t="s">
        <v>778</v>
      </c>
      <c r="L271" s="215" t="s">
        <v>779</v>
      </c>
      <c r="M271" s="215" t="s">
        <v>780</v>
      </c>
      <c r="N271" s="215" t="s">
        <v>248</v>
      </c>
      <c r="O271" s="290" t="s">
        <v>205</v>
      </c>
      <c r="P271" s="160"/>
      <c r="Q271" s="160" t="s">
        <v>205</v>
      </c>
      <c r="R271" s="160"/>
      <c r="S271" s="160" t="s">
        <v>205</v>
      </c>
      <c r="T271" s="160"/>
      <c r="U271" s="160" t="s">
        <v>205</v>
      </c>
      <c r="V271" s="160"/>
      <c r="W271" s="160" t="s">
        <v>205</v>
      </c>
      <c r="X271" s="160"/>
      <c r="Y271" s="160" t="s">
        <v>205</v>
      </c>
      <c r="Z271" s="160"/>
      <c r="AA271" s="160" t="s">
        <v>205</v>
      </c>
      <c r="AB271" s="160"/>
      <c r="AC271" s="160" t="s">
        <v>205</v>
      </c>
      <c r="AD271" s="160"/>
      <c r="AE271" s="160" t="s">
        <v>205</v>
      </c>
      <c r="AF271" s="289" t="str">
        <f t="shared" si="12"/>
        <v>C</v>
      </c>
      <c r="AG271" s="291" t="str">
        <f t="shared" si="13"/>
        <v>UTILIZOU O PDA CORRETAMENTE</v>
      </c>
      <c r="AH271" s="320"/>
      <c r="AI271" s="292" t="s">
        <v>6</v>
      </c>
      <c r="AJ271" s="293" t="str">
        <f t="shared" si="14"/>
        <v>SÃO PAULO</v>
      </c>
      <c r="AK271" s="294" t="s">
        <v>39</v>
      </c>
    </row>
    <row r="272" spans="1:37" s="302" customFormat="1" ht="30" customHeight="1">
      <c r="A272" s="215" t="s">
        <v>198</v>
      </c>
      <c r="B272" s="215">
        <v>2620252630</v>
      </c>
      <c r="C272" s="215" t="s">
        <v>101</v>
      </c>
      <c r="D272" s="215" t="s">
        <v>79</v>
      </c>
      <c r="E272" s="215" t="s">
        <v>5</v>
      </c>
      <c r="F272" s="215" t="s">
        <v>781</v>
      </c>
      <c r="G272" s="215">
        <v>210</v>
      </c>
      <c r="H272" s="215" t="s">
        <v>226</v>
      </c>
      <c r="I272" s="215" t="s">
        <v>246</v>
      </c>
      <c r="J272" s="215" t="s">
        <v>233</v>
      </c>
      <c r="K272" s="215" t="s">
        <v>782</v>
      </c>
      <c r="L272" s="215" t="s">
        <v>783</v>
      </c>
      <c r="M272" s="215" t="s">
        <v>784</v>
      </c>
      <c r="N272" s="215" t="s">
        <v>310</v>
      </c>
      <c r="O272" s="290" t="s">
        <v>205</v>
      </c>
      <c r="P272" s="160"/>
      <c r="Q272" s="160" t="s">
        <v>205</v>
      </c>
      <c r="R272" s="160"/>
      <c r="S272" s="160" t="s">
        <v>206</v>
      </c>
      <c r="T272" s="160"/>
      <c r="U272" s="160" t="s">
        <v>205</v>
      </c>
      <c r="V272" s="160"/>
      <c r="W272" s="160" t="s">
        <v>205</v>
      </c>
      <c r="X272" s="160"/>
      <c r="Y272" s="160" t="s">
        <v>205</v>
      </c>
      <c r="Z272" s="160"/>
      <c r="AA272" s="160" t="s">
        <v>205</v>
      </c>
      <c r="AB272" s="160"/>
      <c r="AC272" s="160" t="s">
        <v>205</v>
      </c>
      <c r="AD272" s="160"/>
      <c r="AE272" s="160" t="s">
        <v>205</v>
      </c>
      <c r="AF272" s="289" t="str">
        <f t="shared" si="12"/>
        <v>NC</v>
      </c>
      <c r="AG272" s="291" t="str">
        <f t="shared" si="13"/>
        <v>UTILIZOU O PDA CORRETAMENTE. NÃO HÁ FOTOS DE TODAS AS ETAPAS</v>
      </c>
      <c r="AH272" s="320" t="s">
        <v>205</v>
      </c>
      <c r="AI272" s="292" t="s">
        <v>6</v>
      </c>
      <c r="AJ272" s="293" t="str">
        <f t="shared" si="14"/>
        <v>SÃO PAULO</v>
      </c>
      <c r="AK272" s="294" t="s">
        <v>39</v>
      </c>
    </row>
    <row r="273" spans="1:37" s="302" customFormat="1" ht="30" customHeight="1">
      <c r="A273" s="215" t="s">
        <v>198</v>
      </c>
      <c r="B273" s="215">
        <v>2693143716</v>
      </c>
      <c r="C273" s="215" t="s">
        <v>99</v>
      </c>
      <c r="D273" s="215" t="s">
        <v>81</v>
      </c>
      <c r="E273" s="215" t="s">
        <v>5</v>
      </c>
      <c r="F273" s="215" t="s">
        <v>785</v>
      </c>
      <c r="G273" s="215">
        <v>74</v>
      </c>
      <c r="H273" s="215"/>
      <c r="I273" s="215" t="s">
        <v>219</v>
      </c>
      <c r="J273" s="215" t="s">
        <v>268</v>
      </c>
      <c r="K273" s="215"/>
      <c r="L273" s="215" t="s">
        <v>751</v>
      </c>
      <c r="M273" s="215" t="s">
        <v>786</v>
      </c>
      <c r="N273" s="215" t="s">
        <v>357</v>
      </c>
      <c r="O273" s="290" t="s">
        <v>205</v>
      </c>
      <c r="P273" s="160"/>
      <c r="Q273" s="160" t="s">
        <v>205</v>
      </c>
      <c r="R273" s="160"/>
      <c r="S273" s="160" t="s">
        <v>205</v>
      </c>
      <c r="T273" s="160"/>
      <c r="U273" s="160" t="s">
        <v>205</v>
      </c>
      <c r="V273" s="160"/>
      <c r="W273" s="160" t="s">
        <v>205</v>
      </c>
      <c r="X273" s="160"/>
      <c r="Y273" s="160" t="s">
        <v>205</v>
      </c>
      <c r="Z273" s="160"/>
      <c r="AA273" s="160" t="s">
        <v>205</v>
      </c>
      <c r="AB273" s="160"/>
      <c r="AC273" s="160" t="s">
        <v>205</v>
      </c>
      <c r="AD273" s="160"/>
      <c r="AE273" s="160" t="s">
        <v>205</v>
      </c>
      <c r="AF273" s="289" t="str">
        <f t="shared" si="12"/>
        <v>C</v>
      </c>
      <c r="AG273" s="291" t="str">
        <f t="shared" si="13"/>
        <v>UTILIZOU O PDA CORRETAMENTE</v>
      </c>
      <c r="AH273" s="318"/>
      <c r="AI273" s="292" t="s">
        <v>6</v>
      </c>
      <c r="AJ273" s="293" t="str">
        <f t="shared" si="14"/>
        <v>SÃO PAULO</v>
      </c>
      <c r="AK273" s="294" t="s">
        <v>39</v>
      </c>
    </row>
    <row r="274" spans="1:37" s="302" customFormat="1" ht="30" customHeight="1">
      <c r="A274" s="215" t="s">
        <v>198</v>
      </c>
      <c r="B274" s="215">
        <v>2619474265</v>
      </c>
      <c r="C274" s="215" t="s">
        <v>101</v>
      </c>
      <c r="D274" s="215" t="s">
        <v>79</v>
      </c>
      <c r="E274" s="215" t="s">
        <v>5</v>
      </c>
      <c r="F274" s="215" t="s">
        <v>332</v>
      </c>
      <c r="G274" s="215">
        <v>198</v>
      </c>
      <c r="H274" s="215" t="s">
        <v>200</v>
      </c>
      <c r="I274" s="215" t="s">
        <v>333</v>
      </c>
      <c r="J274" s="215" t="s">
        <v>233</v>
      </c>
      <c r="K274" s="215" t="s">
        <v>200</v>
      </c>
      <c r="L274" s="215" t="s">
        <v>757</v>
      </c>
      <c r="M274" s="215" t="s">
        <v>750</v>
      </c>
      <c r="N274" s="215" t="s">
        <v>212</v>
      </c>
      <c r="O274" s="290" t="s">
        <v>62</v>
      </c>
      <c r="P274" s="160"/>
      <c r="Q274" s="160" t="s">
        <v>62</v>
      </c>
      <c r="R274" s="160"/>
      <c r="S274" s="160" t="s">
        <v>62</v>
      </c>
      <c r="T274" s="160"/>
      <c r="U274" s="160" t="s">
        <v>62</v>
      </c>
      <c r="V274" s="160"/>
      <c r="W274" s="160" t="s">
        <v>62</v>
      </c>
      <c r="X274" s="160"/>
      <c r="Y274" s="160" t="s">
        <v>62</v>
      </c>
      <c r="Z274" s="160"/>
      <c r="AA274" s="160" t="s">
        <v>62</v>
      </c>
      <c r="AB274" s="160"/>
      <c r="AC274" s="160" t="s">
        <v>62</v>
      </c>
      <c r="AD274" s="160"/>
      <c r="AE274" s="160" t="s">
        <v>62</v>
      </c>
      <c r="AF274" s="289" t="str">
        <f t="shared" si="12"/>
        <v>NA</v>
      </c>
      <c r="AG274" s="291" t="str">
        <f t="shared" si="13"/>
        <v>NÃO AVALIADO POR FALHA DE SINCRONISMO</v>
      </c>
      <c r="AH274" s="318"/>
      <c r="AI274" s="292" t="s">
        <v>6</v>
      </c>
      <c r="AJ274" s="293" t="str">
        <f t="shared" si="14"/>
        <v>SÃO PAULO</v>
      </c>
      <c r="AK274" s="294" t="s">
        <v>39</v>
      </c>
    </row>
    <row r="275" spans="1:37" s="302" customFormat="1" ht="30" customHeight="1">
      <c r="A275" s="215" t="s">
        <v>198</v>
      </c>
      <c r="B275" s="215">
        <v>2619475761</v>
      </c>
      <c r="C275" s="215" t="s">
        <v>101</v>
      </c>
      <c r="D275" s="215" t="s">
        <v>79</v>
      </c>
      <c r="E275" s="215" t="s">
        <v>5</v>
      </c>
      <c r="F275" s="215" t="s">
        <v>332</v>
      </c>
      <c r="G275" s="215">
        <v>252</v>
      </c>
      <c r="H275" s="215"/>
      <c r="I275" s="215" t="s">
        <v>333</v>
      </c>
      <c r="J275" s="215" t="s">
        <v>233</v>
      </c>
      <c r="K275" s="215"/>
      <c r="L275" s="215" t="s">
        <v>757</v>
      </c>
      <c r="M275" s="215" t="s">
        <v>750</v>
      </c>
      <c r="N275" s="215" t="s">
        <v>212</v>
      </c>
      <c r="O275" s="290" t="s">
        <v>62</v>
      </c>
      <c r="P275" s="160"/>
      <c r="Q275" s="160" t="s">
        <v>62</v>
      </c>
      <c r="R275" s="160"/>
      <c r="S275" s="160" t="s">
        <v>62</v>
      </c>
      <c r="T275" s="160"/>
      <c r="U275" s="160" t="s">
        <v>62</v>
      </c>
      <c r="V275" s="160"/>
      <c r="W275" s="160" t="s">
        <v>62</v>
      </c>
      <c r="X275" s="160"/>
      <c r="Y275" s="160" t="s">
        <v>62</v>
      </c>
      <c r="Z275" s="160"/>
      <c r="AA275" s="160" t="s">
        <v>62</v>
      </c>
      <c r="AB275" s="160"/>
      <c r="AC275" s="160" t="s">
        <v>62</v>
      </c>
      <c r="AD275" s="160"/>
      <c r="AE275" s="160" t="s">
        <v>62</v>
      </c>
      <c r="AF275" s="289" t="str">
        <f t="shared" si="12"/>
        <v>NA</v>
      </c>
      <c r="AG275" s="291" t="str">
        <f t="shared" si="13"/>
        <v>NÃO AVALIADO POR FALHA DE SINCRONISMO</v>
      </c>
      <c r="AH275" s="318"/>
      <c r="AI275" s="292" t="s">
        <v>6</v>
      </c>
      <c r="AJ275" s="293" t="str">
        <f t="shared" si="14"/>
        <v>SÃO PAULO</v>
      </c>
      <c r="AK275" s="294" t="s">
        <v>39</v>
      </c>
    </row>
    <row r="276" spans="1:37" s="302" customFormat="1" ht="30" customHeight="1">
      <c r="A276" s="228" t="s">
        <v>198</v>
      </c>
      <c r="B276" s="228">
        <v>2619475900</v>
      </c>
      <c r="C276" s="228" t="s">
        <v>101</v>
      </c>
      <c r="D276" s="228" t="s">
        <v>79</v>
      </c>
      <c r="E276" s="228" t="s">
        <v>5</v>
      </c>
      <c r="F276" s="228" t="s">
        <v>332</v>
      </c>
      <c r="G276" s="228">
        <v>262</v>
      </c>
      <c r="H276" s="228" t="s">
        <v>200</v>
      </c>
      <c r="I276" s="228" t="s">
        <v>333</v>
      </c>
      <c r="J276" s="228" t="s">
        <v>233</v>
      </c>
      <c r="K276" s="228" t="s">
        <v>787</v>
      </c>
      <c r="L276" s="228" t="s">
        <v>757</v>
      </c>
      <c r="M276" s="228" t="s">
        <v>750</v>
      </c>
      <c r="N276" s="228" t="s">
        <v>212</v>
      </c>
      <c r="O276" s="290" t="s">
        <v>62</v>
      </c>
      <c r="P276" s="160"/>
      <c r="Q276" s="160" t="s">
        <v>62</v>
      </c>
      <c r="R276" s="328"/>
      <c r="S276" s="160" t="s">
        <v>62</v>
      </c>
      <c r="T276" s="160"/>
      <c r="U276" s="160" t="s">
        <v>62</v>
      </c>
      <c r="V276" s="160"/>
      <c r="W276" s="160" t="s">
        <v>62</v>
      </c>
      <c r="X276" s="160"/>
      <c r="Y276" s="160" t="s">
        <v>62</v>
      </c>
      <c r="Z276" s="160"/>
      <c r="AA276" s="160" t="s">
        <v>62</v>
      </c>
      <c r="AB276" s="160"/>
      <c r="AC276" s="160" t="s">
        <v>62</v>
      </c>
      <c r="AD276" s="160"/>
      <c r="AE276" s="160" t="s">
        <v>62</v>
      </c>
      <c r="AF276" s="289" t="str">
        <f t="shared" si="12"/>
        <v>NA</v>
      </c>
      <c r="AG276" s="291" t="str">
        <f t="shared" si="13"/>
        <v>NÃO AVALIADO POR FALHA DE SINCRONISMO</v>
      </c>
      <c r="AH276" s="318"/>
      <c r="AI276" s="292" t="s">
        <v>6</v>
      </c>
      <c r="AJ276" s="293" t="str">
        <f t="shared" si="14"/>
        <v>SÃO PAULO</v>
      </c>
      <c r="AK276" s="294" t="s">
        <v>39</v>
      </c>
    </row>
    <row r="277" spans="1:37" s="302" customFormat="1" ht="30" customHeight="1">
      <c r="A277" s="215" t="s">
        <v>198</v>
      </c>
      <c r="B277" s="215">
        <v>2620205908</v>
      </c>
      <c r="C277" s="215" t="s">
        <v>90</v>
      </c>
      <c r="D277" s="215" t="s">
        <v>78</v>
      </c>
      <c r="E277" s="215" t="s">
        <v>5</v>
      </c>
      <c r="F277" s="215" t="s">
        <v>788</v>
      </c>
      <c r="G277" s="215">
        <v>40</v>
      </c>
      <c r="H277" s="215" t="s">
        <v>200</v>
      </c>
      <c r="I277" s="215" t="s">
        <v>789</v>
      </c>
      <c r="J277" s="215" t="s">
        <v>261</v>
      </c>
      <c r="K277" s="215" t="s">
        <v>200</v>
      </c>
      <c r="L277" s="215" t="s">
        <v>790</v>
      </c>
      <c r="M277" s="215" t="s">
        <v>791</v>
      </c>
      <c r="N277" s="215" t="s">
        <v>204</v>
      </c>
      <c r="O277" s="290" t="s">
        <v>205</v>
      </c>
      <c r="P277" s="160"/>
      <c r="Q277" s="327" t="s">
        <v>205</v>
      </c>
      <c r="R277" s="265"/>
      <c r="S277" s="290" t="s">
        <v>205</v>
      </c>
      <c r="T277" s="160"/>
      <c r="U277" s="160" t="s">
        <v>205</v>
      </c>
      <c r="V277" s="160"/>
      <c r="W277" s="160" t="s">
        <v>62</v>
      </c>
      <c r="X277" s="160"/>
      <c r="Y277" s="160" t="s">
        <v>62</v>
      </c>
      <c r="Z277" s="160"/>
      <c r="AA277" s="160" t="s">
        <v>205</v>
      </c>
      <c r="AB277" s="160"/>
      <c r="AC277" s="160" t="s">
        <v>206</v>
      </c>
      <c r="AD277" s="160"/>
      <c r="AE277" s="160" t="s">
        <v>205</v>
      </c>
      <c r="AF277" s="289" t="str">
        <f t="shared" si="12"/>
        <v>NC</v>
      </c>
      <c r="AG277" s="291" t="str">
        <f t="shared" si="13"/>
        <v>UTILIZOU O PDA CORRETAMENTE. NÃO HÁ FOTOS DE TODAS AS ETAPAS</v>
      </c>
      <c r="AH277" s="318"/>
      <c r="AI277" s="292" t="s">
        <v>6</v>
      </c>
      <c r="AJ277" s="293" t="str">
        <f t="shared" si="14"/>
        <v>SÃO PAULO</v>
      </c>
      <c r="AK277" s="294" t="s">
        <v>39</v>
      </c>
    </row>
    <row r="278" spans="1:37" s="302" customFormat="1" ht="30" customHeight="1">
      <c r="A278" s="215" t="s">
        <v>198</v>
      </c>
      <c r="B278" s="215">
        <v>2620033983</v>
      </c>
      <c r="C278" s="215" t="s">
        <v>84</v>
      </c>
      <c r="D278" s="215" t="s">
        <v>77</v>
      </c>
      <c r="E278" s="215" t="s">
        <v>5</v>
      </c>
      <c r="F278" s="215" t="s">
        <v>321</v>
      </c>
      <c r="G278" s="215">
        <v>566</v>
      </c>
      <c r="H278" s="215" t="s">
        <v>363</v>
      </c>
      <c r="I278" s="215" t="s">
        <v>277</v>
      </c>
      <c r="J278" s="215" t="s">
        <v>252</v>
      </c>
      <c r="K278" s="215"/>
      <c r="L278" s="215" t="s">
        <v>792</v>
      </c>
      <c r="M278" s="215" t="s">
        <v>793</v>
      </c>
      <c r="N278" s="215" t="s">
        <v>794</v>
      </c>
      <c r="O278" s="290" t="s">
        <v>205</v>
      </c>
      <c r="P278" s="160"/>
      <c r="Q278" s="327" t="s">
        <v>62</v>
      </c>
      <c r="R278" s="265"/>
      <c r="S278" s="290" t="s">
        <v>62</v>
      </c>
      <c r="T278" s="160"/>
      <c r="U278" s="160" t="s">
        <v>62</v>
      </c>
      <c r="V278" s="160"/>
      <c r="W278" s="160" t="s">
        <v>62</v>
      </c>
      <c r="X278" s="160"/>
      <c r="Y278" s="160" t="s">
        <v>62</v>
      </c>
      <c r="Z278" s="160"/>
      <c r="AA278" s="160" t="s">
        <v>62</v>
      </c>
      <c r="AB278" s="160"/>
      <c r="AC278" s="160" t="s">
        <v>205</v>
      </c>
      <c r="AD278" s="160"/>
      <c r="AE278" s="160" t="s">
        <v>205</v>
      </c>
      <c r="AF278" s="289" t="str">
        <f t="shared" si="12"/>
        <v>C</v>
      </c>
      <c r="AG278" s="291" t="str">
        <f t="shared" si="13"/>
        <v>UTILIZOU O PDA CORRETAMENTE</v>
      </c>
      <c r="AH278" s="318" t="s">
        <v>205</v>
      </c>
      <c r="AI278" s="292" t="s">
        <v>6</v>
      </c>
      <c r="AJ278" s="293" t="str">
        <f t="shared" si="14"/>
        <v>SÃO PAULO</v>
      </c>
      <c r="AK278" s="294" t="s">
        <v>39</v>
      </c>
    </row>
    <row r="279" spans="1:37" s="302" customFormat="1" ht="30" customHeight="1">
      <c r="A279" s="215" t="s">
        <v>198</v>
      </c>
      <c r="B279" s="215">
        <v>2620040146</v>
      </c>
      <c r="C279" s="215" t="s">
        <v>84</v>
      </c>
      <c r="D279" s="215" t="s">
        <v>77</v>
      </c>
      <c r="E279" s="215" t="s">
        <v>5</v>
      </c>
      <c r="F279" s="215" t="s">
        <v>795</v>
      </c>
      <c r="G279" s="215">
        <v>37</v>
      </c>
      <c r="H279" s="215" t="s">
        <v>481</v>
      </c>
      <c r="I279" s="215" t="s">
        <v>796</v>
      </c>
      <c r="J279" s="215" t="s">
        <v>252</v>
      </c>
      <c r="K279" s="215" t="s">
        <v>200</v>
      </c>
      <c r="L279" s="215" t="s">
        <v>797</v>
      </c>
      <c r="M279" s="215" t="s">
        <v>798</v>
      </c>
      <c r="N279" s="215" t="s">
        <v>799</v>
      </c>
      <c r="O279" s="290" t="s">
        <v>205</v>
      </c>
      <c r="P279" s="160"/>
      <c r="Q279" s="327" t="s">
        <v>62</v>
      </c>
      <c r="R279" s="203"/>
      <c r="S279" s="290" t="s">
        <v>62</v>
      </c>
      <c r="T279" s="160"/>
      <c r="U279" s="160" t="s">
        <v>62</v>
      </c>
      <c r="V279" s="160"/>
      <c r="W279" s="160" t="s">
        <v>62</v>
      </c>
      <c r="X279" s="160"/>
      <c r="Y279" s="160" t="s">
        <v>62</v>
      </c>
      <c r="Z279" s="160"/>
      <c r="AA279" s="160" t="s">
        <v>62</v>
      </c>
      <c r="AB279" s="160"/>
      <c r="AC279" s="160" t="s">
        <v>205</v>
      </c>
      <c r="AD279" s="160"/>
      <c r="AE279" s="160" t="s">
        <v>205</v>
      </c>
      <c r="AF279" s="289" t="str">
        <f t="shared" si="12"/>
        <v>C</v>
      </c>
      <c r="AG279" s="291" t="str">
        <f t="shared" si="13"/>
        <v>UTILIZOU O PDA CORRETAMENTE</v>
      </c>
      <c r="AH279" s="160" t="s">
        <v>205</v>
      </c>
      <c r="AI279" s="292" t="s">
        <v>6</v>
      </c>
      <c r="AJ279" s="293" t="str">
        <f t="shared" si="14"/>
        <v>SÃO PAULO</v>
      </c>
      <c r="AK279" s="294" t="s">
        <v>39</v>
      </c>
    </row>
    <row r="280" spans="1:37" s="302" customFormat="1" ht="30" customHeight="1">
      <c r="A280" s="215" t="s">
        <v>198</v>
      </c>
      <c r="B280" s="215">
        <v>2620214898</v>
      </c>
      <c r="C280" s="215" t="s">
        <v>444</v>
      </c>
      <c r="D280" s="215" t="s">
        <v>80</v>
      </c>
      <c r="E280" s="215" t="s">
        <v>5</v>
      </c>
      <c r="F280" s="215" t="s">
        <v>800</v>
      </c>
      <c r="G280" s="215">
        <v>120</v>
      </c>
      <c r="H280" s="215"/>
      <c r="I280" s="215" t="s">
        <v>801</v>
      </c>
      <c r="J280" s="215" t="s">
        <v>445</v>
      </c>
      <c r="K280" s="215" t="s">
        <v>802</v>
      </c>
      <c r="L280" s="215" t="s">
        <v>803</v>
      </c>
      <c r="M280" s="215" t="s">
        <v>804</v>
      </c>
      <c r="N280" s="215" t="s">
        <v>217</v>
      </c>
      <c r="O280" s="290" t="s">
        <v>205</v>
      </c>
      <c r="P280" s="160"/>
      <c r="Q280" s="160" t="s">
        <v>205</v>
      </c>
      <c r="R280" s="297"/>
      <c r="S280" s="160" t="s">
        <v>205</v>
      </c>
      <c r="T280" s="160"/>
      <c r="U280" s="160" t="s">
        <v>205</v>
      </c>
      <c r="V280" s="160"/>
      <c r="W280" s="160" t="s">
        <v>62</v>
      </c>
      <c r="X280" s="160"/>
      <c r="Y280" s="160" t="s">
        <v>62</v>
      </c>
      <c r="Z280" s="160"/>
      <c r="AA280" s="160" t="s">
        <v>205</v>
      </c>
      <c r="AB280" s="160"/>
      <c r="AC280" s="160" t="s">
        <v>205</v>
      </c>
      <c r="AD280" s="160"/>
      <c r="AE280" s="160" t="s">
        <v>205</v>
      </c>
      <c r="AF280" s="289" t="str">
        <f t="shared" si="12"/>
        <v>C</v>
      </c>
      <c r="AG280" s="291" t="str">
        <f t="shared" si="13"/>
        <v>UTILIZOU O PDA CORRETAMENTE</v>
      </c>
      <c r="AH280" s="160"/>
      <c r="AI280" s="292" t="s">
        <v>6</v>
      </c>
      <c r="AJ280" s="293" t="str">
        <f t="shared" si="14"/>
        <v>SÃO PAULO</v>
      </c>
      <c r="AK280" s="294" t="s">
        <v>39</v>
      </c>
    </row>
    <row r="281" spans="1:37" s="302" customFormat="1" ht="30" customHeight="1">
      <c r="A281" s="215" t="s">
        <v>198</v>
      </c>
      <c r="B281" s="215">
        <v>2693269656</v>
      </c>
      <c r="C281" s="215" t="s">
        <v>107</v>
      </c>
      <c r="D281" s="215" t="s">
        <v>81</v>
      </c>
      <c r="E281" s="215" t="s">
        <v>5</v>
      </c>
      <c r="F281" s="215" t="s">
        <v>805</v>
      </c>
      <c r="G281" s="215">
        <v>542</v>
      </c>
      <c r="H281" s="215" t="s">
        <v>200</v>
      </c>
      <c r="I281" s="215" t="s">
        <v>312</v>
      </c>
      <c r="J281" s="215" t="s">
        <v>322</v>
      </c>
      <c r="K281" s="215" t="s">
        <v>806</v>
      </c>
      <c r="L281" s="215" t="s">
        <v>807</v>
      </c>
      <c r="M281" s="215" t="s">
        <v>808</v>
      </c>
      <c r="N281" s="215" t="s">
        <v>248</v>
      </c>
      <c r="O281" s="285" t="s">
        <v>205</v>
      </c>
      <c r="P281" s="285"/>
      <c r="Q281" s="286" t="s">
        <v>205</v>
      </c>
      <c r="R281" s="285"/>
      <c r="S281" s="286" t="s">
        <v>205</v>
      </c>
      <c r="T281" s="285"/>
      <c r="U281" s="286" t="s">
        <v>205</v>
      </c>
      <c r="V281" s="285"/>
      <c r="W281" s="286" t="s">
        <v>205</v>
      </c>
      <c r="X281" s="285"/>
      <c r="Y281" s="286" t="s">
        <v>205</v>
      </c>
      <c r="Z281" s="285"/>
      <c r="AA281" s="286" t="s">
        <v>205</v>
      </c>
      <c r="AB281" s="285"/>
      <c r="AC281" s="286" t="s">
        <v>205</v>
      </c>
      <c r="AD281" s="161"/>
      <c r="AE281" s="286" t="s">
        <v>205</v>
      </c>
      <c r="AF281" s="289" t="str">
        <f t="shared" si="12"/>
        <v>C</v>
      </c>
      <c r="AG281" s="291" t="str">
        <f t="shared" si="13"/>
        <v>UTILIZOU O PDA CORRETAMENTE</v>
      </c>
      <c r="AH281" s="286" t="s">
        <v>205</v>
      </c>
      <c r="AI281" s="292" t="s">
        <v>6</v>
      </c>
      <c r="AJ281" s="293" t="str">
        <f t="shared" si="14"/>
        <v>SÃO PAULO</v>
      </c>
      <c r="AK281" s="294" t="s">
        <v>39</v>
      </c>
    </row>
    <row r="282" spans="1:37" s="302" customFormat="1" ht="30" customHeight="1">
      <c r="A282" s="215" t="s">
        <v>198</v>
      </c>
      <c r="B282" s="215">
        <v>2693263082</v>
      </c>
      <c r="C282" s="215" t="s">
        <v>104</v>
      </c>
      <c r="D282" s="215" t="s">
        <v>81</v>
      </c>
      <c r="E282" s="215" t="s">
        <v>5</v>
      </c>
      <c r="F282" s="215" t="s">
        <v>809</v>
      </c>
      <c r="G282" s="215">
        <v>4</v>
      </c>
      <c r="H282" s="215" t="s">
        <v>226</v>
      </c>
      <c r="I282" s="215" t="s">
        <v>810</v>
      </c>
      <c r="J282" s="215" t="s">
        <v>220</v>
      </c>
      <c r="K282" s="215"/>
      <c r="L282" s="215" t="s">
        <v>811</v>
      </c>
      <c r="M282" s="215" t="s">
        <v>812</v>
      </c>
      <c r="N282" s="215" t="s">
        <v>359</v>
      </c>
      <c r="O282" s="290" t="s">
        <v>205</v>
      </c>
      <c r="P282" s="161"/>
      <c r="Q282" s="160" t="s">
        <v>205</v>
      </c>
      <c r="R282" s="161"/>
      <c r="S282" s="160" t="s">
        <v>205</v>
      </c>
      <c r="T282" s="161"/>
      <c r="U282" s="160" t="s">
        <v>205</v>
      </c>
      <c r="V282" s="161"/>
      <c r="W282" s="160" t="s">
        <v>205</v>
      </c>
      <c r="X282" s="161"/>
      <c r="Y282" s="160" t="s">
        <v>205</v>
      </c>
      <c r="Z282" s="161"/>
      <c r="AA282" s="160" t="s">
        <v>205</v>
      </c>
      <c r="AB282" s="161"/>
      <c r="AC282" s="160" t="s">
        <v>205</v>
      </c>
      <c r="AD282" s="161"/>
      <c r="AE282" s="160" t="s">
        <v>205</v>
      </c>
      <c r="AF282" s="289" t="str">
        <f t="shared" si="12"/>
        <v>C</v>
      </c>
      <c r="AG282" s="291" t="str">
        <f t="shared" si="13"/>
        <v>UTILIZOU O PDA CORRETAMENTE</v>
      </c>
      <c r="AH282" s="160"/>
      <c r="AI282" s="292" t="s">
        <v>6</v>
      </c>
      <c r="AJ282" s="293" t="str">
        <f t="shared" si="14"/>
        <v>SÃO PAULO</v>
      </c>
      <c r="AK282" s="294" t="s">
        <v>39</v>
      </c>
    </row>
    <row r="283" spans="1:37" s="302" customFormat="1" ht="30" customHeight="1">
      <c r="A283" s="215" t="s">
        <v>198</v>
      </c>
      <c r="B283" s="215">
        <v>2693225959</v>
      </c>
      <c r="C283" s="215" t="s">
        <v>89</v>
      </c>
      <c r="D283" s="215" t="s">
        <v>78</v>
      </c>
      <c r="E283" s="215" t="s">
        <v>5</v>
      </c>
      <c r="F283" s="215" t="s">
        <v>813</v>
      </c>
      <c r="G283" s="215">
        <v>161</v>
      </c>
      <c r="H283" s="215" t="s">
        <v>226</v>
      </c>
      <c r="I283" s="215" t="s">
        <v>343</v>
      </c>
      <c r="J283" s="215" t="s">
        <v>238</v>
      </c>
      <c r="K283" s="215"/>
      <c r="L283" s="215" t="s">
        <v>814</v>
      </c>
      <c r="M283" s="215" t="s">
        <v>815</v>
      </c>
      <c r="N283" s="215" t="s">
        <v>221</v>
      </c>
      <c r="O283" s="290" t="s">
        <v>205</v>
      </c>
      <c r="P283" s="161"/>
      <c r="Q283" s="160" t="s">
        <v>205</v>
      </c>
      <c r="R283" s="161"/>
      <c r="S283" s="160" t="s">
        <v>205</v>
      </c>
      <c r="T283" s="161"/>
      <c r="U283" s="160" t="s">
        <v>205</v>
      </c>
      <c r="V283" s="161"/>
      <c r="W283" s="160" t="s">
        <v>205</v>
      </c>
      <c r="X283" s="161"/>
      <c r="Y283" s="160" t="s">
        <v>62</v>
      </c>
      <c r="Z283" s="161"/>
      <c r="AA283" s="160" t="s">
        <v>205</v>
      </c>
      <c r="AB283" s="161"/>
      <c r="AC283" s="160" t="s">
        <v>205</v>
      </c>
      <c r="AD283" s="161"/>
      <c r="AE283" s="160" t="s">
        <v>205</v>
      </c>
      <c r="AF283" s="289" t="str">
        <f t="shared" si="12"/>
        <v>C</v>
      </c>
      <c r="AG283" s="291" t="str">
        <f t="shared" si="13"/>
        <v>UTILIZOU O PDA CORRETAMENTE</v>
      </c>
      <c r="AH283" s="160" t="s">
        <v>205</v>
      </c>
      <c r="AI283" s="292" t="s">
        <v>6</v>
      </c>
      <c r="AJ283" s="293" t="str">
        <f t="shared" si="14"/>
        <v>SÃO PAULO</v>
      </c>
      <c r="AK283" s="294" t="s">
        <v>39</v>
      </c>
    </row>
    <row r="284" spans="1:37" s="302" customFormat="1" ht="30" customHeight="1">
      <c r="A284" s="215" t="s">
        <v>198</v>
      </c>
      <c r="B284" s="215">
        <v>2620241776</v>
      </c>
      <c r="C284" s="215" t="s">
        <v>105</v>
      </c>
      <c r="D284" s="215" t="s">
        <v>81</v>
      </c>
      <c r="E284" s="215" t="s">
        <v>5</v>
      </c>
      <c r="F284" s="215" t="s">
        <v>816</v>
      </c>
      <c r="G284" s="215">
        <v>129</v>
      </c>
      <c r="H284" s="215" t="s">
        <v>226</v>
      </c>
      <c r="I284" s="215" t="s">
        <v>817</v>
      </c>
      <c r="J284" s="215" t="s">
        <v>536</v>
      </c>
      <c r="K284" s="215" t="s">
        <v>200</v>
      </c>
      <c r="L284" s="215" t="s">
        <v>818</v>
      </c>
      <c r="M284" s="215" t="s">
        <v>819</v>
      </c>
      <c r="N284" s="215" t="s">
        <v>357</v>
      </c>
      <c r="O284" s="290" t="s">
        <v>205</v>
      </c>
      <c r="P284" s="161"/>
      <c r="Q284" s="160" t="s">
        <v>205</v>
      </c>
      <c r="R284" s="161"/>
      <c r="S284" s="160" t="s">
        <v>205</v>
      </c>
      <c r="T284" s="161"/>
      <c r="U284" s="160" t="s">
        <v>205</v>
      </c>
      <c r="V284" s="161"/>
      <c r="W284" s="160" t="s">
        <v>205</v>
      </c>
      <c r="X284" s="161"/>
      <c r="Y284" s="160" t="s">
        <v>62</v>
      </c>
      <c r="Z284" s="161"/>
      <c r="AA284" s="160" t="s">
        <v>205</v>
      </c>
      <c r="AB284" s="161"/>
      <c r="AC284" s="160" t="s">
        <v>205</v>
      </c>
      <c r="AD284" s="161"/>
      <c r="AE284" s="160" t="s">
        <v>205</v>
      </c>
      <c r="AF284" s="289" t="str">
        <f t="shared" si="12"/>
        <v>C</v>
      </c>
      <c r="AG284" s="291" t="str">
        <f t="shared" si="13"/>
        <v>UTILIZOU O PDA CORRETAMENTE</v>
      </c>
      <c r="AH284" s="160" t="s">
        <v>205</v>
      </c>
      <c r="AI284" s="292" t="s">
        <v>6</v>
      </c>
      <c r="AJ284" s="293" t="str">
        <f t="shared" si="14"/>
        <v>SÃO PAULO</v>
      </c>
      <c r="AK284" s="294" t="s">
        <v>39</v>
      </c>
    </row>
    <row r="285" spans="1:37" s="302" customFormat="1" ht="30" customHeight="1">
      <c r="A285" s="215" t="s">
        <v>198</v>
      </c>
      <c r="B285" s="215">
        <v>2693263082</v>
      </c>
      <c r="C285" s="215" t="s">
        <v>99</v>
      </c>
      <c r="D285" s="215" t="s">
        <v>81</v>
      </c>
      <c r="E285" s="215" t="s">
        <v>5</v>
      </c>
      <c r="F285" s="215" t="s">
        <v>809</v>
      </c>
      <c r="G285" s="215">
        <v>4</v>
      </c>
      <c r="H285" s="215" t="s">
        <v>226</v>
      </c>
      <c r="I285" s="215" t="s">
        <v>810</v>
      </c>
      <c r="J285" s="215" t="s">
        <v>268</v>
      </c>
      <c r="K285" s="215" t="s">
        <v>820</v>
      </c>
      <c r="L285" s="215" t="s">
        <v>821</v>
      </c>
      <c r="M285" s="215" t="s">
        <v>822</v>
      </c>
      <c r="N285" s="215" t="s">
        <v>359</v>
      </c>
      <c r="O285" s="290" t="s">
        <v>205</v>
      </c>
      <c r="P285" s="161"/>
      <c r="Q285" s="160" t="s">
        <v>205</v>
      </c>
      <c r="R285" s="161"/>
      <c r="S285" s="160" t="s">
        <v>205</v>
      </c>
      <c r="T285" s="161"/>
      <c r="U285" s="160" t="s">
        <v>205</v>
      </c>
      <c r="V285" s="161"/>
      <c r="W285" s="160" t="s">
        <v>205</v>
      </c>
      <c r="X285" s="161"/>
      <c r="Y285" s="160" t="s">
        <v>205</v>
      </c>
      <c r="Z285" s="161"/>
      <c r="AA285" s="160" t="s">
        <v>205</v>
      </c>
      <c r="AB285" s="161"/>
      <c r="AC285" s="160" t="s">
        <v>205</v>
      </c>
      <c r="AD285" s="161"/>
      <c r="AE285" s="160" t="s">
        <v>205</v>
      </c>
      <c r="AF285" s="289" t="str">
        <f t="shared" si="12"/>
        <v>C</v>
      </c>
      <c r="AG285" s="291" t="str">
        <f t="shared" si="13"/>
        <v>UTILIZOU O PDA CORRETAMENTE</v>
      </c>
      <c r="AH285" s="160" t="s">
        <v>205</v>
      </c>
      <c r="AI285" s="292" t="s">
        <v>6</v>
      </c>
      <c r="AJ285" s="293" t="str">
        <f t="shared" si="14"/>
        <v>SÃO PAULO</v>
      </c>
      <c r="AK285" s="294" t="s">
        <v>39</v>
      </c>
    </row>
    <row r="286" spans="1:37" s="302" customFormat="1" ht="30" customHeight="1">
      <c r="A286" s="215" t="s">
        <v>198</v>
      </c>
      <c r="B286" s="215">
        <v>2620337302</v>
      </c>
      <c r="C286" s="215" t="s">
        <v>100</v>
      </c>
      <c r="D286" s="215" t="s">
        <v>81</v>
      </c>
      <c r="E286" s="215" t="s">
        <v>5</v>
      </c>
      <c r="F286" s="215" t="s">
        <v>805</v>
      </c>
      <c r="G286" s="215">
        <v>548</v>
      </c>
      <c r="H286" s="215" t="s">
        <v>200</v>
      </c>
      <c r="I286" s="215" t="s">
        <v>312</v>
      </c>
      <c r="J286" s="215" t="s">
        <v>243</v>
      </c>
      <c r="K286" s="215" t="s">
        <v>823</v>
      </c>
      <c r="L286" s="215" t="s">
        <v>824</v>
      </c>
      <c r="M286" s="215" t="s">
        <v>825</v>
      </c>
      <c r="N286" s="215" t="s">
        <v>248</v>
      </c>
      <c r="O286" s="290" t="s">
        <v>205</v>
      </c>
      <c r="P286" s="161"/>
      <c r="Q286" s="286" t="s">
        <v>205</v>
      </c>
      <c r="R286" s="161"/>
      <c r="S286" s="286" t="s">
        <v>205</v>
      </c>
      <c r="T286" s="161"/>
      <c r="U286" s="286" t="s">
        <v>205</v>
      </c>
      <c r="V286" s="161"/>
      <c r="W286" s="286" t="s">
        <v>205</v>
      </c>
      <c r="X286" s="161"/>
      <c r="Y286" s="286" t="s">
        <v>205</v>
      </c>
      <c r="Z286" s="161"/>
      <c r="AA286" s="286" t="s">
        <v>205</v>
      </c>
      <c r="AB286" s="161"/>
      <c r="AC286" s="286" t="s">
        <v>205</v>
      </c>
      <c r="AD286" s="161"/>
      <c r="AE286" s="286" t="s">
        <v>205</v>
      </c>
      <c r="AF286" s="289" t="str">
        <f t="shared" si="12"/>
        <v>C</v>
      </c>
      <c r="AG286" s="291" t="str">
        <f t="shared" si="13"/>
        <v>UTILIZOU O PDA CORRETAMENTE</v>
      </c>
      <c r="AH286" s="286" t="s">
        <v>205</v>
      </c>
      <c r="AI286" s="292" t="s">
        <v>6</v>
      </c>
      <c r="AJ286" s="293" t="str">
        <f t="shared" si="14"/>
        <v>SÃO PAULO</v>
      </c>
      <c r="AK286" s="294" t="s">
        <v>39</v>
      </c>
    </row>
    <row r="287" spans="1:37" s="302" customFormat="1" ht="30" customHeight="1">
      <c r="A287" s="215" t="s">
        <v>198</v>
      </c>
      <c r="B287" s="215">
        <v>2620346786</v>
      </c>
      <c r="C287" s="215" t="s">
        <v>107</v>
      </c>
      <c r="D287" s="215" t="s">
        <v>81</v>
      </c>
      <c r="E287" s="215" t="s">
        <v>5</v>
      </c>
      <c r="F287" s="215" t="s">
        <v>826</v>
      </c>
      <c r="G287" s="215">
        <v>810</v>
      </c>
      <c r="H287" s="215"/>
      <c r="I287" s="215" t="s">
        <v>251</v>
      </c>
      <c r="J287" s="215" t="s">
        <v>220</v>
      </c>
      <c r="K287" s="215" t="s">
        <v>827</v>
      </c>
      <c r="L287" s="215" t="s">
        <v>828</v>
      </c>
      <c r="M287" s="215" t="s">
        <v>793</v>
      </c>
      <c r="N287" s="215" t="s">
        <v>341</v>
      </c>
      <c r="O287" s="290" t="s">
        <v>205</v>
      </c>
      <c r="P287" s="161"/>
      <c r="Q287" s="160" t="s">
        <v>205</v>
      </c>
      <c r="R287" s="161"/>
      <c r="S287" s="160" t="s">
        <v>62</v>
      </c>
      <c r="T287" s="161"/>
      <c r="U287" s="160" t="s">
        <v>62</v>
      </c>
      <c r="V287" s="161"/>
      <c r="W287" s="160" t="s">
        <v>62</v>
      </c>
      <c r="X287" s="161"/>
      <c r="Y287" s="160" t="s">
        <v>62</v>
      </c>
      <c r="Z287" s="161"/>
      <c r="AA287" s="160" t="s">
        <v>62</v>
      </c>
      <c r="AB287" s="161"/>
      <c r="AC287" s="160" t="s">
        <v>205</v>
      </c>
      <c r="AD287" s="161"/>
      <c r="AE287" s="160" t="s">
        <v>205</v>
      </c>
      <c r="AF287" s="289" t="str">
        <f t="shared" si="12"/>
        <v>C</v>
      </c>
      <c r="AG287" s="291" t="str">
        <f t="shared" si="13"/>
        <v>UTILIZOU O PDA CORRETAMENTE</v>
      </c>
      <c r="AH287" s="160" t="s">
        <v>205</v>
      </c>
      <c r="AI287" s="292" t="s">
        <v>6</v>
      </c>
      <c r="AJ287" s="293" t="str">
        <f t="shared" si="14"/>
        <v>SÃO PAULO</v>
      </c>
      <c r="AK287" s="294" t="s">
        <v>39</v>
      </c>
    </row>
    <row r="288" spans="1:37" s="302" customFormat="1" ht="30" customHeight="1">
      <c r="A288" s="215" t="s">
        <v>198</v>
      </c>
      <c r="B288" s="215">
        <v>2620214229</v>
      </c>
      <c r="C288" s="215" t="s">
        <v>86</v>
      </c>
      <c r="D288" s="215" t="s">
        <v>77</v>
      </c>
      <c r="E288" s="215" t="s">
        <v>5</v>
      </c>
      <c r="F288" s="215" t="s">
        <v>829</v>
      </c>
      <c r="G288" s="215">
        <v>272</v>
      </c>
      <c r="H288" s="215" t="s">
        <v>200</v>
      </c>
      <c r="I288" s="215" t="s">
        <v>830</v>
      </c>
      <c r="J288" s="215" t="s">
        <v>86</v>
      </c>
      <c r="K288" s="215" t="s">
        <v>831</v>
      </c>
      <c r="L288" s="215" t="s">
        <v>832</v>
      </c>
      <c r="M288" s="215" t="s">
        <v>833</v>
      </c>
      <c r="N288" s="215" t="s">
        <v>254</v>
      </c>
      <c r="O288" s="290" t="s">
        <v>239</v>
      </c>
      <c r="P288" s="161" t="s">
        <v>303</v>
      </c>
      <c r="Q288" s="160" t="s">
        <v>239</v>
      </c>
      <c r="R288" s="161" t="s">
        <v>303</v>
      </c>
      <c r="S288" s="160" t="s">
        <v>239</v>
      </c>
      <c r="T288" s="161" t="s">
        <v>303</v>
      </c>
      <c r="U288" s="160" t="s">
        <v>239</v>
      </c>
      <c r="V288" s="161" t="s">
        <v>303</v>
      </c>
      <c r="W288" s="160" t="s">
        <v>239</v>
      </c>
      <c r="X288" s="161" t="s">
        <v>303</v>
      </c>
      <c r="Y288" s="160" t="s">
        <v>239</v>
      </c>
      <c r="Z288" s="161" t="s">
        <v>303</v>
      </c>
      <c r="AA288" s="160" t="s">
        <v>239</v>
      </c>
      <c r="AB288" s="161" t="s">
        <v>303</v>
      </c>
      <c r="AC288" s="160" t="s">
        <v>239</v>
      </c>
      <c r="AD288" s="161" t="s">
        <v>303</v>
      </c>
      <c r="AE288" s="160" t="s">
        <v>239</v>
      </c>
      <c r="AF288" s="289" t="str">
        <f t="shared" si="12"/>
        <v>NC</v>
      </c>
      <c r="AG288" s="291" t="str">
        <f t="shared" si="13"/>
        <v>NÃO UTILIZOU O PDA</v>
      </c>
      <c r="AH288" s="160" t="s">
        <v>205</v>
      </c>
      <c r="AI288" s="292" t="s">
        <v>6</v>
      </c>
      <c r="AJ288" s="293" t="str">
        <f t="shared" si="14"/>
        <v>SÃO PAULO</v>
      </c>
      <c r="AK288" s="294" t="s">
        <v>39</v>
      </c>
    </row>
    <row r="289" spans="1:37" s="302" customFormat="1" ht="30" customHeight="1">
      <c r="A289" s="215" t="s">
        <v>198</v>
      </c>
      <c r="B289" s="215">
        <v>2620214623</v>
      </c>
      <c r="C289" s="215" t="s">
        <v>86</v>
      </c>
      <c r="D289" s="215" t="s">
        <v>77</v>
      </c>
      <c r="E289" s="215" t="s">
        <v>5</v>
      </c>
      <c r="F289" s="215" t="s">
        <v>829</v>
      </c>
      <c r="G289" s="215">
        <v>274</v>
      </c>
      <c r="H289" s="215"/>
      <c r="I289" s="215" t="s">
        <v>830</v>
      </c>
      <c r="J289" s="215" t="s">
        <v>86</v>
      </c>
      <c r="K289" s="215" t="s">
        <v>831</v>
      </c>
      <c r="L289" s="215" t="s">
        <v>834</v>
      </c>
      <c r="M289" s="215" t="s">
        <v>835</v>
      </c>
      <c r="N289" s="215" t="s">
        <v>254</v>
      </c>
      <c r="O289" s="290" t="s">
        <v>239</v>
      </c>
      <c r="P289" s="161" t="s">
        <v>303</v>
      </c>
      <c r="Q289" s="160" t="s">
        <v>239</v>
      </c>
      <c r="R289" s="161" t="s">
        <v>303</v>
      </c>
      <c r="S289" s="160" t="s">
        <v>239</v>
      </c>
      <c r="T289" s="161" t="s">
        <v>303</v>
      </c>
      <c r="U289" s="160" t="s">
        <v>239</v>
      </c>
      <c r="V289" s="161" t="s">
        <v>303</v>
      </c>
      <c r="W289" s="160" t="s">
        <v>239</v>
      </c>
      <c r="X289" s="161" t="s">
        <v>303</v>
      </c>
      <c r="Y289" s="160" t="s">
        <v>239</v>
      </c>
      <c r="Z289" s="161" t="s">
        <v>303</v>
      </c>
      <c r="AA289" s="160" t="s">
        <v>239</v>
      </c>
      <c r="AB289" s="161" t="s">
        <v>303</v>
      </c>
      <c r="AC289" s="160" t="s">
        <v>239</v>
      </c>
      <c r="AD289" s="161" t="s">
        <v>303</v>
      </c>
      <c r="AE289" s="160" t="s">
        <v>239</v>
      </c>
      <c r="AF289" s="289" t="str">
        <f t="shared" si="12"/>
        <v>NC</v>
      </c>
      <c r="AG289" s="291" t="str">
        <f t="shared" si="13"/>
        <v>NÃO UTILIZOU O PDA</v>
      </c>
      <c r="AH289" s="160"/>
      <c r="AI289" s="292" t="s">
        <v>6</v>
      </c>
      <c r="AJ289" s="293" t="str">
        <f t="shared" si="14"/>
        <v>SÃO PAULO</v>
      </c>
      <c r="AK289" s="294" t="s">
        <v>39</v>
      </c>
    </row>
    <row r="290" spans="1:37" s="302" customFormat="1" ht="30" customHeight="1">
      <c r="A290" s="215" t="s">
        <v>198</v>
      </c>
      <c r="B290" s="215">
        <v>2693222141</v>
      </c>
      <c r="C290" s="215" t="s">
        <v>90</v>
      </c>
      <c r="D290" s="215" t="s">
        <v>78</v>
      </c>
      <c r="E290" s="215" t="s">
        <v>5</v>
      </c>
      <c r="F290" s="215" t="s">
        <v>773</v>
      </c>
      <c r="G290" s="215">
        <v>127</v>
      </c>
      <c r="H290" s="215" t="s">
        <v>200</v>
      </c>
      <c r="I290" s="215" t="s">
        <v>438</v>
      </c>
      <c r="J290" s="215" t="s">
        <v>261</v>
      </c>
      <c r="K290" s="215" t="s">
        <v>200</v>
      </c>
      <c r="L290" s="215" t="s">
        <v>791</v>
      </c>
      <c r="M290" s="215" t="s">
        <v>836</v>
      </c>
      <c r="N290" s="215" t="s">
        <v>359</v>
      </c>
      <c r="O290" s="290" t="s">
        <v>205</v>
      </c>
      <c r="P290" s="161"/>
      <c r="Q290" s="160" t="s">
        <v>205</v>
      </c>
      <c r="R290" s="161"/>
      <c r="S290" s="160" t="s">
        <v>205</v>
      </c>
      <c r="T290" s="161"/>
      <c r="U290" s="160" t="s">
        <v>205</v>
      </c>
      <c r="V290" s="161"/>
      <c r="W290" s="160" t="s">
        <v>205</v>
      </c>
      <c r="X290" s="161"/>
      <c r="Y290" s="160" t="s">
        <v>62</v>
      </c>
      <c r="Z290" s="161"/>
      <c r="AA290" s="160" t="s">
        <v>205</v>
      </c>
      <c r="AB290" s="161"/>
      <c r="AC290" s="160" t="s">
        <v>205</v>
      </c>
      <c r="AD290" s="161"/>
      <c r="AE290" s="160" t="s">
        <v>205</v>
      </c>
      <c r="AF290" s="289" t="str">
        <f t="shared" si="12"/>
        <v>C</v>
      </c>
      <c r="AG290" s="291" t="str">
        <f t="shared" si="13"/>
        <v>UTILIZOU O PDA CORRETAMENTE</v>
      </c>
      <c r="AH290" s="160"/>
      <c r="AI290" s="292" t="s">
        <v>6</v>
      </c>
      <c r="AJ290" s="293" t="str">
        <f t="shared" si="14"/>
        <v>SÃO PAULO</v>
      </c>
      <c r="AK290" s="294" t="s">
        <v>39</v>
      </c>
    </row>
    <row r="291" spans="1:37" s="302" customFormat="1" ht="30" customHeight="1">
      <c r="A291" s="215" t="s">
        <v>198</v>
      </c>
      <c r="B291" s="215">
        <v>2693336576</v>
      </c>
      <c r="C291" s="215" t="s">
        <v>89</v>
      </c>
      <c r="D291" s="215" t="s">
        <v>78</v>
      </c>
      <c r="E291" s="215" t="s">
        <v>5</v>
      </c>
      <c r="F291" s="215" t="s">
        <v>837</v>
      </c>
      <c r="G291" s="215">
        <v>232</v>
      </c>
      <c r="H291" s="215" t="s">
        <v>318</v>
      </c>
      <c r="I291" s="215" t="s">
        <v>448</v>
      </c>
      <c r="J291" s="215" t="s">
        <v>238</v>
      </c>
      <c r="K291" s="215"/>
      <c r="L291" s="215" t="s">
        <v>838</v>
      </c>
      <c r="M291" s="215" t="s">
        <v>839</v>
      </c>
      <c r="N291" s="215" t="s">
        <v>221</v>
      </c>
      <c r="O291" s="290" t="s">
        <v>205</v>
      </c>
      <c r="P291" s="161"/>
      <c r="Q291" s="160" t="s">
        <v>205</v>
      </c>
      <c r="R291" s="161"/>
      <c r="S291" s="160" t="s">
        <v>205</v>
      </c>
      <c r="T291" s="161"/>
      <c r="U291" s="160" t="s">
        <v>205</v>
      </c>
      <c r="V291" s="161"/>
      <c r="W291" s="160" t="s">
        <v>205</v>
      </c>
      <c r="X291" s="161"/>
      <c r="Y291" s="160" t="s">
        <v>62</v>
      </c>
      <c r="Z291" s="161"/>
      <c r="AA291" s="160" t="s">
        <v>205</v>
      </c>
      <c r="AB291" s="161"/>
      <c r="AC291" s="160" t="s">
        <v>205</v>
      </c>
      <c r="AD291" s="161"/>
      <c r="AE291" s="160" t="s">
        <v>205</v>
      </c>
      <c r="AF291" s="289" t="str">
        <f t="shared" si="12"/>
        <v>C</v>
      </c>
      <c r="AG291" s="291" t="str">
        <f t="shared" si="13"/>
        <v>UTILIZOU O PDA CORRETAMENTE</v>
      </c>
      <c r="AH291" s="160" t="s">
        <v>205</v>
      </c>
      <c r="AI291" s="292" t="s">
        <v>6</v>
      </c>
      <c r="AJ291" s="293" t="str">
        <f t="shared" si="14"/>
        <v>SÃO PAULO</v>
      </c>
      <c r="AK291" s="294" t="s">
        <v>39</v>
      </c>
    </row>
    <row r="292" spans="1:37" s="302" customFormat="1" ht="30" customHeight="1">
      <c r="A292" s="228" t="s">
        <v>198</v>
      </c>
      <c r="B292" s="228">
        <v>2619778535</v>
      </c>
      <c r="C292" s="228" t="s">
        <v>89</v>
      </c>
      <c r="D292" s="228" t="s">
        <v>78</v>
      </c>
      <c r="E292" s="228" t="s">
        <v>5</v>
      </c>
      <c r="F292" s="228" t="s">
        <v>545</v>
      </c>
      <c r="G292" s="228">
        <v>25</v>
      </c>
      <c r="H292" s="228" t="s">
        <v>200</v>
      </c>
      <c r="I292" s="228" t="s">
        <v>546</v>
      </c>
      <c r="J292" s="228" t="s">
        <v>238</v>
      </c>
      <c r="K292" s="229" t="s">
        <v>840</v>
      </c>
      <c r="L292" s="228" t="s">
        <v>790</v>
      </c>
      <c r="M292" s="228" t="s">
        <v>791</v>
      </c>
      <c r="N292" s="228" t="s">
        <v>326</v>
      </c>
      <c r="O292" s="290" t="s">
        <v>62</v>
      </c>
      <c r="P292" s="161"/>
      <c r="Q292" s="160" t="s">
        <v>62</v>
      </c>
      <c r="R292" s="161"/>
      <c r="S292" s="160" t="s">
        <v>62</v>
      </c>
      <c r="T292" s="161"/>
      <c r="U292" s="160" t="s">
        <v>62</v>
      </c>
      <c r="V292" s="161"/>
      <c r="W292" s="160" t="s">
        <v>62</v>
      </c>
      <c r="X292" s="161"/>
      <c r="Y292" s="160" t="s">
        <v>62</v>
      </c>
      <c r="Z292" s="161"/>
      <c r="AA292" s="160" t="s">
        <v>62</v>
      </c>
      <c r="AB292" s="161"/>
      <c r="AC292" s="160" t="s">
        <v>62</v>
      </c>
      <c r="AD292" s="161"/>
      <c r="AE292" s="160" t="s">
        <v>62</v>
      </c>
      <c r="AF292" s="289" t="str">
        <f t="shared" si="12"/>
        <v>NA</v>
      </c>
      <c r="AG292" s="291" t="str">
        <f t="shared" si="13"/>
        <v>NÃO AVALIADO POR FALHA DE SINCRONISMO</v>
      </c>
      <c r="AH292" s="160"/>
      <c r="AI292" s="292" t="s">
        <v>6</v>
      </c>
      <c r="AJ292" s="293" t="str">
        <f t="shared" si="14"/>
        <v>SÃO PAULO</v>
      </c>
      <c r="AK292" s="294" t="s">
        <v>39</v>
      </c>
    </row>
    <row r="293" spans="1:37" s="302" customFormat="1" ht="30" customHeight="1">
      <c r="A293" s="215" t="s">
        <v>198</v>
      </c>
      <c r="B293" s="215">
        <v>2620349101</v>
      </c>
      <c r="C293" s="215" t="s">
        <v>841</v>
      </c>
      <c r="D293" s="215" t="s">
        <v>80</v>
      </c>
      <c r="E293" s="215" t="s">
        <v>5</v>
      </c>
      <c r="F293" s="215" t="s">
        <v>788</v>
      </c>
      <c r="G293" s="215">
        <v>60</v>
      </c>
      <c r="H293" s="215" t="s">
        <v>200</v>
      </c>
      <c r="I293" s="215" t="s">
        <v>789</v>
      </c>
      <c r="J293" s="215" t="s">
        <v>842</v>
      </c>
      <c r="K293" s="215" t="s">
        <v>200</v>
      </c>
      <c r="L293" s="215" t="s">
        <v>843</v>
      </c>
      <c r="M293" s="215" t="s">
        <v>844</v>
      </c>
      <c r="N293" s="215" t="s">
        <v>204</v>
      </c>
      <c r="O293" s="290" t="s">
        <v>205</v>
      </c>
      <c r="P293" s="161"/>
      <c r="Q293" s="160" t="s">
        <v>205</v>
      </c>
      <c r="R293" s="161"/>
      <c r="S293" s="160" t="s">
        <v>205</v>
      </c>
      <c r="T293" s="161"/>
      <c r="U293" s="160" t="s">
        <v>205</v>
      </c>
      <c r="V293" s="161"/>
      <c r="W293" s="160" t="s">
        <v>206</v>
      </c>
      <c r="X293" s="161"/>
      <c r="Y293" s="160" t="s">
        <v>62</v>
      </c>
      <c r="Z293" s="161"/>
      <c r="AA293" s="160" t="s">
        <v>205</v>
      </c>
      <c r="AB293" s="161"/>
      <c r="AC293" s="160" t="s">
        <v>205</v>
      </c>
      <c r="AD293" s="161"/>
      <c r="AE293" s="160" t="s">
        <v>205</v>
      </c>
      <c r="AF293" s="289" t="str">
        <f t="shared" si="12"/>
        <v>NC</v>
      </c>
      <c r="AG293" s="291" t="str">
        <f t="shared" si="13"/>
        <v>UTILIZOU O PDA CORRETAMENTE. NÃO HÁ FOTOS DE TODAS AS ETAPAS</v>
      </c>
      <c r="AH293" s="160" t="s">
        <v>205</v>
      </c>
      <c r="AI293" s="292" t="s">
        <v>6</v>
      </c>
      <c r="AJ293" s="293" t="str">
        <f t="shared" si="14"/>
        <v>SÃO PAULO</v>
      </c>
      <c r="AK293" s="294" t="s">
        <v>39</v>
      </c>
    </row>
    <row r="294" spans="1:37" s="302" customFormat="1" ht="30" customHeight="1">
      <c r="A294" s="215" t="s">
        <v>198</v>
      </c>
      <c r="B294" s="215">
        <v>2619789856</v>
      </c>
      <c r="C294" s="215" t="s">
        <v>84</v>
      </c>
      <c r="D294" s="215" t="s">
        <v>77</v>
      </c>
      <c r="E294" s="215" t="s">
        <v>5</v>
      </c>
      <c r="F294" s="215" t="s">
        <v>404</v>
      </c>
      <c r="G294" s="215">
        <v>85</v>
      </c>
      <c r="H294" s="215" t="s">
        <v>481</v>
      </c>
      <c r="I294" s="215" t="s">
        <v>397</v>
      </c>
      <c r="J294" s="215" t="s">
        <v>252</v>
      </c>
      <c r="K294" s="215"/>
      <c r="L294" s="215" t="s">
        <v>845</v>
      </c>
      <c r="M294" s="215" t="s">
        <v>846</v>
      </c>
      <c r="N294" s="215" t="s">
        <v>590</v>
      </c>
      <c r="O294" s="290" t="s">
        <v>205</v>
      </c>
      <c r="P294" s="161"/>
      <c r="Q294" s="160" t="s">
        <v>62</v>
      </c>
      <c r="R294" s="161"/>
      <c r="S294" s="160" t="s">
        <v>62</v>
      </c>
      <c r="T294" s="161"/>
      <c r="U294" s="160" t="s">
        <v>62</v>
      </c>
      <c r="V294" s="161"/>
      <c r="W294" s="160" t="s">
        <v>62</v>
      </c>
      <c r="X294" s="161"/>
      <c r="Y294" s="160" t="s">
        <v>62</v>
      </c>
      <c r="Z294" s="161"/>
      <c r="AA294" s="160" t="s">
        <v>62</v>
      </c>
      <c r="AB294" s="161"/>
      <c r="AC294" s="160" t="s">
        <v>205</v>
      </c>
      <c r="AD294" s="161"/>
      <c r="AE294" s="160" t="s">
        <v>205</v>
      </c>
      <c r="AF294" s="289" t="str">
        <f t="shared" si="12"/>
        <v>C</v>
      </c>
      <c r="AG294" s="291" t="str">
        <f t="shared" si="13"/>
        <v>UTILIZOU O PDA CORRETAMENTE</v>
      </c>
      <c r="AH294" s="160" t="s">
        <v>205</v>
      </c>
      <c r="AI294" s="292" t="s">
        <v>6</v>
      </c>
      <c r="AJ294" s="293" t="str">
        <f t="shared" si="14"/>
        <v>SÃO PAULO</v>
      </c>
      <c r="AK294" s="294" t="s">
        <v>39</v>
      </c>
    </row>
    <row r="295" spans="1:37" s="302" customFormat="1" ht="30" customHeight="1">
      <c r="A295" s="215" t="s">
        <v>198</v>
      </c>
      <c r="B295" s="215">
        <v>2619789695</v>
      </c>
      <c r="C295" s="215" t="s">
        <v>84</v>
      </c>
      <c r="D295" s="215" t="s">
        <v>77</v>
      </c>
      <c r="E295" s="215" t="s">
        <v>5</v>
      </c>
      <c r="F295" s="215" t="s">
        <v>404</v>
      </c>
      <c r="G295" s="215">
        <v>85</v>
      </c>
      <c r="H295" s="215" t="s">
        <v>363</v>
      </c>
      <c r="I295" s="215" t="s">
        <v>397</v>
      </c>
      <c r="J295" s="215" t="s">
        <v>252</v>
      </c>
      <c r="K295" s="215" t="s">
        <v>200</v>
      </c>
      <c r="L295" s="215" t="s">
        <v>846</v>
      </c>
      <c r="M295" s="215" t="s">
        <v>847</v>
      </c>
      <c r="N295" s="215" t="s">
        <v>590</v>
      </c>
      <c r="O295" s="290" t="s">
        <v>205</v>
      </c>
      <c r="P295" s="161"/>
      <c r="Q295" s="160" t="s">
        <v>62</v>
      </c>
      <c r="R295" s="161"/>
      <c r="S295" s="160" t="s">
        <v>62</v>
      </c>
      <c r="T295" s="161"/>
      <c r="U295" s="160" t="s">
        <v>62</v>
      </c>
      <c r="V295" s="161"/>
      <c r="W295" s="160" t="s">
        <v>62</v>
      </c>
      <c r="X295" s="161"/>
      <c r="Y295" s="160" t="s">
        <v>62</v>
      </c>
      <c r="Z295" s="161"/>
      <c r="AA295" s="160" t="s">
        <v>62</v>
      </c>
      <c r="AB295" s="161"/>
      <c r="AC295" s="160" t="s">
        <v>205</v>
      </c>
      <c r="AD295" s="161"/>
      <c r="AE295" s="160" t="s">
        <v>205</v>
      </c>
      <c r="AF295" s="289" t="str">
        <f t="shared" si="12"/>
        <v>C</v>
      </c>
      <c r="AG295" s="291" t="str">
        <f t="shared" si="13"/>
        <v>UTILIZOU O PDA CORRETAMENTE</v>
      </c>
      <c r="AH295" s="160" t="s">
        <v>205</v>
      </c>
      <c r="AI295" s="292" t="s">
        <v>6</v>
      </c>
      <c r="AJ295" s="293" t="str">
        <f t="shared" si="14"/>
        <v>SÃO PAULO</v>
      </c>
      <c r="AK295" s="294" t="s">
        <v>39</v>
      </c>
    </row>
    <row r="296" spans="1:37" s="302" customFormat="1" ht="30" customHeight="1">
      <c r="A296" s="215" t="s">
        <v>198</v>
      </c>
      <c r="B296" s="215">
        <v>2619825332</v>
      </c>
      <c r="C296" s="215" t="s">
        <v>84</v>
      </c>
      <c r="D296" s="215" t="s">
        <v>77</v>
      </c>
      <c r="E296" s="215" t="s">
        <v>5</v>
      </c>
      <c r="F296" s="215" t="s">
        <v>848</v>
      </c>
      <c r="G296" s="215">
        <v>23</v>
      </c>
      <c r="H296" s="215" t="s">
        <v>481</v>
      </c>
      <c r="I296" s="215" t="s">
        <v>849</v>
      </c>
      <c r="J296" s="215" t="s">
        <v>252</v>
      </c>
      <c r="K296" s="215"/>
      <c r="L296" s="215" t="s">
        <v>850</v>
      </c>
      <c r="M296" s="215" t="s">
        <v>851</v>
      </c>
      <c r="N296" s="215" t="s">
        <v>852</v>
      </c>
      <c r="O296" s="290" t="s">
        <v>205</v>
      </c>
      <c r="P296" s="161"/>
      <c r="Q296" s="160" t="s">
        <v>62</v>
      </c>
      <c r="R296" s="161"/>
      <c r="S296" s="160" t="s">
        <v>62</v>
      </c>
      <c r="T296" s="161"/>
      <c r="U296" s="160" t="s">
        <v>62</v>
      </c>
      <c r="V296" s="161"/>
      <c r="W296" s="160" t="s">
        <v>62</v>
      </c>
      <c r="X296" s="161"/>
      <c r="Y296" s="160" t="s">
        <v>62</v>
      </c>
      <c r="Z296" s="161"/>
      <c r="AA296" s="160" t="s">
        <v>62</v>
      </c>
      <c r="AB296" s="161"/>
      <c r="AC296" s="160" t="s">
        <v>205</v>
      </c>
      <c r="AD296" s="161"/>
      <c r="AE296" s="160" t="s">
        <v>205</v>
      </c>
      <c r="AF296" s="289" t="str">
        <f t="shared" si="12"/>
        <v>C</v>
      </c>
      <c r="AG296" s="291" t="str">
        <f t="shared" si="13"/>
        <v>UTILIZOU O PDA CORRETAMENTE</v>
      </c>
      <c r="AH296" s="160" t="s">
        <v>205</v>
      </c>
      <c r="AI296" s="292" t="s">
        <v>6</v>
      </c>
      <c r="AJ296" s="293" t="str">
        <f t="shared" si="14"/>
        <v>SÃO PAULO</v>
      </c>
      <c r="AK296" s="294" t="s">
        <v>39</v>
      </c>
    </row>
    <row r="297" spans="1:37" s="302" customFormat="1" ht="30" customHeight="1">
      <c r="A297" s="215" t="s">
        <v>198</v>
      </c>
      <c r="B297" s="215">
        <v>2619787469</v>
      </c>
      <c r="C297" s="215" t="s">
        <v>91</v>
      </c>
      <c r="D297" s="215" t="s">
        <v>77</v>
      </c>
      <c r="E297" s="215" t="s">
        <v>5</v>
      </c>
      <c r="F297" s="215" t="s">
        <v>292</v>
      </c>
      <c r="G297" s="215">
        <v>273</v>
      </c>
      <c r="H297" s="215" t="s">
        <v>200</v>
      </c>
      <c r="I297" s="215" t="s">
        <v>293</v>
      </c>
      <c r="J297" s="215" t="s">
        <v>853</v>
      </c>
      <c r="K297" s="215" t="s">
        <v>854</v>
      </c>
      <c r="L297" s="215" t="s">
        <v>855</v>
      </c>
      <c r="M297" s="215" t="s">
        <v>856</v>
      </c>
      <c r="N297" s="215" t="s">
        <v>235</v>
      </c>
      <c r="O297" s="290" t="s">
        <v>205</v>
      </c>
      <c r="P297" s="161"/>
      <c r="Q297" s="160" t="s">
        <v>205</v>
      </c>
      <c r="R297" s="161"/>
      <c r="S297" s="160" t="s">
        <v>205</v>
      </c>
      <c r="T297" s="161"/>
      <c r="U297" s="160" t="s">
        <v>205</v>
      </c>
      <c r="V297" s="161"/>
      <c r="W297" s="160" t="s">
        <v>205</v>
      </c>
      <c r="X297" s="161"/>
      <c r="Y297" s="160" t="s">
        <v>62</v>
      </c>
      <c r="Z297" s="161"/>
      <c r="AA297" s="160" t="s">
        <v>205</v>
      </c>
      <c r="AB297" s="161"/>
      <c r="AC297" s="160" t="s">
        <v>205</v>
      </c>
      <c r="AD297" s="161"/>
      <c r="AE297" s="160" t="s">
        <v>205</v>
      </c>
      <c r="AF297" s="289" t="s">
        <v>205</v>
      </c>
      <c r="AG297" s="291" t="str">
        <f t="shared" si="13"/>
        <v>UTILIZOU O PDA CORRETAMENTE</v>
      </c>
      <c r="AH297" s="160" t="s">
        <v>205</v>
      </c>
      <c r="AI297" s="292" t="s">
        <v>6</v>
      </c>
      <c r="AJ297" s="293" t="str">
        <f t="shared" si="14"/>
        <v>SÃO PAULO</v>
      </c>
      <c r="AK297" s="294" t="s">
        <v>39</v>
      </c>
    </row>
    <row r="298" spans="1:37" s="302" customFormat="1" ht="30" customHeight="1">
      <c r="A298" s="215" t="s">
        <v>198</v>
      </c>
      <c r="B298" s="215">
        <v>2620124849</v>
      </c>
      <c r="C298" s="215" t="s">
        <v>287</v>
      </c>
      <c r="D298" s="215" t="s">
        <v>81</v>
      </c>
      <c r="E298" s="215" t="s">
        <v>5</v>
      </c>
      <c r="F298" s="215" t="s">
        <v>857</v>
      </c>
      <c r="G298" s="215">
        <v>189</v>
      </c>
      <c r="H298" s="215" t="s">
        <v>226</v>
      </c>
      <c r="I298" s="215" t="s">
        <v>535</v>
      </c>
      <c r="J298" s="215" t="s">
        <v>290</v>
      </c>
      <c r="K298" s="215" t="s">
        <v>858</v>
      </c>
      <c r="L298" s="215" t="s">
        <v>859</v>
      </c>
      <c r="M298" s="215" t="s">
        <v>860</v>
      </c>
      <c r="N298" s="215" t="s">
        <v>326</v>
      </c>
      <c r="O298" s="290" t="s">
        <v>205</v>
      </c>
      <c r="P298" s="161"/>
      <c r="Q298" s="160" t="s">
        <v>62</v>
      </c>
      <c r="R298" s="161"/>
      <c r="S298" s="160" t="s">
        <v>62</v>
      </c>
      <c r="T298" s="161"/>
      <c r="U298" s="160" t="s">
        <v>62</v>
      </c>
      <c r="V298" s="161"/>
      <c r="W298" s="160" t="s">
        <v>62</v>
      </c>
      <c r="X298" s="161"/>
      <c r="Y298" s="160" t="s">
        <v>62</v>
      </c>
      <c r="Z298" s="161"/>
      <c r="AA298" s="160" t="s">
        <v>62</v>
      </c>
      <c r="AB298" s="161"/>
      <c r="AC298" s="160" t="s">
        <v>205</v>
      </c>
      <c r="AD298" s="161"/>
      <c r="AE298" s="160" t="s">
        <v>205</v>
      </c>
      <c r="AF298" s="289" t="str">
        <f t="shared" si="12"/>
        <v>C</v>
      </c>
      <c r="AG298" s="291" t="str">
        <f t="shared" si="13"/>
        <v>UTILIZOU O PDA CORRETAMENTE</v>
      </c>
      <c r="AH298" s="160" t="s">
        <v>205</v>
      </c>
      <c r="AI298" s="292" t="s">
        <v>6</v>
      </c>
      <c r="AJ298" s="293" t="str">
        <f t="shared" si="14"/>
        <v>SÃO PAULO</v>
      </c>
      <c r="AK298" s="294" t="s">
        <v>39</v>
      </c>
    </row>
    <row r="299" spans="1:37" s="302" customFormat="1" ht="30" customHeight="1">
      <c r="A299" s="215" t="s">
        <v>198</v>
      </c>
      <c r="B299" s="215">
        <v>2620322576</v>
      </c>
      <c r="C299" s="215" t="s">
        <v>103</v>
      </c>
      <c r="D299" s="215" t="s">
        <v>81</v>
      </c>
      <c r="E299" s="215" t="s">
        <v>5</v>
      </c>
      <c r="F299" s="215" t="s">
        <v>861</v>
      </c>
      <c r="G299" s="215">
        <v>141</v>
      </c>
      <c r="H299" s="215" t="s">
        <v>862</v>
      </c>
      <c r="I299" s="215" t="s">
        <v>863</v>
      </c>
      <c r="J299" s="215" t="s">
        <v>220</v>
      </c>
      <c r="K299" s="215" t="s">
        <v>864</v>
      </c>
      <c r="L299" s="215" t="s">
        <v>843</v>
      </c>
      <c r="M299" s="215" t="s">
        <v>844</v>
      </c>
      <c r="N299" s="215" t="s">
        <v>326</v>
      </c>
      <c r="O299" s="290" t="s">
        <v>205</v>
      </c>
      <c r="P299" s="161"/>
      <c r="Q299" s="160" t="s">
        <v>205</v>
      </c>
      <c r="R299" s="161"/>
      <c r="S299" s="160" t="s">
        <v>205</v>
      </c>
      <c r="T299" s="161"/>
      <c r="U299" s="160" t="s">
        <v>205</v>
      </c>
      <c r="V299" s="161"/>
      <c r="W299" s="160" t="s">
        <v>205</v>
      </c>
      <c r="X299" s="161"/>
      <c r="Y299" s="160" t="s">
        <v>62</v>
      </c>
      <c r="Z299" s="161"/>
      <c r="AA299" s="160" t="s">
        <v>205</v>
      </c>
      <c r="AB299" s="161"/>
      <c r="AC299" s="160" t="s">
        <v>205</v>
      </c>
      <c r="AD299" s="161"/>
      <c r="AE299" s="160" t="s">
        <v>205</v>
      </c>
      <c r="AF299" s="289" t="str">
        <f t="shared" si="12"/>
        <v>C</v>
      </c>
      <c r="AG299" s="291" t="str">
        <f t="shared" si="13"/>
        <v>UTILIZOU O PDA CORRETAMENTE</v>
      </c>
      <c r="AH299" s="160" t="s">
        <v>205</v>
      </c>
      <c r="AI299" s="292" t="s">
        <v>6</v>
      </c>
      <c r="AJ299" s="293" t="str">
        <f t="shared" si="14"/>
        <v>SÃO PAULO</v>
      </c>
      <c r="AK299" s="294" t="s">
        <v>39</v>
      </c>
    </row>
    <row r="300" spans="1:37" s="302" customFormat="1" ht="30" customHeight="1">
      <c r="A300" s="215" t="s">
        <v>198</v>
      </c>
      <c r="B300" s="215">
        <v>2620250211</v>
      </c>
      <c r="C300" s="215" t="s">
        <v>331</v>
      </c>
      <c r="D300" s="215" t="s">
        <v>79</v>
      </c>
      <c r="E300" s="215" t="s">
        <v>5</v>
      </c>
      <c r="F300" s="215" t="s">
        <v>332</v>
      </c>
      <c r="G300" s="215">
        <v>597</v>
      </c>
      <c r="H300" s="215" t="s">
        <v>318</v>
      </c>
      <c r="I300" s="215" t="s">
        <v>567</v>
      </c>
      <c r="J300" s="215" t="s">
        <v>334</v>
      </c>
      <c r="K300" s="215"/>
      <c r="L300" s="215" t="s">
        <v>843</v>
      </c>
      <c r="M300" s="215" t="s">
        <v>844</v>
      </c>
      <c r="N300" s="215" t="s">
        <v>230</v>
      </c>
      <c r="O300" s="290" t="s">
        <v>205</v>
      </c>
      <c r="P300" s="161"/>
      <c r="Q300" s="160" t="s">
        <v>206</v>
      </c>
      <c r="R300" s="161"/>
      <c r="S300" s="160" t="s">
        <v>206</v>
      </c>
      <c r="T300" s="161"/>
      <c r="U300" s="160" t="s">
        <v>206</v>
      </c>
      <c r="V300" s="161"/>
      <c r="W300" s="160" t="s">
        <v>206</v>
      </c>
      <c r="X300" s="161"/>
      <c r="Y300" s="160" t="s">
        <v>206</v>
      </c>
      <c r="Z300" s="161"/>
      <c r="AA300" s="160" t="s">
        <v>205</v>
      </c>
      <c r="AB300" s="161"/>
      <c r="AC300" s="160" t="s">
        <v>239</v>
      </c>
      <c r="AD300" s="161" t="s">
        <v>865</v>
      </c>
      <c r="AE300" s="160" t="s">
        <v>205</v>
      </c>
      <c r="AF300" s="289" t="str">
        <f t="shared" si="12"/>
        <v>NC</v>
      </c>
      <c r="AG300" s="291" t="str">
        <f t="shared" si="13"/>
        <v>UTILIZOU O PDA CORRETAMENTE. NÃO HÁ FOTOS DE TODAS AS ETAPAS</v>
      </c>
      <c r="AH300" s="160" t="s">
        <v>205</v>
      </c>
      <c r="AI300" s="292" t="s">
        <v>6</v>
      </c>
      <c r="AJ300" s="293" t="str">
        <f t="shared" si="14"/>
        <v>SÃO PAULO</v>
      </c>
      <c r="AK300" s="294" t="s">
        <v>39</v>
      </c>
    </row>
    <row r="301" spans="1:37" s="302" customFormat="1" ht="30" customHeight="1">
      <c r="A301" s="215" t="s">
        <v>198</v>
      </c>
      <c r="B301" s="215">
        <v>2620381139</v>
      </c>
      <c r="C301" s="215" t="s">
        <v>331</v>
      </c>
      <c r="D301" s="215" t="s">
        <v>79</v>
      </c>
      <c r="E301" s="215" t="s">
        <v>5</v>
      </c>
      <c r="F301" s="215" t="s">
        <v>866</v>
      </c>
      <c r="G301" s="215">
        <v>33</v>
      </c>
      <c r="H301" s="215" t="s">
        <v>226</v>
      </c>
      <c r="I301" s="215" t="s">
        <v>867</v>
      </c>
      <c r="J301" s="215" t="s">
        <v>334</v>
      </c>
      <c r="K301" s="215" t="s">
        <v>868</v>
      </c>
      <c r="L301" s="215" t="s">
        <v>869</v>
      </c>
      <c r="M301" s="215" t="s">
        <v>870</v>
      </c>
      <c r="N301" s="215" t="s">
        <v>212</v>
      </c>
      <c r="O301" s="290" t="s">
        <v>205</v>
      </c>
      <c r="P301" s="161"/>
      <c r="Q301" s="160" t="s">
        <v>205</v>
      </c>
      <c r="R301" s="161"/>
      <c r="S301" s="160" t="s">
        <v>205</v>
      </c>
      <c r="T301" s="161"/>
      <c r="U301" s="160" t="s">
        <v>205</v>
      </c>
      <c r="V301" s="161"/>
      <c r="W301" s="160" t="s">
        <v>205</v>
      </c>
      <c r="X301" s="161"/>
      <c r="Y301" s="160" t="s">
        <v>205</v>
      </c>
      <c r="Z301" s="161"/>
      <c r="AA301" s="160" t="s">
        <v>205</v>
      </c>
      <c r="AB301" s="161"/>
      <c r="AC301" s="160" t="s">
        <v>62</v>
      </c>
      <c r="AD301" s="161"/>
      <c r="AE301" s="160" t="s">
        <v>205</v>
      </c>
      <c r="AF301" s="289" t="str">
        <f t="shared" si="12"/>
        <v>C</v>
      </c>
      <c r="AG301" s="291" t="str">
        <f t="shared" si="13"/>
        <v>UTILIZOU O PDA CORRETAMENTE</v>
      </c>
      <c r="AH301" s="160" t="s">
        <v>205</v>
      </c>
      <c r="AI301" s="292" t="s">
        <v>6</v>
      </c>
      <c r="AJ301" s="293" t="str">
        <f t="shared" si="14"/>
        <v>SÃO PAULO</v>
      </c>
      <c r="AK301" s="294" t="s">
        <v>39</v>
      </c>
    </row>
    <row r="302" spans="1:37" s="302" customFormat="1" ht="30" customHeight="1">
      <c r="A302" s="215" t="s">
        <v>198</v>
      </c>
      <c r="B302" s="215">
        <v>2620241591</v>
      </c>
      <c r="C302" s="215" t="s">
        <v>86</v>
      </c>
      <c r="D302" s="215" t="s">
        <v>77</v>
      </c>
      <c r="E302" s="215" t="s">
        <v>5</v>
      </c>
      <c r="F302" s="215" t="s">
        <v>871</v>
      </c>
      <c r="G302" s="215">
        <v>397</v>
      </c>
      <c r="H302" s="215" t="s">
        <v>872</v>
      </c>
      <c r="I302" s="215" t="s">
        <v>607</v>
      </c>
      <c r="J302" s="215" t="s">
        <v>86</v>
      </c>
      <c r="K302" s="215" t="s">
        <v>873</v>
      </c>
      <c r="L302" s="215" t="s">
        <v>874</v>
      </c>
      <c r="M302" s="215" t="s">
        <v>875</v>
      </c>
      <c r="N302" s="215" t="s">
        <v>235</v>
      </c>
      <c r="O302" s="290" t="s">
        <v>205</v>
      </c>
      <c r="P302" s="161"/>
      <c r="Q302" s="160" t="s">
        <v>205</v>
      </c>
      <c r="R302" s="161"/>
      <c r="S302" s="160" t="s">
        <v>205</v>
      </c>
      <c r="T302" s="161"/>
      <c r="U302" s="160" t="s">
        <v>205</v>
      </c>
      <c r="V302" s="161"/>
      <c r="W302" s="160" t="s">
        <v>205</v>
      </c>
      <c r="X302" s="161"/>
      <c r="Y302" s="160" t="s">
        <v>62</v>
      </c>
      <c r="Z302" s="161"/>
      <c r="AA302" s="160" t="s">
        <v>205</v>
      </c>
      <c r="AB302" s="161"/>
      <c r="AC302" s="160" t="s">
        <v>205</v>
      </c>
      <c r="AD302" s="161"/>
      <c r="AE302" s="160" t="s">
        <v>205</v>
      </c>
      <c r="AF302" s="289" t="str">
        <f t="shared" si="12"/>
        <v>C</v>
      </c>
      <c r="AG302" s="291" t="str">
        <f t="shared" si="13"/>
        <v>UTILIZOU O PDA CORRETAMENTE</v>
      </c>
      <c r="AH302" s="160" t="s">
        <v>205</v>
      </c>
      <c r="AI302" s="292" t="s">
        <v>6</v>
      </c>
      <c r="AJ302" s="293" t="str">
        <f t="shared" si="14"/>
        <v>SÃO PAULO</v>
      </c>
      <c r="AK302" s="294" t="s">
        <v>39</v>
      </c>
    </row>
    <row r="303" spans="1:37" s="302" customFormat="1" ht="30" customHeight="1">
      <c r="A303" s="215" t="s">
        <v>198</v>
      </c>
      <c r="B303" s="215">
        <v>2620362404</v>
      </c>
      <c r="C303" s="215" t="s">
        <v>106</v>
      </c>
      <c r="D303" s="215" t="s">
        <v>81</v>
      </c>
      <c r="E303" s="215" t="s">
        <v>5</v>
      </c>
      <c r="F303" s="215" t="s">
        <v>876</v>
      </c>
      <c r="G303" s="215">
        <v>389</v>
      </c>
      <c r="H303" s="215" t="s">
        <v>200</v>
      </c>
      <c r="I303" s="215" t="s">
        <v>397</v>
      </c>
      <c r="J303" s="215" t="s">
        <v>350</v>
      </c>
      <c r="K303" s="215" t="s">
        <v>877</v>
      </c>
      <c r="L303" s="215" t="s">
        <v>878</v>
      </c>
      <c r="M303" s="215" t="s">
        <v>879</v>
      </c>
      <c r="N303" s="215" t="s">
        <v>326</v>
      </c>
      <c r="O303" s="290" t="s">
        <v>205</v>
      </c>
      <c r="P303" s="161"/>
      <c r="Q303" s="160" t="s">
        <v>205</v>
      </c>
      <c r="R303" s="161"/>
      <c r="S303" s="160" t="s">
        <v>62</v>
      </c>
      <c r="T303" s="161"/>
      <c r="U303" s="160" t="s">
        <v>62</v>
      </c>
      <c r="V303" s="161"/>
      <c r="W303" s="160" t="s">
        <v>62</v>
      </c>
      <c r="X303" s="161"/>
      <c r="Y303" s="160" t="s">
        <v>62</v>
      </c>
      <c r="Z303" s="161"/>
      <c r="AA303" s="160" t="s">
        <v>205</v>
      </c>
      <c r="AB303" s="161"/>
      <c r="AC303" s="160" t="s">
        <v>205</v>
      </c>
      <c r="AD303" s="161"/>
      <c r="AE303" s="160" t="s">
        <v>205</v>
      </c>
      <c r="AF303" s="289" t="str">
        <f t="shared" si="12"/>
        <v>C</v>
      </c>
      <c r="AG303" s="291" t="str">
        <f t="shared" si="13"/>
        <v>UTILIZOU O PDA CORRETAMENTE</v>
      </c>
      <c r="AH303" s="160" t="s">
        <v>205</v>
      </c>
      <c r="AI303" s="292" t="s">
        <v>6</v>
      </c>
      <c r="AJ303" s="293" t="str">
        <f t="shared" si="14"/>
        <v>SÃO PAULO</v>
      </c>
      <c r="AK303" s="294" t="s">
        <v>39</v>
      </c>
    </row>
    <row r="304" spans="1:37" s="302" customFormat="1" ht="30" customHeight="1">
      <c r="A304" s="215" t="s">
        <v>198</v>
      </c>
      <c r="B304" s="215">
        <v>2619840316</v>
      </c>
      <c r="C304" s="215" t="s">
        <v>86</v>
      </c>
      <c r="D304" s="215" t="s">
        <v>77</v>
      </c>
      <c r="E304" s="215" t="s">
        <v>5</v>
      </c>
      <c r="F304" s="215" t="s">
        <v>880</v>
      </c>
      <c r="G304" s="215">
        <v>164</v>
      </c>
      <c r="H304" s="215"/>
      <c r="I304" s="215" t="s">
        <v>881</v>
      </c>
      <c r="J304" s="215" t="s">
        <v>86</v>
      </c>
      <c r="K304" s="215"/>
      <c r="L304" s="215" t="s">
        <v>882</v>
      </c>
      <c r="M304" s="215" t="s">
        <v>883</v>
      </c>
      <c r="N304" s="215" t="s">
        <v>357</v>
      </c>
      <c r="O304" s="290" t="s">
        <v>205</v>
      </c>
      <c r="P304" s="161"/>
      <c r="Q304" s="160" t="s">
        <v>205</v>
      </c>
      <c r="R304" s="161"/>
      <c r="S304" s="160" t="s">
        <v>205</v>
      </c>
      <c r="T304" s="161"/>
      <c r="U304" s="160" t="s">
        <v>205</v>
      </c>
      <c r="V304" s="161"/>
      <c r="W304" s="160" t="s">
        <v>205</v>
      </c>
      <c r="X304" s="161"/>
      <c r="Y304" s="160" t="s">
        <v>205</v>
      </c>
      <c r="Z304" s="161"/>
      <c r="AA304" s="160" t="s">
        <v>205</v>
      </c>
      <c r="AB304" s="161"/>
      <c r="AC304" s="160" t="s">
        <v>205</v>
      </c>
      <c r="AD304" s="161"/>
      <c r="AE304" s="160" t="s">
        <v>205</v>
      </c>
      <c r="AF304" s="289" t="str">
        <f t="shared" si="12"/>
        <v>C</v>
      </c>
      <c r="AG304" s="291" t="str">
        <f t="shared" si="13"/>
        <v>UTILIZOU O PDA CORRETAMENTE</v>
      </c>
      <c r="AH304" s="160" t="s">
        <v>205</v>
      </c>
      <c r="AI304" s="292" t="s">
        <v>6</v>
      </c>
      <c r="AJ304" s="293" t="str">
        <f t="shared" si="14"/>
        <v>SÃO PAULO</v>
      </c>
      <c r="AK304" s="294" t="s">
        <v>39</v>
      </c>
    </row>
    <row r="305" spans="1:37" s="302" customFormat="1" ht="30" customHeight="1">
      <c r="A305" s="215" t="s">
        <v>198</v>
      </c>
      <c r="B305" s="215">
        <v>2620538003</v>
      </c>
      <c r="C305" s="215" t="s">
        <v>331</v>
      </c>
      <c r="D305" s="215" t="s">
        <v>79</v>
      </c>
      <c r="E305" s="215" t="s">
        <v>5</v>
      </c>
      <c r="F305" s="215" t="s">
        <v>866</v>
      </c>
      <c r="G305" s="215">
        <v>48</v>
      </c>
      <c r="H305" s="215" t="s">
        <v>884</v>
      </c>
      <c r="I305" s="215" t="s">
        <v>867</v>
      </c>
      <c r="J305" s="215" t="s">
        <v>334</v>
      </c>
      <c r="K305" s="215" t="s">
        <v>885</v>
      </c>
      <c r="L305" s="215" t="s">
        <v>886</v>
      </c>
      <c r="M305" s="215" t="s">
        <v>887</v>
      </c>
      <c r="N305" s="215" t="s">
        <v>212</v>
      </c>
      <c r="O305" s="290" t="s">
        <v>205</v>
      </c>
      <c r="P305" s="161"/>
      <c r="Q305" s="160" t="s">
        <v>205</v>
      </c>
      <c r="R305" s="161"/>
      <c r="S305" s="160" t="s">
        <v>205</v>
      </c>
      <c r="T305" s="161"/>
      <c r="U305" s="160" t="s">
        <v>205</v>
      </c>
      <c r="V305" s="161"/>
      <c r="W305" s="160" t="s">
        <v>205</v>
      </c>
      <c r="X305" s="161"/>
      <c r="Y305" s="160" t="s">
        <v>239</v>
      </c>
      <c r="Z305" s="161" t="s">
        <v>386</v>
      </c>
      <c r="AA305" s="160" t="s">
        <v>205</v>
      </c>
      <c r="AB305" s="161"/>
      <c r="AC305" s="160" t="s">
        <v>205</v>
      </c>
      <c r="AD305" s="161"/>
      <c r="AE305" s="160" t="s">
        <v>205</v>
      </c>
      <c r="AF305" s="289" t="str">
        <f t="shared" si="12"/>
        <v>NC</v>
      </c>
      <c r="AG305" s="291" t="str">
        <f t="shared" si="13"/>
        <v>UTILIZOU O PDA CORRETAMENTE. NÃO HÁ FOTOS DE TODAS AS ETAPAS</v>
      </c>
      <c r="AH305" s="160" t="s">
        <v>205</v>
      </c>
      <c r="AI305" s="292" t="s">
        <v>6</v>
      </c>
      <c r="AJ305" s="293" t="str">
        <f t="shared" si="14"/>
        <v>SÃO PAULO</v>
      </c>
      <c r="AK305" s="294" t="s">
        <v>39</v>
      </c>
    </row>
    <row r="306" spans="1:37" s="302" customFormat="1" ht="30" customHeight="1">
      <c r="A306" s="215" t="s">
        <v>198</v>
      </c>
      <c r="B306" s="215">
        <v>2620184281</v>
      </c>
      <c r="C306" s="215" t="s">
        <v>100</v>
      </c>
      <c r="D306" s="215" t="s">
        <v>81</v>
      </c>
      <c r="E306" s="215" t="s">
        <v>5</v>
      </c>
      <c r="F306" s="215" t="s">
        <v>888</v>
      </c>
      <c r="G306" s="215">
        <v>278</v>
      </c>
      <c r="H306" s="215" t="s">
        <v>363</v>
      </c>
      <c r="I306" s="215" t="s">
        <v>251</v>
      </c>
      <c r="J306" s="215" t="s">
        <v>243</v>
      </c>
      <c r="K306" s="215"/>
      <c r="L306" s="215" t="s">
        <v>889</v>
      </c>
      <c r="M306" s="215" t="s">
        <v>890</v>
      </c>
      <c r="N306" s="215" t="s">
        <v>326</v>
      </c>
      <c r="O306" s="290" t="s">
        <v>205</v>
      </c>
      <c r="P306" s="161"/>
      <c r="Q306" s="160" t="s">
        <v>205</v>
      </c>
      <c r="R306" s="161"/>
      <c r="S306" s="160" t="s">
        <v>205</v>
      </c>
      <c r="T306" s="161"/>
      <c r="U306" s="160" t="s">
        <v>205</v>
      </c>
      <c r="V306" s="161"/>
      <c r="W306" s="160" t="s">
        <v>205</v>
      </c>
      <c r="X306" s="161"/>
      <c r="Y306" s="160" t="s">
        <v>205</v>
      </c>
      <c r="Z306" s="161"/>
      <c r="AA306" s="160" t="s">
        <v>205</v>
      </c>
      <c r="AB306" s="161"/>
      <c r="AC306" s="160" t="s">
        <v>205</v>
      </c>
      <c r="AD306" s="161"/>
      <c r="AE306" s="160" t="s">
        <v>205</v>
      </c>
      <c r="AF306" s="289" t="str">
        <f t="shared" si="12"/>
        <v>C</v>
      </c>
      <c r="AG306" s="291" t="str">
        <f t="shared" si="13"/>
        <v>UTILIZOU O PDA CORRETAMENTE</v>
      </c>
      <c r="AH306" s="160" t="s">
        <v>205</v>
      </c>
      <c r="AI306" s="292" t="s">
        <v>6</v>
      </c>
      <c r="AJ306" s="293" t="str">
        <f t="shared" si="14"/>
        <v>SÃO PAULO</v>
      </c>
      <c r="AK306" s="294" t="s">
        <v>39</v>
      </c>
    </row>
    <row r="307" spans="1:37" s="302" customFormat="1" ht="30" customHeight="1">
      <c r="A307" s="215" t="s">
        <v>198</v>
      </c>
      <c r="B307" s="215">
        <v>2620539888</v>
      </c>
      <c r="C307" s="215" t="s">
        <v>103</v>
      </c>
      <c r="D307" s="215" t="s">
        <v>81</v>
      </c>
      <c r="E307" s="215" t="s">
        <v>5</v>
      </c>
      <c r="F307" s="215" t="s">
        <v>891</v>
      </c>
      <c r="G307" s="215">
        <v>9</v>
      </c>
      <c r="H307" s="215"/>
      <c r="I307" s="215" t="s">
        <v>567</v>
      </c>
      <c r="J307" s="215" t="s">
        <v>322</v>
      </c>
      <c r="K307" s="215"/>
      <c r="L307" s="215" t="s">
        <v>892</v>
      </c>
      <c r="M307" s="215" t="s">
        <v>893</v>
      </c>
      <c r="N307" s="215" t="s">
        <v>359</v>
      </c>
      <c r="O307" s="290" t="s">
        <v>205</v>
      </c>
      <c r="P307" s="161"/>
      <c r="Q307" s="160" t="s">
        <v>205</v>
      </c>
      <c r="R307" s="161"/>
      <c r="S307" s="160" t="s">
        <v>205</v>
      </c>
      <c r="T307" s="161"/>
      <c r="U307" s="160" t="s">
        <v>205</v>
      </c>
      <c r="V307" s="161"/>
      <c r="W307" s="160" t="s">
        <v>205</v>
      </c>
      <c r="X307" s="161"/>
      <c r="Y307" s="160" t="s">
        <v>205</v>
      </c>
      <c r="Z307" s="161"/>
      <c r="AA307" s="160" t="s">
        <v>205</v>
      </c>
      <c r="AB307" s="161"/>
      <c r="AC307" s="160" t="s">
        <v>205</v>
      </c>
      <c r="AD307" s="161"/>
      <c r="AE307" s="160" t="s">
        <v>205</v>
      </c>
      <c r="AF307" s="289" t="str">
        <f t="shared" si="12"/>
        <v>C</v>
      </c>
      <c r="AG307" s="291" t="str">
        <f t="shared" si="13"/>
        <v>UTILIZOU O PDA CORRETAMENTE</v>
      </c>
      <c r="AH307" s="160" t="s">
        <v>205</v>
      </c>
      <c r="AI307" s="292" t="s">
        <v>6</v>
      </c>
      <c r="AJ307" s="293" t="str">
        <f t="shared" si="14"/>
        <v>SÃO PAULO</v>
      </c>
      <c r="AK307" s="294" t="s">
        <v>39</v>
      </c>
    </row>
    <row r="308" spans="1:37" s="302" customFormat="1" ht="30" customHeight="1">
      <c r="A308" s="215" t="s">
        <v>198</v>
      </c>
      <c r="B308" s="215">
        <v>2620577867</v>
      </c>
      <c r="C308" s="215" t="s">
        <v>101</v>
      </c>
      <c r="D308" s="215" t="s">
        <v>79</v>
      </c>
      <c r="E308" s="215" t="s">
        <v>5</v>
      </c>
      <c r="F308" s="215" t="s">
        <v>891</v>
      </c>
      <c r="G308" s="215">
        <v>16</v>
      </c>
      <c r="H308" s="215" t="s">
        <v>200</v>
      </c>
      <c r="I308" s="215" t="s">
        <v>567</v>
      </c>
      <c r="J308" s="215" t="s">
        <v>233</v>
      </c>
      <c r="K308" s="215" t="s">
        <v>894</v>
      </c>
      <c r="L308" s="215" t="s">
        <v>895</v>
      </c>
      <c r="M308" s="215" t="s">
        <v>896</v>
      </c>
      <c r="N308" s="215" t="s">
        <v>359</v>
      </c>
      <c r="O308" s="290" t="s">
        <v>205</v>
      </c>
      <c r="P308" s="161"/>
      <c r="Q308" s="160" t="s">
        <v>205</v>
      </c>
      <c r="R308" s="161"/>
      <c r="S308" s="160" t="s">
        <v>205</v>
      </c>
      <c r="T308" s="161"/>
      <c r="U308" s="160" t="s">
        <v>205</v>
      </c>
      <c r="V308" s="161"/>
      <c r="W308" s="160" t="s">
        <v>205</v>
      </c>
      <c r="X308" s="161"/>
      <c r="Y308" s="160" t="s">
        <v>205</v>
      </c>
      <c r="Z308" s="161"/>
      <c r="AA308" s="160" t="s">
        <v>205</v>
      </c>
      <c r="AB308" s="161"/>
      <c r="AC308" s="160" t="s">
        <v>205</v>
      </c>
      <c r="AD308" s="161"/>
      <c r="AE308" s="160" t="s">
        <v>205</v>
      </c>
      <c r="AF308" s="289" t="str">
        <f t="shared" si="12"/>
        <v>C</v>
      </c>
      <c r="AG308" s="291" t="str">
        <f t="shared" si="13"/>
        <v>UTILIZOU O PDA CORRETAMENTE</v>
      </c>
      <c r="AH308" s="160" t="s">
        <v>205</v>
      </c>
      <c r="AI308" s="292" t="s">
        <v>6</v>
      </c>
      <c r="AJ308" s="293" t="str">
        <f t="shared" si="14"/>
        <v>SÃO PAULO</v>
      </c>
      <c r="AK308" s="294" t="s">
        <v>39</v>
      </c>
    </row>
    <row r="309" spans="1:37" s="302" customFormat="1" ht="30" customHeight="1">
      <c r="A309" s="215" t="s">
        <v>198</v>
      </c>
      <c r="B309" s="215">
        <v>2619868877</v>
      </c>
      <c r="C309" s="215" t="s">
        <v>84</v>
      </c>
      <c r="D309" s="215" t="s">
        <v>77</v>
      </c>
      <c r="E309" s="215" t="s">
        <v>5</v>
      </c>
      <c r="F309" s="215" t="s">
        <v>897</v>
      </c>
      <c r="G309" s="215">
        <v>378</v>
      </c>
      <c r="H309" s="215" t="s">
        <v>652</v>
      </c>
      <c r="I309" s="215" t="s">
        <v>251</v>
      </c>
      <c r="J309" s="215" t="s">
        <v>252</v>
      </c>
      <c r="K309" s="215"/>
      <c r="L309" s="215" t="s">
        <v>898</v>
      </c>
      <c r="M309" s="215" t="s">
        <v>899</v>
      </c>
      <c r="N309" s="215" t="s">
        <v>900</v>
      </c>
      <c r="O309" s="290" t="s">
        <v>205</v>
      </c>
      <c r="P309" s="161"/>
      <c r="Q309" s="160" t="s">
        <v>62</v>
      </c>
      <c r="R309" s="161"/>
      <c r="S309" s="160" t="s">
        <v>62</v>
      </c>
      <c r="T309" s="161"/>
      <c r="U309" s="160" t="s">
        <v>62</v>
      </c>
      <c r="V309" s="161"/>
      <c r="W309" s="160" t="s">
        <v>62</v>
      </c>
      <c r="X309" s="161"/>
      <c r="Y309" s="160" t="s">
        <v>62</v>
      </c>
      <c r="Z309" s="161"/>
      <c r="AA309" s="160" t="s">
        <v>62</v>
      </c>
      <c r="AB309" s="161"/>
      <c r="AC309" s="160" t="s">
        <v>205</v>
      </c>
      <c r="AD309" s="161"/>
      <c r="AE309" s="160" t="s">
        <v>205</v>
      </c>
      <c r="AF309" s="289" t="str">
        <f t="shared" si="12"/>
        <v>C</v>
      </c>
      <c r="AG309" s="291" t="str">
        <f t="shared" si="13"/>
        <v>UTILIZOU O PDA CORRETAMENTE</v>
      </c>
      <c r="AH309" s="160" t="s">
        <v>205</v>
      </c>
      <c r="AI309" s="292" t="s">
        <v>6</v>
      </c>
      <c r="AJ309" s="293" t="str">
        <f t="shared" si="14"/>
        <v>SÃO PAULO</v>
      </c>
      <c r="AK309" s="294" t="s">
        <v>39</v>
      </c>
    </row>
    <row r="310" spans="1:37" s="302" customFormat="1" ht="30" customHeight="1">
      <c r="A310" s="215" t="s">
        <v>198</v>
      </c>
      <c r="B310" s="215">
        <v>2620529710</v>
      </c>
      <c r="C310" s="215" t="s">
        <v>86</v>
      </c>
      <c r="D310" s="215" t="s">
        <v>77</v>
      </c>
      <c r="E310" s="215" t="s">
        <v>5</v>
      </c>
      <c r="F310" s="215" t="s">
        <v>901</v>
      </c>
      <c r="G310" s="215">
        <v>155</v>
      </c>
      <c r="H310" s="215" t="s">
        <v>902</v>
      </c>
      <c r="I310" s="215" t="s">
        <v>296</v>
      </c>
      <c r="J310" s="215" t="s">
        <v>86</v>
      </c>
      <c r="K310" s="215" t="s">
        <v>200</v>
      </c>
      <c r="L310" s="215" t="s">
        <v>903</v>
      </c>
      <c r="M310" s="215" t="s">
        <v>904</v>
      </c>
      <c r="N310" s="215" t="s">
        <v>254</v>
      </c>
      <c r="O310" s="290" t="s">
        <v>239</v>
      </c>
      <c r="P310" s="161" t="s">
        <v>303</v>
      </c>
      <c r="Q310" s="160" t="s">
        <v>239</v>
      </c>
      <c r="R310" s="161" t="s">
        <v>303</v>
      </c>
      <c r="S310" s="160" t="s">
        <v>239</v>
      </c>
      <c r="T310" s="161" t="s">
        <v>303</v>
      </c>
      <c r="U310" s="160" t="s">
        <v>239</v>
      </c>
      <c r="V310" s="161" t="s">
        <v>303</v>
      </c>
      <c r="W310" s="160" t="s">
        <v>239</v>
      </c>
      <c r="X310" s="161" t="s">
        <v>303</v>
      </c>
      <c r="Y310" s="160" t="s">
        <v>239</v>
      </c>
      <c r="Z310" s="161" t="s">
        <v>303</v>
      </c>
      <c r="AA310" s="160" t="s">
        <v>239</v>
      </c>
      <c r="AB310" s="161" t="s">
        <v>303</v>
      </c>
      <c r="AC310" s="160" t="s">
        <v>239</v>
      </c>
      <c r="AD310" s="161" t="s">
        <v>303</v>
      </c>
      <c r="AE310" s="160" t="s">
        <v>239</v>
      </c>
      <c r="AF310" s="289" t="str">
        <f t="shared" si="12"/>
        <v>NC</v>
      </c>
      <c r="AG310" s="291" t="str">
        <f t="shared" si="13"/>
        <v>NÃO UTILIZOU O PDA</v>
      </c>
      <c r="AH310" s="160"/>
      <c r="AI310" s="292" t="s">
        <v>6</v>
      </c>
      <c r="AJ310" s="293" t="str">
        <f t="shared" si="14"/>
        <v>SÃO PAULO</v>
      </c>
      <c r="AK310" s="294" t="s">
        <v>39</v>
      </c>
    </row>
    <row r="311" spans="1:37" s="302" customFormat="1" ht="30" customHeight="1">
      <c r="A311" s="215" t="s">
        <v>198</v>
      </c>
      <c r="B311" s="215">
        <v>2620530506</v>
      </c>
      <c r="C311" s="215" t="s">
        <v>86</v>
      </c>
      <c r="D311" s="215" t="s">
        <v>77</v>
      </c>
      <c r="E311" s="215" t="s">
        <v>5</v>
      </c>
      <c r="F311" s="215" t="s">
        <v>901</v>
      </c>
      <c r="G311" s="215">
        <v>155</v>
      </c>
      <c r="H311" s="215" t="s">
        <v>363</v>
      </c>
      <c r="I311" s="215" t="s">
        <v>296</v>
      </c>
      <c r="J311" s="215" t="s">
        <v>86</v>
      </c>
      <c r="K311" s="215" t="s">
        <v>905</v>
      </c>
      <c r="L311" s="215" t="s">
        <v>906</v>
      </c>
      <c r="M311" s="215" t="s">
        <v>903</v>
      </c>
      <c r="N311" s="215" t="s">
        <v>254</v>
      </c>
      <c r="O311" s="290" t="s">
        <v>239</v>
      </c>
      <c r="P311" s="161" t="s">
        <v>303</v>
      </c>
      <c r="Q311" s="290" t="s">
        <v>239</v>
      </c>
      <c r="R311" s="161" t="s">
        <v>303</v>
      </c>
      <c r="S311" s="290" t="s">
        <v>239</v>
      </c>
      <c r="T311" s="161" t="s">
        <v>303</v>
      </c>
      <c r="U311" s="290" t="s">
        <v>239</v>
      </c>
      <c r="V311" s="161" t="s">
        <v>303</v>
      </c>
      <c r="W311" s="290" t="s">
        <v>239</v>
      </c>
      <c r="X311" s="161" t="s">
        <v>303</v>
      </c>
      <c r="Y311" s="290" t="s">
        <v>239</v>
      </c>
      <c r="Z311" s="161" t="s">
        <v>303</v>
      </c>
      <c r="AA311" s="290" t="s">
        <v>239</v>
      </c>
      <c r="AB311" s="161" t="s">
        <v>303</v>
      </c>
      <c r="AC311" s="290" t="s">
        <v>239</v>
      </c>
      <c r="AD311" s="161" t="s">
        <v>303</v>
      </c>
      <c r="AE311" s="290" t="s">
        <v>239</v>
      </c>
      <c r="AF311" s="289" t="str">
        <f t="shared" si="12"/>
        <v>NC</v>
      </c>
      <c r="AG311" s="291" t="str">
        <f t="shared" si="13"/>
        <v>NÃO UTILIZOU O PDA</v>
      </c>
      <c r="AH311" s="160"/>
      <c r="AI311" s="292" t="s">
        <v>6</v>
      </c>
      <c r="AJ311" s="293" t="str">
        <f t="shared" si="14"/>
        <v>SÃO PAULO</v>
      </c>
      <c r="AK311" s="294" t="s">
        <v>39</v>
      </c>
    </row>
    <row r="312" spans="1:37" s="302" customFormat="1" ht="30" customHeight="1">
      <c r="A312" s="215" t="s">
        <v>198</v>
      </c>
      <c r="B312" s="215">
        <v>2620577071</v>
      </c>
      <c r="C312" s="215" t="s">
        <v>99</v>
      </c>
      <c r="D312" s="215" t="s">
        <v>81</v>
      </c>
      <c r="E312" s="215" t="s">
        <v>5</v>
      </c>
      <c r="F312" s="215" t="s">
        <v>469</v>
      </c>
      <c r="G312" s="215">
        <v>94</v>
      </c>
      <c r="H312" s="215" t="s">
        <v>226</v>
      </c>
      <c r="I312" s="215" t="s">
        <v>470</v>
      </c>
      <c r="J312" s="215" t="s">
        <v>268</v>
      </c>
      <c r="K312" s="215" t="s">
        <v>200</v>
      </c>
      <c r="L312" s="215" t="s">
        <v>907</v>
      </c>
      <c r="M312" s="215" t="s">
        <v>908</v>
      </c>
      <c r="N312" s="215" t="s">
        <v>230</v>
      </c>
      <c r="O312" s="290" t="s">
        <v>205</v>
      </c>
      <c r="P312" s="161"/>
      <c r="Q312" s="160" t="s">
        <v>205</v>
      </c>
      <c r="R312" s="161"/>
      <c r="S312" s="160" t="s">
        <v>205</v>
      </c>
      <c r="T312" s="161"/>
      <c r="U312" s="160" t="s">
        <v>205</v>
      </c>
      <c r="V312" s="161"/>
      <c r="W312" s="160" t="s">
        <v>205</v>
      </c>
      <c r="X312" s="161"/>
      <c r="Y312" s="160" t="s">
        <v>205</v>
      </c>
      <c r="Z312" s="161"/>
      <c r="AA312" s="160" t="s">
        <v>205</v>
      </c>
      <c r="AB312" s="161"/>
      <c r="AC312" s="160" t="s">
        <v>205</v>
      </c>
      <c r="AD312" s="161"/>
      <c r="AE312" s="160" t="s">
        <v>205</v>
      </c>
      <c r="AF312" s="289" t="str">
        <f t="shared" si="12"/>
        <v>C</v>
      </c>
      <c r="AG312" s="291" t="str">
        <f t="shared" si="13"/>
        <v>UTILIZOU O PDA CORRETAMENTE</v>
      </c>
      <c r="AH312" s="160" t="s">
        <v>205</v>
      </c>
      <c r="AI312" s="292" t="s">
        <v>6</v>
      </c>
      <c r="AJ312" s="293" t="str">
        <f t="shared" si="14"/>
        <v>SÃO PAULO</v>
      </c>
      <c r="AK312" s="294" t="s">
        <v>39</v>
      </c>
    </row>
    <row r="313" spans="1:37" s="302" customFormat="1" ht="30" customHeight="1">
      <c r="A313" s="215" t="s">
        <v>198</v>
      </c>
      <c r="B313" s="215">
        <v>2620260459</v>
      </c>
      <c r="C313" s="215" t="s">
        <v>106</v>
      </c>
      <c r="D313" s="215" t="s">
        <v>81</v>
      </c>
      <c r="E313" s="215" t="s">
        <v>5</v>
      </c>
      <c r="F313" s="215" t="s">
        <v>909</v>
      </c>
      <c r="G313" s="215">
        <v>246</v>
      </c>
      <c r="H313" s="215" t="s">
        <v>318</v>
      </c>
      <c r="I313" s="215" t="s">
        <v>397</v>
      </c>
      <c r="J313" s="215" t="s">
        <v>350</v>
      </c>
      <c r="K313" s="215" t="s">
        <v>910</v>
      </c>
      <c r="L313" s="215" t="s">
        <v>911</v>
      </c>
      <c r="M313" s="215" t="s">
        <v>912</v>
      </c>
      <c r="N313" s="215" t="s">
        <v>212</v>
      </c>
      <c r="O313" s="290" t="s">
        <v>62</v>
      </c>
      <c r="P313" s="161"/>
      <c r="Q313" s="160" t="s">
        <v>62</v>
      </c>
      <c r="R313" s="161"/>
      <c r="S313" s="160" t="s">
        <v>62</v>
      </c>
      <c r="T313" s="161"/>
      <c r="U313" s="160" t="s">
        <v>62</v>
      </c>
      <c r="V313" s="161"/>
      <c r="W313" s="160" t="s">
        <v>62</v>
      </c>
      <c r="X313" s="161"/>
      <c r="Y313" s="160" t="s">
        <v>62</v>
      </c>
      <c r="Z313" s="161"/>
      <c r="AA313" s="160" t="s">
        <v>62</v>
      </c>
      <c r="AB313" s="161"/>
      <c r="AC313" s="160" t="s">
        <v>205</v>
      </c>
      <c r="AD313" s="161"/>
      <c r="AE313" s="160" t="s">
        <v>205</v>
      </c>
      <c r="AF313" s="289" t="str">
        <f t="shared" si="12"/>
        <v>C</v>
      </c>
      <c r="AG313" s="291" t="str">
        <f t="shared" si="13"/>
        <v>UTILIZOU O PDA CORRETAMENTE</v>
      </c>
      <c r="AH313" s="160" t="s">
        <v>205</v>
      </c>
      <c r="AI313" s="292" t="s">
        <v>6</v>
      </c>
      <c r="AJ313" s="293" t="str">
        <f t="shared" si="14"/>
        <v>SÃO PAULO</v>
      </c>
      <c r="AK313" s="294" t="s">
        <v>39</v>
      </c>
    </row>
    <row r="314" spans="1:37" s="302" customFormat="1" ht="30" customHeight="1">
      <c r="A314" s="215" t="s">
        <v>198</v>
      </c>
      <c r="B314" s="215">
        <v>2620239364</v>
      </c>
      <c r="C314" s="215" t="s">
        <v>106</v>
      </c>
      <c r="D314" s="215" t="s">
        <v>81</v>
      </c>
      <c r="E314" s="215" t="s">
        <v>5</v>
      </c>
      <c r="F314" s="215" t="s">
        <v>913</v>
      </c>
      <c r="G314" s="215">
        <v>99</v>
      </c>
      <c r="H314" s="215" t="s">
        <v>200</v>
      </c>
      <c r="I314" s="215" t="s">
        <v>914</v>
      </c>
      <c r="J314" s="215" t="s">
        <v>350</v>
      </c>
      <c r="K314" s="215" t="s">
        <v>200</v>
      </c>
      <c r="L314" s="215" t="s">
        <v>915</v>
      </c>
      <c r="M314" s="215" t="s">
        <v>916</v>
      </c>
      <c r="N314" s="215" t="s">
        <v>310</v>
      </c>
      <c r="O314" s="290" t="s">
        <v>205</v>
      </c>
      <c r="P314" s="161"/>
      <c r="Q314" s="160" t="s">
        <v>205</v>
      </c>
      <c r="R314" s="161"/>
      <c r="S314" s="160" t="s">
        <v>205</v>
      </c>
      <c r="T314" s="161"/>
      <c r="U314" s="160" t="s">
        <v>205</v>
      </c>
      <c r="V314" s="161"/>
      <c r="W314" s="160" t="s">
        <v>205</v>
      </c>
      <c r="X314" s="161"/>
      <c r="Y314" s="160" t="s">
        <v>62</v>
      </c>
      <c r="Z314" s="161"/>
      <c r="AA314" s="160" t="s">
        <v>205</v>
      </c>
      <c r="AB314" s="161"/>
      <c r="AC314" s="160" t="s">
        <v>205</v>
      </c>
      <c r="AD314" s="161"/>
      <c r="AE314" s="160" t="s">
        <v>205</v>
      </c>
      <c r="AF314" s="289" t="str">
        <f t="shared" si="12"/>
        <v>C</v>
      </c>
      <c r="AG314" s="291" t="str">
        <f t="shared" si="13"/>
        <v>UTILIZOU O PDA CORRETAMENTE</v>
      </c>
      <c r="AH314" s="160" t="s">
        <v>205</v>
      </c>
      <c r="AI314" s="292" t="s">
        <v>6</v>
      </c>
      <c r="AJ314" s="293" t="str">
        <f t="shared" si="14"/>
        <v>SÃO PAULO</v>
      </c>
      <c r="AK314" s="294" t="s">
        <v>39</v>
      </c>
    </row>
    <row r="315" spans="1:37" s="302" customFormat="1" ht="30" customHeight="1">
      <c r="A315" s="215" t="s">
        <v>198</v>
      </c>
      <c r="B315" s="215">
        <v>2620572009</v>
      </c>
      <c r="C315" s="215" t="s">
        <v>105</v>
      </c>
      <c r="D315" s="215" t="s">
        <v>81</v>
      </c>
      <c r="E315" s="215" t="s">
        <v>5</v>
      </c>
      <c r="F315" s="215" t="s">
        <v>917</v>
      </c>
      <c r="G315" s="215">
        <v>234</v>
      </c>
      <c r="H315" s="215"/>
      <c r="I315" s="215" t="s">
        <v>333</v>
      </c>
      <c r="J315" s="215" t="s">
        <v>228</v>
      </c>
      <c r="K315" s="219" t="s">
        <v>918</v>
      </c>
      <c r="L315" s="215" t="s">
        <v>919</v>
      </c>
      <c r="M315" s="215" t="s">
        <v>920</v>
      </c>
      <c r="N315" s="215" t="s">
        <v>310</v>
      </c>
      <c r="O315" s="290" t="s">
        <v>205</v>
      </c>
      <c r="P315" s="161"/>
      <c r="Q315" s="160" t="s">
        <v>205</v>
      </c>
      <c r="R315" s="161"/>
      <c r="S315" s="160" t="s">
        <v>205</v>
      </c>
      <c r="T315" s="161"/>
      <c r="U315" s="160" t="s">
        <v>205</v>
      </c>
      <c r="V315" s="161"/>
      <c r="W315" s="160" t="s">
        <v>205</v>
      </c>
      <c r="X315" s="161"/>
      <c r="Y315" s="160" t="s">
        <v>62</v>
      </c>
      <c r="Z315" s="161"/>
      <c r="AA315" s="160" t="s">
        <v>205</v>
      </c>
      <c r="AB315" s="161"/>
      <c r="AC315" s="160" t="s">
        <v>205</v>
      </c>
      <c r="AD315" s="161"/>
      <c r="AE315" s="160" t="s">
        <v>205</v>
      </c>
      <c r="AF315" s="289" t="str">
        <f t="shared" si="12"/>
        <v>C</v>
      </c>
      <c r="AG315" s="291" t="str">
        <f t="shared" si="13"/>
        <v>UTILIZOU O PDA CORRETAMENTE</v>
      </c>
      <c r="AH315" s="160"/>
      <c r="AI315" s="292" t="s">
        <v>6</v>
      </c>
      <c r="AJ315" s="293" t="str">
        <f t="shared" si="14"/>
        <v>SÃO PAULO</v>
      </c>
      <c r="AK315" s="294" t="s">
        <v>39</v>
      </c>
    </row>
    <row r="316" spans="1:37" s="302" customFormat="1" ht="30" customHeight="1">
      <c r="A316" s="215" t="s">
        <v>198</v>
      </c>
      <c r="B316" s="215">
        <v>2620716131</v>
      </c>
      <c r="C316" s="215" t="s">
        <v>105</v>
      </c>
      <c r="D316" s="215" t="s">
        <v>81</v>
      </c>
      <c r="E316" s="215" t="s">
        <v>5</v>
      </c>
      <c r="F316" s="215" t="s">
        <v>921</v>
      </c>
      <c r="G316" s="215">
        <v>422</v>
      </c>
      <c r="H316" s="215" t="s">
        <v>200</v>
      </c>
      <c r="I316" s="215" t="s">
        <v>881</v>
      </c>
      <c r="J316" s="215" t="s">
        <v>228</v>
      </c>
      <c r="K316" s="215" t="s">
        <v>922</v>
      </c>
      <c r="L316" s="215" t="s">
        <v>923</v>
      </c>
      <c r="M316" s="215" t="s">
        <v>924</v>
      </c>
      <c r="N316" s="215" t="s">
        <v>230</v>
      </c>
      <c r="O316" s="290" t="s">
        <v>205</v>
      </c>
      <c r="P316" s="161"/>
      <c r="Q316" s="160" t="s">
        <v>205</v>
      </c>
      <c r="R316" s="161"/>
      <c r="S316" s="160" t="s">
        <v>205</v>
      </c>
      <c r="T316" s="161"/>
      <c r="U316" s="160" t="s">
        <v>205</v>
      </c>
      <c r="V316" s="161"/>
      <c r="W316" s="160" t="s">
        <v>205</v>
      </c>
      <c r="X316" s="161"/>
      <c r="Y316" s="160" t="s">
        <v>62</v>
      </c>
      <c r="Z316" s="161"/>
      <c r="AA316" s="160" t="s">
        <v>205</v>
      </c>
      <c r="AB316" s="161"/>
      <c r="AC316" s="160" t="s">
        <v>205</v>
      </c>
      <c r="AD316" s="161"/>
      <c r="AE316" s="160" t="s">
        <v>205</v>
      </c>
      <c r="AF316" s="289" t="str">
        <f t="shared" si="12"/>
        <v>C</v>
      </c>
      <c r="AG316" s="291" t="str">
        <f t="shared" si="13"/>
        <v>UTILIZOU O PDA CORRETAMENTE</v>
      </c>
      <c r="AH316" s="160"/>
      <c r="AI316" s="292" t="s">
        <v>6</v>
      </c>
      <c r="AJ316" s="293" t="str">
        <f t="shared" si="14"/>
        <v>SÃO PAULO</v>
      </c>
      <c r="AK316" s="294" t="s">
        <v>39</v>
      </c>
    </row>
    <row r="317" spans="1:37" s="302" customFormat="1" ht="30" customHeight="1">
      <c r="A317" s="215" t="s">
        <v>198</v>
      </c>
      <c r="B317" s="215">
        <v>2620653639</v>
      </c>
      <c r="C317" s="215" t="s">
        <v>89</v>
      </c>
      <c r="D317" s="215" t="s">
        <v>78</v>
      </c>
      <c r="E317" s="215" t="s">
        <v>5</v>
      </c>
      <c r="F317" s="215" t="s">
        <v>925</v>
      </c>
      <c r="G317" s="215">
        <v>771</v>
      </c>
      <c r="H317" s="215" t="s">
        <v>926</v>
      </c>
      <c r="I317" s="215" t="s">
        <v>257</v>
      </c>
      <c r="J317" s="215" t="s">
        <v>238</v>
      </c>
      <c r="K317" s="215"/>
      <c r="L317" s="215" t="s">
        <v>927</v>
      </c>
      <c r="M317" s="215" t="s">
        <v>928</v>
      </c>
      <c r="N317" s="215" t="s">
        <v>204</v>
      </c>
      <c r="O317" s="290" t="s">
        <v>62</v>
      </c>
      <c r="P317" s="161"/>
      <c r="Q317" s="160" t="s">
        <v>62</v>
      </c>
      <c r="R317" s="161"/>
      <c r="S317" s="160" t="s">
        <v>62</v>
      </c>
      <c r="T317" s="161"/>
      <c r="U317" s="160" t="s">
        <v>62</v>
      </c>
      <c r="V317" s="161"/>
      <c r="W317" s="160" t="s">
        <v>62</v>
      </c>
      <c r="X317" s="161"/>
      <c r="Y317" s="160" t="s">
        <v>62</v>
      </c>
      <c r="Z317" s="161"/>
      <c r="AA317" s="160" t="s">
        <v>62</v>
      </c>
      <c r="AB317" s="161"/>
      <c r="AC317" s="160" t="s">
        <v>62</v>
      </c>
      <c r="AD317" s="161"/>
      <c r="AE317" s="160" t="s">
        <v>62</v>
      </c>
      <c r="AF317" s="289" t="str">
        <f t="shared" si="12"/>
        <v>NA</v>
      </c>
      <c r="AG317" s="291" t="str">
        <f t="shared" si="13"/>
        <v>NÃO AVALIADO POR FALHA DE SINCRONISMO</v>
      </c>
      <c r="AH317" s="160"/>
      <c r="AI317" s="292" t="s">
        <v>6</v>
      </c>
      <c r="AJ317" s="293" t="str">
        <f t="shared" si="14"/>
        <v>SÃO PAULO</v>
      </c>
      <c r="AK317" s="294" t="s">
        <v>39</v>
      </c>
    </row>
    <row r="318" spans="1:37" s="302" customFormat="1" ht="30" customHeight="1">
      <c r="A318" s="215" t="s">
        <v>198</v>
      </c>
      <c r="B318" s="215">
        <v>2620714269</v>
      </c>
      <c r="C318" s="215" t="s">
        <v>103</v>
      </c>
      <c r="D318" s="215" t="s">
        <v>81</v>
      </c>
      <c r="E318" s="215" t="s">
        <v>5</v>
      </c>
      <c r="F318" s="215" t="s">
        <v>339</v>
      </c>
      <c r="G318" s="215">
        <v>32</v>
      </c>
      <c r="H318" s="215" t="s">
        <v>929</v>
      </c>
      <c r="I318" s="215" t="s">
        <v>227</v>
      </c>
      <c r="J318" s="215" t="s">
        <v>322</v>
      </c>
      <c r="K318" s="215" t="s">
        <v>930</v>
      </c>
      <c r="L318" s="215" t="s">
        <v>931</v>
      </c>
      <c r="M318" s="215" t="s">
        <v>932</v>
      </c>
      <c r="N318" s="215" t="s">
        <v>212</v>
      </c>
      <c r="O318" s="290" t="s">
        <v>62</v>
      </c>
      <c r="P318" s="215" t="s">
        <v>930</v>
      </c>
      <c r="Q318" s="160" t="s">
        <v>205</v>
      </c>
      <c r="R318" s="161"/>
      <c r="S318" s="160" t="s">
        <v>62</v>
      </c>
      <c r="T318" s="161"/>
      <c r="U318" s="160" t="s">
        <v>205</v>
      </c>
      <c r="V318" s="161"/>
      <c r="W318" s="160" t="s">
        <v>205</v>
      </c>
      <c r="X318" s="161"/>
      <c r="Y318" s="160" t="s">
        <v>62</v>
      </c>
      <c r="Z318" s="161"/>
      <c r="AA318" s="160" t="s">
        <v>206</v>
      </c>
      <c r="AB318" s="161"/>
      <c r="AC318" s="160" t="s">
        <v>205</v>
      </c>
      <c r="AD318" s="161"/>
      <c r="AE318" s="160" t="s">
        <v>205</v>
      </c>
      <c r="AF318" s="289" t="str">
        <f t="shared" si="12"/>
        <v>NC</v>
      </c>
      <c r="AG318" s="291" t="str">
        <f t="shared" si="13"/>
        <v>UTILIZOU O PDA CORRETAMENTE. NÃO HÁ FOTOS DE TODAS AS ETAPAS</v>
      </c>
      <c r="AH318" s="160" t="s">
        <v>205</v>
      </c>
      <c r="AI318" s="292" t="s">
        <v>6</v>
      </c>
      <c r="AJ318" s="293" t="str">
        <f t="shared" si="14"/>
        <v>SÃO PAULO</v>
      </c>
      <c r="AK318" s="294" t="s">
        <v>39</v>
      </c>
    </row>
    <row r="319" spans="1:37" s="302" customFormat="1" ht="30" customHeight="1">
      <c r="A319" s="215" t="s">
        <v>198</v>
      </c>
      <c r="B319" s="215">
        <v>2620711179</v>
      </c>
      <c r="C319" s="215" t="s">
        <v>105</v>
      </c>
      <c r="D319" s="215" t="s">
        <v>81</v>
      </c>
      <c r="E319" s="215" t="s">
        <v>5</v>
      </c>
      <c r="F319" s="215" t="s">
        <v>561</v>
      </c>
      <c r="G319" s="215">
        <v>571</v>
      </c>
      <c r="H319" s="215" t="s">
        <v>318</v>
      </c>
      <c r="I319" s="215" t="s">
        <v>343</v>
      </c>
      <c r="J319" s="215" t="s">
        <v>350</v>
      </c>
      <c r="K319" s="215" t="s">
        <v>933</v>
      </c>
      <c r="L319" s="215" t="s">
        <v>934</v>
      </c>
      <c r="M319" s="215" t="s">
        <v>935</v>
      </c>
      <c r="N319" s="215" t="s">
        <v>310</v>
      </c>
      <c r="O319" s="290" t="s">
        <v>205</v>
      </c>
      <c r="P319" s="161"/>
      <c r="Q319" s="160" t="s">
        <v>205</v>
      </c>
      <c r="R319" s="161"/>
      <c r="S319" s="160" t="s">
        <v>205</v>
      </c>
      <c r="T319" s="161"/>
      <c r="U319" s="160" t="s">
        <v>205</v>
      </c>
      <c r="V319" s="161"/>
      <c r="W319" s="160" t="s">
        <v>205</v>
      </c>
      <c r="X319" s="161"/>
      <c r="Y319" s="160" t="s">
        <v>62</v>
      </c>
      <c r="Z319" s="161"/>
      <c r="AA319" s="160" t="s">
        <v>206</v>
      </c>
      <c r="AB319" s="161"/>
      <c r="AC319" s="160" t="s">
        <v>205</v>
      </c>
      <c r="AD319" s="161"/>
      <c r="AE319" s="160" t="s">
        <v>205</v>
      </c>
      <c r="AF319" s="289" t="str">
        <f t="shared" si="12"/>
        <v>NC</v>
      </c>
      <c r="AG319" s="291" t="str">
        <f t="shared" si="13"/>
        <v>UTILIZOU O PDA CORRETAMENTE. NÃO HÁ FOTOS DE TODAS AS ETAPAS</v>
      </c>
      <c r="AH319" s="160" t="s">
        <v>205</v>
      </c>
      <c r="AI319" s="292" t="s">
        <v>6</v>
      </c>
      <c r="AJ319" s="293" t="str">
        <f t="shared" si="14"/>
        <v>SÃO PAULO</v>
      </c>
      <c r="AK319" s="294" t="s">
        <v>39</v>
      </c>
    </row>
    <row r="320" spans="1:37" s="302" customFormat="1" ht="30" customHeight="1">
      <c r="A320" s="215" t="s">
        <v>198</v>
      </c>
      <c r="B320" s="215">
        <v>2620730048</v>
      </c>
      <c r="C320" s="215" t="s">
        <v>107</v>
      </c>
      <c r="D320" s="215" t="s">
        <v>81</v>
      </c>
      <c r="E320" s="215" t="s">
        <v>5</v>
      </c>
      <c r="F320" s="215" t="s">
        <v>936</v>
      </c>
      <c r="G320" s="215">
        <v>264</v>
      </c>
      <c r="H320" s="215" t="s">
        <v>200</v>
      </c>
      <c r="I320" s="215" t="s">
        <v>232</v>
      </c>
      <c r="J320" s="215" t="s">
        <v>322</v>
      </c>
      <c r="K320" s="215" t="s">
        <v>937</v>
      </c>
      <c r="L320" s="215" t="s">
        <v>938</v>
      </c>
      <c r="M320" s="215" t="s">
        <v>939</v>
      </c>
      <c r="N320" s="215" t="s">
        <v>212</v>
      </c>
      <c r="O320" s="290" t="s">
        <v>205</v>
      </c>
      <c r="P320" s="161"/>
      <c r="Q320" s="160" t="s">
        <v>205</v>
      </c>
      <c r="R320" s="161"/>
      <c r="S320" s="160" t="s">
        <v>205</v>
      </c>
      <c r="T320" s="161"/>
      <c r="U320" s="160" t="s">
        <v>205</v>
      </c>
      <c r="V320" s="161"/>
      <c r="W320" s="160" t="s">
        <v>205</v>
      </c>
      <c r="X320" s="161"/>
      <c r="Y320" s="160" t="s">
        <v>62</v>
      </c>
      <c r="Z320" s="161"/>
      <c r="AA320" s="160" t="s">
        <v>205</v>
      </c>
      <c r="AB320" s="161"/>
      <c r="AC320" s="160" t="s">
        <v>206</v>
      </c>
      <c r="AD320" s="161"/>
      <c r="AE320" s="160" t="s">
        <v>205</v>
      </c>
      <c r="AF320" s="289" t="s">
        <v>239</v>
      </c>
      <c r="AG320" s="291" t="str">
        <f t="shared" ref="AG320:AG355" si="15">IF(AND(AE320="C",AF320="C"),"UTILIZOU O PDA CORRETAMENTE",IF(AND(AE320="C",AF320="NC"),"UTILIZOU O PDA CORRETAMENTE. NÃO HÁ FOTOS DE TODAS AS ETAPAS",IF(AND(AE320="NC",AF320="NC"),"NÃO UTILIZOU O PDA",IF(AND(AE320="NA",AF320="NA"),"NÃO AVALIADO POR FALHA DE SINCRONISMO"))))</f>
        <v>UTILIZOU O PDA CORRETAMENTE. NÃO HÁ FOTOS DE TODAS AS ETAPAS</v>
      </c>
      <c r="AH320" s="160" t="s">
        <v>205</v>
      </c>
      <c r="AI320" s="292" t="s">
        <v>6</v>
      </c>
      <c r="AJ320" s="293" t="str">
        <f t="shared" ref="AJ320:AJ356" si="16">E320</f>
        <v>SÃO PAULO</v>
      </c>
      <c r="AK320" s="294" t="s">
        <v>39</v>
      </c>
    </row>
    <row r="321" spans="1:37" s="302" customFormat="1" ht="30" customHeight="1">
      <c r="A321" s="215" t="s">
        <v>198</v>
      </c>
      <c r="B321" s="215">
        <v>2620722296</v>
      </c>
      <c r="C321" s="215" t="s">
        <v>90</v>
      </c>
      <c r="D321" s="215" t="s">
        <v>78</v>
      </c>
      <c r="E321" s="215" t="s">
        <v>5</v>
      </c>
      <c r="F321" s="215" t="s">
        <v>940</v>
      </c>
      <c r="G321" s="215">
        <v>0</v>
      </c>
      <c r="H321" s="215"/>
      <c r="I321" s="215" t="s">
        <v>607</v>
      </c>
      <c r="J321" s="215" t="s">
        <v>261</v>
      </c>
      <c r="K321" s="219" t="s">
        <v>941</v>
      </c>
      <c r="L321" s="215" t="s">
        <v>942</v>
      </c>
      <c r="M321" s="215" t="s">
        <v>943</v>
      </c>
      <c r="N321" s="215" t="s">
        <v>310</v>
      </c>
      <c r="O321" s="290" t="s">
        <v>206</v>
      </c>
      <c r="P321" s="161"/>
      <c r="Q321" s="160" t="s">
        <v>206</v>
      </c>
      <c r="R321" s="161"/>
      <c r="S321" s="160" t="s">
        <v>206</v>
      </c>
      <c r="T321" s="161"/>
      <c r="U321" s="160" t="s">
        <v>206</v>
      </c>
      <c r="V321" s="161"/>
      <c r="W321" s="160" t="s">
        <v>206</v>
      </c>
      <c r="X321" s="161"/>
      <c r="Y321" s="160" t="s">
        <v>206</v>
      </c>
      <c r="Z321" s="161"/>
      <c r="AA321" s="160" t="s">
        <v>206</v>
      </c>
      <c r="AB321" s="161"/>
      <c r="AC321" s="160" t="s">
        <v>206</v>
      </c>
      <c r="AD321" s="161" t="s">
        <v>944</v>
      </c>
      <c r="AE321" s="160" t="s">
        <v>239</v>
      </c>
      <c r="AF321" s="289" t="str">
        <f t="shared" ref="AF321:AF356" si="17">IF(AND(O321="",Q321="",S321="",U321="",W321="",Y321="",AA321="",AC321=""),"",IF(OR(AND(O321&lt;&gt;"NA",O321&lt;&gt;"C",O321&lt;&gt;"NC",O321&lt;&gt;"SF",O321&lt;&gt;""),AND(Q321&lt;&gt;"NA",Q321&lt;&gt;"C",Q321&lt;&gt;"NC",Q321&lt;&gt;"SF",Q321&lt;&gt;""),AND(S321&lt;&gt;"NA",S321&lt;&gt;"C",S321&lt;&gt;"NC",S321&lt;&gt;"SF",S321&lt;&gt;""),AND(U321&lt;&gt;"NA",U321&lt;&gt;"C",U321&lt;&gt;"NC",U321&lt;&gt;"SF",U321&lt;&gt;""),AND(W321&lt;&gt;"NA",W321&lt;&gt;"C",W321&lt;&gt;"NC",W321&lt;&gt;"SF",W321&lt;&gt;""),AND(Y321&lt;&gt;"NA",Y321&lt;&gt;"C",Y321&lt;&gt;"NC",Y321&lt;&gt;"SF",Y321&lt;&gt;""),AND(AA321&lt;&gt;"NA",AA321&lt;&gt;"C",AA321&lt;&gt;"NC",AA321&lt;&gt;"SF",AA321&lt;&gt;""),AND(AC321&lt;&gt;"NA",AC321&lt;&gt;"C",AC321&lt;&gt;"NC",AC321&lt;&gt;"SF",AC321&lt;&gt;"")),"FALSO",IF(AND(O321="NA",Q321="NA",S321="NA",U321="NA",W321="NA",Y321="NA",AA321="NA",AC321="NA"),"NA",IF(OR(O321="NC",Q321="NC",S321="NC",U321="NC",W321="NC",Y321="NC",AA321="NC",AC321="NC",O321="SF",Q321="SF",S321="SF",U321="SF",W321="SF",Y321="SF",AA321="SF",AC321="SF"),"NC",IF(OR(O321="C",Q321="C",S321="C",U321="C",W321="C",Y321="C",AA321="C",AC321="C"),"C","")))))</f>
        <v>NC</v>
      </c>
      <c r="AG321" s="291" t="str">
        <f t="shared" si="15"/>
        <v>NÃO UTILIZOU O PDA</v>
      </c>
      <c r="AH321" s="160"/>
      <c r="AI321" s="292" t="s">
        <v>6</v>
      </c>
      <c r="AJ321" s="293" t="str">
        <f t="shared" si="16"/>
        <v>SÃO PAULO</v>
      </c>
      <c r="AK321" s="294" t="s">
        <v>39</v>
      </c>
    </row>
    <row r="322" spans="1:37" s="302" customFormat="1" ht="30" customHeight="1">
      <c r="A322" s="215" t="s">
        <v>198</v>
      </c>
      <c r="B322" s="215">
        <v>2620716798</v>
      </c>
      <c r="C322" s="215" t="s">
        <v>101</v>
      </c>
      <c r="D322" s="215" t="s">
        <v>79</v>
      </c>
      <c r="E322" s="215" t="s">
        <v>5</v>
      </c>
      <c r="F322" s="215" t="s">
        <v>945</v>
      </c>
      <c r="G322" s="215">
        <v>26</v>
      </c>
      <c r="H322" s="215"/>
      <c r="I322" s="215" t="s">
        <v>789</v>
      </c>
      <c r="J322" s="215" t="s">
        <v>233</v>
      </c>
      <c r="K322" s="215" t="s">
        <v>946</v>
      </c>
      <c r="L322" s="215" t="s">
        <v>947</v>
      </c>
      <c r="M322" s="215" t="s">
        <v>948</v>
      </c>
      <c r="N322" s="215" t="s">
        <v>204</v>
      </c>
      <c r="O322" s="290" t="s">
        <v>62</v>
      </c>
      <c r="P322" s="161" t="s">
        <v>525</v>
      </c>
      <c r="Q322" s="160" t="s">
        <v>62</v>
      </c>
      <c r="R322" s="161" t="s">
        <v>525</v>
      </c>
      <c r="S322" s="160" t="s">
        <v>62</v>
      </c>
      <c r="T322" s="161" t="s">
        <v>525</v>
      </c>
      <c r="U322" s="160" t="s">
        <v>62</v>
      </c>
      <c r="V322" s="161" t="s">
        <v>525</v>
      </c>
      <c r="W322" s="160" t="s">
        <v>62</v>
      </c>
      <c r="X322" s="161" t="s">
        <v>525</v>
      </c>
      <c r="Y322" s="160" t="s">
        <v>62</v>
      </c>
      <c r="Z322" s="161" t="s">
        <v>525</v>
      </c>
      <c r="AA322" s="160" t="s">
        <v>62</v>
      </c>
      <c r="AB322" s="161" t="s">
        <v>525</v>
      </c>
      <c r="AC322" s="160" t="s">
        <v>62</v>
      </c>
      <c r="AD322" s="161" t="s">
        <v>525</v>
      </c>
      <c r="AE322" s="160" t="s">
        <v>62</v>
      </c>
      <c r="AF322" s="289" t="str">
        <f t="shared" si="17"/>
        <v>NA</v>
      </c>
      <c r="AG322" s="291" t="str">
        <f t="shared" si="15"/>
        <v>NÃO AVALIADO POR FALHA DE SINCRONISMO</v>
      </c>
      <c r="AH322" s="160"/>
      <c r="AI322" s="292" t="s">
        <v>6</v>
      </c>
      <c r="AJ322" s="293" t="str">
        <f t="shared" si="16"/>
        <v>SÃO PAULO</v>
      </c>
      <c r="AK322" s="294" t="s">
        <v>39</v>
      </c>
    </row>
    <row r="323" spans="1:37" s="302" customFormat="1" ht="30" customHeight="1">
      <c r="A323" s="215" t="s">
        <v>198</v>
      </c>
      <c r="B323" s="215">
        <v>2620711360</v>
      </c>
      <c r="C323" s="215" t="s">
        <v>99</v>
      </c>
      <c r="D323" s="215" t="s">
        <v>81</v>
      </c>
      <c r="E323" s="215" t="s">
        <v>5</v>
      </c>
      <c r="F323" s="215" t="s">
        <v>949</v>
      </c>
      <c r="G323" s="215">
        <v>80</v>
      </c>
      <c r="H323" s="215" t="s">
        <v>200</v>
      </c>
      <c r="I323" s="215" t="s">
        <v>333</v>
      </c>
      <c r="J323" s="215" t="s">
        <v>268</v>
      </c>
      <c r="K323" s="215" t="s">
        <v>200</v>
      </c>
      <c r="L323" s="215" t="s">
        <v>950</v>
      </c>
      <c r="M323" s="215" t="s">
        <v>951</v>
      </c>
      <c r="N323" s="215" t="s">
        <v>230</v>
      </c>
      <c r="O323" s="290" t="s">
        <v>205</v>
      </c>
      <c r="P323" s="161"/>
      <c r="Q323" s="160" t="s">
        <v>205</v>
      </c>
      <c r="R323" s="161"/>
      <c r="S323" s="160" t="s">
        <v>205</v>
      </c>
      <c r="T323" s="161"/>
      <c r="U323" s="160" t="s">
        <v>205</v>
      </c>
      <c r="V323" s="161"/>
      <c r="W323" s="160" t="s">
        <v>205</v>
      </c>
      <c r="X323" s="161"/>
      <c r="Y323" s="160" t="s">
        <v>205</v>
      </c>
      <c r="Z323" s="161"/>
      <c r="AA323" s="160" t="s">
        <v>205</v>
      </c>
      <c r="AB323" s="161"/>
      <c r="AC323" s="160" t="s">
        <v>205</v>
      </c>
      <c r="AD323" s="161"/>
      <c r="AE323" s="160" t="s">
        <v>205</v>
      </c>
      <c r="AF323" s="289" t="str">
        <f t="shared" si="17"/>
        <v>C</v>
      </c>
      <c r="AG323" s="291" t="str">
        <f t="shared" si="15"/>
        <v>UTILIZOU O PDA CORRETAMENTE</v>
      </c>
      <c r="AH323" s="160" t="s">
        <v>205</v>
      </c>
      <c r="AI323" s="292" t="s">
        <v>6</v>
      </c>
      <c r="AJ323" s="293" t="str">
        <f t="shared" si="16"/>
        <v>SÃO PAULO</v>
      </c>
      <c r="AK323" s="294" t="s">
        <v>39</v>
      </c>
    </row>
    <row r="324" spans="1:37" s="302" customFormat="1" ht="30" customHeight="1">
      <c r="A324" s="215" t="s">
        <v>198</v>
      </c>
      <c r="B324" s="215">
        <v>2620778433</v>
      </c>
      <c r="C324" s="215" t="s">
        <v>287</v>
      </c>
      <c r="D324" s="215" t="s">
        <v>81</v>
      </c>
      <c r="E324" s="215" t="s">
        <v>5</v>
      </c>
      <c r="F324" s="215" t="s">
        <v>952</v>
      </c>
      <c r="G324" s="215">
        <v>118</v>
      </c>
      <c r="H324" s="215"/>
      <c r="I324" s="215" t="s">
        <v>274</v>
      </c>
      <c r="J324" s="215" t="s">
        <v>290</v>
      </c>
      <c r="K324" s="215"/>
      <c r="L324" s="215" t="s">
        <v>953</v>
      </c>
      <c r="M324" s="215" t="s">
        <v>954</v>
      </c>
      <c r="N324" s="215" t="s">
        <v>254</v>
      </c>
      <c r="O324" s="290" t="s">
        <v>205</v>
      </c>
      <c r="P324" s="161"/>
      <c r="Q324" s="160" t="s">
        <v>205</v>
      </c>
      <c r="R324" s="161"/>
      <c r="S324" s="160" t="s">
        <v>205</v>
      </c>
      <c r="T324" s="161"/>
      <c r="U324" s="160" t="s">
        <v>205</v>
      </c>
      <c r="V324" s="161"/>
      <c r="W324" s="160" t="s">
        <v>205</v>
      </c>
      <c r="X324" s="161"/>
      <c r="Y324" s="160" t="s">
        <v>62</v>
      </c>
      <c r="Z324" s="161"/>
      <c r="AA324" s="160" t="s">
        <v>205</v>
      </c>
      <c r="AB324" s="161"/>
      <c r="AC324" s="160" t="s">
        <v>205</v>
      </c>
      <c r="AD324" s="161"/>
      <c r="AE324" s="160" t="s">
        <v>205</v>
      </c>
      <c r="AF324" s="289" t="str">
        <f t="shared" si="17"/>
        <v>C</v>
      </c>
      <c r="AG324" s="291" t="str">
        <f t="shared" si="15"/>
        <v>UTILIZOU O PDA CORRETAMENTE</v>
      </c>
      <c r="AH324" s="160"/>
      <c r="AI324" s="292" t="s">
        <v>6</v>
      </c>
      <c r="AJ324" s="293" t="str">
        <f t="shared" si="16"/>
        <v>SÃO PAULO</v>
      </c>
      <c r="AK324" s="294" t="s">
        <v>39</v>
      </c>
    </row>
    <row r="325" spans="1:37" s="302" customFormat="1" ht="30" customHeight="1">
      <c r="A325" s="215" t="s">
        <v>198</v>
      </c>
      <c r="B325" s="215">
        <v>2693509323</v>
      </c>
      <c r="C325" s="215" t="s">
        <v>89</v>
      </c>
      <c r="D325" s="215" t="s">
        <v>78</v>
      </c>
      <c r="E325" s="215" t="s">
        <v>5</v>
      </c>
      <c r="F325" s="215" t="s">
        <v>955</v>
      </c>
      <c r="G325" s="215">
        <v>128</v>
      </c>
      <c r="H325" s="215" t="s">
        <v>200</v>
      </c>
      <c r="I325" s="215" t="s">
        <v>209</v>
      </c>
      <c r="J325" s="215" t="s">
        <v>238</v>
      </c>
      <c r="K325" s="215" t="s">
        <v>200</v>
      </c>
      <c r="L325" s="215" t="s">
        <v>956</v>
      </c>
      <c r="M325" s="215" t="s">
        <v>956</v>
      </c>
      <c r="N325" s="215" t="s">
        <v>254</v>
      </c>
      <c r="O325" s="290" t="s">
        <v>239</v>
      </c>
      <c r="P325" s="161" t="s">
        <v>303</v>
      </c>
      <c r="Q325" s="160" t="s">
        <v>239</v>
      </c>
      <c r="R325" s="161" t="s">
        <v>303</v>
      </c>
      <c r="S325" s="160" t="s">
        <v>239</v>
      </c>
      <c r="T325" s="161" t="s">
        <v>303</v>
      </c>
      <c r="U325" s="160" t="s">
        <v>239</v>
      </c>
      <c r="V325" s="161" t="s">
        <v>303</v>
      </c>
      <c r="W325" s="160" t="s">
        <v>239</v>
      </c>
      <c r="X325" s="161" t="s">
        <v>303</v>
      </c>
      <c r="Y325" s="160" t="s">
        <v>239</v>
      </c>
      <c r="Z325" s="161" t="s">
        <v>303</v>
      </c>
      <c r="AA325" s="160" t="s">
        <v>239</v>
      </c>
      <c r="AB325" s="161" t="s">
        <v>303</v>
      </c>
      <c r="AC325" s="160" t="s">
        <v>239</v>
      </c>
      <c r="AD325" s="161" t="s">
        <v>303</v>
      </c>
      <c r="AE325" s="160" t="s">
        <v>239</v>
      </c>
      <c r="AF325" s="289" t="str">
        <f t="shared" si="17"/>
        <v>NC</v>
      </c>
      <c r="AG325" s="291" t="str">
        <f t="shared" si="15"/>
        <v>NÃO UTILIZOU O PDA</v>
      </c>
      <c r="AH325" s="160"/>
      <c r="AI325" s="292" t="s">
        <v>6</v>
      </c>
      <c r="AJ325" s="293" t="str">
        <f t="shared" si="16"/>
        <v>SÃO PAULO</v>
      </c>
      <c r="AK325" s="294" t="s">
        <v>39</v>
      </c>
    </row>
    <row r="326" spans="1:37" s="302" customFormat="1" ht="30" customHeight="1">
      <c r="A326" s="215" t="s">
        <v>198</v>
      </c>
      <c r="B326" s="215">
        <v>2620528405</v>
      </c>
      <c r="C326" s="215" t="s">
        <v>287</v>
      </c>
      <c r="D326" s="215" t="s">
        <v>81</v>
      </c>
      <c r="E326" s="215" t="s">
        <v>5</v>
      </c>
      <c r="F326" s="215" t="s">
        <v>957</v>
      </c>
      <c r="G326" s="215">
        <v>259</v>
      </c>
      <c r="H326" s="215"/>
      <c r="I326" s="215" t="s">
        <v>958</v>
      </c>
      <c r="J326" s="215" t="s">
        <v>290</v>
      </c>
      <c r="K326" s="215"/>
      <c r="L326" s="215" t="s">
        <v>947</v>
      </c>
      <c r="M326" s="215" t="s">
        <v>948</v>
      </c>
      <c r="N326" s="215" t="s">
        <v>212</v>
      </c>
      <c r="O326" s="290" t="s">
        <v>205</v>
      </c>
      <c r="P326" s="161"/>
      <c r="Q326" s="160" t="s">
        <v>205</v>
      </c>
      <c r="R326" s="161"/>
      <c r="S326" s="160" t="s">
        <v>62</v>
      </c>
      <c r="T326" s="161"/>
      <c r="U326" s="160" t="s">
        <v>62</v>
      </c>
      <c r="V326" s="161"/>
      <c r="W326" s="160" t="s">
        <v>205</v>
      </c>
      <c r="X326" s="161"/>
      <c r="Y326" s="160" t="s">
        <v>62</v>
      </c>
      <c r="Z326" s="161"/>
      <c r="AA326" s="160" t="s">
        <v>205</v>
      </c>
      <c r="AB326" s="161"/>
      <c r="AC326" s="160" t="s">
        <v>205</v>
      </c>
      <c r="AD326" s="161"/>
      <c r="AE326" s="160" t="s">
        <v>205</v>
      </c>
      <c r="AF326" s="289" t="str">
        <f t="shared" si="17"/>
        <v>C</v>
      </c>
      <c r="AG326" s="291" t="str">
        <f t="shared" si="15"/>
        <v>UTILIZOU O PDA CORRETAMENTE</v>
      </c>
      <c r="AH326" s="160" t="s">
        <v>205</v>
      </c>
      <c r="AI326" s="292" t="s">
        <v>6</v>
      </c>
      <c r="AJ326" s="293" t="str">
        <f t="shared" si="16"/>
        <v>SÃO PAULO</v>
      </c>
      <c r="AK326" s="294" t="s">
        <v>39</v>
      </c>
    </row>
    <row r="327" spans="1:37" s="302" customFormat="1" ht="30" customHeight="1">
      <c r="A327" s="228" t="s">
        <v>198</v>
      </c>
      <c r="B327" s="228">
        <v>2620791893</v>
      </c>
      <c r="C327" s="228" t="s">
        <v>100</v>
      </c>
      <c r="D327" s="228" t="s">
        <v>81</v>
      </c>
      <c r="E327" s="228" t="s">
        <v>5</v>
      </c>
      <c r="F327" s="228" t="s">
        <v>609</v>
      </c>
      <c r="G327" s="228">
        <v>30</v>
      </c>
      <c r="H327" s="228" t="s">
        <v>200</v>
      </c>
      <c r="I327" s="228" t="s">
        <v>346</v>
      </c>
      <c r="J327" s="228" t="s">
        <v>243</v>
      </c>
      <c r="K327" s="228" t="s">
        <v>959</v>
      </c>
      <c r="L327" s="228" t="s">
        <v>960</v>
      </c>
      <c r="M327" s="228" t="s">
        <v>961</v>
      </c>
      <c r="N327" s="228" t="s">
        <v>230</v>
      </c>
      <c r="O327" s="290" t="s">
        <v>205</v>
      </c>
      <c r="P327" s="161"/>
      <c r="Q327" s="160" t="s">
        <v>205</v>
      </c>
      <c r="R327" s="161"/>
      <c r="S327" s="160" t="s">
        <v>205</v>
      </c>
      <c r="T327" s="161"/>
      <c r="U327" s="160" t="s">
        <v>205</v>
      </c>
      <c r="V327" s="161"/>
      <c r="W327" s="160" t="s">
        <v>205</v>
      </c>
      <c r="X327" s="161"/>
      <c r="Y327" s="160" t="s">
        <v>205</v>
      </c>
      <c r="Z327" s="161"/>
      <c r="AA327" s="160" t="s">
        <v>205</v>
      </c>
      <c r="AB327" s="161"/>
      <c r="AC327" s="160" t="s">
        <v>205</v>
      </c>
      <c r="AD327" s="161"/>
      <c r="AE327" s="160" t="s">
        <v>205</v>
      </c>
      <c r="AF327" s="289" t="str">
        <f t="shared" si="17"/>
        <v>C</v>
      </c>
      <c r="AG327" s="291" t="str">
        <f t="shared" si="15"/>
        <v>UTILIZOU O PDA CORRETAMENTE</v>
      </c>
      <c r="AH327" s="160"/>
      <c r="AI327" s="292" t="s">
        <v>6</v>
      </c>
      <c r="AJ327" s="293" t="str">
        <f t="shared" si="16"/>
        <v>SÃO PAULO</v>
      </c>
      <c r="AK327" s="294" t="s">
        <v>39</v>
      </c>
    </row>
    <row r="328" spans="1:37" s="302" customFormat="1" ht="30" customHeight="1">
      <c r="A328" s="215" t="s">
        <v>198</v>
      </c>
      <c r="B328" s="215">
        <v>2620715978</v>
      </c>
      <c r="C328" s="215" t="s">
        <v>331</v>
      </c>
      <c r="D328" s="215" t="s">
        <v>79</v>
      </c>
      <c r="E328" s="215" t="s">
        <v>5</v>
      </c>
      <c r="F328" s="215" t="s">
        <v>962</v>
      </c>
      <c r="G328" s="215">
        <v>29</v>
      </c>
      <c r="H328" s="215" t="s">
        <v>318</v>
      </c>
      <c r="I328" s="215" t="s">
        <v>789</v>
      </c>
      <c r="J328" s="215" t="s">
        <v>334</v>
      </c>
      <c r="K328" s="215" t="s">
        <v>963</v>
      </c>
      <c r="L328" s="215" t="s">
        <v>964</v>
      </c>
      <c r="M328" s="215" t="s">
        <v>965</v>
      </c>
      <c r="N328" s="215" t="s">
        <v>254</v>
      </c>
      <c r="O328" s="290" t="s">
        <v>206</v>
      </c>
      <c r="P328" s="161"/>
      <c r="Q328" s="160" t="s">
        <v>206</v>
      </c>
      <c r="R328" s="161"/>
      <c r="S328" s="160" t="s">
        <v>206</v>
      </c>
      <c r="T328" s="161"/>
      <c r="U328" s="160" t="s">
        <v>206</v>
      </c>
      <c r="V328" s="161"/>
      <c r="W328" s="160" t="s">
        <v>206</v>
      </c>
      <c r="X328" s="161"/>
      <c r="Y328" s="160" t="s">
        <v>206</v>
      </c>
      <c r="Z328" s="161"/>
      <c r="AA328" s="160" t="s">
        <v>206</v>
      </c>
      <c r="AB328" s="161"/>
      <c r="AC328" s="160" t="s">
        <v>206</v>
      </c>
      <c r="AD328" s="215" t="s">
        <v>963</v>
      </c>
      <c r="AE328" s="160" t="s">
        <v>239</v>
      </c>
      <c r="AF328" s="289" t="str">
        <f t="shared" si="17"/>
        <v>NC</v>
      </c>
      <c r="AG328" s="291" t="str">
        <f t="shared" si="15"/>
        <v>NÃO UTILIZOU O PDA</v>
      </c>
      <c r="AH328" s="160"/>
      <c r="AI328" s="292" t="s">
        <v>6</v>
      </c>
      <c r="AJ328" s="293" t="str">
        <f t="shared" si="16"/>
        <v>SÃO PAULO</v>
      </c>
      <c r="AK328" s="294" t="s">
        <v>39</v>
      </c>
    </row>
    <row r="329" spans="1:37" s="302" customFormat="1" ht="30" customHeight="1">
      <c r="A329" s="215" t="s">
        <v>198</v>
      </c>
      <c r="B329" s="215">
        <v>2620720392</v>
      </c>
      <c r="C329" s="215" t="s">
        <v>331</v>
      </c>
      <c r="D329" s="215" t="s">
        <v>79</v>
      </c>
      <c r="E329" s="215" t="s">
        <v>5</v>
      </c>
      <c r="F329" s="215" t="s">
        <v>788</v>
      </c>
      <c r="G329" s="215">
        <v>60</v>
      </c>
      <c r="H329" s="215" t="s">
        <v>966</v>
      </c>
      <c r="I329" s="215" t="s">
        <v>789</v>
      </c>
      <c r="J329" s="215" t="s">
        <v>334</v>
      </c>
      <c r="K329" s="215" t="s">
        <v>963</v>
      </c>
      <c r="L329" s="215" t="s">
        <v>967</v>
      </c>
      <c r="M329" s="215" t="s">
        <v>968</v>
      </c>
      <c r="N329" s="215" t="s">
        <v>254</v>
      </c>
      <c r="O329" s="290" t="s">
        <v>206</v>
      </c>
      <c r="P329" s="161"/>
      <c r="Q329" s="160" t="s">
        <v>206</v>
      </c>
      <c r="R329" s="161"/>
      <c r="S329" s="160" t="s">
        <v>206</v>
      </c>
      <c r="T329" s="161"/>
      <c r="U329" s="160" t="s">
        <v>206</v>
      </c>
      <c r="V329" s="161"/>
      <c r="W329" s="160" t="s">
        <v>206</v>
      </c>
      <c r="X329" s="161"/>
      <c r="Y329" s="160" t="s">
        <v>206</v>
      </c>
      <c r="Z329" s="161"/>
      <c r="AA329" s="160" t="s">
        <v>206</v>
      </c>
      <c r="AB329" s="161"/>
      <c r="AC329" s="160" t="s">
        <v>206</v>
      </c>
      <c r="AD329" s="215" t="s">
        <v>963</v>
      </c>
      <c r="AE329" s="160" t="s">
        <v>239</v>
      </c>
      <c r="AF329" s="289" t="str">
        <f t="shared" si="17"/>
        <v>NC</v>
      </c>
      <c r="AG329" s="291" t="str">
        <f t="shared" si="15"/>
        <v>NÃO UTILIZOU O PDA</v>
      </c>
      <c r="AH329" s="160"/>
      <c r="AI329" s="292" t="s">
        <v>6</v>
      </c>
      <c r="AJ329" s="293" t="str">
        <f t="shared" si="16"/>
        <v>SÃO PAULO</v>
      </c>
      <c r="AK329" s="294" t="s">
        <v>39</v>
      </c>
    </row>
    <row r="330" spans="1:37" s="302" customFormat="1" ht="30" customHeight="1">
      <c r="A330" s="215" t="s">
        <v>198</v>
      </c>
      <c r="B330" s="215">
        <v>2620715724</v>
      </c>
      <c r="C330" s="215" t="s">
        <v>331</v>
      </c>
      <c r="D330" s="215" t="s">
        <v>79</v>
      </c>
      <c r="E330" s="215" t="s">
        <v>5</v>
      </c>
      <c r="F330" s="215" t="s">
        <v>969</v>
      </c>
      <c r="G330" s="215">
        <v>17</v>
      </c>
      <c r="H330" s="215" t="s">
        <v>318</v>
      </c>
      <c r="I330" s="215" t="s">
        <v>789</v>
      </c>
      <c r="J330" s="215" t="s">
        <v>334</v>
      </c>
      <c r="K330" s="215" t="s">
        <v>970</v>
      </c>
      <c r="L330" s="215" t="s">
        <v>971</v>
      </c>
      <c r="M330" s="215" t="s">
        <v>972</v>
      </c>
      <c r="N330" s="215" t="s">
        <v>254</v>
      </c>
      <c r="O330" s="290" t="s">
        <v>206</v>
      </c>
      <c r="P330" s="161"/>
      <c r="Q330" s="160" t="s">
        <v>206</v>
      </c>
      <c r="R330" s="161"/>
      <c r="S330" s="160" t="s">
        <v>206</v>
      </c>
      <c r="T330" s="161"/>
      <c r="U330" s="160" t="s">
        <v>206</v>
      </c>
      <c r="V330" s="161"/>
      <c r="W330" s="160" t="s">
        <v>206</v>
      </c>
      <c r="X330" s="161"/>
      <c r="Y330" s="160" t="s">
        <v>206</v>
      </c>
      <c r="Z330" s="161"/>
      <c r="AA330" s="160" t="s">
        <v>206</v>
      </c>
      <c r="AB330" s="161"/>
      <c r="AC330" s="160" t="s">
        <v>206</v>
      </c>
      <c r="AD330" s="161" t="s">
        <v>963</v>
      </c>
      <c r="AE330" s="160" t="s">
        <v>239</v>
      </c>
      <c r="AF330" s="289" t="str">
        <f t="shared" si="17"/>
        <v>NC</v>
      </c>
      <c r="AG330" s="291" t="str">
        <f t="shared" si="15"/>
        <v>NÃO UTILIZOU O PDA</v>
      </c>
      <c r="AH330" s="160"/>
      <c r="AI330" s="292" t="s">
        <v>6</v>
      </c>
      <c r="AJ330" s="293" t="str">
        <f t="shared" si="16"/>
        <v>SÃO PAULO</v>
      </c>
      <c r="AK330" s="294" t="s">
        <v>39</v>
      </c>
    </row>
    <row r="331" spans="1:37" s="302" customFormat="1" ht="30" customHeight="1">
      <c r="A331" s="215" t="s">
        <v>198</v>
      </c>
      <c r="B331" s="215">
        <v>2620721267</v>
      </c>
      <c r="C331" s="215" t="s">
        <v>331</v>
      </c>
      <c r="D331" s="215" t="s">
        <v>79</v>
      </c>
      <c r="E331" s="215" t="s">
        <v>5</v>
      </c>
      <c r="F331" s="215" t="s">
        <v>962</v>
      </c>
      <c r="G331" s="215">
        <v>49</v>
      </c>
      <c r="H331" s="215"/>
      <c r="I331" s="215" t="s">
        <v>789</v>
      </c>
      <c r="J331" s="215" t="s">
        <v>334</v>
      </c>
      <c r="K331" s="215" t="s">
        <v>973</v>
      </c>
      <c r="L331" s="215" t="s">
        <v>974</v>
      </c>
      <c r="M331" s="215" t="s">
        <v>975</v>
      </c>
      <c r="N331" s="215" t="s">
        <v>254</v>
      </c>
      <c r="O331" s="290" t="s">
        <v>206</v>
      </c>
      <c r="P331" s="161"/>
      <c r="Q331" s="160" t="s">
        <v>206</v>
      </c>
      <c r="R331" s="161"/>
      <c r="S331" s="160" t="s">
        <v>206</v>
      </c>
      <c r="T331" s="161"/>
      <c r="U331" s="160" t="s">
        <v>206</v>
      </c>
      <c r="V331" s="161"/>
      <c r="W331" s="160" t="s">
        <v>206</v>
      </c>
      <c r="X331" s="161"/>
      <c r="Y331" s="160" t="s">
        <v>206</v>
      </c>
      <c r="Z331" s="161"/>
      <c r="AA331" s="160" t="s">
        <v>206</v>
      </c>
      <c r="AB331" s="161"/>
      <c r="AC331" s="160" t="s">
        <v>206</v>
      </c>
      <c r="AD331" s="161" t="s">
        <v>963</v>
      </c>
      <c r="AE331" s="160" t="s">
        <v>239</v>
      </c>
      <c r="AF331" s="289" t="str">
        <f t="shared" si="17"/>
        <v>NC</v>
      </c>
      <c r="AG331" s="291" t="str">
        <f t="shared" si="15"/>
        <v>NÃO UTILIZOU O PDA</v>
      </c>
      <c r="AH331" s="160"/>
      <c r="AI331" s="292" t="s">
        <v>6</v>
      </c>
      <c r="AJ331" s="293" t="str">
        <f t="shared" si="16"/>
        <v>SÃO PAULO</v>
      </c>
      <c r="AK331" s="294" t="s">
        <v>39</v>
      </c>
    </row>
    <row r="332" spans="1:37" s="302" customFormat="1" ht="30" customHeight="1">
      <c r="A332" s="261" t="s">
        <v>198</v>
      </c>
      <c r="B332" s="215">
        <v>2620579737</v>
      </c>
      <c r="C332" s="215" t="s">
        <v>87</v>
      </c>
      <c r="D332" s="215" t="s">
        <v>80</v>
      </c>
      <c r="E332" s="215" t="s">
        <v>5</v>
      </c>
      <c r="F332" s="215" t="s">
        <v>976</v>
      </c>
      <c r="G332" s="215">
        <v>374</v>
      </c>
      <c r="H332" s="215" t="s">
        <v>200</v>
      </c>
      <c r="I332" s="215" t="s">
        <v>470</v>
      </c>
      <c r="J332" s="215" t="s">
        <v>216</v>
      </c>
      <c r="K332" s="215" t="s">
        <v>977</v>
      </c>
      <c r="L332" s="215" t="s">
        <v>978</v>
      </c>
      <c r="M332" s="215" t="s">
        <v>979</v>
      </c>
      <c r="N332" s="215" t="s">
        <v>217</v>
      </c>
      <c r="O332" s="290" t="s">
        <v>62</v>
      </c>
      <c r="P332" s="161"/>
      <c r="Q332" s="160" t="s">
        <v>62</v>
      </c>
      <c r="R332" s="161"/>
      <c r="S332" s="160" t="s">
        <v>62</v>
      </c>
      <c r="T332" s="161"/>
      <c r="U332" s="160" t="s">
        <v>62</v>
      </c>
      <c r="V332" s="161"/>
      <c r="W332" s="160" t="s">
        <v>62</v>
      </c>
      <c r="X332" s="161"/>
      <c r="Y332" s="160" t="s">
        <v>62</v>
      </c>
      <c r="Z332" s="161"/>
      <c r="AA332" s="160" t="s">
        <v>62</v>
      </c>
      <c r="AB332" s="161"/>
      <c r="AC332" s="160" t="s">
        <v>62</v>
      </c>
      <c r="AD332" s="161"/>
      <c r="AE332" s="160" t="s">
        <v>62</v>
      </c>
      <c r="AF332" s="289" t="str">
        <f t="shared" si="17"/>
        <v>NA</v>
      </c>
      <c r="AG332" s="291" t="str">
        <f t="shared" si="15"/>
        <v>NÃO AVALIADO POR FALHA DE SINCRONISMO</v>
      </c>
      <c r="AH332" s="160"/>
      <c r="AI332" s="292" t="s">
        <v>6</v>
      </c>
      <c r="AJ332" s="293" t="str">
        <f t="shared" si="16"/>
        <v>SÃO PAULO</v>
      </c>
      <c r="AK332" s="294" t="s">
        <v>39</v>
      </c>
    </row>
    <row r="333" spans="1:37" s="302" customFormat="1" ht="30" customHeight="1">
      <c r="A333" s="261" t="s">
        <v>198</v>
      </c>
      <c r="B333" s="215">
        <v>2620712625</v>
      </c>
      <c r="C333" s="215" t="s">
        <v>87</v>
      </c>
      <c r="D333" s="215" t="s">
        <v>80</v>
      </c>
      <c r="E333" s="215" t="s">
        <v>5</v>
      </c>
      <c r="F333" s="215" t="s">
        <v>976</v>
      </c>
      <c r="G333" s="215">
        <v>368</v>
      </c>
      <c r="H333" s="215"/>
      <c r="I333" s="215" t="s">
        <v>849</v>
      </c>
      <c r="J333" s="215" t="s">
        <v>216</v>
      </c>
      <c r="K333" s="215" t="s">
        <v>980</v>
      </c>
      <c r="L333" s="215" t="s">
        <v>981</v>
      </c>
      <c r="M333" s="215" t="s">
        <v>982</v>
      </c>
      <c r="N333" s="215" t="s">
        <v>217</v>
      </c>
      <c r="O333" s="290" t="s">
        <v>62</v>
      </c>
      <c r="P333" s="161"/>
      <c r="Q333" s="160" t="s">
        <v>62</v>
      </c>
      <c r="R333" s="161"/>
      <c r="S333" s="160" t="s">
        <v>62</v>
      </c>
      <c r="T333" s="161"/>
      <c r="U333" s="160" t="s">
        <v>62</v>
      </c>
      <c r="V333" s="161"/>
      <c r="W333" s="160" t="s">
        <v>62</v>
      </c>
      <c r="X333" s="161"/>
      <c r="Y333" s="160" t="s">
        <v>62</v>
      </c>
      <c r="Z333" s="161"/>
      <c r="AA333" s="160" t="s">
        <v>62</v>
      </c>
      <c r="AB333" s="161"/>
      <c r="AC333" s="160" t="s">
        <v>62</v>
      </c>
      <c r="AD333" s="161"/>
      <c r="AE333" s="160" t="s">
        <v>62</v>
      </c>
      <c r="AF333" s="289" t="str">
        <f t="shared" si="17"/>
        <v>NA</v>
      </c>
      <c r="AG333" s="291" t="str">
        <f t="shared" si="15"/>
        <v>NÃO AVALIADO POR FALHA DE SINCRONISMO</v>
      </c>
      <c r="AH333" s="160"/>
      <c r="AI333" s="292" t="s">
        <v>6</v>
      </c>
      <c r="AJ333" s="293" t="str">
        <f t="shared" si="16"/>
        <v>SÃO PAULO</v>
      </c>
      <c r="AK333" s="294" t="s">
        <v>39</v>
      </c>
    </row>
    <row r="334" spans="1:37" s="302" customFormat="1" ht="30" customHeight="1">
      <c r="A334" s="261" t="s">
        <v>198</v>
      </c>
      <c r="B334" s="215">
        <v>2620579913</v>
      </c>
      <c r="C334" s="215" t="s">
        <v>87</v>
      </c>
      <c r="D334" s="215" t="s">
        <v>80</v>
      </c>
      <c r="E334" s="215" t="s">
        <v>5</v>
      </c>
      <c r="F334" s="215" t="s">
        <v>976</v>
      </c>
      <c r="G334" s="215">
        <v>364</v>
      </c>
      <c r="H334" s="215" t="s">
        <v>226</v>
      </c>
      <c r="I334" s="215" t="s">
        <v>470</v>
      </c>
      <c r="J334" s="215" t="s">
        <v>216</v>
      </c>
      <c r="K334" s="215" t="s">
        <v>200</v>
      </c>
      <c r="L334" s="215" t="s">
        <v>983</v>
      </c>
      <c r="M334" s="215" t="s">
        <v>984</v>
      </c>
      <c r="N334" s="215" t="s">
        <v>217</v>
      </c>
      <c r="O334" s="290" t="s">
        <v>62</v>
      </c>
      <c r="P334" s="161"/>
      <c r="Q334" s="160" t="s">
        <v>62</v>
      </c>
      <c r="R334" s="161"/>
      <c r="S334" s="160" t="s">
        <v>62</v>
      </c>
      <c r="T334" s="161"/>
      <c r="U334" s="160" t="s">
        <v>62</v>
      </c>
      <c r="V334" s="161"/>
      <c r="W334" s="160" t="s">
        <v>62</v>
      </c>
      <c r="X334" s="161"/>
      <c r="Y334" s="160" t="s">
        <v>62</v>
      </c>
      <c r="Z334" s="161"/>
      <c r="AA334" s="160" t="s">
        <v>62</v>
      </c>
      <c r="AB334" s="161"/>
      <c r="AC334" s="160" t="s">
        <v>62</v>
      </c>
      <c r="AD334" s="161"/>
      <c r="AE334" s="160" t="s">
        <v>62</v>
      </c>
      <c r="AF334" s="289" t="str">
        <f t="shared" si="17"/>
        <v>NA</v>
      </c>
      <c r="AG334" s="291" t="str">
        <f t="shared" si="15"/>
        <v>NÃO AVALIADO POR FALHA DE SINCRONISMO</v>
      </c>
      <c r="AH334" s="160"/>
      <c r="AI334" s="292" t="s">
        <v>6</v>
      </c>
      <c r="AJ334" s="293" t="str">
        <f t="shared" si="16"/>
        <v>SÃO PAULO</v>
      </c>
      <c r="AK334" s="294" t="s">
        <v>39</v>
      </c>
    </row>
    <row r="335" spans="1:37" s="302" customFormat="1" ht="30" customHeight="1">
      <c r="A335" s="261" t="s">
        <v>198</v>
      </c>
      <c r="B335" s="215">
        <v>2620580061</v>
      </c>
      <c r="C335" s="215" t="s">
        <v>87</v>
      </c>
      <c r="D335" s="215" t="s">
        <v>80</v>
      </c>
      <c r="E335" s="215" t="s">
        <v>5</v>
      </c>
      <c r="F335" s="215" t="s">
        <v>976</v>
      </c>
      <c r="G335" s="215">
        <v>379</v>
      </c>
      <c r="H335" s="215"/>
      <c r="I335" s="215" t="s">
        <v>470</v>
      </c>
      <c r="J335" s="215" t="s">
        <v>216</v>
      </c>
      <c r="K335" s="215" t="s">
        <v>985</v>
      </c>
      <c r="L335" s="215" t="s">
        <v>986</v>
      </c>
      <c r="M335" s="215" t="s">
        <v>987</v>
      </c>
      <c r="N335" s="215" t="s">
        <v>217</v>
      </c>
      <c r="O335" s="290" t="s">
        <v>62</v>
      </c>
      <c r="P335" s="161"/>
      <c r="Q335" s="160" t="s">
        <v>62</v>
      </c>
      <c r="R335" s="161"/>
      <c r="S335" s="160" t="s">
        <v>62</v>
      </c>
      <c r="T335" s="161"/>
      <c r="U335" s="160" t="s">
        <v>62</v>
      </c>
      <c r="V335" s="161"/>
      <c r="W335" s="160" t="s">
        <v>62</v>
      </c>
      <c r="X335" s="161"/>
      <c r="Y335" s="160" t="s">
        <v>62</v>
      </c>
      <c r="Z335" s="161"/>
      <c r="AA335" s="160" t="s">
        <v>62</v>
      </c>
      <c r="AB335" s="161"/>
      <c r="AC335" s="160" t="s">
        <v>62</v>
      </c>
      <c r="AD335" s="161"/>
      <c r="AE335" s="160" t="s">
        <v>62</v>
      </c>
      <c r="AF335" s="289" t="str">
        <f t="shared" si="17"/>
        <v>NA</v>
      </c>
      <c r="AG335" s="291" t="str">
        <f t="shared" si="15"/>
        <v>NÃO AVALIADO POR FALHA DE SINCRONISMO</v>
      </c>
      <c r="AH335" s="160"/>
      <c r="AI335" s="292" t="s">
        <v>6</v>
      </c>
      <c r="AJ335" s="293" t="str">
        <f t="shared" si="16"/>
        <v>SÃO PAULO</v>
      </c>
      <c r="AK335" s="294" t="s">
        <v>39</v>
      </c>
    </row>
    <row r="336" spans="1:37" s="302" customFormat="1" ht="30" customHeight="1">
      <c r="A336" s="215" t="s">
        <v>198</v>
      </c>
      <c r="B336" s="215">
        <v>2619845588</v>
      </c>
      <c r="C336" s="215" t="s">
        <v>92</v>
      </c>
      <c r="D336" s="215" t="s">
        <v>77</v>
      </c>
      <c r="E336" s="215" t="s">
        <v>5</v>
      </c>
      <c r="F336" s="215" t="s">
        <v>988</v>
      </c>
      <c r="G336" s="215">
        <v>253</v>
      </c>
      <c r="H336" s="215"/>
      <c r="I336" s="215" t="s">
        <v>246</v>
      </c>
      <c r="J336" s="215" t="s">
        <v>329</v>
      </c>
      <c r="K336" s="215" t="s">
        <v>989</v>
      </c>
      <c r="L336" s="215" t="s">
        <v>990</v>
      </c>
      <c r="M336" s="215" t="s">
        <v>991</v>
      </c>
      <c r="N336" s="215" t="s">
        <v>235</v>
      </c>
      <c r="O336" s="290" t="s">
        <v>205</v>
      </c>
      <c r="P336" s="161"/>
      <c r="Q336" s="160" t="s">
        <v>205</v>
      </c>
      <c r="R336" s="161"/>
      <c r="S336" s="160" t="s">
        <v>205</v>
      </c>
      <c r="T336" s="161"/>
      <c r="U336" s="160" t="s">
        <v>205</v>
      </c>
      <c r="V336" s="161"/>
      <c r="W336" s="160" t="s">
        <v>205</v>
      </c>
      <c r="X336" s="161"/>
      <c r="Y336" s="160" t="s">
        <v>205</v>
      </c>
      <c r="Z336" s="161"/>
      <c r="AA336" s="160" t="s">
        <v>205</v>
      </c>
      <c r="AB336" s="161"/>
      <c r="AC336" s="160" t="s">
        <v>205</v>
      </c>
      <c r="AD336" s="161"/>
      <c r="AE336" s="160" t="s">
        <v>205</v>
      </c>
      <c r="AF336" s="289" t="str">
        <f t="shared" si="17"/>
        <v>C</v>
      </c>
      <c r="AG336" s="291" t="str">
        <f t="shared" si="15"/>
        <v>UTILIZOU O PDA CORRETAMENTE</v>
      </c>
      <c r="AH336" s="160" t="s">
        <v>205</v>
      </c>
      <c r="AI336" s="292" t="s">
        <v>6</v>
      </c>
      <c r="AJ336" s="293" t="str">
        <f t="shared" si="16"/>
        <v>SÃO PAULO</v>
      </c>
      <c r="AK336" s="294" t="s">
        <v>39</v>
      </c>
    </row>
    <row r="337" spans="1:37" s="302" customFormat="1" ht="30" customHeight="1">
      <c r="A337" s="215" t="s">
        <v>198</v>
      </c>
      <c r="B337" s="215">
        <v>2620562900</v>
      </c>
      <c r="C337" s="215" t="s">
        <v>84</v>
      </c>
      <c r="D337" s="215" t="s">
        <v>77</v>
      </c>
      <c r="E337" s="215" t="s">
        <v>5</v>
      </c>
      <c r="F337" s="215" t="s">
        <v>992</v>
      </c>
      <c r="G337" s="215">
        <v>455</v>
      </c>
      <c r="H337" s="215" t="s">
        <v>250</v>
      </c>
      <c r="I337" s="215" t="s">
        <v>993</v>
      </c>
      <c r="J337" s="215" t="s">
        <v>252</v>
      </c>
      <c r="K337" s="215" t="s">
        <v>989</v>
      </c>
      <c r="L337" s="215" t="s">
        <v>994</v>
      </c>
      <c r="M337" s="215" t="s">
        <v>995</v>
      </c>
      <c r="N337" s="215" t="s">
        <v>235</v>
      </c>
      <c r="O337" s="290" t="s">
        <v>205</v>
      </c>
      <c r="P337" s="161"/>
      <c r="Q337" s="160" t="s">
        <v>205</v>
      </c>
      <c r="R337" s="161"/>
      <c r="S337" s="160" t="s">
        <v>205</v>
      </c>
      <c r="T337" s="161"/>
      <c r="U337" s="160" t="s">
        <v>205</v>
      </c>
      <c r="V337" s="161"/>
      <c r="W337" s="160" t="s">
        <v>205</v>
      </c>
      <c r="X337" s="161"/>
      <c r="Y337" s="160" t="s">
        <v>205</v>
      </c>
      <c r="Z337" s="161"/>
      <c r="AA337" s="160" t="s">
        <v>205</v>
      </c>
      <c r="AB337" s="161"/>
      <c r="AC337" s="160" t="s">
        <v>205</v>
      </c>
      <c r="AD337" s="161"/>
      <c r="AE337" s="160" t="s">
        <v>205</v>
      </c>
      <c r="AF337" s="289" t="str">
        <f t="shared" si="17"/>
        <v>C</v>
      </c>
      <c r="AG337" s="291" t="str">
        <f t="shared" si="15"/>
        <v>UTILIZOU O PDA CORRETAMENTE</v>
      </c>
      <c r="AH337" s="160" t="s">
        <v>205</v>
      </c>
      <c r="AI337" s="292" t="s">
        <v>6</v>
      </c>
      <c r="AJ337" s="293" t="str">
        <f t="shared" si="16"/>
        <v>SÃO PAULO</v>
      </c>
      <c r="AK337" s="294" t="s">
        <v>39</v>
      </c>
    </row>
    <row r="338" spans="1:37" s="302" customFormat="1" ht="30" customHeight="1">
      <c r="A338" s="215" t="s">
        <v>198</v>
      </c>
      <c r="B338" s="215">
        <v>2620544089</v>
      </c>
      <c r="C338" s="215" t="s">
        <v>86</v>
      </c>
      <c r="D338" s="215" t="s">
        <v>77</v>
      </c>
      <c r="E338" s="215" t="s">
        <v>5</v>
      </c>
      <c r="F338" s="215" t="s">
        <v>996</v>
      </c>
      <c r="G338" s="215">
        <v>26</v>
      </c>
      <c r="H338" s="215" t="s">
        <v>200</v>
      </c>
      <c r="I338" s="215" t="s">
        <v>410</v>
      </c>
      <c r="J338" s="215" t="s">
        <v>86</v>
      </c>
      <c r="K338" s="215" t="s">
        <v>200</v>
      </c>
      <c r="L338" s="215" t="s">
        <v>997</v>
      </c>
      <c r="M338" s="215" t="s">
        <v>998</v>
      </c>
      <c r="N338" s="215" t="s">
        <v>310</v>
      </c>
      <c r="O338" s="290" t="s">
        <v>205</v>
      </c>
      <c r="P338" s="161"/>
      <c r="Q338" s="160" t="s">
        <v>205</v>
      </c>
      <c r="R338" s="161"/>
      <c r="S338" s="160" t="s">
        <v>205</v>
      </c>
      <c r="T338" s="161"/>
      <c r="U338" s="160" t="s">
        <v>205</v>
      </c>
      <c r="V338" s="161"/>
      <c r="W338" s="160" t="s">
        <v>62</v>
      </c>
      <c r="X338" s="161"/>
      <c r="Y338" s="160" t="s">
        <v>205</v>
      </c>
      <c r="Z338" s="161"/>
      <c r="AA338" s="160" t="s">
        <v>205</v>
      </c>
      <c r="AB338" s="161"/>
      <c r="AC338" s="160" t="s">
        <v>205</v>
      </c>
      <c r="AD338" s="161"/>
      <c r="AE338" s="160" t="s">
        <v>205</v>
      </c>
      <c r="AF338" s="289" t="str">
        <f t="shared" si="17"/>
        <v>C</v>
      </c>
      <c r="AG338" s="291" t="str">
        <f t="shared" si="15"/>
        <v>UTILIZOU O PDA CORRETAMENTE</v>
      </c>
      <c r="AH338" s="160" t="s">
        <v>205</v>
      </c>
      <c r="AI338" s="292" t="s">
        <v>6</v>
      </c>
      <c r="AJ338" s="293" t="str">
        <f t="shared" si="16"/>
        <v>SÃO PAULO</v>
      </c>
      <c r="AK338" s="294" t="s">
        <v>39</v>
      </c>
    </row>
    <row r="339" spans="1:37" s="302" customFormat="1" ht="30" customHeight="1">
      <c r="A339" s="215" t="s">
        <v>198</v>
      </c>
      <c r="B339" s="215">
        <v>2620559474</v>
      </c>
      <c r="C339" s="215" t="s">
        <v>84</v>
      </c>
      <c r="D339" s="215" t="s">
        <v>77</v>
      </c>
      <c r="E339" s="215" t="s">
        <v>5</v>
      </c>
      <c r="F339" s="215" t="s">
        <v>999</v>
      </c>
      <c r="G339" s="215">
        <v>163</v>
      </c>
      <c r="H339" s="215" t="s">
        <v>481</v>
      </c>
      <c r="I339" s="215" t="s">
        <v>1000</v>
      </c>
      <c r="J339" s="215" t="s">
        <v>252</v>
      </c>
      <c r="K339" s="215"/>
      <c r="L339" s="215" t="s">
        <v>1001</v>
      </c>
      <c r="M339" s="215" t="s">
        <v>1002</v>
      </c>
      <c r="N339" s="215" t="s">
        <v>310</v>
      </c>
      <c r="O339" s="290" t="s">
        <v>205</v>
      </c>
      <c r="P339" s="161"/>
      <c r="Q339" s="160" t="s">
        <v>205</v>
      </c>
      <c r="R339" s="161"/>
      <c r="S339" s="160" t="s">
        <v>205</v>
      </c>
      <c r="T339" s="161"/>
      <c r="U339" s="160" t="s">
        <v>205</v>
      </c>
      <c r="V339" s="161"/>
      <c r="W339" s="160" t="s">
        <v>205</v>
      </c>
      <c r="X339" s="161"/>
      <c r="Y339" s="160" t="s">
        <v>205</v>
      </c>
      <c r="Z339" s="161"/>
      <c r="AA339" s="160" t="s">
        <v>205</v>
      </c>
      <c r="AB339" s="161"/>
      <c r="AC339" s="160" t="s">
        <v>205</v>
      </c>
      <c r="AD339" s="161"/>
      <c r="AE339" s="160" t="s">
        <v>205</v>
      </c>
      <c r="AF339" s="289" t="str">
        <f t="shared" si="17"/>
        <v>C</v>
      </c>
      <c r="AG339" s="291" t="str">
        <f t="shared" si="15"/>
        <v>UTILIZOU O PDA CORRETAMENTE</v>
      </c>
      <c r="AH339" s="160" t="s">
        <v>205</v>
      </c>
      <c r="AI339" s="292" t="s">
        <v>6</v>
      </c>
      <c r="AJ339" s="293" t="str">
        <f t="shared" si="16"/>
        <v>SÃO PAULO</v>
      </c>
      <c r="AK339" s="294" t="s">
        <v>39</v>
      </c>
    </row>
    <row r="340" spans="1:37" s="302" customFormat="1" ht="30" customHeight="1">
      <c r="A340" s="215" t="s">
        <v>198</v>
      </c>
      <c r="B340" s="215">
        <v>2620560094</v>
      </c>
      <c r="C340" s="215" t="s">
        <v>84</v>
      </c>
      <c r="D340" s="215" t="s">
        <v>77</v>
      </c>
      <c r="E340" s="215" t="s">
        <v>5</v>
      </c>
      <c r="F340" s="215" t="s">
        <v>999</v>
      </c>
      <c r="G340" s="215">
        <v>163</v>
      </c>
      <c r="H340" s="215" t="s">
        <v>363</v>
      </c>
      <c r="I340" s="215" t="s">
        <v>1000</v>
      </c>
      <c r="J340" s="215" t="s">
        <v>252</v>
      </c>
      <c r="K340" s="215" t="s">
        <v>200</v>
      </c>
      <c r="L340" s="215" t="s">
        <v>1003</v>
      </c>
      <c r="M340" s="215" t="s">
        <v>1004</v>
      </c>
      <c r="N340" s="215" t="s">
        <v>310</v>
      </c>
      <c r="O340" s="290" t="s">
        <v>205</v>
      </c>
      <c r="P340" s="161"/>
      <c r="Q340" s="160" t="s">
        <v>205</v>
      </c>
      <c r="R340" s="161"/>
      <c r="S340" s="160" t="s">
        <v>205</v>
      </c>
      <c r="T340" s="161"/>
      <c r="U340" s="160" t="s">
        <v>205</v>
      </c>
      <c r="V340" s="161"/>
      <c r="W340" s="160" t="s">
        <v>205</v>
      </c>
      <c r="X340" s="161"/>
      <c r="Y340" s="160" t="s">
        <v>205</v>
      </c>
      <c r="Z340" s="161"/>
      <c r="AA340" s="160" t="s">
        <v>205</v>
      </c>
      <c r="AB340" s="161"/>
      <c r="AC340" s="160" t="s">
        <v>205</v>
      </c>
      <c r="AD340" s="161"/>
      <c r="AE340" s="160" t="s">
        <v>205</v>
      </c>
      <c r="AF340" s="289" t="str">
        <f t="shared" si="17"/>
        <v>C</v>
      </c>
      <c r="AG340" s="291" t="str">
        <f t="shared" si="15"/>
        <v>UTILIZOU O PDA CORRETAMENTE</v>
      </c>
      <c r="AH340" s="160" t="s">
        <v>205</v>
      </c>
      <c r="AI340" s="292" t="s">
        <v>6</v>
      </c>
      <c r="AJ340" s="293" t="str">
        <f t="shared" si="16"/>
        <v>SÃO PAULO</v>
      </c>
      <c r="AK340" s="294" t="s">
        <v>39</v>
      </c>
    </row>
    <row r="341" spans="1:37" s="302" customFormat="1" ht="30" customHeight="1">
      <c r="A341" s="215" t="s">
        <v>198</v>
      </c>
      <c r="B341" s="215">
        <v>2620560506</v>
      </c>
      <c r="C341" s="215" t="s">
        <v>84</v>
      </c>
      <c r="D341" s="215" t="s">
        <v>77</v>
      </c>
      <c r="E341" s="215" t="s">
        <v>5</v>
      </c>
      <c r="F341" s="215" t="s">
        <v>999</v>
      </c>
      <c r="G341" s="215">
        <v>163</v>
      </c>
      <c r="H341" s="215" t="s">
        <v>250</v>
      </c>
      <c r="I341" s="215" t="s">
        <v>1000</v>
      </c>
      <c r="J341" s="215" t="s">
        <v>252</v>
      </c>
      <c r="K341" s="219" t="s">
        <v>1005</v>
      </c>
      <c r="L341" s="215" t="s">
        <v>1006</v>
      </c>
      <c r="M341" s="215" t="s">
        <v>1007</v>
      </c>
      <c r="N341" s="215" t="s">
        <v>310</v>
      </c>
      <c r="O341" s="290" t="s">
        <v>205</v>
      </c>
      <c r="P341" s="161"/>
      <c r="Q341" s="160" t="s">
        <v>205</v>
      </c>
      <c r="R341" s="161"/>
      <c r="S341" s="160" t="s">
        <v>205</v>
      </c>
      <c r="T341" s="161"/>
      <c r="U341" s="160" t="s">
        <v>205</v>
      </c>
      <c r="V341" s="161"/>
      <c r="W341" s="160" t="s">
        <v>205</v>
      </c>
      <c r="X341" s="161"/>
      <c r="Y341" s="160" t="s">
        <v>205</v>
      </c>
      <c r="Z341" s="161"/>
      <c r="AA341" s="160" t="s">
        <v>205</v>
      </c>
      <c r="AB341" s="161"/>
      <c r="AC341" s="160" t="s">
        <v>205</v>
      </c>
      <c r="AD341" s="161"/>
      <c r="AE341" s="160" t="s">
        <v>205</v>
      </c>
      <c r="AF341" s="289" t="str">
        <f t="shared" si="17"/>
        <v>C</v>
      </c>
      <c r="AG341" s="291" t="str">
        <f t="shared" si="15"/>
        <v>UTILIZOU O PDA CORRETAMENTE</v>
      </c>
      <c r="AH341" s="160" t="s">
        <v>205</v>
      </c>
      <c r="AI341" s="292" t="s">
        <v>6</v>
      </c>
      <c r="AJ341" s="293" t="str">
        <f t="shared" si="16"/>
        <v>SÃO PAULO</v>
      </c>
      <c r="AK341" s="294" t="s">
        <v>39</v>
      </c>
    </row>
    <row r="342" spans="1:37" s="302" customFormat="1" ht="30" customHeight="1">
      <c r="A342" s="215" t="s">
        <v>198</v>
      </c>
      <c r="B342" s="215">
        <v>2620561066</v>
      </c>
      <c r="C342" s="215" t="s">
        <v>84</v>
      </c>
      <c r="D342" s="215" t="s">
        <v>77</v>
      </c>
      <c r="E342" s="215" t="s">
        <v>5</v>
      </c>
      <c r="F342" s="215" t="s">
        <v>999</v>
      </c>
      <c r="G342" s="215">
        <v>163</v>
      </c>
      <c r="H342" s="215" t="s">
        <v>708</v>
      </c>
      <c r="I342" s="215" t="s">
        <v>1000</v>
      </c>
      <c r="J342" s="215" t="s">
        <v>252</v>
      </c>
      <c r="K342" s="215"/>
      <c r="L342" s="215" t="s">
        <v>1008</v>
      </c>
      <c r="M342" s="215" t="s">
        <v>1009</v>
      </c>
      <c r="N342" s="215" t="s">
        <v>310</v>
      </c>
      <c r="O342" s="290" t="s">
        <v>205</v>
      </c>
      <c r="P342" s="161"/>
      <c r="Q342" s="160" t="s">
        <v>205</v>
      </c>
      <c r="R342" s="161"/>
      <c r="S342" s="160" t="s">
        <v>205</v>
      </c>
      <c r="T342" s="161"/>
      <c r="U342" s="160" t="s">
        <v>205</v>
      </c>
      <c r="V342" s="161"/>
      <c r="W342" s="160" t="s">
        <v>205</v>
      </c>
      <c r="X342" s="161"/>
      <c r="Y342" s="160" t="s">
        <v>205</v>
      </c>
      <c r="Z342" s="161"/>
      <c r="AA342" s="160" t="s">
        <v>205</v>
      </c>
      <c r="AB342" s="161"/>
      <c r="AC342" s="160" t="s">
        <v>205</v>
      </c>
      <c r="AD342" s="161"/>
      <c r="AE342" s="160" t="s">
        <v>205</v>
      </c>
      <c r="AF342" s="289" t="s">
        <v>205</v>
      </c>
      <c r="AG342" s="291" t="str">
        <f t="shared" si="15"/>
        <v>UTILIZOU O PDA CORRETAMENTE</v>
      </c>
      <c r="AH342" s="160" t="s">
        <v>205</v>
      </c>
      <c r="AI342" s="292" t="s">
        <v>6</v>
      </c>
      <c r="AJ342" s="293" t="str">
        <f t="shared" si="16"/>
        <v>SÃO PAULO</v>
      </c>
      <c r="AK342" s="294" t="s">
        <v>39</v>
      </c>
    </row>
    <row r="343" spans="1:37" s="302" customFormat="1" ht="30" customHeight="1">
      <c r="A343" s="215" t="s">
        <v>198</v>
      </c>
      <c r="B343" s="215">
        <v>2620561761</v>
      </c>
      <c r="C343" s="215" t="s">
        <v>92</v>
      </c>
      <c r="D343" s="215" t="s">
        <v>77</v>
      </c>
      <c r="E343" s="215" t="s">
        <v>5</v>
      </c>
      <c r="F343" s="215" t="s">
        <v>999</v>
      </c>
      <c r="G343" s="215">
        <v>163</v>
      </c>
      <c r="H343" s="215" t="s">
        <v>226</v>
      </c>
      <c r="I343" s="215" t="s">
        <v>1000</v>
      </c>
      <c r="J343" s="215" t="s">
        <v>329</v>
      </c>
      <c r="K343" s="215" t="s">
        <v>200</v>
      </c>
      <c r="L343" s="215" t="s">
        <v>1010</v>
      </c>
      <c r="M343" s="215" t="s">
        <v>1011</v>
      </c>
      <c r="N343" s="215" t="s">
        <v>310</v>
      </c>
      <c r="O343" s="290" t="s">
        <v>205</v>
      </c>
      <c r="P343" s="161"/>
      <c r="Q343" s="160" t="s">
        <v>205</v>
      </c>
      <c r="R343" s="161"/>
      <c r="S343" s="160" t="s">
        <v>205</v>
      </c>
      <c r="T343" s="161"/>
      <c r="U343" s="160" t="s">
        <v>205</v>
      </c>
      <c r="V343" s="161"/>
      <c r="W343" s="160" t="s">
        <v>205</v>
      </c>
      <c r="X343" s="161"/>
      <c r="Y343" s="160" t="s">
        <v>205</v>
      </c>
      <c r="Z343" s="161"/>
      <c r="AA343" s="160" t="s">
        <v>205</v>
      </c>
      <c r="AB343" s="161"/>
      <c r="AC343" s="160" t="s">
        <v>205</v>
      </c>
      <c r="AD343" s="161"/>
      <c r="AE343" s="160" t="s">
        <v>205</v>
      </c>
      <c r="AF343" s="289" t="str">
        <f t="shared" si="17"/>
        <v>C</v>
      </c>
      <c r="AG343" s="291" t="str">
        <f t="shared" si="15"/>
        <v>UTILIZOU O PDA CORRETAMENTE</v>
      </c>
      <c r="AH343" s="160" t="s">
        <v>205</v>
      </c>
      <c r="AI343" s="292" t="s">
        <v>6</v>
      </c>
      <c r="AJ343" s="293" t="str">
        <f t="shared" si="16"/>
        <v>SÃO PAULO</v>
      </c>
      <c r="AK343" s="294" t="s">
        <v>39</v>
      </c>
    </row>
    <row r="344" spans="1:37" s="302" customFormat="1" ht="30" customHeight="1">
      <c r="A344" s="215" t="s">
        <v>198</v>
      </c>
      <c r="B344" s="215">
        <v>2693528443</v>
      </c>
      <c r="C344" s="215" t="s">
        <v>107</v>
      </c>
      <c r="D344" s="215" t="s">
        <v>81</v>
      </c>
      <c r="E344" s="215" t="s">
        <v>5</v>
      </c>
      <c r="F344" s="215" t="s">
        <v>1012</v>
      </c>
      <c r="G344" s="215">
        <v>91</v>
      </c>
      <c r="H344" s="215" t="s">
        <v>226</v>
      </c>
      <c r="I344" s="215" t="s">
        <v>415</v>
      </c>
      <c r="J344" s="215" t="s">
        <v>322</v>
      </c>
      <c r="K344" s="215" t="s">
        <v>200</v>
      </c>
      <c r="L344" s="215" t="s">
        <v>1013</v>
      </c>
      <c r="M344" s="215" t="s">
        <v>1014</v>
      </c>
      <c r="N344" s="215" t="s">
        <v>359</v>
      </c>
      <c r="O344" s="290" t="s">
        <v>205</v>
      </c>
      <c r="P344" s="161"/>
      <c r="Q344" s="160" t="s">
        <v>205</v>
      </c>
      <c r="R344" s="161"/>
      <c r="S344" s="160" t="s">
        <v>205</v>
      </c>
      <c r="T344" s="161"/>
      <c r="U344" s="160" t="s">
        <v>205</v>
      </c>
      <c r="V344" s="161"/>
      <c r="W344" s="160" t="s">
        <v>205</v>
      </c>
      <c r="X344" s="161"/>
      <c r="Y344" s="160" t="s">
        <v>205</v>
      </c>
      <c r="Z344" s="161"/>
      <c r="AA344" s="160" t="s">
        <v>205</v>
      </c>
      <c r="AB344" s="161"/>
      <c r="AC344" s="160" t="s">
        <v>205</v>
      </c>
      <c r="AD344" s="161"/>
      <c r="AE344" s="160" t="s">
        <v>205</v>
      </c>
      <c r="AF344" s="289" t="str">
        <f t="shared" si="17"/>
        <v>C</v>
      </c>
      <c r="AG344" s="291" t="str">
        <f t="shared" si="15"/>
        <v>UTILIZOU O PDA CORRETAMENTE</v>
      </c>
      <c r="AH344" s="160" t="s">
        <v>205</v>
      </c>
      <c r="AI344" s="292" t="s">
        <v>6</v>
      </c>
      <c r="AJ344" s="293" t="str">
        <f t="shared" si="16"/>
        <v>SÃO PAULO</v>
      </c>
      <c r="AK344" s="294" t="s">
        <v>39</v>
      </c>
    </row>
    <row r="345" spans="1:37" s="302" customFormat="1" ht="30" customHeight="1">
      <c r="A345" s="215" t="s">
        <v>198</v>
      </c>
      <c r="B345" s="215">
        <v>2620711296</v>
      </c>
      <c r="C345" s="215" t="s">
        <v>105</v>
      </c>
      <c r="D345" s="215" t="s">
        <v>81</v>
      </c>
      <c r="E345" s="215" t="s">
        <v>5</v>
      </c>
      <c r="F345" s="215" t="s">
        <v>1015</v>
      </c>
      <c r="G345" s="215">
        <v>302</v>
      </c>
      <c r="H345" s="215" t="s">
        <v>481</v>
      </c>
      <c r="I345" s="215" t="s">
        <v>1016</v>
      </c>
      <c r="J345" s="215" t="s">
        <v>228</v>
      </c>
      <c r="K345" s="215"/>
      <c r="L345" s="215" t="s">
        <v>1017</v>
      </c>
      <c r="M345" s="215" t="s">
        <v>1018</v>
      </c>
      <c r="N345" s="215" t="s">
        <v>357</v>
      </c>
      <c r="O345" s="290" t="s">
        <v>205</v>
      </c>
      <c r="P345" s="161"/>
      <c r="Q345" s="160" t="s">
        <v>205</v>
      </c>
      <c r="R345" s="161"/>
      <c r="S345" s="160" t="s">
        <v>205</v>
      </c>
      <c r="T345" s="161"/>
      <c r="U345" s="160" t="s">
        <v>205</v>
      </c>
      <c r="V345" s="161"/>
      <c r="W345" s="160" t="s">
        <v>205</v>
      </c>
      <c r="X345" s="161"/>
      <c r="Y345" s="160" t="s">
        <v>62</v>
      </c>
      <c r="Z345" s="161"/>
      <c r="AA345" s="160" t="s">
        <v>205</v>
      </c>
      <c r="AB345" s="161"/>
      <c r="AC345" s="160" t="s">
        <v>205</v>
      </c>
      <c r="AD345" s="161"/>
      <c r="AE345" s="160" t="s">
        <v>205</v>
      </c>
      <c r="AF345" s="289" t="str">
        <f t="shared" si="17"/>
        <v>C</v>
      </c>
      <c r="AG345" s="291" t="str">
        <f t="shared" si="15"/>
        <v>UTILIZOU O PDA CORRETAMENTE</v>
      </c>
      <c r="AH345" s="160"/>
      <c r="AI345" s="292" t="s">
        <v>6</v>
      </c>
      <c r="AJ345" s="293" t="str">
        <f t="shared" si="16"/>
        <v>SÃO PAULO</v>
      </c>
      <c r="AK345" s="294" t="s">
        <v>39</v>
      </c>
    </row>
    <row r="346" spans="1:37" s="302" customFormat="1" ht="30" customHeight="1">
      <c r="A346" s="215" t="s">
        <v>198</v>
      </c>
      <c r="B346" s="215">
        <v>2693517263</v>
      </c>
      <c r="C346" s="215" t="s">
        <v>99</v>
      </c>
      <c r="D346" s="215" t="s">
        <v>81</v>
      </c>
      <c r="E346" s="215" t="s">
        <v>5</v>
      </c>
      <c r="F346" s="215" t="s">
        <v>1019</v>
      </c>
      <c r="G346" s="215">
        <v>100</v>
      </c>
      <c r="H346" s="215"/>
      <c r="I346" s="215" t="s">
        <v>546</v>
      </c>
      <c r="J346" s="215" t="s">
        <v>268</v>
      </c>
      <c r="K346" s="215" t="s">
        <v>1020</v>
      </c>
      <c r="L346" s="215" t="s">
        <v>1021</v>
      </c>
      <c r="M346" s="215" t="s">
        <v>1022</v>
      </c>
      <c r="N346" s="215" t="s">
        <v>341</v>
      </c>
      <c r="O346" s="290" t="s">
        <v>205</v>
      </c>
      <c r="P346" s="161"/>
      <c r="Q346" s="160" t="s">
        <v>205</v>
      </c>
      <c r="R346" s="161"/>
      <c r="S346" s="160" t="s">
        <v>205</v>
      </c>
      <c r="T346" s="161"/>
      <c r="U346" s="160" t="s">
        <v>205</v>
      </c>
      <c r="V346" s="161"/>
      <c r="W346" s="160" t="s">
        <v>205</v>
      </c>
      <c r="X346" s="161"/>
      <c r="Y346" s="160" t="s">
        <v>205</v>
      </c>
      <c r="Z346" s="161"/>
      <c r="AA346" s="160" t="s">
        <v>205</v>
      </c>
      <c r="AB346" s="161"/>
      <c r="AC346" s="160" t="s">
        <v>205</v>
      </c>
      <c r="AD346" s="161"/>
      <c r="AE346" s="160" t="s">
        <v>205</v>
      </c>
      <c r="AF346" s="289" t="str">
        <f t="shared" si="17"/>
        <v>C</v>
      </c>
      <c r="AG346" s="291" t="str">
        <f t="shared" si="15"/>
        <v>UTILIZOU O PDA CORRETAMENTE</v>
      </c>
      <c r="AH346" s="160"/>
      <c r="AI346" s="292" t="s">
        <v>6</v>
      </c>
      <c r="AJ346" s="293" t="str">
        <f t="shared" si="16"/>
        <v>SÃO PAULO</v>
      </c>
      <c r="AK346" s="294" t="s">
        <v>39</v>
      </c>
    </row>
    <row r="347" spans="1:37" s="302" customFormat="1" ht="30" customHeight="1">
      <c r="A347" s="215" t="s">
        <v>198</v>
      </c>
      <c r="B347" s="215">
        <v>2620778447</v>
      </c>
      <c r="C347" s="215" t="s">
        <v>105</v>
      </c>
      <c r="D347" s="215" t="s">
        <v>81</v>
      </c>
      <c r="E347" s="215" t="s">
        <v>5</v>
      </c>
      <c r="F347" s="215" t="s">
        <v>1023</v>
      </c>
      <c r="G347" s="215">
        <v>326</v>
      </c>
      <c r="H347" s="215" t="s">
        <v>200</v>
      </c>
      <c r="I347" s="215" t="s">
        <v>1024</v>
      </c>
      <c r="J347" s="215" t="s">
        <v>228</v>
      </c>
      <c r="K347" s="215" t="s">
        <v>1025</v>
      </c>
      <c r="L347" s="215" t="s">
        <v>1026</v>
      </c>
      <c r="M347" s="215" t="s">
        <v>1027</v>
      </c>
      <c r="N347" s="215" t="s">
        <v>230</v>
      </c>
      <c r="O347" s="290" t="s">
        <v>205</v>
      </c>
      <c r="P347" s="161"/>
      <c r="Q347" s="160" t="s">
        <v>205</v>
      </c>
      <c r="R347" s="161"/>
      <c r="S347" s="160" t="s">
        <v>205</v>
      </c>
      <c r="T347" s="161"/>
      <c r="U347" s="160" t="s">
        <v>205</v>
      </c>
      <c r="V347" s="161"/>
      <c r="W347" s="160" t="s">
        <v>205</v>
      </c>
      <c r="X347" s="161"/>
      <c r="Y347" s="160" t="s">
        <v>62</v>
      </c>
      <c r="Z347" s="161"/>
      <c r="AA347" s="160" t="s">
        <v>205</v>
      </c>
      <c r="AB347" s="161"/>
      <c r="AC347" s="160" t="s">
        <v>205</v>
      </c>
      <c r="AD347" s="161"/>
      <c r="AE347" s="160" t="s">
        <v>205</v>
      </c>
      <c r="AF347" s="289" t="str">
        <f t="shared" si="17"/>
        <v>C</v>
      </c>
      <c r="AG347" s="291" t="str">
        <f t="shared" si="15"/>
        <v>UTILIZOU O PDA CORRETAMENTE</v>
      </c>
      <c r="AH347" s="160"/>
      <c r="AI347" s="292" t="s">
        <v>6</v>
      </c>
      <c r="AJ347" s="293" t="str">
        <f t="shared" si="16"/>
        <v>SÃO PAULO</v>
      </c>
      <c r="AK347" s="294" t="s">
        <v>39</v>
      </c>
    </row>
    <row r="348" spans="1:37" s="302" customFormat="1" ht="30" customHeight="1">
      <c r="A348" s="215" t="s">
        <v>198</v>
      </c>
      <c r="B348" s="215">
        <v>2620816804</v>
      </c>
      <c r="C348" s="215" t="s">
        <v>331</v>
      </c>
      <c r="D348" s="215" t="s">
        <v>79</v>
      </c>
      <c r="E348" s="215" t="s">
        <v>5</v>
      </c>
      <c r="F348" s="215" t="s">
        <v>585</v>
      </c>
      <c r="G348" s="215">
        <v>119</v>
      </c>
      <c r="H348" s="215" t="s">
        <v>226</v>
      </c>
      <c r="I348" s="215" t="s">
        <v>215</v>
      </c>
      <c r="J348" s="215" t="s">
        <v>334</v>
      </c>
      <c r="K348" s="215" t="s">
        <v>619</v>
      </c>
      <c r="L348" s="215" t="s">
        <v>1028</v>
      </c>
      <c r="M348" s="215" t="s">
        <v>1029</v>
      </c>
      <c r="N348" s="215" t="s">
        <v>230</v>
      </c>
      <c r="O348" s="290" t="s">
        <v>205</v>
      </c>
      <c r="P348" s="161"/>
      <c r="Q348" s="160" t="s">
        <v>205</v>
      </c>
      <c r="R348" s="161"/>
      <c r="S348" s="160" t="s">
        <v>205</v>
      </c>
      <c r="T348" s="161"/>
      <c r="U348" s="160" t="s">
        <v>205</v>
      </c>
      <c r="V348" s="161"/>
      <c r="W348" s="160" t="s">
        <v>205</v>
      </c>
      <c r="X348" s="161"/>
      <c r="Y348" s="160" t="s">
        <v>205</v>
      </c>
      <c r="Z348" s="161"/>
      <c r="AA348" s="160" t="s">
        <v>205</v>
      </c>
      <c r="AB348" s="161"/>
      <c r="AC348" s="160" t="s">
        <v>205</v>
      </c>
      <c r="AD348" s="161"/>
      <c r="AE348" s="160" t="s">
        <v>205</v>
      </c>
      <c r="AF348" s="289" t="str">
        <f t="shared" si="17"/>
        <v>C</v>
      </c>
      <c r="AG348" s="291" t="str">
        <f t="shared" si="15"/>
        <v>UTILIZOU O PDA CORRETAMENTE</v>
      </c>
      <c r="AH348" s="160" t="s">
        <v>205</v>
      </c>
      <c r="AI348" s="292" t="s">
        <v>6</v>
      </c>
      <c r="AJ348" s="293" t="str">
        <f t="shared" si="16"/>
        <v>SÃO PAULO</v>
      </c>
      <c r="AK348" s="294" t="s">
        <v>39</v>
      </c>
    </row>
    <row r="349" spans="1:37" s="302" customFormat="1" ht="30" customHeight="1">
      <c r="A349" s="215" t="s">
        <v>198</v>
      </c>
      <c r="B349" s="215">
        <v>2620817313</v>
      </c>
      <c r="C349" s="215" t="s">
        <v>331</v>
      </c>
      <c r="D349" s="215" t="s">
        <v>79</v>
      </c>
      <c r="E349" s="215" t="s">
        <v>5</v>
      </c>
      <c r="F349" s="215" t="s">
        <v>585</v>
      </c>
      <c r="G349" s="215">
        <v>20</v>
      </c>
      <c r="H349" s="215" t="s">
        <v>226</v>
      </c>
      <c r="I349" s="215" t="s">
        <v>620</v>
      </c>
      <c r="J349" s="215" t="s">
        <v>334</v>
      </c>
      <c r="K349" s="215" t="s">
        <v>1030</v>
      </c>
      <c r="L349" s="215" t="s">
        <v>1031</v>
      </c>
      <c r="M349" s="215" t="s">
        <v>1032</v>
      </c>
      <c r="N349" s="215" t="s">
        <v>230</v>
      </c>
      <c r="O349" s="290" t="s">
        <v>205</v>
      </c>
      <c r="P349" s="161"/>
      <c r="Q349" s="160" t="s">
        <v>205</v>
      </c>
      <c r="R349" s="161"/>
      <c r="S349" s="160" t="s">
        <v>205</v>
      </c>
      <c r="T349" s="161"/>
      <c r="U349" s="160" t="s">
        <v>205</v>
      </c>
      <c r="V349" s="161"/>
      <c r="W349" s="160" t="s">
        <v>205</v>
      </c>
      <c r="X349" s="161"/>
      <c r="Y349" s="160" t="s">
        <v>205</v>
      </c>
      <c r="Z349" s="161"/>
      <c r="AA349" s="160" t="s">
        <v>205</v>
      </c>
      <c r="AB349" s="161"/>
      <c r="AC349" s="160" t="s">
        <v>205</v>
      </c>
      <c r="AD349" s="161"/>
      <c r="AE349" s="160" t="s">
        <v>205</v>
      </c>
      <c r="AF349" s="289" t="str">
        <f t="shared" si="17"/>
        <v>C</v>
      </c>
      <c r="AG349" s="291" t="str">
        <f t="shared" si="15"/>
        <v>UTILIZOU O PDA CORRETAMENTE</v>
      </c>
      <c r="AH349" s="160" t="s">
        <v>205</v>
      </c>
      <c r="AI349" s="292" t="s">
        <v>6</v>
      </c>
      <c r="AJ349" s="293" t="str">
        <f t="shared" si="16"/>
        <v>SÃO PAULO</v>
      </c>
      <c r="AK349" s="294" t="s">
        <v>39</v>
      </c>
    </row>
    <row r="350" spans="1:37" s="302" customFormat="1" ht="30" customHeight="1">
      <c r="A350" s="215" t="s">
        <v>198</v>
      </c>
      <c r="B350" s="215">
        <v>2620815953</v>
      </c>
      <c r="C350" s="215" t="s">
        <v>331</v>
      </c>
      <c r="D350" s="215" t="s">
        <v>79</v>
      </c>
      <c r="E350" s="215" t="s">
        <v>5</v>
      </c>
      <c r="F350" s="215" t="s">
        <v>585</v>
      </c>
      <c r="G350" s="215">
        <v>118</v>
      </c>
      <c r="H350" s="215" t="s">
        <v>200</v>
      </c>
      <c r="I350" s="215" t="s">
        <v>620</v>
      </c>
      <c r="J350" s="215" t="s">
        <v>334</v>
      </c>
      <c r="K350" s="215" t="s">
        <v>1033</v>
      </c>
      <c r="L350" s="215" t="s">
        <v>1001</v>
      </c>
      <c r="M350" s="215" t="s">
        <v>1003</v>
      </c>
      <c r="N350" s="215" t="s">
        <v>230</v>
      </c>
      <c r="O350" s="290" t="s">
        <v>205</v>
      </c>
      <c r="P350" s="161"/>
      <c r="Q350" s="160" t="s">
        <v>205</v>
      </c>
      <c r="R350" s="161"/>
      <c r="S350" s="160" t="s">
        <v>205</v>
      </c>
      <c r="T350" s="161"/>
      <c r="U350" s="160" t="s">
        <v>205</v>
      </c>
      <c r="V350" s="161"/>
      <c r="W350" s="160" t="s">
        <v>205</v>
      </c>
      <c r="X350" s="161"/>
      <c r="Y350" s="160" t="s">
        <v>205</v>
      </c>
      <c r="Z350" s="161"/>
      <c r="AA350" s="160" t="s">
        <v>205</v>
      </c>
      <c r="AB350" s="161"/>
      <c r="AC350" s="160" t="s">
        <v>205</v>
      </c>
      <c r="AD350" s="161"/>
      <c r="AE350" s="160" t="s">
        <v>205</v>
      </c>
      <c r="AF350" s="289" t="str">
        <f t="shared" si="17"/>
        <v>C</v>
      </c>
      <c r="AG350" s="291" t="str">
        <f t="shared" si="15"/>
        <v>UTILIZOU O PDA CORRETAMENTE</v>
      </c>
      <c r="AH350" s="160" t="s">
        <v>205</v>
      </c>
      <c r="AI350" s="292" t="s">
        <v>6</v>
      </c>
      <c r="AJ350" s="293" t="str">
        <f t="shared" si="16"/>
        <v>SÃO PAULO</v>
      </c>
      <c r="AK350" s="294" t="s">
        <v>39</v>
      </c>
    </row>
    <row r="351" spans="1:37" s="302" customFormat="1" ht="30" customHeight="1">
      <c r="A351" s="215" t="s">
        <v>198</v>
      </c>
      <c r="B351" s="215">
        <v>2620816524</v>
      </c>
      <c r="C351" s="215" t="s">
        <v>331</v>
      </c>
      <c r="D351" s="215" t="s">
        <v>79</v>
      </c>
      <c r="E351" s="215" t="s">
        <v>5</v>
      </c>
      <c r="F351" s="215" t="s">
        <v>585</v>
      </c>
      <c r="G351" s="215">
        <v>115</v>
      </c>
      <c r="H351" s="215" t="s">
        <v>226</v>
      </c>
      <c r="I351" s="215" t="s">
        <v>215</v>
      </c>
      <c r="J351" s="215" t="s">
        <v>334</v>
      </c>
      <c r="K351" s="215" t="s">
        <v>1034</v>
      </c>
      <c r="L351" s="215" t="s">
        <v>1035</v>
      </c>
      <c r="M351" s="215" t="s">
        <v>1036</v>
      </c>
      <c r="N351" s="215" t="s">
        <v>230</v>
      </c>
      <c r="O351" s="290" t="s">
        <v>205</v>
      </c>
      <c r="P351" s="161"/>
      <c r="Q351" s="160" t="s">
        <v>205</v>
      </c>
      <c r="R351" s="161"/>
      <c r="S351" s="160" t="s">
        <v>205</v>
      </c>
      <c r="T351" s="161"/>
      <c r="U351" s="160" t="s">
        <v>205</v>
      </c>
      <c r="V351" s="161"/>
      <c r="W351" s="160" t="s">
        <v>205</v>
      </c>
      <c r="X351" s="161"/>
      <c r="Y351" s="160" t="s">
        <v>205</v>
      </c>
      <c r="Z351" s="161"/>
      <c r="AA351" s="160" t="s">
        <v>205</v>
      </c>
      <c r="AB351" s="161"/>
      <c r="AC351" s="160" t="s">
        <v>205</v>
      </c>
      <c r="AD351" s="161"/>
      <c r="AE351" s="160" t="s">
        <v>205</v>
      </c>
      <c r="AF351" s="289" t="str">
        <f t="shared" si="17"/>
        <v>C</v>
      </c>
      <c r="AG351" s="291" t="str">
        <f t="shared" si="15"/>
        <v>UTILIZOU O PDA CORRETAMENTE</v>
      </c>
      <c r="AH351" s="160" t="s">
        <v>205</v>
      </c>
      <c r="AI351" s="292" t="s">
        <v>6</v>
      </c>
      <c r="AJ351" s="293" t="str">
        <f t="shared" si="16"/>
        <v>SÃO PAULO</v>
      </c>
      <c r="AK351" s="294" t="s">
        <v>39</v>
      </c>
    </row>
    <row r="352" spans="1:37" s="302" customFormat="1" ht="30" customHeight="1">
      <c r="A352" s="215" t="s">
        <v>198</v>
      </c>
      <c r="B352" s="215">
        <v>2693555546</v>
      </c>
      <c r="C352" s="215" t="s">
        <v>89</v>
      </c>
      <c r="D352" s="215" t="s">
        <v>78</v>
      </c>
      <c r="E352" s="215" t="s">
        <v>5</v>
      </c>
      <c r="F352" s="215" t="s">
        <v>1037</v>
      </c>
      <c r="G352" s="215">
        <v>59</v>
      </c>
      <c r="H352" s="215" t="s">
        <v>226</v>
      </c>
      <c r="I352" s="215" t="s">
        <v>1038</v>
      </c>
      <c r="J352" s="215" t="s">
        <v>238</v>
      </c>
      <c r="K352" s="215" t="s">
        <v>1039</v>
      </c>
      <c r="L352" s="215" t="s">
        <v>1040</v>
      </c>
      <c r="M352" s="215" t="s">
        <v>1041</v>
      </c>
      <c r="N352" s="215" t="s">
        <v>341</v>
      </c>
      <c r="O352" s="290" t="s">
        <v>205</v>
      </c>
      <c r="P352" s="161"/>
      <c r="Q352" s="160" t="s">
        <v>205</v>
      </c>
      <c r="R352" s="161"/>
      <c r="S352" s="160" t="s">
        <v>62</v>
      </c>
      <c r="T352" s="215" t="s">
        <v>1039</v>
      </c>
      <c r="U352" s="160" t="s">
        <v>62</v>
      </c>
      <c r="V352" s="161"/>
      <c r="W352" s="160" t="s">
        <v>62</v>
      </c>
      <c r="X352" s="161"/>
      <c r="Y352" s="160" t="s">
        <v>62</v>
      </c>
      <c r="Z352" s="161"/>
      <c r="AA352" s="160" t="s">
        <v>62</v>
      </c>
      <c r="AB352" s="215" t="s">
        <v>1039</v>
      </c>
      <c r="AC352" s="160" t="s">
        <v>205</v>
      </c>
      <c r="AD352" s="161"/>
      <c r="AE352" s="160" t="s">
        <v>205</v>
      </c>
      <c r="AF352" s="289" t="str">
        <f t="shared" si="17"/>
        <v>C</v>
      </c>
      <c r="AG352" s="291" t="str">
        <f t="shared" si="15"/>
        <v>UTILIZOU O PDA CORRETAMENTE</v>
      </c>
      <c r="AH352" s="160"/>
      <c r="AI352" s="292" t="s">
        <v>6</v>
      </c>
      <c r="AJ352" s="293" t="str">
        <f t="shared" si="16"/>
        <v>SÃO PAULO</v>
      </c>
      <c r="AK352" s="294" t="s">
        <v>39</v>
      </c>
    </row>
    <row r="353" spans="1:37" s="302" customFormat="1" ht="30" customHeight="1">
      <c r="A353" s="215" t="s">
        <v>198</v>
      </c>
      <c r="B353" s="215">
        <v>2620588785</v>
      </c>
      <c r="C353" s="215" t="s">
        <v>100</v>
      </c>
      <c r="D353" s="215" t="s">
        <v>81</v>
      </c>
      <c r="E353" s="215" t="s">
        <v>5</v>
      </c>
      <c r="F353" s="215" t="s">
        <v>1042</v>
      </c>
      <c r="G353" s="215">
        <v>259</v>
      </c>
      <c r="H353" s="215" t="s">
        <v>226</v>
      </c>
      <c r="I353" s="215" t="s">
        <v>486</v>
      </c>
      <c r="J353" s="215" t="s">
        <v>243</v>
      </c>
      <c r="K353" s="215" t="s">
        <v>1043</v>
      </c>
      <c r="L353" s="215" t="s">
        <v>1044</v>
      </c>
      <c r="M353" s="215" t="s">
        <v>1045</v>
      </c>
      <c r="N353" s="215" t="s">
        <v>326</v>
      </c>
      <c r="O353" s="290" t="s">
        <v>205</v>
      </c>
      <c r="P353" s="161"/>
      <c r="Q353" s="160" t="s">
        <v>205</v>
      </c>
      <c r="R353" s="161"/>
      <c r="S353" s="160" t="s">
        <v>205</v>
      </c>
      <c r="T353" s="161"/>
      <c r="U353" s="160" t="s">
        <v>205</v>
      </c>
      <c r="V353" s="161"/>
      <c r="W353" s="160" t="s">
        <v>205</v>
      </c>
      <c r="X353" s="161"/>
      <c r="Y353" s="160" t="s">
        <v>205</v>
      </c>
      <c r="Z353" s="161"/>
      <c r="AA353" s="160" t="s">
        <v>205</v>
      </c>
      <c r="AB353" s="161"/>
      <c r="AC353" s="160" t="s">
        <v>205</v>
      </c>
      <c r="AD353" s="161"/>
      <c r="AE353" s="160" t="s">
        <v>205</v>
      </c>
      <c r="AF353" s="289" t="str">
        <f t="shared" si="17"/>
        <v>C</v>
      </c>
      <c r="AG353" s="291" t="str">
        <f t="shared" si="15"/>
        <v>UTILIZOU O PDA CORRETAMENTE</v>
      </c>
      <c r="AH353" s="160" t="s">
        <v>205</v>
      </c>
      <c r="AI353" s="292" t="s">
        <v>6</v>
      </c>
      <c r="AJ353" s="293" t="str">
        <f t="shared" si="16"/>
        <v>SÃO PAULO</v>
      </c>
      <c r="AK353" s="294" t="s">
        <v>39</v>
      </c>
    </row>
    <row r="354" spans="1:37" s="302" customFormat="1" ht="30" customHeight="1">
      <c r="A354" s="215" t="s">
        <v>198</v>
      </c>
      <c r="B354" s="215">
        <v>2693528443</v>
      </c>
      <c r="C354" s="215" t="s">
        <v>99</v>
      </c>
      <c r="D354" s="215" t="s">
        <v>81</v>
      </c>
      <c r="E354" s="215" t="s">
        <v>5</v>
      </c>
      <c r="F354" s="215" t="s">
        <v>1012</v>
      </c>
      <c r="G354" s="215">
        <v>91</v>
      </c>
      <c r="H354" s="215" t="s">
        <v>226</v>
      </c>
      <c r="I354" s="215" t="s">
        <v>415</v>
      </c>
      <c r="J354" s="215" t="s">
        <v>268</v>
      </c>
      <c r="K354" s="215" t="s">
        <v>1046</v>
      </c>
      <c r="L354" s="215" t="s">
        <v>1014</v>
      </c>
      <c r="M354" s="215" t="s">
        <v>1047</v>
      </c>
      <c r="N354" s="215" t="s">
        <v>359</v>
      </c>
      <c r="O354" s="290" t="s">
        <v>205</v>
      </c>
      <c r="P354" s="161"/>
      <c r="Q354" s="160" t="s">
        <v>205</v>
      </c>
      <c r="R354" s="161"/>
      <c r="S354" s="160" t="s">
        <v>205</v>
      </c>
      <c r="T354" s="161"/>
      <c r="U354" s="160" t="s">
        <v>205</v>
      </c>
      <c r="V354" s="161"/>
      <c r="W354" s="160" t="s">
        <v>205</v>
      </c>
      <c r="X354" s="161"/>
      <c r="Y354" s="160" t="s">
        <v>205</v>
      </c>
      <c r="Z354" s="161"/>
      <c r="AA354" s="160" t="s">
        <v>205</v>
      </c>
      <c r="AB354" s="161"/>
      <c r="AC354" s="160" t="s">
        <v>205</v>
      </c>
      <c r="AD354" s="161"/>
      <c r="AE354" s="160" t="s">
        <v>205</v>
      </c>
      <c r="AF354" s="289" t="str">
        <f t="shared" si="17"/>
        <v>C</v>
      </c>
      <c r="AG354" s="291" t="str">
        <f t="shared" si="15"/>
        <v>UTILIZOU O PDA CORRETAMENTE</v>
      </c>
      <c r="AH354" s="160" t="s">
        <v>205</v>
      </c>
      <c r="AI354" s="292" t="s">
        <v>6</v>
      </c>
      <c r="AJ354" s="293" t="str">
        <f t="shared" si="16"/>
        <v>SÃO PAULO</v>
      </c>
      <c r="AK354" s="294" t="s">
        <v>39</v>
      </c>
    </row>
    <row r="355" spans="1:37" s="302" customFormat="1" ht="30" customHeight="1">
      <c r="A355" s="215" t="s">
        <v>198</v>
      </c>
      <c r="B355" s="215">
        <v>2693521883</v>
      </c>
      <c r="C355" s="215" t="s">
        <v>99</v>
      </c>
      <c r="D355" s="215" t="s">
        <v>81</v>
      </c>
      <c r="E355" s="215" t="s">
        <v>5</v>
      </c>
      <c r="F355" s="215" t="s">
        <v>1048</v>
      </c>
      <c r="G355" s="215">
        <v>124</v>
      </c>
      <c r="H355" s="215" t="s">
        <v>318</v>
      </c>
      <c r="I355" s="215" t="s">
        <v>1049</v>
      </c>
      <c r="J355" s="215" t="s">
        <v>268</v>
      </c>
      <c r="K355" s="215" t="s">
        <v>1050</v>
      </c>
      <c r="L355" s="215" t="s">
        <v>1051</v>
      </c>
      <c r="M355" s="215" t="s">
        <v>1052</v>
      </c>
      <c r="N355" s="215" t="s">
        <v>221</v>
      </c>
      <c r="O355" s="290" t="s">
        <v>205</v>
      </c>
      <c r="P355" s="161"/>
      <c r="Q355" s="160" t="s">
        <v>205</v>
      </c>
      <c r="R355" s="161"/>
      <c r="S355" s="160" t="s">
        <v>205</v>
      </c>
      <c r="T355" s="161"/>
      <c r="U355" s="160" t="s">
        <v>205</v>
      </c>
      <c r="V355" s="161"/>
      <c r="W355" s="160" t="s">
        <v>205</v>
      </c>
      <c r="X355" s="161"/>
      <c r="Y355" s="160" t="s">
        <v>62</v>
      </c>
      <c r="Z355" s="215" t="s">
        <v>1050</v>
      </c>
      <c r="AA355" s="160" t="s">
        <v>205</v>
      </c>
      <c r="AB355" s="161"/>
      <c r="AC355" s="160" t="s">
        <v>205</v>
      </c>
      <c r="AD355" s="161"/>
      <c r="AE355" s="160" t="s">
        <v>205</v>
      </c>
      <c r="AF355" s="289" t="str">
        <f t="shared" si="17"/>
        <v>C</v>
      </c>
      <c r="AG355" s="291" t="str">
        <f t="shared" si="15"/>
        <v>UTILIZOU O PDA CORRETAMENTE</v>
      </c>
      <c r="AH355" s="160" t="s">
        <v>205</v>
      </c>
      <c r="AI355" s="292" t="s">
        <v>6</v>
      </c>
      <c r="AJ355" s="293" t="str">
        <f t="shared" si="16"/>
        <v>SÃO PAULO</v>
      </c>
      <c r="AK355" s="294" t="s">
        <v>39</v>
      </c>
    </row>
    <row r="356" spans="1:37" s="302" customFormat="1" ht="30" customHeight="1">
      <c r="A356" s="215" t="s">
        <v>198</v>
      </c>
      <c r="B356" s="215">
        <v>2620710944</v>
      </c>
      <c r="C356" s="215" t="s">
        <v>100</v>
      </c>
      <c r="D356" s="215" t="s">
        <v>81</v>
      </c>
      <c r="E356" s="215" t="s">
        <v>5</v>
      </c>
      <c r="F356" s="215" t="s">
        <v>1053</v>
      </c>
      <c r="G356" s="215">
        <v>84</v>
      </c>
      <c r="H356" s="215" t="s">
        <v>200</v>
      </c>
      <c r="I356" s="215" t="s">
        <v>346</v>
      </c>
      <c r="J356" s="215" t="s">
        <v>243</v>
      </c>
      <c r="K356" s="215" t="s">
        <v>1054</v>
      </c>
      <c r="L356" s="215" t="s">
        <v>1055</v>
      </c>
      <c r="M356" s="215" t="s">
        <v>1056</v>
      </c>
      <c r="N356" s="215" t="s">
        <v>357</v>
      </c>
      <c r="O356" s="290" t="s">
        <v>205</v>
      </c>
      <c r="P356" s="161"/>
      <c r="Q356" s="160" t="s">
        <v>205</v>
      </c>
      <c r="R356" s="161"/>
      <c r="S356" s="160" t="s">
        <v>205</v>
      </c>
      <c r="T356" s="161"/>
      <c r="U356" s="160" t="s">
        <v>205</v>
      </c>
      <c r="V356" s="161"/>
      <c r="W356" s="160" t="s">
        <v>205</v>
      </c>
      <c r="X356" s="161"/>
      <c r="Y356" s="160" t="s">
        <v>205</v>
      </c>
      <c r="Z356" s="161"/>
      <c r="AA356" s="160" t="s">
        <v>205</v>
      </c>
      <c r="AB356" s="161"/>
      <c r="AC356" s="160" t="s">
        <v>205</v>
      </c>
      <c r="AD356" s="161"/>
      <c r="AE356" s="160" t="s">
        <v>205</v>
      </c>
      <c r="AF356" s="289" t="str">
        <f t="shared" si="17"/>
        <v>C</v>
      </c>
      <c r="AG356" s="291" t="str">
        <f>IF(AND(AE356="C",AF356="C"),"UTILIZOU O PDA CORRETAMENTE",IF(AND(AE356="C",AF356="NC"),"UTILIZOU O PDA CORRETAMENTE. NÃO HÁ FOTOS DE TODAS AS ETAPAS",IF(AND(AE356="NC",AF356="NC"),"NÃO UTILIZOU O PDA",IF(AND(AE356="NA",AF356="NA"),"NÃO AVALIADO POR FALHA DE SINCRONISMO"))))</f>
        <v>UTILIZOU O PDA CORRETAMENTE</v>
      </c>
      <c r="AH356" s="160" t="s">
        <v>205</v>
      </c>
      <c r="AI356" s="292" t="s">
        <v>6</v>
      </c>
      <c r="AJ356" s="293" t="str">
        <f t="shared" si="16"/>
        <v>SÃO PAULO</v>
      </c>
      <c r="AK356" s="294" t="s">
        <v>39</v>
      </c>
    </row>
    <row r="357" spans="1:37" s="302" customFormat="1" ht="30" customHeight="1">
      <c r="A357" s="215" t="s">
        <v>198</v>
      </c>
      <c r="B357" s="215">
        <v>2620591441</v>
      </c>
      <c r="C357" s="215" t="s">
        <v>100</v>
      </c>
      <c r="D357" s="215" t="s">
        <v>81</v>
      </c>
      <c r="E357" s="215" t="s">
        <v>5</v>
      </c>
      <c r="F357" s="215" t="s">
        <v>1057</v>
      </c>
      <c r="G357" s="215">
        <v>200</v>
      </c>
      <c r="H357" s="215" t="s">
        <v>226</v>
      </c>
      <c r="I357" s="215" t="s">
        <v>397</v>
      </c>
      <c r="J357" s="215" t="s">
        <v>243</v>
      </c>
      <c r="K357" s="215" t="s">
        <v>200</v>
      </c>
      <c r="L357" s="215" t="s">
        <v>1058</v>
      </c>
      <c r="M357" s="215" t="s">
        <v>1059</v>
      </c>
      <c r="N357" s="215" t="s">
        <v>326</v>
      </c>
      <c r="O357" s="290" t="s">
        <v>205</v>
      </c>
      <c r="P357" s="161"/>
      <c r="Q357" s="160" t="s">
        <v>205</v>
      </c>
      <c r="R357" s="161"/>
      <c r="S357" s="160" t="s">
        <v>205</v>
      </c>
      <c r="T357" s="161"/>
      <c r="U357" s="160" t="s">
        <v>205</v>
      </c>
      <c r="V357" s="161"/>
      <c r="W357" s="160" t="s">
        <v>205</v>
      </c>
      <c r="X357" s="161"/>
      <c r="Y357" s="160" t="s">
        <v>205</v>
      </c>
      <c r="Z357" s="161"/>
      <c r="AA357" s="160" t="s">
        <v>205</v>
      </c>
      <c r="AB357" s="161"/>
      <c r="AC357" s="160" t="s">
        <v>205</v>
      </c>
      <c r="AD357" s="161"/>
      <c r="AE357" s="160" t="s">
        <v>205</v>
      </c>
      <c r="AF357" s="289" t="str">
        <f t="shared" ref="AF357:AF417" si="18">IF(AND(O357="",Q357="",S357="",U357="",W357="",Y357="",AA357="",AC357=""),"",IF(OR(AND(O357&lt;&gt;"NA",O357&lt;&gt;"C",O357&lt;&gt;"NC",O357&lt;&gt;"SF",O357&lt;&gt;""),AND(Q357&lt;&gt;"NA",Q357&lt;&gt;"C",Q357&lt;&gt;"NC",Q357&lt;&gt;"SF",Q357&lt;&gt;""),AND(S357&lt;&gt;"NA",S357&lt;&gt;"C",S357&lt;&gt;"NC",S357&lt;&gt;"SF",S357&lt;&gt;""),AND(U357&lt;&gt;"NA",U357&lt;&gt;"C",U357&lt;&gt;"NC",U357&lt;&gt;"SF",U357&lt;&gt;""),AND(W357&lt;&gt;"NA",W357&lt;&gt;"C",W357&lt;&gt;"NC",W357&lt;&gt;"SF",W357&lt;&gt;""),AND(Y357&lt;&gt;"NA",Y357&lt;&gt;"C",Y357&lt;&gt;"NC",Y357&lt;&gt;"SF",Y357&lt;&gt;""),AND(AA357&lt;&gt;"NA",AA357&lt;&gt;"C",AA357&lt;&gt;"NC",AA357&lt;&gt;"SF",AA357&lt;&gt;""),AND(AC357&lt;&gt;"NA",AC357&lt;&gt;"C",AC357&lt;&gt;"NC",AC357&lt;&gt;"SF",AC357&lt;&gt;"")),"FALSO",IF(AND(O357="NA",Q357="NA",S357="NA",U357="NA",W357="NA",Y357="NA",AA357="NA",AC357="NA"),"NA",IF(OR(O357="NC",Q357="NC",S357="NC",U357="NC",W357="NC",Y357="NC",AA357="NC",AC357="NC",O357="SF",Q357="SF",S357="SF",U357="SF",W357="SF",Y357="SF",AA357="SF",AC357="SF"),"NC",IF(OR(O357="C",Q357="C",S357="C",U357="C",W357="C",Y357="C",AA357="C",AC357="C"),"C","")))))</f>
        <v>C</v>
      </c>
      <c r="AG357" s="291" t="str">
        <f t="shared" ref="AG357:AG417" si="19">IF(AND(AE357="C",AF357="C"),"UTILIZOU O PDA CORRETAMENTE",IF(AND(AE357="C",AF357="NC"),"UTILIZOU O PDA CORRETAMENTE. NÃO HÁ FOTOS DE TODAS AS ETAPAS",IF(AND(AE357="NC",AF357="NC"),"NÃO UTILIZOU O PDA",IF(AND(AE357="NA",AF357="NA"),"NÃO AVALIADO POR FALHA DE SINCRONISMO"))))</f>
        <v>UTILIZOU O PDA CORRETAMENTE</v>
      </c>
      <c r="AH357" s="160" t="s">
        <v>205</v>
      </c>
      <c r="AI357" s="292" t="s">
        <v>6</v>
      </c>
      <c r="AJ357" s="293" t="str">
        <f t="shared" ref="AJ357:AJ417" si="20">E357</f>
        <v>SÃO PAULO</v>
      </c>
      <c r="AK357" s="294" t="s">
        <v>39</v>
      </c>
    </row>
    <row r="358" spans="1:37" s="302" customFormat="1" ht="30" customHeight="1">
      <c r="A358" s="215" t="s">
        <v>198</v>
      </c>
      <c r="B358" s="215">
        <v>2620824741</v>
      </c>
      <c r="C358" s="215" t="s">
        <v>99</v>
      </c>
      <c r="D358" s="215" t="s">
        <v>81</v>
      </c>
      <c r="E358" s="215" t="s">
        <v>5</v>
      </c>
      <c r="F358" s="215" t="s">
        <v>1060</v>
      </c>
      <c r="G358" s="215">
        <v>256</v>
      </c>
      <c r="H358" s="215"/>
      <c r="I358" s="215" t="s">
        <v>1061</v>
      </c>
      <c r="J358" s="215" t="s">
        <v>268</v>
      </c>
      <c r="K358" s="219" t="s">
        <v>1062</v>
      </c>
      <c r="L358" s="215" t="s">
        <v>1063</v>
      </c>
      <c r="M358" s="215" t="s">
        <v>1064</v>
      </c>
      <c r="N358" s="215" t="s">
        <v>248</v>
      </c>
      <c r="O358" s="290" t="s">
        <v>205</v>
      </c>
      <c r="P358" s="161"/>
      <c r="Q358" s="160" t="s">
        <v>205</v>
      </c>
      <c r="R358" s="161"/>
      <c r="S358" s="160" t="s">
        <v>205</v>
      </c>
      <c r="T358" s="161"/>
      <c r="U358" s="160" t="s">
        <v>205</v>
      </c>
      <c r="V358" s="161"/>
      <c r="W358" s="160" t="s">
        <v>205</v>
      </c>
      <c r="X358" s="161"/>
      <c r="Y358" s="160" t="s">
        <v>205</v>
      </c>
      <c r="Z358" s="161"/>
      <c r="AA358" s="160" t="s">
        <v>205</v>
      </c>
      <c r="AB358" s="161"/>
      <c r="AC358" s="160" t="s">
        <v>205</v>
      </c>
      <c r="AD358" s="161"/>
      <c r="AE358" s="160" t="s">
        <v>205</v>
      </c>
      <c r="AF358" s="289" t="str">
        <f t="shared" si="18"/>
        <v>C</v>
      </c>
      <c r="AG358" s="291" t="str">
        <f t="shared" si="19"/>
        <v>UTILIZOU O PDA CORRETAMENTE</v>
      </c>
      <c r="AH358" s="160" t="s">
        <v>205</v>
      </c>
      <c r="AI358" s="292" t="s">
        <v>6</v>
      </c>
      <c r="AJ358" s="293" t="str">
        <f t="shared" si="20"/>
        <v>SÃO PAULO</v>
      </c>
      <c r="AK358" s="294" t="s">
        <v>39</v>
      </c>
    </row>
    <row r="359" spans="1:37" s="302" customFormat="1" ht="30" customHeight="1">
      <c r="A359" s="228" t="s">
        <v>198</v>
      </c>
      <c r="B359" s="228">
        <v>2620870520</v>
      </c>
      <c r="C359" s="228" t="s">
        <v>100</v>
      </c>
      <c r="D359" s="228" t="s">
        <v>81</v>
      </c>
      <c r="E359" s="228" t="s">
        <v>5</v>
      </c>
      <c r="F359" s="228" t="s">
        <v>295</v>
      </c>
      <c r="G359" s="228">
        <v>470</v>
      </c>
      <c r="H359" s="228" t="s">
        <v>200</v>
      </c>
      <c r="I359" s="228" t="s">
        <v>296</v>
      </c>
      <c r="J359" s="228" t="s">
        <v>243</v>
      </c>
      <c r="K359" s="228" t="s">
        <v>1065</v>
      </c>
      <c r="L359" s="228" t="s">
        <v>1066</v>
      </c>
      <c r="M359" s="228" t="s">
        <v>1067</v>
      </c>
      <c r="N359" s="228" t="s">
        <v>357</v>
      </c>
      <c r="O359" s="290" t="s">
        <v>205</v>
      </c>
      <c r="P359" s="161"/>
      <c r="Q359" s="160" t="s">
        <v>205</v>
      </c>
      <c r="R359" s="161"/>
      <c r="S359" s="160" t="s">
        <v>206</v>
      </c>
      <c r="T359" s="161"/>
      <c r="U359" s="160" t="s">
        <v>205</v>
      </c>
      <c r="V359" s="161"/>
      <c r="W359" s="160" t="s">
        <v>205</v>
      </c>
      <c r="X359" s="161"/>
      <c r="Y359" s="160" t="s">
        <v>239</v>
      </c>
      <c r="Z359" s="161" t="s">
        <v>1068</v>
      </c>
      <c r="AA359" s="160" t="s">
        <v>205</v>
      </c>
      <c r="AB359" s="161"/>
      <c r="AC359" s="160" t="s">
        <v>205</v>
      </c>
      <c r="AD359" s="161"/>
      <c r="AE359" s="160" t="s">
        <v>205</v>
      </c>
      <c r="AF359" s="289" t="str">
        <f t="shared" si="18"/>
        <v>NC</v>
      </c>
      <c r="AG359" s="291" t="str">
        <f t="shared" si="19"/>
        <v>UTILIZOU O PDA CORRETAMENTE. NÃO HÁ FOTOS DE TODAS AS ETAPAS</v>
      </c>
      <c r="AH359" s="160"/>
      <c r="AI359" s="292" t="s">
        <v>6</v>
      </c>
      <c r="AJ359" s="293" t="str">
        <f t="shared" si="20"/>
        <v>SÃO PAULO</v>
      </c>
      <c r="AK359" s="294" t="s">
        <v>39</v>
      </c>
    </row>
    <row r="360" spans="1:37" s="302" customFormat="1" ht="30" customHeight="1">
      <c r="A360" s="215" t="s">
        <v>198</v>
      </c>
      <c r="B360" s="215">
        <v>2620810499</v>
      </c>
      <c r="C360" s="215" t="s">
        <v>331</v>
      </c>
      <c r="D360" s="215" t="s">
        <v>79</v>
      </c>
      <c r="E360" s="215" t="s">
        <v>5</v>
      </c>
      <c r="F360" s="215" t="s">
        <v>332</v>
      </c>
      <c r="G360" s="215">
        <v>206</v>
      </c>
      <c r="H360" s="215" t="s">
        <v>200</v>
      </c>
      <c r="I360" s="215" t="s">
        <v>333</v>
      </c>
      <c r="J360" s="215" t="s">
        <v>334</v>
      </c>
      <c r="K360" s="215"/>
      <c r="L360" s="215" t="s">
        <v>1069</v>
      </c>
      <c r="M360" s="215" t="s">
        <v>1070</v>
      </c>
      <c r="N360" s="215" t="s">
        <v>212</v>
      </c>
      <c r="O360" s="290" t="s">
        <v>205</v>
      </c>
      <c r="P360" s="161"/>
      <c r="Q360" s="160" t="s">
        <v>205</v>
      </c>
      <c r="R360" s="161"/>
      <c r="S360" s="160" t="s">
        <v>205</v>
      </c>
      <c r="T360" s="161"/>
      <c r="U360" s="160" t="s">
        <v>205</v>
      </c>
      <c r="V360" s="161"/>
      <c r="W360" s="160" t="s">
        <v>205</v>
      </c>
      <c r="X360" s="161"/>
      <c r="Y360" s="160" t="s">
        <v>205</v>
      </c>
      <c r="Z360" s="161"/>
      <c r="AA360" s="160" t="s">
        <v>205</v>
      </c>
      <c r="AB360" s="161"/>
      <c r="AC360" s="160" t="s">
        <v>205</v>
      </c>
      <c r="AD360" s="161"/>
      <c r="AE360" s="160" t="s">
        <v>205</v>
      </c>
      <c r="AF360" s="289" t="str">
        <f t="shared" si="18"/>
        <v>C</v>
      </c>
      <c r="AG360" s="291" t="str">
        <f t="shared" si="19"/>
        <v>UTILIZOU O PDA CORRETAMENTE</v>
      </c>
      <c r="AH360" s="160" t="s">
        <v>205</v>
      </c>
      <c r="AI360" s="292" t="s">
        <v>6</v>
      </c>
      <c r="AJ360" s="293" t="str">
        <f t="shared" si="20"/>
        <v>SÃO PAULO</v>
      </c>
      <c r="AK360" s="294" t="s">
        <v>39</v>
      </c>
    </row>
    <row r="361" spans="1:37" s="302" customFormat="1" ht="30" customHeight="1">
      <c r="A361" s="215" t="s">
        <v>198</v>
      </c>
      <c r="B361" s="215">
        <v>2620819360</v>
      </c>
      <c r="C361" s="215" t="s">
        <v>103</v>
      </c>
      <c r="D361" s="215" t="s">
        <v>81</v>
      </c>
      <c r="E361" s="215" t="s">
        <v>5</v>
      </c>
      <c r="F361" s="215" t="s">
        <v>1071</v>
      </c>
      <c r="G361" s="215">
        <v>145</v>
      </c>
      <c r="H361" s="215"/>
      <c r="I361" s="215" t="s">
        <v>1072</v>
      </c>
      <c r="J361" s="215" t="s">
        <v>322</v>
      </c>
      <c r="K361" s="215"/>
      <c r="L361" s="215" t="s">
        <v>1073</v>
      </c>
      <c r="M361" s="215" t="s">
        <v>1074</v>
      </c>
      <c r="N361" s="215" t="s">
        <v>359</v>
      </c>
      <c r="O361" s="290" t="s">
        <v>205</v>
      </c>
      <c r="P361" s="161"/>
      <c r="Q361" s="160" t="s">
        <v>205</v>
      </c>
      <c r="R361" s="161"/>
      <c r="S361" s="160" t="s">
        <v>205</v>
      </c>
      <c r="T361" s="161"/>
      <c r="U361" s="160" t="s">
        <v>205</v>
      </c>
      <c r="V361" s="161"/>
      <c r="W361" s="160" t="s">
        <v>205</v>
      </c>
      <c r="X361" s="161"/>
      <c r="Y361" s="160" t="s">
        <v>205</v>
      </c>
      <c r="Z361" s="161"/>
      <c r="AA361" s="160" t="s">
        <v>205</v>
      </c>
      <c r="AB361" s="161"/>
      <c r="AC361" s="160" t="s">
        <v>205</v>
      </c>
      <c r="AD361" s="161"/>
      <c r="AE361" s="160" t="s">
        <v>205</v>
      </c>
      <c r="AF361" s="289" t="str">
        <f t="shared" si="18"/>
        <v>C</v>
      </c>
      <c r="AG361" s="291" t="str">
        <f t="shared" si="19"/>
        <v>UTILIZOU O PDA CORRETAMENTE</v>
      </c>
      <c r="AH361" s="160" t="s">
        <v>205</v>
      </c>
      <c r="AI361" s="292" t="s">
        <v>6</v>
      </c>
      <c r="AJ361" s="293" t="str">
        <f t="shared" si="20"/>
        <v>SÃO PAULO</v>
      </c>
      <c r="AK361" s="294" t="s">
        <v>39</v>
      </c>
    </row>
    <row r="362" spans="1:37" s="302" customFormat="1" ht="30" customHeight="1">
      <c r="A362" s="215" t="s">
        <v>198</v>
      </c>
      <c r="B362" s="215">
        <v>2693630350</v>
      </c>
      <c r="C362" s="215" t="s">
        <v>103</v>
      </c>
      <c r="D362" s="215" t="s">
        <v>81</v>
      </c>
      <c r="E362" s="215" t="s">
        <v>5</v>
      </c>
      <c r="F362" s="215" t="s">
        <v>1075</v>
      </c>
      <c r="G362" s="215">
        <v>164</v>
      </c>
      <c r="H362" s="215" t="s">
        <v>200</v>
      </c>
      <c r="I362" s="215" t="s">
        <v>830</v>
      </c>
      <c r="J362" s="215" t="s">
        <v>322</v>
      </c>
      <c r="K362" s="215" t="s">
        <v>200</v>
      </c>
      <c r="L362" s="215" t="s">
        <v>1076</v>
      </c>
      <c r="M362" s="215" t="s">
        <v>1077</v>
      </c>
      <c r="N362" s="215" t="s">
        <v>359</v>
      </c>
      <c r="O362" s="290" t="s">
        <v>205</v>
      </c>
      <c r="P362" s="161"/>
      <c r="Q362" s="160" t="s">
        <v>205</v>
      </c>
      <c r="R362" s="161"/>
      <c r="S362" s="160" t="s">
        <v>205</v>
      </c>
      <c r="T362" s="161"/>
      <c r="U362" s="160" t="s">
        <v>205</v>
      </c>
      <c r="V362" s="161"/>
      <c r="W362" s="160" t="s">
        <v>205</v>
      </c>
      <c r="X362" s="161"/>
      <c r="Y362" s="160" t="s">
        <v>62</v>
      </c>
      <c r="Z362" s="161"/>
      <c r="AA362" s="160" t="s">
        <v>205</v>
      </c>
      <c r="AB362" s="161"/>
      <c r="AC362" s="160" t="s">
        <v>205</v>
      </c>
      <c r="AD362" s="161"/>
      <c r="AE362" s="160" t="s">
        <v>205</v>
      </c>
      <c r="AF362" s="289" t="str">
        <f t="shared" si="18"/>
        <v>C</v>
      </c>
      <c r="AG362" s="291" t="str">
        <f t="shared" si="19"/>
        <v>UTILIZOU O PDA CORRETAMENTE</v>
      </c>
      <c r="AH362" s="160" t="s">
        <v>205</v>
      </c>
      <c r="AI362" s="292" t="s">
        <v>6</v>
      </c>
      <c r="AJ362" s="293" t="str">
        <f t="shared" si="20"/>
        <v>SÃO PAULO</v>
      </c>
      <c r="AK362" s="294" t="s">
        <v>39</v>
      </c>
    </row>
    <row r="363" spans="1:37" s="302" customFormat="1" ht="30" customHeight="1">
      <c r="A363" s="215" t="s">
        <v>198</v>
      </c>
      <c r="B363" s="215">
        <v>2620851826</v>
      </c>
      <c r="C363" s="215" t="s">
        <v>107</v>
      </c>
      <c r="D363" s="215" t="s">
        <v>81</v>
      </c>
      <c r="E363" s="215" t="s">
        <v>5</v>
      </c>
      <c r="F363" s="215" t="s">
        <v>631</v>
      </c>
      <c r="G363" s="215">
        <v>717</v>
      </c>
      <c r="H363" s="215"/>
      <c r="I363" s="215" t="s">
        <v>397</v>
      </c>
      <c r="J363" s="215" t="s">
        <v>220</v>
      </c>
      <c r="K363" s="215" t="s">
        <v>1078</v>
      </c>
      <c r="L363" s="215" t="s">
        <v>1079</v>
      </c>
      <c r="M363" s="215" t="s">
        <v>1080</v>
      </c>
      <c r="N363" s="215" t="s">
        <v>357</v>
      </c>
      <c r="O363" s="290" t="s">
        <v>205</v>
      </c>
      <c r="P363" s="161"/>
      <c r="Q363" s="160" t="s">
        <v>205</v>
      </c>
      <c r="R363" s="161"/>
      <c r="S363" s="160" t="s">
        <v>206</v>
      </c>
      <c r="T363" s="161"/>
      <c r="U363" s="160" t="s">
        <v>206</v>
      </c>
      <c r="V363" s="161"/>
      <c r="W363" s="160" t="s">
        <v>206</v>
      </c>
      <c r="X363" s="161"/>
      <c r="Y363" s="160" t="s">
        <v>62</v>
      </c>
      <c r="Z363" s="161"/>
      <c r="AA363" s="160" t="s">
        <v>62</v>
      </c>
      <c r="AB363" s="161"/>
      <c r="AC363" s="160" t="s">
        <v>206</v>
      </c>
      <c r="AD363" s="161"/>
      <c r="AE363" s="160" t="s">
        <v>205</v>
      </c>
      <c r="AF363" s="289" t="str">
        <f t="shared" si="18"/>
        <v>NC</v>
      </c>
      <c r="AG363" s="291" t="str">
        <f t="shared" si="19"/>
        <v>UTILIZOU O PDA CORRETAMENTE. NÃO HÁ FOTOS DE TODAS AS ETAPAS</v>
      </c>
      <c r="AH363" s="160"/>
      <c r="AI363" s="292" t="s">
        <v>6</v>
      </c>
      <c r="AJ363" s="293" t="str">
        <f t="shared" si="20"/>
        <v>SÃO PAULO</v>
      </c>
      <c r="AK363" s="294" t="s">
        <v>39</v>
      </c>
    </row>
    <row r="364" spans="1:37" s="302" customFormat="1" ht="30" customHeight="1">
      <c r="A364" s="215" t="s">
        <v>198</v>
      </c>
      <c r="B364" s="215">
        <v>2620800684</v>
      </c>
      <c r="C364" s="215" t="s">
        <v>104</v>
      </c>
      <c r="D364" s="215" t="s">
        <v>81</v>
      </c>
      <c r="E364" s="215" t="s">
        <v>5</v>
      </c>
      <c r="F364" s="215" t="s">
        <v>1081</v>
      </c>
      <c r="G364" s="215">
        <v>67</v>
      </c>
      <c r="H364" s="215" t="s">
        <v>200</v>
      </c>
      <c r="I364" s="215" t="s">
        <v>1082</v>
      </c>
      <c r="J364" s="215" t="s">
        <v>322</v>
      </c>
      <c r="K364" s="215" t="s">
        <v>1083</v>
      </c>
      <c r="L364" s="215" t="s">
        <v>1079</v>
      </c>
      <c r="M364" s="215" t="s">
        <v>1080</v>
      </c>
      <c r="N364" s="215" t="s">
        <v>297</v>
      </c>
      <c r="O364" s="290" t="s">
        <v>206</v>
      </c>
      <c r="P364" s="161"/>
      <c r="Q364" s="160" t="s">
        <v>206</v>
      </c>
      <c r="R364" s="161"/>
      <c r="S364" s="160" t="s">
        <v>206</v>
      </c>
      <c r="T364" s="161"/>
      <c r="U364" s="160" t="s">
        <v>206</v>
      </c>
      <c r="V364" s="161"/>
      <c r="W364" s="160" t="s">
        <v>206</v>
      </c>
      <c r="X364" s="161"/>
      <c r="Y364" s="160" t="s">
        <v>206</v>
      </c>
      <c r="Z364" s="161"/>
      <c r="AA364" s="160" t="s">
        <v>206</v>
      </c>
      <c r="AB364" s="161"/>
      <c r="AC364" s="160" t="s">
        <v>206</v>
      </c>
      <c r="AD364" s="161"/>
      <c r="AE364" s="160" t="s">
        <v>239</v>
      </c>
      <c r="AF364" s="289" t="str">
        <f t="shared" si="18"/>
        <v>NC</v>
      </c>
      <c r="AG364" s="291" t="str">
        <f t="shared" si="19"/>
        <v>NÃO UTILIZOU O PDA</v>
      </c>
      <c r="AH364" s="160" t="s">
        <v>205</v>
      </c>
      <c r="AI364" s="292" t="s">
        <v>6</v>
      </c>
      <c r="AJ364" s="293" t="str">
        <f t="shared" si="20"/>
        <v>SÃO PAULO</v>
      </c>
      <c r="AK364" s="294" t="s">
        <v>39</v>
      </c>
    </row>
    <row r="365" spans="1:37" s="302" customFormat="1" ht="30" customHeight="1">
      <c r="A365" s="215" t="s">
        <v>198</v>
      </c>
      <c r="B365" s="215">
        <v>2621051793</v>
      </c>
      <c r="C365" s="215" t="s">
        <v>331</v>
      </c>
      <c r="D365" s="215" t="s">
        <v>79</v>
      </c>
      <c r="E365" s="215" t="s">
        <v>5</v>
      </c>
      <c r="F365" s="215" t="s">
        <v>945</v>
      </c>
      <c r="G365" s="215">
        <v>60</v>
      </c>
      <c r="H365" s="215" t="s">
        <v>226</v>
      </c>
      <c r="I365" s="215" t="s">
        <v>789</v>
      </c>
      <c r="J365" s="215" t="s">
        <v>334</v>
      </c>
      <c r="K365" s="215" t="s">
        <v>619</v>
      </c>
      <c r="L365" s="215" t="s">
        <v>1084</v>
      </c>
      <c r="M365" s="215" t="s">
        <v>1085</v>
      </c>
      <c r="N365" s="215" t="s">
        <v>230</v>
      </c>
      <c r="O365" s="290" t="s">
        <v>205</v>
      </c>
      <c r="P365" s="161"/>
      <c r="Q365" s="160" t="s">
        <v>205</v>
      </c>
      <c r="R365" s="161"/>
      <c r="S365" s="160" t="s">
        <v>205</v>
      </c>
      <c r="T365" s="161"/>
      <c r="U365" s="160" t="s">
        <v>205</v>
      </c>
      <c r="V365" s="161"/>
      <c r="W365" s="160" t="s">
        <v>205</v>
      </c>
      <c r="X365" s="161"/>
      <c r="Y365" s="160" t="s">
        <v>205</v>
      </c>
      <c r="Z365" s="161"/>
      <c r="AA365" s="160" t="s">
        <v>205</v>
      </c>
      <c r="AB365" s="161"/>
      <c r="AC365" s="160" t="s">
        <v>205</v>
      </c>
      <c r="AD365" s="161"/>
      <c r="AE365" s="160" t="s">
        <v>205</v>
      </c>
      <c r="AF365" s="289" t="str">
        <f t="shared" si="18"/>
        <v>C</v>
      </c>
      <c r="AG365" s="291" t="str">
        <f t="shared" si="19"/>
        <v>UTILIZOU O PDA CORRETAMENTE</v>
      </c>
      <c r="AH365" s="160" t="s">
        <v>205</v>
      </c>
      <c r="AI365" s="292" t="s">
        <v>6</v>
      </c>
      <c r="AJ365" s="293" t="str">
        <f t="shared" si="20"/>
        <v>SÃO PAULO</v>
      </c>
      <c r="AK365" s="294" t="s">
        <v>39</v>
      </c>
    </row>
    <row r="366" spans="1:37" s="302" customFormat="1" ht="30" customHeight="1">
      <c r="A366" s="261" t="s">
        <v>198</v>
      </c>
      <c r="B366" s="215">
        <v>2615270189</v>
      </c>
      <c r="C366" s="215" t="s">
        <v>85</v>
      </c>
      <c r="D366" s="215" t="s">
        <v>80</v>
      </c>
      <c r="E366" s="215" t="s">
        <v>5</v>
      </c>
      <c r="F366" s="215" t="s">
        <v>1086</v>
      </c>
      <c r="G366" s="215">
        <v>184</v>
      </c>
      <c r="H366" s="215" t="s">
        <v>200</v>
      </c>
      <c r="I366" s="215" t="s">
        <v>369</v>
      </c>
      <c r="J366" s="215" t="s">
        <v>202</v>
      </c>
      <c r="K366" s="215" t="s">
        <v>1087</v>
      </c>
      <c r="L366" s="215" t="s">
        <v>1079</v>
      </c>
      <c r="M366" s="215" t="s">
        <v>1080</v>
      </c>
      <c r="N366" s="215" t="s">
        <v>204</v>
      </c>
      <c r="O366" s="290" t="s">
        <v>62</v>
      </c>
      <c r="P366" s="161"/>
      <c r="Q366" s="160" t="s">
        <v>62</v>
      </c>
      <c r="R366" s="161"/>
      <c r="S366" s="160" t="s">
        <v>62</v>
      </c>
      <c r="T366" s="161"/>
      <c r="U366" s="160" t="s">
        <v>62</v>
      </c>
      <c r="V366" s="161"/>
      <c r="W366" s="160" t="s">
        <v>62</v>
      </c>
      <c r="X366" s="161"/>
      <c r="Y366" s="160" t="s">
        <v>62</v>
      </c>
      <c r="Z366" s="161"/>
      <c r="AA366" s="160" t="s">
        <v>62</v>
      </c>
      <c r="AB366" s="161"/>
      <c r="AC366" s="160" t="s">
        <v>62</v>
      </c>
      <c r="AD366" s="161"/>
      <c r="AE366" s="160" t="s">
        <v>62</v>
      </c>
      <c r="AF366" s="289" t="str">
        <f t="shared" si="18"/>
        <v>NA</v>
      </c>
      <c r="AG366" s="291" t="str">
        <f t="shared" si="19"/>
        <v>NÃO AVALIADO POR FALHA DE SINCRONISMO</v>
      </c>
      <c r="AH366" s="160"/>
      <c r="AI366" s="292" t="s">
        <v>6</v>
      </c>
      <c r="AJ366" s="293" t="str">
        <f t="shared" si="20"/>
        <v>SÃO PAULO</v>
      </c>
      <c r="AK366" s="294" t="s">
        <v>39</v>
      </c>
    </row>
    <row r="367" spans="1:37" s="302" customFormat="1" ht="30" customHeight="1">
      <c r="A367" s="215" t="s">
        <v>198</v>
      </c>
      <c r="B367" s="215">
        <v>2621055846</v>
      </c>
      <c r="C367" s="215" t="s">
        <v>331</v>
      </c>
      <c r="D367" s="215" t="s">
        <v>79</v>
      </c>
      <c r="E367" s="215" t="s">
        <v>5</v>
      </c>
      <c r="F367" s="215" t="s">
        <v>866</v>
      </c>
      <c r="G367" s="215">
        <v>94</v>
      </c>
      <c r="H367" s="215"/>
      <c r="I367" s="215" t="s">
        <v>789</v>
      </c>
      <c r="J367" s="215" t="s">
        <v>334</v>
      </c>
      <c r="K367" s="215" t="s">
        <v>619</v>
      </c>
      <c r="L367" s="215" t="s">
        <v>1088</v>
      </c>
      <c r="M367" s="215" t="s">
        <v>1089</v>
      </c>
      <c r="N367" s="215" t="s">
        <v>230</v>
      </c>
      <c r="O367" s="290" t="s">
        <v>205</v>
      </c>
      <c r="P367" s="161"/>
      <c r="Q367" s="160" t="s">
        <v>205</v>
      </c>
      <c r="R367" s="161"/>
      <c r="S367" s="160" t="s">
        <v>205</v>
      </c>
      <c r="T367" s="161"/>
      <c r="U367" s="160" t="s">
        <v>205</v>
      </c>
      <c r="V367" s="161"/>
      <c r="W367" s="160" t="s">
        <v>205</v>
      </c>
      <c r="X367" s="161"/>
      <c r="Y367" s="160" t="s">
        <v>205</v>
      </c>
      <c r="Z367" s="161"/>
      <c r="AA367" s="160" t="s">
        <v>205</v>
      </c>
      <c r="AB367" s="161"/>
      <c r="AC367" s="160" t="s">
        <v>205</v>
      </c>
      <c r="AD367" s="161"/>
      <c r="AE367" s="160" t="s">
        <v>205</v>
      </c>
      <c r="AF367" s="289" t="str">
        <f t="shared" si="18"/>
        <v>C</v>
      </c>
      <c r="AG367" s="291" t="str">
        <f t="shared" si="19"/>
        <v>UTILIZOU O PDA CORRETAMENTE</v>
      </c>
      <c r="AH367" s="160" t="s">
        <v>205</v>
      </c>
      <c r="AI367" s="292" t="s">
        <v>6</v>
      </c>
      <c r="AJ367" s="293" t="str">
        <f t="shared" si="20"/>
        <v>SÃO PAULO</v>
      </c>
      <c r="AK367" s="294" t="s">
        <v>39</v>
      </c>
    </row>
    <row r="368" spans="1:37" s="302" customFormat="1" ht="30" customHeight="1">
      <c r="A368" s="215" t="s">
        <v>198</v>
      </c>
      <c r="B368" s="215">
        <v>2615270540</v>
      </c>
      <c r="C368" s="215" t="s">
        <v>207</v>
      </c>
      <c r="D368" s="215" t="s">
        <v>80</v>
      </c>
      <c r="E368" s="215" t="s">
        <v>5</v>
      </c>
      <c r="F368" s="215" t="s">
        <v>1086</v>
      </c>
      <c r="G368" s="215">
        <v>184</v>
      </c>
      <c r="H368" s="215" t="s">
        <v>200</v>
      </c>
      <c r="I368" s="215" t="s">
        <v>369</v>
      </c>
      <c r="J368" s="215" t="s">
        <v>210</v>
      </c>
      <c r="K368" s="219" t="s">
        <v>1090</v>
      </c>
      <c r="L368" s="215" t="s">
        <v>1079</v>
      </c>
      <c r="M368" s="215" t="s">
        <v>1080</v>
      </c>
      <c r="N368" s="215" t="s">
        <v>204</v>
      </c>
      <c r="O368" s="290" t="s">
        <v>62</v>
      </c>
      <c r="P368" s="161"/>
      <c r="Q368" s="160" t="s">
        <v>62</v>
      </c>
      <c r="R368" s="161"/>
      <c r="S368" s="160" t="s">
        <v>62</v>
      </c>
      <c r="T368" s="161"/>
      <c r="U368" s="160" t="s">
        <v>62</v>
      </c>
      <c r="V368" s="161"/>
      <c r="W368" s="160" t="s">
        <v>62</v>
      </c>
      <c r="X368" s="161"/>
      <c r="Y368" s="160" t="s">
        <v>62</v>
      </c>
      <c r="Z368" s="161"/>
      <c r="AA368" s="160" t="s">
        <v>62</v>
      </c>
      <c r="AB368" s="161"/>
      <c r="AC368" s="160" t="s">
        <v>62</v>
      </c>
      <c r="AD368" s="215" t="s">
        <v>210</v>
      </c>
      <c r="AE368" s="160" t="s">
        <v>62</v>
      </c>
      <c r="AF368" s="289" t="str">
        <f t="shared" si="18"/>
        <v>NA</v>
      </c>
      <c r="AG368" s="291" t="str">
        <f t="shared" si="19"/>
        <v>NÃO AVALIADO POR FALHA DE SINCRONISMO</v>
      </c>
      <c r="AH368" s="160"/>
      <c r="AI368" s="292" t="s">
        <v>6</v>
      </c>
      <c r="AJ368" s="293" t="str">
        <f t="shared" si="20"/>
        <v>SÃO PAULO</v>
      </c>
      <c r="AK368" s="294" t="s">
        <v>39</v>
      </c>
    </row>
    <row r="369" spans="1:37" s="302" customFormat="1" ht="30" customHeight="1">
      <c r="A369" s="215" t="s">
        <v>198</v>
      </c>
      <c r="B369" s="215">
        <v>2616333890</v>
      </c>
      <c r="C369" s="215" t="s">
        <v>207</v>
      </c>
      <c r="D369" s="215" t="s">
        <v>80</v>
      </c>
      <c r="E369" s="215" t="s">
        <v>5</v>
      </c>
      <c r="F369" s="215" t="s">
        <v>1091</v>
      </c>
      <c r="G369" s="215">
        <v>189</v>
      </c>
      <c r="H369" s="215"/>
      <c r="I369" s="215" t="s">
        <v>1092</v>
      </c>
      <c r="J369" s="215" t="s">
        <v>210</v>
      </c>
      <c r="K369" s="215"/>
      <c r="L369" s="215" t="s">
        <v>1079</v>
      </c>
      <c r="M369" s="215" t="s">
        <v>1080</v>
      </c>
      <c r="N369" s="215" t="s">
        <v>212</v>
      </c>
      <c r="O369" s="290" t="s">
        <v>62</v>
      </c>
      <c r="P369" s="161"/>
      <c r="Q369" s="160" t="s">
        <v>62</v>
      </c>
      <c r="R369" s="161"/>
      <c r="S369" s="160" t="s">
        <v>62</v>
      </c>
      <c r="T369" s="161"/>
      <c r="U369" s="160" t="s">
        <v>62</v>
      </c>
      <c r="V369" s="161"/>
      <c r="W369" s="160" t="s">
        <v>62</v>
      </c>
      <c r="X369" s="161"/>
      <c r="Y369" s="160" t="s">
        <v>62</v>
      </c>
      <c r="Z369" s="161"/>
      <c r="AA369" s="160" t="s">
        <v>62</v>
      </c>
      <c r="AB369" s="161"/>
      <c r="AC369" s="160" t="s">
        <v>62</v>
      </c>
      <c r="AD369" s="161" t="s">
        <v>1093</v>
      </c>
      <c r="AE369" s="160" t="s">
        <v>62</v>
      </c>
      <c r="AF369" s="289" t="str">
        <f t="shared" si="18"/>
        <v>NA</v>
      </c>
      <c r="AG369" s="291" t="str">
        <f t="shared" si="19"/>
        <v>NÃO AVALIADO POR FALHA DE SINCRONISMO</v>
      </c>
      <c r="AH369" s="160" t="s">
        <v>205</v>
      </c>
      <c r="AI369" s="292" t="s">
        <v>6</v>
      </c>
      <c r="AJ369" s="293" t="str">
        <f t="shared" si="20"/>
        <v>SÃO PAULO</v>
      </c>
      <c r="AK369" s="294" t="s">
        <v>39</v>
      </c>
    </row>
    <row r="370" spans="1:37" s="302" customFormat="1" ht="30" customHeight="1">
      <c r="A370" s="215" t="s">
        <v>198</v>
      </c>
      <c r="B370" s="215">
        <v>2616333436</v>
      </c>
      <c r="C370" s="215" t="s">
        <v>85</v>
      </c>
      <c r="D370" s="215" t="s">
        <v>80</v>
      </c>
      <c r="E370" s="215" t="s">
        <v>5</v>
      </c>
      <c r="F370" s="215" t="s">
        <v>1091</v>
      </c>
      <c r="G370" s="215">
        <v>189</v>
      </c>
      <c r="H370" s="215" t="s">
        <v>200</v>
      </c>
      <c r="I370" s="215" t="s">
        <v>1092</v>
      </c>
      <c r="J370" s="215" t="s">
        <v>202</v>
      </c>
      <c r="K370" s="215" t="s">
        <v>1094</v>
      </c>
      <c r="L370" s="215" t="s">
        <v>1079</v>
      </c>
      <c r="M370" s="215" t="s">
        <v>1080</v>
      </c>
      <c r="N370" s="215" t="s">
        <v>212</v>
      </c>
      <c r="O370" s="290" t="s">
        <v>62</v>
      </c>
      <c r="P370" s="161"/>
      <c r="Q370" s="160" t="s">
        <v>62</v>
      </c>
      <c r="R370" s="161"/>
      <c r="S370" s="160" t="s">
        <v>62</v>
      </c>
      <c r="T370" s="161"/>
      <c r="U370" s="160" t="s">
        <v>62</v>
      </c>
      <c r="V370" s="161"/>
      <c r="W370" s="160" t="s">
        <v>62</v>
      </c>
      <c r="X370" s="161"/>
      <c r="Y370" s="160" t="s">
        <v>62</v>
      </c>
      <c r="Z370" s="161"/>
      <c r="AA370" s="160" t="s">
        <v>62</v>
      </c>
      <c r="AB370" s="161"/>
      <c r="AC370" s="160" t="s">
        <v>62</v>
      </c>
      <c r="AD370" s="161" t="s">
        <v>1093</v>
      </c>
      <c r="AE370" s="160" t="s">
        <v>62</v>
      </c>
      <c r="AF370" s="289" t="s">
        <v>62</v>
      </c>
      <c r="AG370" s="291" t="str">
        <f t="shared" si="19"/>
        <v>NÃO AVALIADO POR FALHA DE SINCRONISMO</v>
      </c>
      <c r="AH370" s="160" t="s">
        <v>205</v>
      </c>
      <c r="AI370" s="292" t="s">
        <v>6</v>
      </c>
      <c r="AJ370" s="293" t="str">
        <f t="shared" si="20"/>
        <v>SÃO PAULO</v>
      </c>
      <c r="AK370" s="294" t="s">
        <v>39</v>
      </c>
    </row>
    <row r="371" spans="1:37" s="302" customFormat="1" ht="30" customHeight="1">
      <c r="A371" s="215" t="s">
        <v>198</v>
      </c>
      <c r="B371" s="215">
        <v>2618450676</v>
      </c>
      <c r="C371" s="215" t="s">
        <v>207</v>
      </c>
      <c r="D371" s="215" t="s">
        <v>80</v>
      </c>
      <c r="E371" s="215" t="s">
        <v>5</v>
      </c>
      <c r="F371" s="215" t="s">
        <v>1095</v>
      </c>
      <c r="G371" s="215">
        <v>620</v>
      </c>
      <c r="H371" s="215"/>
      <c r="I371" s="215" t="s">
        <v>1096</v>
      </c>
      <c r="J371" s="215" t="s">
        <v>210</v>
      </c>
      <c r="K371" s="215"/>
      <c r="L371" s="215" t="s">
        <v>1079</v>
      </c>
      <c r="M371" s="215" t="s">
        <v>1080</v>
      </c>
      <c r="N371" s="215" t="s">
        <v>204</v>
      </c>
      <c r="O371" s="290" t="s">
        <v>62</v>
      </c>
      <c r="P371" s="161"/>
      <c r="Q371" s="160" t="s">
        <v>62</v>
      </c>
      <c r="R371" s="161"/>
      <c r="S371" s="160" t="s">
        <v>62</v>
      </c>
      <c r="T371" s="161"/>
      <c r="U371" s="160" t="s">
        <v>62</v>
      </c>
      <c r="V371" s="161"/>
      <c r="W371" s="160" t="s">
        <v>62</v>
      </c>
      <c r="X371" s="161"/>
      <c r="Y371" s="160" t="s">
        <v>62</v>
      </c>
      <c r="Z371" s="161"/>
      <c r="AA371" s="160" t="s">
        <v>62</v>
      </c>
      <c r="AB371" s="161"/>
      <c r="AC371" s="160" t="s">
        <v>62</v>
      </c>
      <c r="AD371" s="161" t="s">
        <v>1097</v>
      </c>
      <c r="AE371" s="160" t="s">
        <v>62</v>
      </c>
      <c r="AF371" s="289" t="str">
        <f t="shared" si="18"/>
        <v>NA</v>
      </c>
      <c r="AG371" s="291" t="str">
        <f t="shared" si="19"/>
        <v>NÃO AVALIADO POR FALHA DE SINCRONISMO</v>
      </c>
      <c r="AH371" s="160"/>
      <c r="AI371" s="292" t="s">
        <v>6</v>
      </c>
      <c r="AJ371" s="293" t="str">
        <f t="shared" si="20"/>
        <v>SÃO PAULO</v>
      </c>
      <c r="AK371" s="294" t="s">
        <v>39</v>
      </c>
    </row>
    <row r="372" spans="1:37" s="302" customFormat="1" ht="30" customHeight="1">
      <c r="A372" s="215" t="s">
        <v>198</v>
      </c>
      <c r="B372" s="215">
        <v>2693606086</v>
      </c>
      <c r="C372" s="215" t="s">
        <v>89</v>
      </c>
      <c r="D372" s="215" t="s">
        <v>78</v>
      </c>
      <c r="E372" s="215" t="s">
        <v>5</v>
      </c>
      <c r="F372" s="215" t="s">
        <v>1098</v>
      </c>
      <c r="G372" s="215">
        <v>317</v>
      </c>
      <c r="H372" s="215" t="s">
        <v>481</v>
      </c>
      <c r="I372" s="215" t="s">
        <v>1099</v>
      </c>
      <c r="J372" s="215" t="s">
        <v>238</v>
      </c>
      <c r="K372" s="215" t="s">
        <v>1100</v>
      </c>
      <c r="L372" s="215" t="s">
        <v>1101</v>
      </c>
      <c r="M372" s="215" t="s">
        <v>1102</v>
      </c>
      <c r="N372" s="215" t="s">
        <v>221</v>
      </c>
      <c r="O372" s="290" t="s">
        <v>205</v>
      </c>
      <c r="P372" s="161"/>
      <c r="Q372" s="160" t="s">
        <v>239</v>
      </c>
      <c r="R372" s="161" t="s">
        <v>1103</v>
      </c>
      <c r="S372" s="160" t="s">
        <v>205</v>
      </c>
      <c r="T372" s="161"/>
      <c r="U372" s="160" t="s">
        <v>205</v>
      </c>
      <c r="V372" s="161"/>
      <c r="W372" s="160" t="s">
        <v>205</v>
      </c>
      <c r="X372" s="161"/>
      <c r="Y372" s="160" t="s">
        <v>62</v>
      </c>
      <c r="Z372" s="161"/>
      <c r="AA372" s="160" t="s">
        <v>205</v>
      </c>
      <c r="AB372" s="161"/>
      <c r="AC372" s="160" t="s">
        <v>205</v>
      </c>
      <c r="AD372" s="161"/>
      <c r="AE372" s="160" t="s">
        <v>205</v>
      </c>
      <c r="AF372" s="289" t="str">
        <f t="shared" si="18"/>
        <v>NC</v>
      </c>
      <c r="AG372" s="291" t="str">
        <f t="shared" si="19"/>
        <v>UTILIZOU O PDA CORRETAMENTE. NÃO HÁ FOTOS DE TODAS AS ETAPAS</v>
      </c>
      <c r="AH372" s="160"/>
      <c r="AI372" s="292" t="s">
        <v>6</v>
      </c>
      <c r="AJ372" s="293" t="str">
        <f t="shared" si="20"/>
        <v>SÃO PAULO</v>
      </c>
      <c r="AK372" s="294" t="s">
        <v>39</v>
      </c>
    </row>
    <row r="373" spans="1:37" s="302" customFormat="1" ht="30" customHeight="1">
      <c r="A373" s="261" t="s">
        <v>198</v>
      </c>
      <c r="B373" s="215">
        <v>2617565854</v>
      </c>
      <c r="C373" s="215" t="s">
        <v>207</v>
      </c>
      <c r="D373" s="215" t="s">
        <v>80</v>
      </c>
      <c r="E373" s="215" t="s">
        <v>5</v>
      </c>
      <c r="F373" s="215" t="s">
        <v>208</v>
      </c>
      <c r="G373" s="215">
        <v>394</v>
      </c>
      <c r="H373" s="215"/>
      <c r="I373" s="215" t="s">
        <v>209</v>
      </c>
      <c r="J373" s="215" t="s">
        <v>210</v>
      </c>
      <c r="K373" s="215" t="s">
        <v>1104</v>
      </c>
      <c r="L373" s="215" t="s">
        <v>1079</v>
      </c>
      <c r="M373" s="215" t="s">
        <v>1080</v>
      </c>
      <c r="N373" s="215" t="s">
        <v>204</v>
      </c>
      <c r="O373" s="290" t="s">
        <v>62</v>
      </c>
      <c r="P373" s="161"/>
      <c r="Q373" s="160" t="s">
        <v>62</v>
      </c>
      <c r="R373" s="161"/>
      <c r="S373" s="160" t="s">
        <v>62</v>
      </c>
      <c r="T373" s="161"/>
      <c r="U373" s="160" t="s">
        <v>62</v>
      </c>
      <c r="V373" s="161"/>
      <c r="W373" s="160" t="s">
        <v>62</v>
      </c>
      <c r="X373" s="161"/>
      <c r="Y373" s="160" t="s">
        <v>62</v>
      </c>
      <c r="Z373" s="161"/>
      <c r="AA373" s="160" t="s">
        <v>62</v>
      </c>
      <c r="AB373" s="161"/>
      <c r="AC373" s="160" t="s">
        <v>62</v>
      </c>
      <c r="AD373" s="215" t="s">
        <v>210</v>
      </c>
      <c r="AE373" s="160" t="s">
        <v>62</v>
      </c>
      <c r="AF373" s="289" t="str">
        <f t="shared" si="18"/>
        <v>NA</v>
      </c>
      <c r="AG373" s="291" t="str">
        <f t="shared" si="19"/>
        <v>NÃO AVALIADO POR FALHA DE SINCRONISMO</v>
      </c>
      <c r="AH373" s="160"/>
      <c r="AI373" s="292" t="s">
        <v>6</v>
      </c>
      <c r="AJ373" s="293" t="str">
        <f t="shared" si="20"/>
        <v>SÃO PAULO</v>
      </c>
      <c r="AK373" s="294" t="s">
        <v>39</v>
      </c>
    </row>
    <row r="374" spans="1:37" s="302" customFormat="1" ht="30" customHeight="1">
      <c r="A374" s="215" t="s">
        <v>198</v>
      </c>
      <c r="B374" s="215">
        <v>2621072969</v>
      </c>
      <c r="C374" s="215" t="s">
        <v>331</v>
      </c>
      <c r="D374" s="215" t="s">
        <v>79</v>
      </c>
      <c r="E374" s="215" t="s">
        <v>5</v>
      </c>
      <c r="F374" s="215" t="s">
        <v>1105</v>
      </c>
      <c r="G374" s="215">
        <v>218</v>
      </c>
      <c r="H374" s="215" t="s">
        <v>200</v>
      </c>
      <c r="I374" s="215" t="s">
        <v>789</v>
      </c>
      <c r="J374" s="215" t="s">
        <v>334</v>
      </c>
      <c r="K374" s="215" t="s">
        <v>1106</v>
      </c>
      <c r="L374" s="215" t="s">
        <v>1107</v>
      </c>
      <c r="M374" s="215" t="s">
        <v>1108</v>
      </c>
      <c r="N374" s="215" t="s">
        <v>212</v>
      </c>
      <c r="O374" s="290" t="s">
        <v>205</v>
      </c>
      <c r="P374" s="161"/>
      <c r="Q374" s="160" t="s">
        <v>205</v>
      </c>
      <c r="R374" s="161"/>
      <c r="S374" s="160" t="s">
        <v>205</v>
      </c>
      <c r="T374" s="161"/>
      <c r="U374" s="160" t="s">
        <v>205</v>
      </c>
      <c r="V374" s="161"/>
      <c r="W374" s="160" t="s">
        <v>205</v>
      </c>
      <c r="X374" s="161"/>
      <c r="Y374" s="160" t="s">
        <v>205</v>
      </c>
      <c r="Z374" s="161"/>
      <c r="AA374" s="160" t="s">
        <v>205</v>
      </c>
      <c r="AB374" s="161"/>
      <c r="AC374" s="160" t="s">
        <v>205</v>
      </c>
      <c r="AD374" s="161"/>
      <c r="AE374" s="160" t="s">
        <v>205</v>
      </c>
      <c r="AF374" s="289" t="str">
        <f t="shared" si="18"/>
        <v>C</v>
      </c>
      <c r="AG374" s="291" t="str">
        <f t="shared" si="19"/>
        <v>UTILIZOU O PDA CORRETAMENTE</v>
      </c>
      <c r="AH374" s="160" t="s">
        <v>205</v>
      </c>
      <c r="AI374" s="292" t="s">
        <v>6</v>
      </c>
      <c r="AJ374" s="293" t="str">
        <f t="shared" si="20"/>
        <v>SÃO PAULO</v>
      </c>
      <c r="AK374" s="294" t="s">
        <v>39</v>
      </c>
    </row>
    <row r="375" spans="1:37" s="302" customFormat="1" ht="30" customHeight="1">
      <c r="A375" s="215" t="s">
        <v>198</v>
      </c>
      <c r="B375" s="215">
        <v>2621075701</v>
      </c>
      <c r="C375" s="215" t="s">
        <v>331</v>
      </c>
      <c r="D375" s="215" t="s">
        <v>79</v>
      </c>
      <c r="E375" s="215" t="s">
        <v>5</v>
      </c>
      <c r="F375" s="215" t="s">
        <v>1105</v>
      </c>
      <c r="G375" s="215">
        <v>211</v>
      </c>
      <c r="H375" s="215" t="s">
        <v>226</v>
      </c>
      <c r="I375" s="215" t="s">
        <v>789</v>
      </c>
      <c r="J375" s="215" t="s">
        <v>334</v>
      </c>
      <c r="K375" s="215" t="s">
        <v>1109</v>
      </c>
      <c r="L375" s="215" t="s">
        <v>1110</v>
      </c>
      <c r="M375" s="215" t="s">
        <v>1111</v>
      </c>
      <c r="N375" s="215" t="s">
        <v>212</v>
      </c>
      <c r="O375" s="290" t="s">
        <v>205</v>
      </c>
      <c r="P375" s="161"/>
      <c r="Q375" s="160" t="s">
        <v>205</v>
      </c>
      <c r="R375" s="161"/>
      <c r="S375" s="160" t="s">
        <v>205</v>
      </c>
      <c r="T375" s="161"/>
      <c r="U375" s="160" t="s">
        <v>205</v>
      </c>
      <c r="V375" s="161"/>
      <c r="W375" s="160" t="s">
        <v>205</v>
      </c>
      <c r="X375" s="161"/>
      <c r="Y375" s="160" t="s">
        <v>205</v>
      </c>
      <c r="Z375" s="161"/>
      <c r="AA375" s="160" t="s">
        <v>205</v>
      </c>
      <c r="AB375" s="161"/>
      <c r="AC375" s="160" t="s">
        <v>205</v>
      </c>
      <c r="AD375" s="161"/>
      <c r="AE375" s="160" t="s">
        <v>205</v>
      </c>
      <c r="AF375" s="289" t="str">
        <f t="shared" si="18"/>
        <v>C</v>
      </c>
      <c r="AG375" s="291" t="str">
        <f t="shared" si="19"/>
        <v>UTILIZOU O PDA CORRETAMENTE</v>
      </c>
      <c r="AH375" s="160" t="s">
        <v>205</v>
      </c>
      <c r="AI375" s="292" t="s">
        <v>6</v>
      </c>
      <c r="AJ375" s="293" t="str">
        <f t="shared" si="20"/>
        <v>SÃO PAULO</v>
      </c>
      <c r="AK375" s="294" t="s">
        <v>39</v>
      </c>
    </row>
    <row r="376" spans="1:37" s="302" customFormat="1" ht="30" customHeight="1">
      <c r="A376" s="261" t="s">
        <v>198</v>
      </c>
      <c r="B376" s="215">
        <v>2615272574</v>
      </c>
      <c r="C376" s="215" t="s">
        <v>584</v>
      </c>
      <c r="D376" s="215" t="s">
        <v>80</v>
      </c>
      <c r="E376" s="215" t="s">
        <v>5</v>
      </c>
      <c r="F376" s="215" t="s">
        <v>1086</v>
      </c>
      <c r="G376" s="215">
        <v>184</v>
      </c>
      <c r="H376" s="215" t="s">
        <v>200</v>
      </c>
      <c r="I376" s="215" t="s">
        <v>369</v>
      </c>
      <c r="J376" s="215" t="s">
        <v>586</v>
      </c>
      <c r="K376" s="219" t="s">
        <v>1112</v>
      </c>
      <c r="L376" s="215" t="s">
        <v>1079</v>
      </c>
      <c r="M376" s="215" t="s">
        <v>1080</v>
      </c>
      <c r="N376" s="215" t="s">
        <v>204</v>
      </c>
      <c r="O376" s="290" t="s">
        <v>62</v>
      </c>
      <c r="P376" s="161"/>
      <c r="Q376" s="160" t="s">
        <v>62</v>
      </c>
      <c r="R376" s="161"/>
      <c r="S376" s="160" t="s">
        <v>62</v>
      </c>
      <c r="T376" s="161"/>
      <c r="U376" s="160" t="s">
        <v>62</v>
      </c>
      <c r="V376" s="161"/>
      <c r="W376" s="160" t="s">
        <v>62</v>
      </c>
      <c r="X376" s="161"/>
      <c r="Y376" s="160" t="s">
        <v>62</v>
      </c>
      <c r="Z376" s="161"/>
      <c r="AA376" s="160" t="s">
        <v>62</v>
      </c>
      <c r="AB376" s="161"/>
      <c r="AC376" s="160" t="s">
        <v>62</v>
      </c>
      <c r="AD376" s="215" t="s">
        <v>586</v>
      </c>
      <c r="AE376" s="160" t="s">
        <v>62</v>
      </c>
      <c r="AF376" s="289" t="str">
        <f t="shared" si="18"/>
        <v>NA</v>
      </c>
      <c r="AG376" s="291" t="str">
        <f t="shared" si="19"/>
        <v>NÃO AVALIADO POR FALHA DE SINCRONISMO</v>
      </c>
      <c r="AH376" s="160"/>
      <c r="AI376" s="292" t="s">
        <v>6</v>
      </c>
      <c r="AJ376" s="293" t="str">
        <f t="shared" si="20"/>
        <v>SÃO PAULO</v>
      </c>
      <c r="AK376" s="294" t="s">
        <v>39</v>
      </c>
    </row>
    <row r="377" spans="1:37" s="302" customFormat="1" ht="30" customHeight="1">
      <c r="A377" s="215" t="s">
        <v>198</v>
      </c>
      <c r="B377" s="215">
        <v>2620711133</v>
      </c>
      <c r="C377" s="215" t="s">
        <v>100</v>
      </c>
      <c r="D377" s="215" t="s">
        <v>81</v>
      </c>
      <c r="E377" s="215" t="s">
        <v>5</v>
      </c>
      <c r="F377" s="215" t="s">
        <v>539</v>
      </c>
      <c r="G377" s="215">
        <v>96</v>
      </c>
      <c r="H377" s="215"/>
      <c r="I377" s="215" t="s">
        <v>540</v>
      </c>
      <c r="J377" s="215" t="s">
        <v>243</v>
      </c>
      <c r="K377" s="215" t="s">
        <v>1113</v>
      </c>
      <c r="L377" s="215" t="s">
        <v>1114</v>
      </c>
      <c r="M377" s="215" t="s">
        <v>1115</v>
      </c>
      <c r="N377" s="215" t="s">
        <v>326</v>
      </c>
      <c r="O377" s="290" t="s">
        <v>205</v>
      </c>
      <c r="P377" s="161"/>
      <c r="Q377" s="160" t="s">
        <v>205</v>
      </c>
      <c r="R377" s="161"/>
      <c r="S377" s="160" t="s">
        <v>206</v>
      </c>
      <c r="T377" s="161"/>
      <c r="U377" s="160" t="s">
        <v>205</v>
      </c>
      <c r="V377" s="161"/>
      <c r="W377" s="160" t="s">
        <v>205</v>
      </c>
      <c r="X377" s="161"/>
      <c r="Y377" s="160" t="s">
        <v>205</v>
      </c>
      <c r="Z377" s="161"/>
      <c r="AA377" s="160" t="s">
        <v>205</v>
      </c>
      <c r="AB377" s="161"/>
      <c r="AC377" s="160" t="s">
        <v>205</v>
      </c>
      <c r="AD377" s="161"/>
      <c r="AE377" s="160" t="s">
        <v>205</v>
      </c>
      <c r="AF377" s="289" t="str">
        <f t="shared" si="18"/>
        <v>NC</v>
      </c>
      <c r="AG377" s="291" t="str">
        <f t="shared" si="19"/>
        <v>UTILIZOU O PDA CORRETAMENTE. NÃO HÁ FOTOS DE TODAS AS ETAPAS</v>
      </c>
      <c r="AH377" s="160" t="s">
        <v>205</v>
      </c>
      <c r="AI377" s="292" t="s">
        <v>6</v>
      </c>
      <c r="AJ377" s="293" t="str">
        <f t="shared" si="20"/>
        <v>SÃO PAULO</v>
      </c>
      <c r="AK377" s="294" t="s">
        <v>39</v>
      </c>
    </row>
    <row r="378" spans="1:37" s="302" customFormat="1" ht="30" customHeight="1">
      <c r="A378" s="215" t="s">
        <v>198</v>
      </c>
      <c r="B378" s="215">
        <v>2620535380</v>
      </c>
      <c r="C378" s="215" t="s">
        <v>207</v>
      </c>
      <c r="D378" s="215" t="s">
        <v>80</v>
      </c>
      <c r="E378" s="215" t="s">
        <v>5</v>
      </c>
      <c r="F378" s="215" t="s">
        <v>539</v>
      </c>
      <c r="G378" s="215">
        <v>1436</v>
      </c>
      <c r="H378" s="215" t="s">
        <v>200</v>
      </c>
      <c r="I378" s="215" t="s">
        <v>328</v>
      </c>
      <c r="J378" s="215" t="s">
        <v>210</v>
      </c>
      <c r="K378" s="215" t="s">
        <v>1116</v>
      </c>
      <c r="L378" s="215" t="s">
        <v>1079</v>
      </c>
      <c r="M378" s="215" t="s">
        <v>1080</v>
      </c>
      <c r="N378" s="215" t="s">
        <v>204</v>
      </c>
      <c r="O378" s="290" t="s">
        <v>62</v>
      </c>
      <c r="P378" s="161"/>
      <c r="Q378" s="160" t="s">
        <v>62</v>
      </c>
      <c r="R378" s="161"/>
      <c r="S378" s="160" t="s">
        <v>62</v>
      </c>
      <c r="T378" s="161"/>
      <c r="U378" s="160" t="s">
        <v>62</v>
      </c>
      <c r="V378" s="161"/>
      <c r="W378" s="160" t="s">
        <v>62</v>
      </c>
      <c r="X378" s="161"/>
      <c r="Y378" s="160" t="s">
        <v>62</v>
      </c>
      <c r="Z378" s="161"/>
      <c r="AA378" s="160" t="s">
        <v>62</v>
      </c>
      <c r="AB378" s="161"/>
      <c r="AC378" s="160" t="s">
        <v>62</v>
      </c>
      <c r="AD378" s="215" t="s">
        <v>210</v>
      </c>
      <c r="AE378" s="160" t="s">
        <v>62</v>
      </c>
      <c r="AF378" s="289" t="str">
        <f t="shared" si="18"/>
        <v>NA</v>
      </c>
      <c r="AG378" s="291" t="str">
        <f t="shared" si="19"/>
        <v>NÃO AVALIADO POR FALHA DE SINCRONISMO</v>
      </c>
      <c r="AH378" s="160"/>
      <c r="AI378" s="292" t="s">
        <v>6</v>
      </c>
      <c r="AJ378" s="293" t="str">
        <f t="shared" si="20"/>
        <v>SÃO PAULO</v>
      </c>
      <c r="AK378" s="294" t="s">
        <v>39</v>
      </c>
    </row>
    <row r="379" spans="1:37" s="302" customFormat="1" ht="30" customHeight="1">
      <c r="A379" s="215" t="s">
        <v>198</v>
      </c>
      <c r="B379" s="215">
        <v>2621090811</v>
      </c>
      <c r="C379" s="215" t="s">
        <v>105</v>
      </c>
      <c r="D379" s="215" t="s">
        <v>81</v>
      </c>
      <c r="E379" s="215" t="s">
        <v>5</v>
      </c>
      <c r="F379" s="215" t="s">
        <v>1117</v>
      </c>
      <c r="G379" s="215">
        <v>51</v>
      </c>
      <c r="H379" s="215"/>
      <c r="I379" s="215" t="s">
        <v>914</v>
      </c>
      <c r="J379" s="215" t="s">
        <v>228</v>
      </c>
      <c r="K379" s="215" t="s">
        <v>1118</v>
      </c>
      <c r="L379" s="215" t="s">
        <v>1119</v>
      </c>
      <c r="M379" s="215" t="s">
        <v>1120</v>
      </c>
      <c r="N379" s="215" t="s">
        <v>248</v>
      </c>
      <c r="O379" s="290" t="s">
        <v>205</v>
      </c>
      <c r="P379" s="161"/>
      <c r="Q379" s="160" t="s">
        <v>205</v>
      </c>
      <c r="R379" s="161"/>
      <c r="S379" s="160" t="s">
        <v>205</v>
      </c>
      <c r="T379" s="161"/>
      <c r="U379" s="160" t="s">
        <v>205</v>
      </c>
      <c r="V379" s="161"/>
      <c r="W379" s="160" t="s">
        <v>205</v>
      </c>
      <c r="X379" s="161"/>
      <c r="Y379" s="160" t="s">
        <v>205</v>
      </c>
      <c r="Z379" s="161"/>
      <c r="AA379" s="160" t="s">
        <v>205</v>
      </c>
      <c r="AB379" s="161"/>
      <c r="AC379" s="160" t="s">
        <v>205</v>
      </c>
      <c r="AD379" s="161"/>
      <c r="AE379" s="160" t="s">
        <v>205</v>
      </c>
      <c r="AF379" s="289" t="str">
        <f t="shared" si="18"/>
        <v>C</v>
      </c>
      <c r="AG379" s="291" t="str">
        <f t="shared" si="19"/>
        <v>UTILIZOU O PDA CORRETAMENTE</v>
      </c>
      <c r="AH379" s="160" t="s">
        <v>205</v>
      </c>
      <c r="AI379" s="292" t="s">
        <v>6</v>
      </c>
      <c r="AJ379" s="293" t="str">
        <f t="shared" si="20"/>
        <v>SÃO PAULO</v>
      </c>
      <c r="AK379" s="294" t="s">
        <v>39</v>
      </c>
    </row>
    <row r="380" spans="1:37" s="302" customFormat="1" ht="30" customHeight="1">
      <c r="A380" s="215" t="s">
        <v>198</v>
      </c>
      <c r="B380" s="215">
        <v>2621094524</v>
      </c>
      <c r="C380" s="215" t="s">
        <v>105</v>
      </c>
      <c r="D380" s="215" t="s">
        <v>81</v>
      </c>
      <c r="E380" s="215" t="s">
        <v>5</v>
      </c>
      <c r="F380" s="215" t="s">
        <v>1121</v>
      </c>
      <c r="G380" s="215">
        <v>1</v>
      </c>
      <c r="H380" s="215" t="s">
        <v>200</v>
      </c>
      <c r="I380" s="215" t="s">
        <v>1122</v>
      </c>
      <c r="J380" s="215" t="s">
        <v>350</v>
      </c>
      <c r="K380" s="215" t="s">
        <v>1123</v>
      </c>
      <c r="L380" s="215" t="s">
        <v>1124</v>
      </c>
      <c r="M380" s="215" t="s">
        <v>1125</v>
      </c>
      <c r="N380" s="215" t="s">
        <v>326</v>
      </c>
      <c r="O380" s="290" t="s">
        <v>205</v>
      </c>
      <c r="P380" s="161"/>
      <c r="Q380" s="160" t="s">
        <v>239</v>
      </c>
      <c r="R380" s="161" t="s">
        <v>1103</v>
      </c>
      <c r="S380" s="160" t="s">
        <v>206</v>
      </c>
      <c r="T380" s="161"/>
      <c r="U380" s="160" t="s">
        <v>205</v>
      </c>
      <c r="V380" s="161"/>
      <c r="W380" s="160" t="s">
        <v>206</v>
      </c>
      <c r="X380" s="161"/>
      <c r="Y380" s="160" t="s">
        <v>62</v>
      </c>
      <c r="Z380" s="161"/>
      <c r="AA380" s="160" t="s">
        <v>206</v>
      </c>
      <c r="AB380" s="161"/>
      <c r="AC380" s="160" t="s">
        <v>206</v>
      </c>
      <c r="AD380" s="161"/>
      <c r="AE380" s="160" t="s">
        <v>205</v>
      </c>
      <c r="AF380" s="289" t="str">
        <f t="shared" si="18"/>
        <v>NC</v>
      </c>
      <c r="AG380" s="291" t="str">
        <f t="shared" si="19"/>
        <v>UTILIZOU O PDA CORRETAMENTE. NÃO HÁ FOTOS DE TODAS AS ETAPAS</v>
      </c>
      <c r="AH380" s="160" t="s">
        <v>205</v>
      </c>
      <c r="AI380" s="292" t="s">
        <v>6</v>
      </c>
      <c r="AJ380" s="293" t="str">
        <f t="shared" si="20"/>
        <v>SÃO PAULO</v>
      </c>
      <c r="AK380" s="294" t="s">
        <v>39</v>
      </c>
    </row>
    <row r="381" spans="1:37" s="302" customFormat="1" ht="30" customHeight="1">
      <c r="A381" s="215" t="s">
        <v>198</v>
      </c>
      <c r="B381" s="215">
        <v>2620872777</v>
      </c>
      <c r="C381" s="215" t="s">
        <v>331</v>
      </c>
      <c r="D381" s="215" t="s">
        <v>79</v>
      </c>
      <c r="E381" s="215" t="s">
        <v>5</v>
      </c>
      <c r="F381" s="215" t="s">
        <v>585</v>
      </c>
      <c r="G381" s="215">
        <v>153</v>
      </c>
      <c r="H381" s="215" t="s">
        <v>226</v>
      </c>
      <c r="I381" s="215" t="s">
        <v>620</v>
      </c>
      <c r="J381" s="215" t="s">
        <v>334</v>
      </c>
      <c r="K381" s="215" t="s">
        <v>1126</v>
      </c>
      <c r="L381" s="215" t="s">
        <v>1127</v>
      </c>
      <c r="M381" s="215" t="s">
        <v>1128</v>
      </c>
      <c r="N381" s="215" t="s">
        <v>212</v>
      </c>
      <c r="O381" s="290" t="s">
        <v>205</v>
      </c>
      <c r="P381" s="161"/>
      <c r="Q381" s="160" t="s">
        <v>205</v>
      </c>
      <c r="R381" s="161"/>
      <c r="S381" s="160" t="s">
        <v>205</v>
      </c>
      <c r="T381" s="161"/>
      <c r="U381" s="160" t="s">
        <v>205</v>
      </c>
      <c r="V381" s="161"/>
      <c r="W381" s="160" t="s">
        <v>205</v>
      </c>
      <c r="X381" s="161"/>
      <c r="Y381" s="160" t="s">
        <v>205</v>
      </c>
      <c r="Z381" s="161"/>
      <c r="AA381" s="160" t="s">
        <v>205</v>
      </c>
      <c r="AB381" s="161"/>
      <c r="AC381" s="160" t="s">
        <v>205</v>
      </c>
      <c r="AD381" s="161"/>
      <c r="AE381" s="160" t="s">
        <v>205</v>
      </c>
      <c r="AF381" s="289" t="str">
        <f t="shared" si="18"/>
        <v>C</v>
      </c>
      <c r="AG381" s="291" t="str">
        <f t="shared" si="19"/>
        <v>UTILIZOU O PDA CORRETAMENTE</v>
      </c>
      <c r="AH381" s="160" t="s">
        <v>205</v>
      </c>
      <c r="AI381" s="292" t="s">
        <v>6</v>
      </c>
      <c r="AJ381" s="293" t="str">
        <f t="shared" si="20"/>
        <v>SÃO PAULO</v>
      </c>
      <c r="AK381" s="294" t="s">
        <v>39</v>
      </c>
    </row>
    <row r="382" spans="1:37" s="302" customFormat="1" ht="30" customHeight="1">
      <c r="A382" s="215" t="s">
        <v>198</v>
      </c>
      <c r="B382" s="215">
        <v>2620879145</v>
      </c>
      <c r="C382" s="215" t="s">
        <v>331</v>
      </c>
      <c r="D382" s="215" t="s">
        <v>79</v>
      </c>
      <c r="E382" s="215" t="s">
        <v>5</v>
      </c>
      <c r="F382" s="215" t="s">
        <v>585</v>
      </c>
      <c r="G382" s="215">
        <v>5</v>
      </c>
      <c r="H382" s="215" t="s">
        <v>318</v>
      </c>
      <c r="I382" s="215" t="s">
        <v>620</v>
      </c>
      <c r="J382" s="215" t="s">
        <v>334</v>
      </c>
      <c r="K382" s="215" t="s">
        <v>1129</v>
      </c>
      <c r="L382" s="215" t="s">
        <v>1130</v>
      </c>
      <c r="M382" s="215" t="s">
        <v>1131</v>
      </c>
      <c r="N382" s="215" t="s">
        <v>212</v>
      </c>
      <c r="O382" s="290" t="s">
        <v>205</v>
      </c>
      <c r="P382" s="161"/>
      <c r="Q382" s="160" t="s">
        <v>205</v>
      </c>
      <c r="R382" s="161"/>
      <c r="S382" s="160" t="s">
        <v>205</v>
      </c>
      <c r="T382" s="161"/>
      <c r="U382" s="160" t="s">
        <v>205</v>
      </c>
      <c r="V382" s="161"/>
      <c r="W382" s="160" t="s">
        <v>205</v>
      </c>
      <c r="X382" s="161"/>
      <c r="Y382" s="160" t="s">
        <v>205</v>
      </c>
      <c r="Z382" s="161"/>
      <c r="AA382" s="160" t="s">
        <v>205</v>
      </c>
      <c r="AB382" s="161"/>
      <c r="AC382" s="160" t="s">
        <v>205</v>
      </c>
      <c r="AD382" s="161"/>
      <c r="AE382" s="160" t="s">
        <v>205</v>
      </c>
      <c r="AF382" s="289" t="str">
        <f t="shared" si="18"/>
        <v>C</v>
      </c>
      <c r="AG382" s="291" t="str">
        <f t="shared" si="19"/>
        <v>UTILIZOU O PDA CORRETAMENTE</v>
      </c>
      <c r="AH382" s="160" t="s">
        <v>205</v>
      </c>
      <c r="AI382" s="292" t="s">
        <v>6</v>
      </c>
      <c r="AJ382" s="293" t="str">
        <f t="shared" si="20"/>
        <v>SÃO PAULO</v>
      </c>
      <c r="AK382" s="294" t="s">
        <v>39</v>
      </c>
    </row>
    <row r="383" spans="1:37" s="302" customFormat="1" ht="30" customHeight="1">
      <c r="A383" s="215" t="s">
        <v>198</v>
      </c>
      <c r="B383" s="215">
        <v>2620876871</v>
      </c>
      <c r="C383" s="215" t="s">
        <v>331</v>
      </c>
      <c r="D383" s="215" t="s">
        <v>79</v>
      </c>
      <c r="E383" s="215" t="s">
        <v>5</v>
      </c>
      <c r="F383" s="215" t="s">
        <v>585</v>
      </c>
      <c r="G383" s="215">
        <v>142</v>
      </c>
      <c r="H383" s="215"/>
      <c r="I383" s="215" t="s">
        <v>215</v>
      </c>
      <c r="J383" s="215" t="s">
        <v>334</v>
      </c>
      <c r="K383" s="215" t="s">
        <v>1132</v>
      </c>
      <c r="L383" s="215" t="s">
        <v>1133</v>
      </c>
      <c r="M383" s="215" t="s">
        <v>1134</v>
      </c>
      <c r="N383" s="215" t="s">
        <v>212</v>
      </c>
      <c r="O383" s="290" t="s">
        <v>205</v>
      </c>
      <c r="P383" s="161"/>
      <c r="Q383" s="160" t="s">
        <v>205</v>
      </c>
      <c r="R383" s="161"/>
      <c r="S383" s="160" t="s">
        <v>205</v>
      </c>
      <c r="T383" s="161"/>
      <c r="U383" s="160" t="s">
        <v>205</v>
      </c>
      <c r="V383" s="161"/>
      <c r="W383" s="160" t="s">
        <v>205</v>
      </c>
      <c r="X383" s="161"/>
      <c r="Y383" s="160" t="s">
        <v>205</v>
      </c>
      <c r="Z383" s="161"/>
      <c r="AA383" s="160" t="s">
        <v>205</v>
      </c>
      <c r="AB383" s="161"/>
      <c r="AC383" s="160" t="s">
        <v>205</v>
      </c>
      <c r="AD383" s="161"/>
      <c r="AE383" s="160" t="s">
        <v>205</v>
      </c>
      <c r="AF383" s="289" t="str">
        <f t="shared" si="18"/>
        <v>C</v>
      </c>
      <c r="AG383" s="291" t="str">
        <f t="shared" si="19"/>
        <v>UTILIZOU O PDA CORRETAMENTE</v>
      </c>
      <c r="AH383" s="160" t="s">
        <v>205</v>
      </c>
      <c r="AI383" s="292" t="s">
        <v>6</v>
      </c>
      <c r="AJ383" s="293" t="str">
        <f t="shared" si="20"/>
        <v>SÃO PAULO</v>
      </c>
      <c r="AK383" s="294" t="s">
        <v>39</v>
      </c>
    </row>
    <row r="384" spans="1:37" s="302" customFormat="1" ht="30" customHeight="1">
      <c r="A384" s="215" t="s">
        <v>198</v>
      </c>
      <c r="B384" s="215">
        <v>2693594922</v>
      </c>
      <c r="C384" s="215" t="s">
        <v>99</v>
      </c>
      <c r="D384" s="215" t="s">
        <v>81</v>
      </c>
      <c r="E384" s="215" t="s">
        <v>5</v>
      </c>
      <c r="F384" s="215" t="s">
        <v>1135</v>
      </c>
      <c r="G384" s="215">
        <v>210</v>
      </c>
      <c r="H384" s="215" t="s">
        <v>226</v>
      </c>
      <c r="I384" s="215" t="s">
        <v>215</v>
      </c>
      <c r="J384" s="215" t="s">
        <v>268</v>
      </c>
      <c r="K384" s="215" t="s">
        <v>1136</v>
      </c>
      <c r="L384" s="215" t="s">
        <v>1137</v>
      </c>
      <c r="M384" s="215" t="s">
        <v>1138</v>
      </c>
      <c r="N384" s="215" t="s">
        <v>357</v>
      </c>
      <c r="O384" s="290" t="s">
        <v>62</v>
      </c>
      <c r="P384" s="161"/>
      <c r="Q384" s="160" t="s">
        <v>62</v>
      </c>
      <c r="R384" s="161"/>
      <c r="S384" s="160" t="s">
        <v>62</v>
      </c>
      <c r="T384" s="161"/>
      <c r="U384" s="160" t="s">
        <v>62</v>
      </c>
      <c r="V384" s="161"/>
      <c r="W384" s="160" t="s">
        <v>62</v>
      </c>
      <c r="X384" s="161"/>
      <c r="Y384" s="160" t="s">
        <v>62</v>
      </c>
      <c r="Z384" s="161"/>
      <c r="AA384" s="160" t="s">
        <v>62</v>
      </c>
      <c r="AB384" s="161"/>
      <c r="AC384" s="160" t="s">
        <v>62</v>
      </c>
      <c r="AD384" s="161" t="s">
        <v>525</v>
      </c>
      <c r="AE384" s="160" t="s">
        <v>62</v>
      </c>
      <c r="AF384" s="289" t="str">
        <f t="shared" si="18"/>
        <v>NA</v>
      </c>
      <c r="AG384" s="291" t="str">
        <f t="shared" si="19"/>
        <v>NÃO AVALIADO POR FALHA DE SINCRONISMO</v>
      </c>
      <c r="AH384" s="160"/>
      <c r="AI384" s="292" t="s">
        <v>6</v>
      </c>
      <c r="AJ384" s="293" t="str">
        <f t="shared" si="20"/>
        <v>SÃO PAULO</v>
      </c>
      <c r="AK384" s="294" t="s">
        <v>39</v>
      </c>
    </row>
    <row r="385" spans="1:37" s="302" customFormat="1" ht="30" customHeight="1">
      <c r="A385" s="215" t="s">
        <v>198</v>
      </c>
      <c r="B385" s="215">
        <v>2693592253</v>
      </c>
      <c r="C385" s="215" t="s">
        <v>99</v>
      </c>
      <c r="D385" s="215" t="s">
        <v>81</v>
      </c>
      <c r="E385" s="215" t="s">
        <v>5</v>
      </c>
      <c r="F385" s="215" t="s">
        <v>1117</v>
      </c>
      <c r="G385" s="215">
        <v>53</v>
      </c>
      <c r="H385" s="215"/>
      <c r="I385" s="215" t="s">
        <v>914</v>
      </c>
      <c r="J385" s="215" t="s">
        <v>268</v>
      </c>
      <c r="K385" s="215"/>
      <c r="L385" s="215" t="s">
        <v>1137</v>
      </c>
      <c r="M385" s="215" t="s">
        <v>1138</v>
      </c>
      <c r="N385" s="215" t="s">
        <v>248</v>
      </c>
      <c r="O385" s="290" t="s">
        <v>205</v>
      </c>
      <c r="P385" s="161"/>
      <c r="Q385" s="160" t="s">
        <v>205</v>
      </c>
      <c r="R385" s="161"/>
      <c r="S385" s="160" t="s">
        <v>205</v>
      </c>
      <c r="T385" s="161"/>
      <c r="U385" s="160" t="s">
        <v>205</v>
      </c>
      <c r="V385" s="161"/>
      <c r="W385" s="160" t="s">
        <v>205</v>
      </c>
      <c r="X385" s="161"/>
      <c r="Y385" s="160" t="s">
        <v>205</v>
      </c>
      <c r="Z385" s="161"/>
      <c r="AA385" s="160" t="s">
        <v>205</v>
      </c>
      <c r="AB385" s="161"/>
      <c r="AC385" s="160" t="s">
        <v>205</v>
      </c>
      <c r="AD385" s="161"/>
      <c r="AE385" s="160" t="s">
        <v>205</v>
      </c>
      <c r="AF385" s="289" t="str">
        <f t="shared" si="18"/>
        <v>C</v>
      </c>
      <c r="AG385" s="291" t="str">
        <f t="shared" si="19"/>
        <v>UTILIZOU O PDA CORRETAMENTE</v>
      </c>
      <c r="AH385" s="160"/>
      <c r="AI385" s="292" t="s">
        <v>6</v>
      </c>
      <c r="AJ385" s="293" t="str">
        <f t="shared" si="20"/>
        <v>SÃO PAULO</v>
      </c>
      <c r="AK385" s="294" t="s">
        <v>39</v>
      </c>
    </row>
    <row r="386" spans="1:37" s="302" customFormat="1" ht="30" customHeight="1">
      <c r="A386" s="215" t="s">
        <v>198</v>
      </c>
      <c r="B386" s="215">
        <v>2693568928</v>
      </c>
      <c r="C386" s="215" t="s">
        <v>99</v>
      </c>
      <c r="D386" s="215" t="s">
        <v>81</v>
      </c>
      <c r="E386" s="215" t="s">
        <v>5</v>
      </c>
      <c r="F386" s="215" t="s">
        <v>1139</v>
      </c>
      <c r="G386" s="215">
        <v>70</v>
      </c>
      <c r="H386" s="215" t="s">
        <v>226</v>
      </c>
      <c r="I386" s="215" t="s">
        <v>251</v>
      </c>
      <c r="J386" s="215" t="s">
        <v>268</v>
      </c>
      <c r="K386" s="215" t="s">
        <v>200</v>
      </c>
      <c r="L386" s="215" t="s">
        <v>1137</v>
      </c>
      <c r="M386" s="215" t="s">
        <v>1138</v>
      </c>
      <c r="N386" s="215" t="s">
        <v>254</v>
      </c>
      <c r="O386" s="290" t="s">
        <v>205</v>
      </c>
      <c r="P386" s="161"/>
      <c r="Q386" s="160" t="s">
        <v>205</v>
      </c>
      <c r="R386" s="161"/>
      <c r="S386" s="160" t="s">
        <v>205</v>
      </c>
      <c r="T386" s="161"/>
      <c r="U386" s="160" t="s">
        <v>205</v>
      </c>
      <c r="V386" s="161"/>
      <c r="W386" s="160" t="s">
        <v>205</v>
      </c>
      <c r="X386" s="161"/>
      <c r="Y386" s="160" t="s">
        <v>205</v>
      </c>
      <c r="Z386" s="161"/>
      <c r="AA386" s="160" t="s">
        <v>205</v>
      </c>
      <c r="AB386" s="161"/>
      <c r="AC386" s="160" t="s">
        <v>205</v>
      </c>
      <c r="AD386" s="161"/>
      <c r="AE386" s="160" t="s">
        <v>205</v>
      </c>
      <c r="AF386" s="289" t="str">
        <f t="shared" si="18"/>
        <v>C</v>
      </c>
      <c r="AG386" s="291" t="str">
        <f t="shared" si="19"/>
        <v>UTILIZOU O PDA CORRETAMENTE</v>
      </c>
      <c r="AH386" s="160" t="s">
        <v>205</v>
      </c>
      <c r="AI386" s="292" t="s">
        <v>6</v>
      </c>
      <c r="AJ386" s="293" t="str">
        <f t="shared" si="20"/>
        <v>SÃO PAULO</v>
      </c>
      <c r="AK386" s="294" t="s">
        <v>39</v>
      </c>
    </row>
    <row r="387" spans="1:37" s="302" customFormat="1" ht="30" customHeight="1">
      <c r="A387" s="228" t="s">
        <v>198</v>
      </c>
      <c r="B387" s="228">
        <v>2693702387</v>
      </c>
      <c r="C387" s="228" t="s">
        <v>103</v>
      </c>
      <c r="D387" s="228" t="s">
        <v>81</v>
      </c>
      <c r="E387" s="228" t="s">
        <v>5</v>
      </c>
      <c r="F387" s="228" t="s">
        <v>1140</v>
      </c>
      <c r="G387" s="228">
        <v>65</v>
      </c>
      <c r="H387" s="228" t="s">
        <v>226</v>
      </c>
      <c r="I387" s="228" t="s">
        <v>1049</v>
      </c>
      <c r="J387" s="228" t="s">
        <v>268</v>
      </c>
      <c r="K387" s="228"/>
      <c r="L387" s="228" t="s">
        <v>1141</v>
      </c>
      <c r="M387" s="228" t="s">
        <v>1142</v>
      </c>
      <c r="N387" s="228" t="s">
        <v>310</v>
      </c>
      <c r="O387" s="290" t="s">
        <v>62</v>
      </c>
      <c r="P387" s="161"/>
      <c r="Q387" s="160" t="s">
        <v>62</v>
      </c>
      <c r="R387" s="161"/>
      <c r="S387" s="160" t="s">
        <v>62</v>
      </c>
      <c r="T387" s="161"/>
      <c r="U387" s="160" t="s">
        <v>62</v>
      </c>
      <c r="V387" s="161"/>
      <c r="W387" s="160" t="s">
        <v>62</v>
      </c>
      <c r="X387" s="161"/>
      <c r="Y387" s="160" t="s">
        <v>62</v>
      </c>
      <c r="Z387" s="161"/>
      <c r="AA387" s="160" t="s">
        <v>62</v>
      </c>
      <c r="AB387" s="161"/>
      <c r="AC387" s="160" t="s">
        <v>62</v>
      </c>
      <c r="AD387" s="161"/>
      <c r="AE387" s="160" t="s">
        <v>62</v>
      </c>
      <c r="AF387" s="289" t="str">
        <f>IF(AND(O387="",Q387="",S387="",U387="",W387="",Y387="",AA387="",AC387=""),"",IF(OR(AND(O387&lt;&gt;"NA",O387&lt;&gt;"C",O387&lt;&gt;"NC",O387&lt;&gt;"SF",O387&lt;&gt;""),AND(Q387&lt;&gt;"NA",Q387&lt;&gt;"C",Q387&lt;&gt;"NC",Q387&lt;&gt;"SF",Q387&lt;&gt;""),AND(S387&lt;&gt;"NA",S387&lt;&gt;"C",S387&lt;&gt;"NC",S387&lt;&gt;"SF",S387&lt;&gt;""),AND(U387&lt;&gt;"NA",U387&lt;&gt;"C",U387&lt;&gt;"NC",U387&lt;&gt;"SF",U387&lt;&gt;""),AND(W387&lt;&gt;"NA",W387&lt;&gt;"C",W387&lt;&gt;"NC",W387&lt;&gt;"SF",W387&lt;&gt;""),AND(Y387&lt;&gt;"NA",Y387&lt;&gt;"C",Y387&lt;&gt;"NC",Y387&lt;&gt;"SF",Y387&lt;&gt;""),AND(AA387&lt;&gt;"NA",AA387&lt;&gt;"C",AA387&lt;&gt;"NC",AA387&lt;&gt;"SF",AA387&lt;&gt;""),AND(AC387&lt;&gt;"NA",AC387&lt;&gt;"C",AC387&lt;&gt;"NC",AC387&lt;&gt;"SF",AC387&lt;&gt;"")),"FALSO",IF(AND(O387="NA",Q387="NA",S387="NA",U387="NA",W387="NA",Y387="NA",AA387="NA",AC387="NA"),"NA",IF(OR(O387="NC",Q387="NC",S387="NC",U387="NC",W387="NC",Y387="NC",AA387="NC",AC387="NC",O387="SF",Q387="SF",S387="SF",U387="SF",W387="SF",Y387="SF",AA387="SF",AC387="SF"),"NC",IF(OR(O387="C",Q387="C",S387="C",U387="C",W387="C",Y387="C",AA387="C",AC387="C"),"C","")))))</f>
        <v>NA</v>
      </c>
      <c r="AG387" s="291" t="str">
        <f t="shared" si="19"/>
        <v>NÃO AVALIADO POR FALHA DE SINCRONISMO</v>
      </c>
      <c r="AH387" s="160" t="s">
        <v>205</v>
      </c>
      <c r="AI387" s="292" t="s">
        <v>6</v>
      </c>
      <c r="AJ387" s="293" t="str">
        <f t="shared" si="20"/>
        <v>SÃO PAULO</v>
      </c>
      <c r="AK387" s="294" t="s">
        <v>39</v>
      </c>
    </row>
    <row r="388" spans="1:37" s="302" customFormat="1" ht="30" customHeight="1">
      <c r="A388" s="215" t="s">
        <v>198</v>
      </c>
      <c r="B388" s="215">
        <v>2620192459</v>
      </c>
      <c r="C388" s="215" t="s">
        <v>314</v>
      </c>
      <c r="D388" s="215" t="s">
        <v>77</v>
      </c>
      <c r="E388" s="215" t="s">
        <v>5</v>
      </c>
      <c r="F388" s="215" t="s">
        <v>1143</v>
      </c>
      <c r="G388" s="215">
        <v>125</v>
      </c>
      <c r="H388" s="215" t="s">
        <v>318</v>
      </c>
      <c r="I388" s="215" t="s">
        <v>1144</v>
      </c>
      <c r="J388" s="215" t="s">
        <v>317</v>
      </c>
      <c r="K388" s="215" t="s">
        <v>1145</v>
      </c>
      <c r="L388" s="215" t="s">
        <v>1146</v>
      </c>
      <c r="M388" s="215" t="s">
        <v>1147</v>
      </c>
      <c r="N388" s="215" t="s">
        <v>357</v>
      </c>
      <c r="O388" s="290" t="s">
        <v>206</v>
      </c>
      <c r="P388" s="161"/>
      <c r="Q388" s="160" t="s">
        <v>62</v>
      </c>
      <c r="R388" s="161"/>
      <c r="S388" s="160" t="s">
        <v>62</v>
      </c>
      <c r="T388" s="161"/>
      <c r="U388" s="160" t="s">
        <v>62</v>
      </c>
      <c r="V388" s="161"/>
      <c r="W388" s="160" t="s">
        <v>62</v>
      </c>
      <c r="X388" s="161"/>
      <c r="Y388" s="160" t="s">
        <v>62</v>
      </c>
      <c r="Z388" s="161"/>
      <c r="AA388" s="160" t="s">
        <v>62</v>
      </c>
      <c r="AB388" s="161"/>
      <c r="AC388" s="160" t="s">
        <v>206</v>
      </c>
      <c r="AD388" s="161"/>
      <c r="AE388" s="160" t="s">
        <v>239</v>
      </c>
      <c r="AF388" s="289" t="str">
        <f t="shared" si="18"/>
        <v>NC</v>
      </c>
      <c r="AG388" s="291" t="str">
        <f t="shared" si="19"/>
        <v>NÃO UTILIZOU O PDA</v>
      </c>
      <c r="AH388" s="160" t="s">
        <v>205</v>
      </c>
      <c r="AI388" s="292" t="s">
        <v>6</v>
      </c>
      <c r="AJ388" s="293" t="str">
        <f t="shared" si="20"/>
        <v>SÃO PAULO</v>
      </c>
      <c r="AK388" s="294" t="s">
        <v>39</v>
      </c>
    </row>
    <row r="389" spans="1:37" s="302" customFormat="1" ht="30" customHeight="1">
      <c r="A389" s="215" t="s">
        <v>198</v>
      </c>
      <c r="B389" s="215">
        <v>2620192457</v>
      </c>
      <c r="C389" s="215" t="s">
        <v>314</v>
      </c>
      <c r="D389" s="215" t="s">
        <v>77</v>
      </c>
      <c r="E389" s="215" t="s">
        <v>5</v>
      </c>
      <c r="F389" s="215" t="s">
        <v>1143</v>
      </c>
      <c r="G389" s="215">
        <v>125</v>
      </c>
      <c r="H389" s="215" t="s">
        <v>226</v>
      </c>
      <c r="I389" s="215" t="s">
        <v>1144</v>
      </c>
      <c r="J389" s="215" t="s">
        <v>317</v>
      </c>
      <c r="K389" s="215" t="s">
        <v>1145</v>
      </c>
      <c r="L389" s="215" t="s">
        <v>1146</v>
      </c>
      <c r="M389" s="215" t="s">
        <v>1147</v>
      </c>
      <c r="N389" s="215" t="s">
        <v>357</v>
      </c>
      <c r="O389" s="290" t="s">
        <v>205</v>
      </c>
      <c r="P389" s="161"/>
      <c r="Q389" s="160" t="s">
        <v>205</v>
      </c>
      <c r="R389" s="161"/>
      <c r="S389" s="160" t="s">
        <v>205</v>
      </c>
      <c r="T389" s="161"/>
      <c r="U389" s="160" t="s">
        <v>205</v>
      </c>
      <c r="V389" s="161"/>
      <c r="W389" s="160" t="s">
        <v>205</v>
      </c>
      <c r="X389" s="161"/>
      <c r="Y389" s="160" t="s">
        <v>205</v>
      </c>
      <c r="Z389" s="161"/>
      <c r="AA389" s="160" t="s">
        <v>205</v>
      </c>
      <c r="AB389" s="161"/>
      <c r="AC389" s="160" t="s">
        <v>205</v>
      </c>
      <c r="AD389" s="161"/>
      <c r="AE389" s="160" t="s">
        <v>205</v>
      </c>
      <c r="AF389" s="289" t="str">
        <f t="shared" si="18"/>
        <v>C</v>
      </c>
      <c r="AG389" s="291" t="str">
        <f t="shared" si="19"/>
        <v>UTILIZOU O PDA CORRETAMENTE</v>
      </c>
      <c r="AH389" s="160" t="s">
        <v>205</v>
      </c>
      <c r="AI389" s="292" t="s">
        <v>6</v>
      </c>
      <c r="AJ389" s="293" t="str">
        <f t="shared" si="20"/>
        <v>SÃO PAULO</v>
      </c>
      <c r="AK389" s="294" t="s">
        <v>39</v>
      </c>
    </row>
    <row r="390" spans="1:37" s="302" customFormat="1" ht="30" customHeight="1">
      <c r="A390" s="215" t="s">
        <v>198</v>
      </c>
      <c r="B390" s="215">
        <v>2621074846</v>
      </c>
      <c r="C390" s="215" t="s">
        <v>94</v>
      </c>
      <c r="D390" s="215" t="s">
        <v>77</v>
      </c>
      <c r="E390" s="215" t="s">
        <v>5</v>
      </c>
      <c r="F390" s="215" t="s">
        <v>292</v>
      </c>
      <c r="G390" s="215">
        <v>1631</v>
      </c>
      <c r="H390" s="215" t="s">
        <v>226</v>
      </c>
      <c r="I390" s="215" t="s">
        <v>293</v>
      </c>
      <c r="J390" s="215" t="s">
        <v>94</v>
      </c>
      <c r="K390" s="215" t="s">
        <v>1148</v>
      </c>
      <c r="L390" s="215" t="s">
        <v>1149</v>
      </c>
      <c r="M390" s="215" t="s">
        <v>1150</v>
      </c>
      <c r="N390" s="215" t="s">
        <v>357</v>
      </c>
      <c r="O390" s="290" t="s">
        <v>205</v>
      </c>
      <c r="P390" s="161"/>
      <c r="Q390" s="160" t="s">
        <v>205</v>
      </c>
      <c r="R390" s="161"/>
      <c r="S390" s="160" t="s">
        <v>62</v>
      </c>
      <c r="T390" s="161"/>
      <c r="U390" s="160" t="s">
        <v>62</v>
      </c>
      <c r="V390" s="161"/>
      <c r="W390" s="160" t="s">
        <v>62</v>
      </c>
      <c r="X390" s="161"/>
      <c r="Y390" s="160" t="s">
        <v>62</v>
      </c>
      <c r="Z390" s="161"/>
      <c r="AA390" s="160" t="s">
        <v>62</v>
      </c>
      <c r="AB390" s="161"/>
      <c r="AC390" s="160" t="s">
        <v>205</v>
      </c>
      <c r="AD390" s="161"/>
      <c r="AE390" s="160" t="s">
        <v>205</v>
      </c>
      <c r="AF390" s="289" t="str">
        <f t="shared" si="18"/>
        <v>C</v>
      </c>
      <c r="AG390" s="291" t="str">
        <f t="shared" si="19"/>
        <v>UTILIZOU O PDA CORRETAMENTE</v>
      </c>
      <c r="AH390" s="160" t="s">
        <v>205</v>
      </c>
      <c r="AI390" s="292" t="s">
        <v>6</v>
      </c>
      <c r="AJ390" s="293" t="str">
        <f t="shared" si="20"/>
        <v>SÃO PAULO</v>
      </c>
      <c r="AK390" s="294" t="s">
        <v>39</v>
      </c>
    </row>
    <row r="391" spans="1:37" s="302" customFormat="1" ht="30" customHeight="1">
      <c r="A391" s="215" t="s">
        <v>198</v>
      </c>
      <c r="B391" s="215">
        <v>2621074847</v>
      </c>
      <c r="C391" s="215" t="s">
        <v>96</v>
      </c>
      <c r="D391" s="215" t="s">
        <v>77</v>
      </c>
      <c r="E391" s="215" t="s">
        <v>5</v>
      </c>
      <c r="F391" s="215" t="s">
        <v>292</v>
      </c>
      <c r="G391" s="215">
        <v>1631</v>
      </c>
      <c r="H391" s="215" t="s">
        <v>318</v>
      </c>
      <c r="I391" s="215" t="s">
        <v>293</v>
      </c>
      <c r="J391" s="215" t="s">
        <v>96</v>
      </c>
      <c r="K391" s="215" t="s">
        <v>1151</v>
      </c>
      <c r="L391" s="215" t="s">
        <v>1152</v>
      </c>
      <c r="M391" s="215" t="s">
        <v>1149</v>
      </c>
      <c r="N391" s="215" t="s">
        <v>357</v>
      </c>
      <c r="O391" s="290" t="s">
        <v>205</v>
      </c>
      <c r="P391" s="161"/>
      <c r="Q391" s="160" t="s">
        <v>205</v>
      </c>
      <c r="R391" s="161"/>
      <c r="S391" s="160" t="s">
        <v>62</v>
      </c>
      <c r="T391" s="161"/>
      <c r="U391" s="160" t="s">
        <v>62</v>
      </c>
      <c r="V391" s="161"/>
      <c r="W391" s="160" t="s">
        <v>62</v>
      </c>
      <c r="X391" s="161"/>
      <c r="Y391" s="160" t="s">
        <v>62</v>
      </c>
      <c r="Z391" s="161"/>
      <c r="AA391" s="160" t="s">
        <v>62</v>
      </c>
      <c r="AB391" s="161"/>
      <c r="AC391" s="160" t="s">
        <v>205</v>
      </c>
      <c r="AD391" s="161"/>
      <c r="AE391" s="160" t="s">
        <v>205</v>
      </c>
      <c r="AF391" s="289" t="str">
        <f t="shared" si="18"/>
        <v>C</v>
      </c>
      <c r="AG391" s="291" t="str">
        <f t="shared" si="19"/>
        <v>UTILIZOU O PDA CORRETAMENTE</v>
      </c>
      <c r="AH391" s="160" t="s">
        <v>205</v>
      </c>
      <c r="AI391" s="292" t="s">
        <v>6</v>
      </c>
      <c r="AJ391" s="293" t="str">
        <f t="shared" si="20"/>
        <v>SÃO PAULO</v>
      </c>
      <c r="AK391" s="294" t="s">
        <v>39</v>
      </c>
    </row>
    <row r="392" spans="1:37" s="302" customFormat="1" ht="30" customHeight="1">
      <c r="A392" s="215" t="s">
        <v>198</v>
      </c>
      <c r="B392" s="215">
        <v>2620872985</v>
      </c>
      <c r="C392" s="215" t="s">
        <v>106</v>
      </c>
      <c r="D392" s="215" t="s">
        <v>81</v>
      </c>
      <c r="E392" s="215" t="s">
        <v>5</v>
      </c>
      <c r="F392" s="215" t="s">
        <v>603</v>
      </c>
      <c r="G392" s="215">
        <v>20</v>
      </c>
      <c r="H392" s="215" t="s">
        <v>318</v>
      </c>
      <c r="I392" s="215" t="s">
        <v>215</v>
      </c>
      <c r="J392" s="215" t="s">
        <v>459</v>
      </c>
      <c r="K392" s="219" t="s">
        <v>1153</v>
      </c>
      <c r="L392" s="215" t="s">
        <v>1154</v>
      </c>
      <c r="M392" s="215" t="s">
        <v>1155</v>
      </c>
      <c r="N392" s="215" t="s">
        <v>326</v>
      </c>
      <c r="O392" s="290" t="s">
        <v>205</v>
      </c>
      <c r="P392" s="161"/>
      <c r="Q392" s="160" t="s">
        <v>205</v>
      </c>
      <c r="R392" s="161"/>
      <c r="S392" s="160" t="s">
        <v>205</v>
      </c>
      <c r="T392" s="161"/>
      <c r="U392" s="160" t="s">
        <v>205</v>
      </c>
      <c r="V392" s="161"/>
      <c r="W392" s="160" t="s">
        <v>205</v>
      </c>
      <c r="X392" s="161"/>
      <c r="Y392" s="160" t="s">
        <v>62</v>
      </c>
      <c r="Z392" s="161"/>
      <c r="AA392" s="160" t="s">
        <v>205</v>
      </c>
      <c r="AB392" s="161"/>
      <c r="AC392" s="160" t="s">
        <v>206</v>
      </c>
      <c r="AD392" s="161"/>
      <c r="AE392" s="160" t="s">
        <v>205</v>
      </c>
      <c r="AF392" s="289" t="str">
        <f t="shared" si="18"/>
        <v>NC</v>
      </c>
      <c r="AG392" s="291" t="str">
        <f t="shared" si="19"/>
        <v>UTILIZOU O PDA CORRETAMENTE. NÃO HÁ FOTOS DE TODAS AS ETAPAS</v>
      </c>
      <c r="AH392" s="160"/>
      <c r="AI392" s="292" t="s">
        <v>6</v>
      </c>
      <c r="AJ392" s="293" t="str">
        <f t="shared" si="20"/>
        <v>SÃO PAULO</v>
      </c>
      <c r="AK392" s="294" t="s">
        <v>39</v>
      </c>
    </row>
    <row r="393" spans="1:37" s="302" customFormat="1" ht="30" customHeight="1">
      <c r="A393" s="215" t="s">
        <v>198</v>
      </c>
      <c r="B393" s="215">
        <v>2621086134</v>
      </c>
      <c r="C393" s="215" t="s">
        <v>107</v>
      </c>
      <c r="D393" s="215" t="s">
        <v>81</v>
      </c>
      <c r="E393" s="215" t="s">
        <v>5</v>
      </c>
      <c r="F393" s="215" t="s">
        <v>556</v>
      </c>
      <c r="G393" s="215">
        <v>1947</v>
      </c>
      <c r="H393" s="215"/>
      <c r="I393" s="215" t="s">
        <v>260</v>
      </c>
      <c r="J393" s="215" t="s">
        <v>220</v>
      </c>
      <c r="K393" s="215" t="s">
        <v>1156</v>
      </c>
      <c r="L393" s="215" t="s">
        <v>1157</v>
      </c>
      <c r="M393" s="215" t="s">
        <v>1158</v>
      </c>
      <c r="N393" s="215" t="s">
        <v>248</v>
      </c>
      <c r="O393" s="290" t="s">
        <v>205</v>
      </c>
      <c r="P393" s="161"/>
      <c r="Q393" s="160" t="s">
        <v>205</v>
      </c>
      <c r="R393" s="161"/>
      <c r="S393" s="160" t="s">
        <v>205</v>
      </c>
      <c r="T393" s="161"/>
      <c r="U393" s="160" t="s">
        <v>205</v>
      </c>
      <c r="V393" s="161"/>
      <c r="W393" s="160" t="s">
        <v>205</v>
      </c>
      <c r="X393" s="161"/>
      <c r="Y393" s="160" t="s">
        <v>62</v>
      </c>
      <c r="Z393" s="161"/>
      <c r="AA393" s="160" t="s">
        <v>205</v>
      </c>
      <c r="AB393" s="161"/>
      <c r="AC393" s="160" t="s">
        <v>205</v>
      </c>
      <c r="AD393" s="161"/>
      <c r="AE393" s="160" t="s">
        <v>205</v>
      </c>
      <c r="AF393" s="289" t="str">
        <f t="shared" si="18"/>
        <v>C</v>
      </c>
      <c r="AG393" s="291" t="str">
        <f t="shared" si="19"/>
        <v>UTILIZOU O PDA CORRETAMENTE</v>
      </c>
      <c r="AH393" s="160" t="s">
        <v>205</v>
      </c>
      <c r="AI393" s="292" t="s">
        <v>6</v>
      </c>
      <c r="AJ393" s="293" t="str">
        <f t="shared" si="20"/>
        <v>SÃO PAULO</v>
      </c>
      <c r="AK393" s="294" t="s">
        <v>39</v>
      </c>
    </row>
    <row r="394" spans="1:37" s="302" customFormat="1" ht="30" customHeight="1">
      <c r="A394" s="215" t="s">
        <v>198</v>
      </c>
      <c r="B394" s="215">
        <v>2620778480</v>
      </c>
      <c r="C394" s="215" t="s">
        <v>105</v>
      </c>
      <c r="D394" s="215" t="s">
        <v>81</v>
      </c>
      <c r="E394" s="215" t="s">
        <v>5</v>
      </c>
      <c r="F394" s="215" t="s">
        <v>1159</v>
      </c>
      <c r="G394" s="215">
        <v>59</v>
      </c>
      <c r="H394" s="215" t="s">
        <v>363</v>
      </c>
      <c r="I394" s="215" t="s">
        <v>567</v>
      </c>
      <c r="J394" s="215" t="s">
        <v>459</v>
      </c>
      <c r="K394" s="215" t="s">
        <v>1160</v>
      </c>
      <c r="L394" s="215" t="s">
        <v>1161</v>
      </c>
      <c r="M394" s="215" t="s">
        <v>1162</v>
      </c>
      <c r="N394" s="215" t="s">
        <v>235</v>
      </c>
      <c r="O394" s="290" t="s">
        <v>205</v>
      </c>
      <c r="P394" s="161"/>
      <c r="Q394" s="160" t="s">
        <v>205</v>
      </c>
      <c r="R394" s="161"/>
      <c r="S394" s="160" t="s">
        <v>205</v>
      </c>
      <c r="T394" s="161"/>
      <c r="U394" s="160" t="s">
        <v>205</v>
      </c>
      <c r="V394" s="161"/>
      <c r="W394" s="160" t="s">
        <v>205</v>
      </c>
      <c r="X394" s="161"/>
      <c r="Y394" s="160" t="s">
        <v>205</v>
      </c>
      <c r="Z394" s="161"/>
      <c r="AA394" s="160" t="s">
        <v>205</v>
      </c>
      <c r="AB394" s="161"/>
      <c r="AC394" s="160" t="s">
        <v>205</v>
      </c>
      <c r="AD394" s="161"/>
      <c r="AE394" s="160" t="s">
        <v>205</v>
      </c>
      <c r="AF394" s="289" t="str">
        <f t="shared" si="18"/>
        <v>C</v>
      </c>
      <c r="AG394" s="291" t="str">
        <f t="shared" si="19"/>
        <v>UTILIZOU O PDA CORRETAMENTE</v>
      </c>
      <c r="AH394" s="160" t="s">
        <v>205</v>
      </c>
      <c r="AI394" s="292" t="s">
        <v>6</v>
      </c>
      <c r="AJ394" s="293" t="str">
        <f t="shared" si="20"/>
        <v>SÃO PAULO</v>
      </c>
      <c r="AK394" s="294" t="s">
        <v>39</v>
      </c>
    </row>
    <row r="395" spans="1:37" s="302" customFormat="1" ht="30" customHeight="1">
      <c r="A395" s="215" t="s">
        <v>198</v>
      </c>
      <c r="B395" s="215">
        <v>2621061498</v>
      </c>
      <c r="C395" s="215" t="s">
        <v>103</v>
      </c>
      <c r="D395" s="215" t="s">
        <v>81</v>
      </c>
      <c r="E395" s="215" t="s">
        <v>5</v>
      </c>
      <c r="F395" s="215" t="s">
        <v>1163</v>
      </c>
      <c r="G395" s="215">
        <v>118</v>
      </c>
      <c r="H395" s="215"/>
      <c r="I395" s="215" t="s">
        <v>1164</v>
      </c>
      <c r="J395" s="215" t="s">
        <v>322</v>
      </c>
      <c r="K395" s="215" t="s">
        <v>1165</v>
      </c>
      <c r="L395" s="215" t="s">
        <v>1166</v>
      </c>
      <c r="M395" s="215" t="s">
        <v>1167</v>
      </c>
      <c r="N395" s="215" t="s">
        <v>359</v>
      </c>
      <c r="O395" s="290" t="s">
        <v>205</v>
      </c>
      <c r="P395" s="161"/>
      <c r="Q395" s="160" t="s">
        <v>205</v>
      </c>
      <c r="R395" s="161"/>
      <c r="S395" s="160" t="s">
        <v>205</v>
      </c>
      <c r="T395" s="161"/>
      <c r="U395" s="160" t="s">
        <v>205</v>
      </c>
      <c r="V395" s="161"/>
      <c r="W395" s="160" t="s">
        <v>205</v>
      </c>
      <c r="X395" s="161"/>
      <c r="Y395" s="160" t="s">
        <v>62</v>
      </c>
      <c r="Z395" s="161"/>
      <c r="AA395" s="160" t="s">
        <v>205</v>
      </c>
      <c r="AB395" s="161"/>
      <c r="AC395" s="160" t="s">
        <v>205</v>
      </c>
      <c r="AD395" s="161"/>
      <c r="AE395" s="160" t="s">
        <v>205</v>
      </c>
      <c r="AF395" s="289" t="str">
        <f t="shared" si="18"/>
        <v>C</v>
      </c>
      <c r="AG395" s="291" t="str">
        <f t="shared" si="19"/>
        <v>UTILIZOU O PDA CORRETAMENTE</v>
      </c>
      <c r="AH395" s="160" t="s">
        <v>205</v>
      </c>
      <c r="AI395" s="292" t="s">
        <v>6</v>
      </c>
      <c r="AJ395" s="293" t="str">
        <f t="shared" si="20"/>
        <v>SÃO PAULO</v>
      </c>
      <c r="AK395" s="294" t="s">
        <v>39</v>
      </c>
    </row>
    <row r="396" spans="1:37" s="302" customFormat="1" ht="30" customHeight="1">
      <c r="A396" s="215" t="s">
        <v>198</v>
      </c>
      <c r="B396" s="215">
        <v>2621096767</v>
      </c>
      <c r="C396" s="215" t="s">
        <v>96</v>
      </c>
      <c r="D396" s="215" t="s">
        <v>77</v>
      </c>
      <c r="E396" s="215" t="s">
        <v>5</v>
      </c>
      <c r="F396" s="215" t="s">
        <v>721</v>
      </c>
      <c r="G396" s="215">
        <v>537</v>
      </c>
      <c r="H396" s="215" t="s">
        <v>318</v>
      </c>
      <c r="I396" s="215" t="s">
        <v>215</v>
      </c>
      <c r="J396" s="215" t="s">
        <v>96</v>
      </c>
      <c r="K396" s="215"/>
      <c r="L396" s="215" t="s">
        <v>1168</v>
      </c>
      <c r="M396" s="215" t="s">
        <v>1169</v>
      </c>
      <c r="N396" s="215" t="s">
        <v>310</v>
      </c>
      <c r="O396" s="290" t="s">
        <v>205</v>
      </c>
      <c r="P396" s="161"/>
      <c r="Q396" s="160" t="s">
        <v>205</v>
      </c>
      <c r="R396" s="161"/>
      <c r="S396" s="160" t="s">
        <v>62</v>
      </c>
      <c r="T396" s="161"/>
      <c r="U396" s="160" t="s">
        <v>62</v>
      </c>
      <c r="V396" s="161"/>
      <c r="W396" s="160" t="s">
        <v>62</v>
      </c>
      <c r="X396" s="161"/>
      <c r="Y396" s="160" t="s">
        <v>62</v>
      </c>
      <c r="Z396" s="161"/>
      <c r="AA396" s="160" t="s">
        <v>62</v>
      </c>
      <c r="AB396" s="161"/>
      <c r="AC396" s="160" t="s">
        <v>205</v>
      </c>
      <c r="AD396" s="161"/>
      <c r="AE396" s="160" t="s">
        <v>205</v>
      </c>
      <c r="AF396" s="289" t="s">
        <v>205</v>
      </c>
      <c r="AG396" s="291" t="str">
        <f t="shared" si="19"/>
        <v>UTILIZOU O PDA CORRETAMENTE</v>
      </c>
      <c r="AH396" s="160" t="s">
        <v>205</v>
      </c>
      <c r="AI396" s="292" t="s">
        <v>6</v>
      </c>
      <c r="AJ396" s="293" t="str">
        <f t="shared" si="20"/>
        <v>SÃO PAULO</v>
      </c>
      <c r="AK396" s="294" t="s">
        <v>39</v>
      </c>
    </row>
    <row r="397" spans="1:37" s="302" customFormat="1" ht="30" customHeight="1">
      <c r="A397" s="215" t="s">
        <v>198</v>
      </c>
      <c r="B397" s="215">
        <v>2621096757</v>
      </c>
      <c r="C397" s="215" t="s">
        <v>94</v>
      </c>
      <c r="D397" s="215" t="s">
        <v>77</v>
      </c>
      <c r="E397" s="215" t="s">
        <v>5</v>
      </c>
      <c r="F397" s="215" t="s">
        <v>721</v>
      </c>
      <c r="G397" s="215">
        <v>537</v>
      </c>
      <c r="H397" s="215" t="s">
        <v>226</v>
      </c>
      <c r="I397" s="215" t="s">
        <v>215</v>
      </c>
      <c r="J397" s="215" t="s">
        <v>94</v>
      </c>
      <c r="K397" s="215" t="s">
        <v>1170</v>
      </c>
      <c r="L397" s="215" t="s">
        <v>1171</v>
      </c>
      <c r="M397" s="215" t="s">
        <v>1172</v>
      </c>
      <c r="N397" s="215" t="s">
        <v>310</v>
      </c>
      <c r="O397" s="290" t="s">
        <v>205</v>
      </c>
      <c r="P397" s="161"/>
      <c r="Q397" s="160" t="s">
        <v>205</v>
      </c>
      <c r="R397" s="161"/>
      <c r="S397" s="160" t="s">
        <v>62</v>
      </c>
      <c r="T397" s="161"/>
      <c r="U397" s="160" t="s">
        <v>62</v>
      </c>
      <c r="V397" s="161"/>
      <c r="W397" s="160" t="s">
        <v>62</v>
      </c>
      <c r="X397" s="161"/>
      <c r="Y397" s="160" t="s">
        <v>62</v>
      </c>
      <c r="Z397" s="161"/>
      <c r="AA397" s="160" t="s">
        <v>62</v>
      </c>
      <c r="AB397" s="161"/>
      <c r="AC397" s="160" t="s">
        <v>205</v>
      </c>
      <c r="AD397" s="161"/>
      <c r="AE397" s="160" t="s">
        <v>205</v>
      </c>
      <c r="AF397" s="289" t="str">
        <f t="shared" si="18"/>
        <v>C</v>
      </c>
      <c r="AG397" s="291" t="str">
        <f t="shared" si="19"/>
        <v>UTILIZOU O PDA CORRETAMENTE</v>
      </c>
      <c r="AH397" s="160" t="s">
        <v>205</v>
      </c>
      <c r="AI397" s="292" t="s">
        <v>6</v>
      </c>
      <c r="AJ397" s="293" t="str">
        <f t="shared" si="20"/>
        <v>SÃO PAULO</v>
      </c>
      <c r="AK397" s="294" t="s">
        <v>39</v>
      </c>
    </row>
    <row r="398" spans="1:37" s="302" customFormat="1" ht="30" customHeight="1">
      <c r="A398" s="215" t="s">
        <v>198</v>
      </c>
      <c r="B398" s="215">
        <v>2620793067</v>
      </c>
      <c r="C398" s="215" t="s">
        <v>106</v>
      </c>
      <c r="D398" s="215" t="s">
        <v>81</v>
      </c>
      <c r="E398" s="215" t="s">
        <v>5</v>
      </c>
      <c r="F398" s="215" t="s">
        <v>940</v>
      </c>
      <c r="G398" s="215">
        <v>2787</v>
      </c>
      <c r="H398" s="215" t="s">
        <v>200</v>
      </c>
      <c r="I398" s="215" t="s">
        <v>1173</v>
      </c>
      <c r="J398" s="215" t="s">
        <v>350</v>
      </c>
      <c r="K398" s="215" t="s">
        <v>1174</v>
      </c>
      <c r="L398" s="215" t="s">
        <v>1166</v>
      </c>
      <c r="M398" s="215" t="s">
        <v>1167</v>
      </c>
      <c r="N398" s="215" t="s">
        <v>204</v>
      </c>
      <c r="O398" s="290" t="s">
        <v>62</v>
      </c>
      <c r="P398" s="161"/>
      <c r="Q398" s="160" t="s">
        <v>62</v>
      </c>
      <c r="R398" s="161"/>
      <c r="S398" s="160" t="s">
        <v>62</v>
      </c>
      <c r="T398" s="161"/>
      <c r="U398" s="160" t="s">
        <v>62</v>
      </c>
      <c r="V398" s="161"/>
      <c r="W398" s="160" t="s">
        <v>62</v>
      </c>
      <c r="X398" s="161"/>
      <c r="Y398" s="160" t="s">
        <v>62</v>
      </c>
      <c r="Z398" s="161"/>
      <c r="AA398" s="160" t="s">
        <v>62</v>
      </c>
      <c r="AB398" s="161"/>
      <c r="AC398" s="160" t="s">
        <v>62</v>
      </c>
      <c r="AD398" s="161"/>
      <c r="AE398" s="160" t="s">
        <v>62</v>
      </c>
      <c r="AF398" s="289" t="s">
        <v>62</v>
      </c>
      <c r="AG398" s="291" t="str">
        <f t="shared" si="19"/>
        <v>NÃO AVALIADO POR FALHA DE SINCRONISMO</v>
      </c>
      <c r="AH398" s="160" t="s">
        <v>205</v>
      </c>
      <c r="AI398" s="292" t="s">
        <v>6</v>
      </c>
      <c r="AJ398" s="293" t="str">
        <f t="shared" si="20"/>
        <v>SÃO PAULO</v>
      </c>
      <c r="AK398" s="294" t="s">
        <v>39</v>
      </c>
    </row>
    <row r="399" spans="1:37" s="302" customFormat="1" ht="30" customHeight="1">
      <c r="A399" s="215" t="s">
        <v>198</v>
      </c>
      <c r="B399" s="215">
        <v>2621060344</v>
      </c>
      <c r="C399" s="215" t="s">
        <v>105</v>
      </c>
      <c r="D399" s="215" t="s">
        <v>81</v>
      </c>
      <c r="E399" s="215" t="s">
        <v>5</v>
      </c>
      <c r="F399" s="215" t="s">
        <v>1057</v>
      </c>
      <c r="G399" s="215">
        <v>244</v>
      </c>
      <c r="H399" s="215"/>
      <c r="I399" s="215" t="s">
        <v>397</v>
      </c>
      <c r="J399" s="215" t="s">
        <v>350</v>
      </c>
      <c r="K399" s="215" t="s">
        <v>1175</v>
      </c>
      <c r="L399" s="215" t="s">
        <v>1166</v>
      </c>
      <c r="M399" s="215" t="s">
        <v>1167</v>
      </c>
      <c r="N399" s="215" t="s">
        <v>326</v>
      </c>
      <c r="O399" s="290" t="s">
        <v>205</v>
      </c>
      <c r="P399" s="161"/>
      <c r="Q399" s="160" t="s">
        <v>205</v>
      </c>
      <c r="R399" s="161"/>
      <c r="S399" s="160" t="s">
        <v>205</v>
      </c>
      <c r="T399" s="161"/>
      <c r="U399" s="160" t="s">
        <v>205</v>
      </c>
      <c r="V399" s="161"/>
      <c r="W399" s="160" t="s">
        <v>205</v>
      </c>
      <c r="X399" s="161"/>
      <c r="Y399" s="160" t="s">
        <v>62</v>
      </c>
      <c r="Z399" s="161"/>
      <c r="AA399" s="160" t="s">
        <v>205</v>
      </c>
      <c r="AB399" s="161"/>
      <c r="AC399" s="160" t="s">
        <v>206</v>
      </c>
      <c r="AD399" s="161"/>
      <c r="AE399" s="160" t="s">
        <v>205</v>
      </c>
      <c r="AF399" s="289" t="str">
        <f>IF(AND(O399="",Q399="",S399="",U399="",W399="",Y399="",AA399="",AC399=""),"",IF(OR(AND(O399&lt;&gt;"NA",O399&lt;&gt;"C",O399&lt;&gt;"NC",O399&lt;&gt;"SF",O399&lt;&gt;""),AND(Q399&lt;&gt;"NA",Q399&lt;&gt;"C",Q399&lt;&gt;"NC",Q399&lt;&gt;"SF",Q399&lt;&gt;""),AND(S399&lt;&gt;"NA",S399&lt;&gt;"C",S399&lt;&gt;"NC",S399&lt;&gt;"SF",S399&lt;&gt;""),AND(U399&lt;&gt;"NA",U399&lt;&gt;"C",U399&lt;&gt;"NC",U399&lt;&gt;"SF",U399&lt;&gt;""),AND(W399&lt;&gt;"NA",W399&lt;&gt;"C",W399&lt;&gt;"NC",W399&lt;&gt;"SF",W399&lt;&gt;""),AND(Y399&lt;&gt;"NA",Y399&lt;&gt;"C",Y399&lt;&gt;"NC",Y399&lt;&gt;"SF",Y399&lt;&gt;""),AND(AA399&lt;&gt;"NA",AA399&lt;&gt;"C",AA399&lt;&gt;"NC",AA399&lt;&gt;"SF",AA399&lt;&gt;""),AND(AC399&lt;&gt;"NA",AC399&lt;&gt;"C",AC399&lt;&gt;"NC",AC399&lt;&gt;"SF",AC399&lt;&gt;"")),"FALSO",IF(AND(O399="NA",Q399="NA",S399="NA",U399="NA",W399="NA",Y399="NA",AA399="NA",AC399="NA"),"NA",IF(OR(O399="NC",Q399="NC",S399="NC",U399="NC",W399="NC",Y399="NC",AA399="NC",AC399="NC",O399="SF",Q399="SF",S399="SF",U399="SF",W399="SF",Y399="SF",AA399="SF",AC399="SF"),"NC",IF(OR(O399="C",Q399="C",S399="C",U399="C",W399="C",Y399="C",AA399="C",AC399="C"),"C","")))))</f>
        <v>NC</v>
      </c>
      <c r="AG399" s="291" t="str">
        <f t="shared" si="19"/>
        <v>UTILIZOU O PDA CORRETAMENTE. NÃO HÁ FOTOS DE TODAS AS ETAPAS</v>
      </c>
      <c r="AH399" s="160"/>
      <c r="AI399" s="292" t="s">
        <v>6</v>
      </c>
      <c r="AJ399" s="293" t="str">
        <f t="shared" si="20"/>
        <v>SÃO PAULO</v>
      </c>
      <c r="AK399" s="294" t="s">
        <v>39</v>
      </c>
    </row>
    <row r="400" spans="1:37" s="302" customFormat="1" ht="30" customHeight="1">
      <c r="A400" s="215" t="s">
        <v>198</v>
      </c>
      <c r="B400" s="215">
        <v>2621042394</v>
      </c>
      <c r="C400" s="215" t="s">
        <v>100</v>
      </c>
      <c r="D400" s="215" t="s">
        <v>81</v>
      </c>
      <c r="E400" s="215" t="s">
        <v>5</v>
      </c>
      <c r="F400" s="215" t="s">
        <v>1176</v>
      </c>
      <c r="G400" s="215">
        <v>352</v>
      </c>
      <c r="H400" s="215" t="s">
        <v>200</v>
      </c>
      <c r="I400" s="215" t="s">
        <v>1177</v>
      </c>
      <c r="J400" s="215" t="s">
        <v>243</v>
      </c>
      <c r="K400" s="219" t="s">
        <v>1178</v>
      </c>
      <c r="L400" s="215" t="s">
        <v>1179</v>
      </c>
      <c r="M400" s="215" t="s">
        <v>1180</v>
      </c>
      <c r="N400" s="215" t="s">
        <v>326</v>
      </c>
      <c r="O400" s="290" t="s">
        <v>205</v>
      </c>
      <c r="P400" s="161"/>
      <c r="Q400" s="160" t="s">
        <v>205</v>
      </c>
      <c r="R400" s="161"/>
      <c r="S400" s="160" t="s">
        <v>205</v>
      </c>
      <c r="T400" s="161"/>
      <c r="U400" s="160" t="s">
        <v>205</v>
      </c>
      <c r="V400" s="161"/>
      <c r="W400" s="160" t="s">
        <v>205</v>
      </c>
      <c r="X400" s="161"/>
      <c r="Y400" s="160" t="s">
        <v>205</v>
      </c>
      <c r="Z400" s="161"/>
      <c r="AA400" s="160" t="s">
        <v>205</v>
      </c>
      <c r="AB400" s="161"/>
      <c r="AC400" s="160" t="s">
        <v>205</v>
      </c>
      <c r="AD400" s="161"/>
      <c r="AE400" s="160" t="s">
        <v>205</v>
      </c>
      <c r="AF400" s="289" t="str">
        <f t="shared" si="18"/>
        <v>C</v>
      </c>
      <c r="AG400" s="291" t="str">
        <f t="shared" si="19"/>
        <v>UTILIZOU O PDA CORRETAMENTE</v>
      </c>
      <c r="AH400" s="160" t="s">
        <v>205</v>
      </c>
      <c r="AI400" s="292" t="s">
        <v>6</v>
      </c>
      <c r="AJ400" s="293" t="str">
        <f t="shared" si="20"/>
        <v>SÃO PAULO</v>
      </c>
      <c r="AK400" s="294" t="s">
        <v>39</v>
      </c>
    </row>
    <row r="401" spans="1:37" s="302" customFormat="1" ht="30" customHeight="1">
      <c r="A401" s="215" t="s">
        <v>198</v>
      </c>
      <c r="B401" s="215">
        <v>2621263478</v>
      </c>
      <c r="C401" s="215" t="s">
        <v>331</v>
      </c>
      <c r="D401" s="215" t="s">
        <v>79</v>
      </c>
      <c r="E401" s="215" t="s">
        <v>5</v>
      </c>
      <c r="F401" s="215" t="s">
        <v>585</v>
      </c>
      <c r="G401" s="215">
        <v>157</v>
      </c>
      <c r="H401" s="215" t="s">
        <v>226</v>
      </c>
      <c r="I401" s="215" t="s">
        <v>215</v>
      </c>
      <c r="J401" s="215" t="s">
        <v>334</v>
      </c>
      <c r="K401" s="215" t="s">
        <v>1181</v>
      </c>
      <c r="L401" s="215" t="s">
        <v>1182</v>
      </c>
      <c r="M401" s="215" t="s">
        <v>1183</v>
      </c>
      <c r="N401" s="215" t="s">
        <v>230</v>
      </c>
      <c r="O401" s="290" t="s">
        <v>205</v>
      </c>
      <c r="P401" s="161"/>
      <c r="Q401" s="160" t="s">
        <v>205</v>
      </c>
      <c r="R401" s="161"/>
      <c r="S401" s="160" t="s">
        <v>205</v>
      </c>
      <c r="T401" s="161"/>
      <c r="U401" s="160" t="s">
        <v>205</v>
      </c>
      <c r="V401" s="161"/>
      <c r="W401" s="160" t="s">
        <v>205</v>
      </c>
      <c r="X401" s="161"/>
      <c r="Y401" s="160" t="s">
        <v>205</v>
      </c>
      <c r="Z401" s="161"/>
      <c r="AA401" s="160" t="s">
        <v>205</v>
      </c>
      <c r="AB401" s="161"/>
      <c r="AC401" s="160" t="s">
        <v>205</v>
      </c>
      <c r="AD401" s="161"/>
      <c r="AE401" s="160" t="s">
        <v>205</v>
      </c>
      <c r="AF401" s="289" t="str">
        <f t="shared" si="18"/>
        <v>C</v>
      </c>
      <c r="AG401" s="291" t="str">
        <f t="shared" si="19"/>
        <v>UTILIZOU O PDA CORRETAMENTE</v>
      </c>
      <c r="AH401" s="160" t="s">
        <v>205</v>
      </c>
      <c r="AI401" s="292" t="s">
        <v>6</v>
      </c>
      <c r="AJ401" s="293" t="str">
        <f t="shared" si="20"/>
        <v>SÃO PAULO</v>
      </c>
      <c r="AK401" s="294" t="s">
        <v>39</v>
      </c>
    </row>
    <row r="402" spans="1:37" s="302" customFormat="1" ht="30" customHeight="1">
      <c r="A402" s="215" t="s">
        <v>198</v>
      </c>
      <c r="B402" s="215">
        <v>2621263684</v>
      </c>
      <c r="C402" s="215" t="s">
        <v>331</v>
      </c>
      <c r="D402" s="215" t="s">
        <v>79</v>
      </c>
      <c r="E402" s="215" t="s">
        <v>5</v>
      </c>
      <c r="F402" s="215" t="s">
        <v>585</v>
      </c>
      <c r="G402" s="215">
        <v>126</v>
      </c>
      <c r="H402" s="215" t="s">
        <v>200</v>
      </c>
      <c r="I402" s="215" t="s">
        <v>215</v>
      </c>
      <c r="J402" s="215" t="s">
        <v>334</v>
      </c>
      <c r="K402" s="215" t="s">
        <v>1184</v>
      </c>
      <c r="L402" s="215" t="s">
        <v>1185</v>
      </c>
      <c r="M402" s="215" t="s">
        <v>1186</v>
      </c>
      <c r="N402" s="215" t="s">
        <v>230</v>
      </c>
      <c r="O402" s="290" t="s">
        <v>205</v>
      </c>
      <c r="P402" s="161"/>
      <c r="Q402" s="160" t="s">
        <v>205</v>
      </c>
      <c r="R402" s="161"/>
      <c r="S402" s="160" t="s">
        <v>205</v>
      </c>
      <c r="T402" s="161"/>
      <c r="U402" s="160" t="s">
        <v>205</v>
      </c>
      <c r="V402" s="161"/>
      <c r="W402" s="160" t="s">
        <v>205</v>
      </c>
      <c r="X402" s="161"/>
      <c r="Y402" s="160" t="s">
        <v>205</v>
      </c>
      <c r="Z402" s="161"/>
      <c r="AA402" s="160" t="s">
        <v>205</v>
      </c>
      <c r="AB402" s="161"/>
      <c r="AC402" s="160" t="s">
        <v>205</v>
      </c>
      <c r="AD402" s="161"/>
      <c r="AE402" s="160" t="s">
        <v>205</v>
      </c>
      <c r="AF402" s="289" t="str">
        <f t="shared" si="18"/>
        <v>C</v>
      </c>
      <c r="AG402" s="291" t="str">
        <f t="shared" si="19"/>
        <v>UTILIZOU O PDA CORRETAMENTE</v>
      </c>
      <c r="AH402" s="160" t="s">
        <v>205</v>
      </c>
      <c r="AI402" s="292" t="s">
        <v>6</v>
      </c>
      <c r="AJ402" s="293" t="str">
        <f t="shared" si="20"/>
        <v>SÃO PAULO</v>
      </c>
      <c r="AK402" s="294" t="s">
        <v>39</v>
      </c>
    </row>
    <row r="403" spans="1:37" s="302" customFormat="1" ht="30" customHeight="1">
      <c r="A403" s="215" t="s">
        <v>198</v>
      </c>
      <c r="B403" s="215">
        <v>2621263114</v>
      </c>
      <c r="C403" s="215" t="s">
        <v>331</v>
      </c>
      <c r="D403" s="215" t="s">
        <v>79</v>
      </c>
      <c r="E403" s="215" t="s">
        <v>5</v>
      </c>
      <c r="F403" s="215" t="s">
        <v>585</v>
      </c>
      <c r="G403" s="215">
        <v>155</v>
      </c>
      <c r="H403" s="215" t="s">
        <v>214</v>
      </c>
      <c r="I403" s="215" t="s">
        <v>215</v>
      </c>
      <c r="J403" s="215" t="s">
        <v>334</v>
      </c>
      <c r="K403" s="215" t="s">
        <v>1187</v>
      </c>
      <c r="L403" s="215" t="s">
        <v>1188</v>
      </c>
      <c r="M403" s="215" t="s">
        <v>1189</v>
      </c>
      <c r="N403" s="215" t="s">
        <v>230</v>
      </c>
      <c r="O403" s="290" t="s">
        <v>205</v>
      </c>
      <c r="P403" s="161"/>
      <c r="Q403" s="160" t="s">
        <v>205</v>
      </c>
      <c r="R403" s="161"/>
      <c r="S403" s="160" t="s">
        <v>205</v>
      </c>
      <c r="T403" s="161"/>
      <c r="U403" s="160" t="s">
        <v>205</v>
      </c>
      <c r="V403" s="161"/>
      <c r="W403" s="160" t="s">
        <v>205</v>
      </c>
      <c r="X403" s="161"/>
      <c r="Y403" s="160" t="s">
        <v>205</v>
      </c>
      <c r="Z403" s="161"/>
      <c r="AA403" s="160" t="s">
        <v>205</v>
      </c>
      <c r="AB403" s="161"/>
      <c r="AC403" s="160" t="s">
        <v>205</v>
      </c>
      <c r="AD403" s="161"/>
      <c r="AE403" s="160" t="s">
        <v>205</v>
      </c>
      <c r="AF403" s="289" t="str">
        <f t="shared" si="18"/>
        <v>C</v>
      </c>
      <c r="AG403" s="291" t="str">
        <f t="shared" si="19"/>
        <v>UTILIZOU O PDA CORRETAMENTE</v>
      </c>
      <c r="AH403" s="160" t="s">
        <v>205</v>
      </c>
      <c r="AI403" s="292" t="s">
        <v>6</v>
      </c>
      <c r="AJ403" s="293" t="str">
        <f t="shared" si="20"/>
        <v>SÃO PAULO</v>
      </c>
      <c r="AK403" s="294" t="s">
        <v>39</v>
      </c>
    </row>
    <row r="404" spans="1:37" s="302" customFormat="1" ht="30" customHeight="1">
      <c r="A404" s="215" t="s">
        <v>198</v>
      </c>
      <c r="B404" s="215">
        <v>2620778480</v>
      </c>
      <c r="C404" s="215" t="s">
        <v>100</v>
      </c>
      <c r="D404" s="215" t="s">
        <v>81</v>
      </c>
      <c r="E404" s="215" t="s">
        <v>5</v>
      </c>
      <c r="F404" s="215" t="s">
        <v>1159</v>
      </c>
      <c r="G404" s="215">
        <v>59</v>
      </c>
      <c r="H404" s="215" t="s">
        <v>363</v>
      </c>
      <c r="I404" s="215" t="s">
        <v>567</v>
      </c>
      <c r="J404" s="215" t="s">
        <v>243</v>
      </c>
      <c r="K404" s="215" t="s">
        <v>1190</v>
      </c>
      <c r="L404" s="215" t="s">
        <v>1154</v>
      </c>
      <c r="M404" s="215" t="s">
        <v>1191</v>
      </c>
      <c r="N404" s="215" t="s">
        <v>235</v>
      </c>
      <c r="O404" s="290" t="s">
        <v>205</v>
      </c>
      <c r="P404" s="161"/>
      <c r="Q404" s="160" t="s">
        <v>205</v>
      </c>
      <c r="R404" s="161"/>
      <c r="S404" s="160" t="s">
        <v>205</v>
      </c>
      <c r="T404" s="161"/>
      <c r="U404" s="160" t="s">
        <v>205</v>
      </c>
      <c r="V404" s="161"/>
      <c r="W404" s="160" t="s">
        <v>205</v>
      </c>
      <c r="X404" s="161"/>
      <c r="Y404" s="160" t="s">
        <v>205</v>
      </c>
      <c r="Z404" s="161"/>
      <c r="AA404" s="160" t="s">
        <v>205</v>
      </c>
      <c r="AB404" s="161"/>
      <c r="AC404" s="160" t="s">
        <v>205</v>
      </c>
      <c r="AD404" s="161"/>
      <c r="AE404" s="160" t="s">
        <v>205</v>
      </c>
      <c r="AF404" s="289" t="str">
        <f t="shared" si="18"/>
        <v>C</v>
      </c>
      <c r="AG404" s="291" t="str">
        <f t="shared" si="19"/>
        <v>UTILIZOU O PDA CORRETAMENTE</v>
      </c>
      <c r="AH404" s="160" t="s">
        <v>205</v>
      </c>
      <c r="AI404" s="292" t="s">
        <v>6</v>
      </c>
      <c r="AJ404" s="293" t="str">
        <f t="shared" si="20"/>
        <v>SÃO PAULO</v>
      </c>
      <c r="AK404" s="294" t="s">
        <v>39</v>
      </c>
    </row>
    <row r="405" spans="1:37" s="302" customFormat="1" ht="30" customHeight="1">
      <c r="A405" s="215" t="s">
        <v>198</v>
      </c>
      <c r="B405" s="215">
        <v>2621097442</v>
      </c>
      <c r="C405" s="215" t="s">
        <v>89</v>
      </c>
      <c r="D405" s="215" t="s">
        <v>78</v>
      </c>
      <c r="E405" s="215" t="s">
        <v>5</v>
      </c>
      <c r="F405" s="215" t="s">
        <v>1192</v>
      </c>
      <c r="G405" s="215">
        <v>19</v>
      </c>
      <c r="H405" s="215"/>
      <c r="I405" s="215" t="s">
        <v>215</v>
      </c>
      <c r="J405" s="215" t="s">
        <v>238</v>
      </c>
      <c r="K405" s="219" t="s">
        <v>1193</v>
      </c>
      <c r="L405" s="215" t="s">
        <v>1194</v>
      </c>
      <c r="M405" s="215" t="s">
        <v>1195</v>
      </c>
      <c r="N405" s="215" t="s">
        <v>254</v>
      </c>
      <c r="O405" s="290" t="s">
        <v>62</v>
      </c>
      <c r="P405" s="161"/>
      <c r="Q405" s="160" t="s">
        <v>62</v>
      </c>
      <c r="R405" s="161"/>
      <c r="S405" s="160" t="s">
        <v>62</v>
      </c>
      <c r="T405" s="161"/>
      <c r="U405" s="160" t="s">
        <v>62</v>
      </c>
      <c r="V405" s="161"/>
      <c r="W405" s="160" t="s">
        <v>62</v>
      </c>
      <c r="X405" s="161"/>
      <c r="Y405" s="160" t="s">
        <v>62</v>
      </c>
      <c r="Z405" s="161"/>
      <c r="AA405" s="160" t="s">
        <v>62</v>
      </c>
      <c r="AB405" s="161"/>
      <c r="AC405" s="160" t="s">
        <v>62</v>
      </c>
      <c r="AD405" s="161" t="s">
        <v>1196</v>
      </c>
      <c r="AE405" s="160" t="s">
        <v>62</v>
      </c>
      <c r="AF405" s="289" t="str">
        <f t="shared" si="18"/>
        <v>NA</v>
      </c>
      <c r="AG405" s="291" t="str">
        <f t="shared" si="19"/>
        <v>NÃO AVALIADO POR FALHA DE SINCRONISMO</v>
      </c>
      <c r="AH405" s="160"/>
      <c r="AI405" s="292" t="s">
        <v>6</v>
      </c>
      <c r="AJ405" s="293" t="str">
        <f t="shared" si="20"/>
        <v>SÃO PAULO</v>
      </c>
      <c r="AK405" s="294" t="s">
        <v>39</v>
      </c>
    </row>
    <row r="406" spans="1:37" s="302" customFormat="1" ht="30" customHeight="1">
      <c r="A406" s="215" t="s">
        <v>198</v>
      </c>
      <c r="B406" s="215">
        <v>2693697295</v>
      </c>
      <c r="C406" s="215" t="s">
        <v>90</v>
      </c>
      <c r="D406" s="215" t="s">
        <v>78</v>
      </c>
      <c r="E406" s="215" t="s">
        <v>5</v>
      </c>
      <c r="F406" s="215" t="s">
        <v>1197</v>
      </c>
      <c r="G406" s="215">
        <v>31</v>
      </c>
      <c r="H406" s="215" t="s">
        <v>226</v>
      </c>
      <c r="I406" s="215" t="s">
        <v>312</v>
      </c>
      <c r="J406" s="215" t="s">
        <v>261</v>
      </c>
      <c r="K406" s="215" t="s">
        <v>200</v>
      </c>
      <c r="L406" s="215" t="s">
        <v>1166</v>
      </c>
      <c r="M406" s="215" t="s">
        <v>1167</v>
      </c>
      <c r="N406" s="215" t="s">
        <v>248</v>
      </c>
      <c r="O406" s="290" t="s">
        <v>205</v>
      </c>
      <c r="P406" s="161"/>
      <c r="Q406" s="160" t="s">
        <v>205</v>
      </c>
      <c r="R406" s="161"/>
      <c r="S406" s="160" t="s">
        <v>205</v>
      </c>
      <c r="T406" s="161"/>
      <c r="U406" s="160" t="s">
        <v>205</v>
      </c>
      <c r="V406" s="161"/>
      <c r="W406" s="160" t="s">
        <v>62</v>
      </c>
      <c r="X406" s="161"/>
      <c r="Y406" s="160" t="s">
        <v>62</v>
      </c>
      <c r="Z406" s="161"/>
      <c r="AA406" s="160" t="s">
        <v>205</v>
      </c>
      <c r="AB406" s="161"/>
      <c r="AC406" s="160" t="s">
        <v>205</v>
      </c>
      <c r="AD406" s="161"/>
      <c r="AE406" s="160" t="s">
        <v>205</v>
      </c>
      <c r="AF406" s="289" t="str">
        <f t="shared" si="18"/>
        <v>C</v>
      </c>
      <c r="AG406" s="291" t="str">
        <f t="shared" si="19"/>
        <v>UTILIZOU O PDA CORRETAMENTE</v>
      </c>
      <c r="AH406" s="160" t="s">
        <v>205</v>
      </c>
      <c r="AI406" s="292" t="s">
        <v>6</v>
      </c>
      <c r="AJ406" s="293" t="str">
        <f t="shared" si="20"/>
        <v>SÃO PAULO</v>
      </c>
      <c r="AK406" s="294" t="s">
        <v>39</v>
      </c>
    </row>
    <row r="407" spans="1:37" s="302" customFormat="1" ht="30" customHeight="1">
      <c r="A407" s="215" t="s">
        <v>198</v>
      </c>
      <c r="B407" s="215">
        <v>2693702690</v>
      </c>
      <c r="C407" s="215" t="s">
        <v>90</v>
      </c>
      <c r="D407" s="215" t="s">
        <v>78</v>
      </c>
      <c r="E407" s="215" t="s">
        <v>5</v>
      </c>
      <c r="F407" s="215" t="s">
        <v>1198</v>
      </c>
      <c r="G407" s="215">
        <v>191</v>
      </c>
      <c r="H407" s="215"/>
      <c r="I407" s="215" t="s">
        <v>1199</v>
      </c>
      <c r="J407" s="215" t="s">
        <v>261</v>
      </c>
      <c r="K407" s="215" t="s">
        <v>1200</v>
      </c>
      <c r="L407" s="215" t="s">
        <v>1201</v>
      </c>
      <c r="M407" s="215" t="s">
        <v>1202</v>
      </c>
      <c r="N407" s="215" t="s">
        <v>359</v>
      </c>
      <c r="O407" s="290" t="s">
        <v>205</v>
      </c>
      <c r="P407" s="161"/>
      <c r="Q407" s="160" t="s">
        <v>205</v>
      </c>
      <c r="R407" s="161"/>
      <c r="S407" s="160" t="s">
        <v>205</v>
      </c>
      <c r="T407" s="161"/>
      <c r="U407" s="160" t="s">
        <v>205</v>
      </c>
      <c r="V407" s="161"/>
      <c r="W407" s="160" t="s">
        <v>62</v>
      </c>
      <c r="X407" s="161"/>
      <c r="Y407" s="160" t="s">
        <v>62</v>
      </c>
      <c r="Z407" s="161"/>
      <c r="AA407" s="160" t="s">
        <v>205</v>
      </c>
      <c r="AB407" s="161"/>
      <c r="AC407" s="160" t="s">
        <v>205</v>
      </c>
      <c r="AD407" s="161"/>
      <c r="AE407" s="160" t="s">
        <v>205</v>
      </c>
      <c r="AF407" s="289" t="str">
        <f t="shared" si="18"/>
        <v>C</v>
      </c>
      <c r="AG407" s="291" t="str">
        <f t="shared" si="19"/>
        <v>UTILIZOU O PDA CORRETAMENTE</v>
      </c>
      <c r="AH407" s="160"/>
      <c r="AI407" s="292" t="s">
        <v>6</v>
      </c>
      <c r="AJ407" s="293" t="str">
        <f t="shared" si="20"/>
        <v>SÃO PAULO</v>
      </c>
      <c r="AK407" s="294" t="s">
        <v>39</v>
      </c>
    </row>
    <row r="408" spans="1:37" s="302" customFormat="1" ht="30" customHeight="1">
      <c r="A408" s="215" t="s">
        <v>198</v>
      </c>
      <c r="B408" s="215">
        <v>2620847833</v>
      </c>
      <c r="C408" s="215" t="s">
        <v>100</v>
      </c>
      <c r="D408" s="215" t="s">
        <v>81</v>
      </c>
      <c r="E408" s="215" t="s">
        <v>5</v>
      </c>
      <c r="F408" s="215" t="s">
        <v>1203</v>
      </c>
      <c r="G408" s="215">
        <v>93</v>
      </c>
      <c r="H408" s="215" t="s">
        <v>200</v>
      </c>
      <c r="I408" s="215" t="s">
        <v>540</v>
      </c>
      <c r="J408" s="215" t="s">
        <v>243</v>
      </c>
      <c r="K408" s="215" t="s">
        <v>200</v>
      </c>
      <c r="L408" s="215" t="s">
        <v>1204</v>
      </c>
      <c r="M408" s="215" t="s">
        <v>1205</v>
      </c>
      <c r="N408" s="215" t="s">
        <v>235</v>
      </c>
      <c r="O408" s="290" t="s">
        <v>205</v>
      </c>
      <c r="P408" s="161"/>
      <c r="Q408" s="160" t="s">
        <v>205</v>
      </c>
      <c r="R408" s="161"/>
      <c r="S408" s="160" t="s">
        <v>205</v>
      </c>
      <c r="T408" s="161"/>
      <c r="U408" s="160" t="s">
        <v>205</v>
      </c>
      <c r="V408" s="161"/>
      <c r="W408" s="160" t="s">
        <v>205</v>
      </c>
      <c r="X408" s="161"/>
      <c r="Y408" s="160" t="s">
        <v>205</v>
      </c>
      <c r="Z408" s="161"/>
      <c r="AA408" s="160" t="s">
        <v>205</v>
      </c>
      <c r="AB408" s="161"/>
      <c r="AC408" s="160" t="s">
        <v>205</v>
      </c>
      <c r="AD408" s="161"/>
      <c r="AE408" s="160" t="s">
        <v>205</v>
      </c>
      <c r="AF408" s="289" t="str">
        <f t="shared" si="18"/>
        <v>C</v>
      </c>
      <c r="AG408" s="291" t="str">
        <f t="shared" si="19"/>
        <v>UTILIZOU O PDA CORRETAMENTE</v>
      </c>
      <c r="AH408" s="160" t="s">
        <v>205</v>
      </c>
      <c r="AI408" s="292" t="s">
        <v>6</v>
      </c>
      <c r="AJ408" s="293" t="str">
        <f t="shared" si="20"/>
        <v>SÃO PAULO</v>
      </c>
      <c r="AK408" s="294" t="s">
        <v>39</v>
      </c>
    </row>
    <row r="409" spans="1:37" s="302" customFormat="1" ht="30" customHeight="1">
      <c r="A409" s="215" t="s">
        <v>198</v>
      </c>
      <c r="B409" s="215">
        <v>2693774750</v>
      </c>
      <c r="C409" s="215" t="s">
        <v>99</v>
      </c>
      <c r="D409" s="215" t="s">
        <v>81</v>
      </c>
      <c r="E409" s="215" t="s">
        <v>5</v>
      </c>
      <c r="F409" s="215" t="s">
        <v>1206</v>
      </c>
      <c r="G409" s="215">
        <v>237</v>
      </c>
      <c r="H409" s="215"/>
      <c r="I409" s="215" t="s">
        <v>1207</v>
      </c>
      <c r="J409" s="215" t="s">
        <v>268</v>
      </c>
      <c r="K409" s="215" t="s">
        <v>1208</v>
      </c>
      <c r="L409" s="215" t="s">
        <v>1209</v>
      </c>
      <c r="M409" s="215" t="s">
        <v>1210</v>
      </c>
      <c r="N409" s="215" t="s">
        <v>357</v>
      </c>
      <c r="O409" s="290" t="s">
        <v>205</v>
      </c>
      <c r="P409" s="161"/>
      <c r="Q409" s="160" t="s">
        <v>205</v>
      </c>
      <c r="R409" s="161"/>
      <c r="S409" s="160" t="s">
        <v>205</v>
      </c>
      <c r="T409" s="161"/>
      <c r="U409" s="160" t="s">
        <v>205</v>
      </c>
      <c r="V409" s="161"/>
      <c r="W409" s="160" t="s">
        <v>205</v>
      </c>
      <c r="X409" s="161"/>
      <c r="Y409" s="160" t="s">
        <v>205</v>
      </c>
      <c r="Z409" s="161"/>
      <c r="AA409" s="160" t="s">
        <v>205</v>
      </c>
      <c r="AB409" s="161"/>
      <c r="AC409" s="160" t="s">
        <v>205</v>
      </c>
      <c r="AD409" s="161"/>
      <c r="AE409" s="160" t="s">
        <v>205</v>
      </c>
      <c r="AF409" s="289" t="str">
        <f t="shared" si="18"/>
        <v>C</v>
      </c>
      <c r="AG409" s="291" t="str">
        <f t="shared" si="19"/>
        <v>UTILIZOU O PDA CORRETAMENTE</v>
      </c>
      <c r="AH409" s="160"/>
      <c r="AI409" s="292" t="s">
        <v>6</v>
      </c>
      <c r="AJ409" s="293" t="str">
        <f t="shared" si="20"/>
        <v>SÃO PAULO</v>
      </c>
      <c r="AK409" s="294" t="s">
        <v>39</v>
      </c>
    </row>
    <row r="410" spans="1:37" s="302" customFormat="1" ht="30" customHeight="1">
      <c r="A410" s="228" t="s">
        <v>198</v>
      </c>
      <c r="B410" s="228">
        <v>2693805494</v>
      </c>
      <c r="C410" s="228" t="s">
        <v>99</v>
      </c>
      <c r="D410" s="228" t="s">
        <v>81</v>
      </c>
      <c r="E410" s="228" t="s">
        <v>5</v>
      </c>
      <c r="F410" s="228" t="s">
        <v>1211</v>
      </c>
      <c r="G410" s="228">
        <v>46</v>
      </c>
      <c r="H410" s="228" t="s">
        <v>200</v>
      </c>
      <c r="I410" s="228" t="s">
        <v>1177</v>
      </c>
      <c r="J410" s="228" t="s">
        <v>268</v>
      </c>
      <c r="K410" s="229" t="s">
        <v>1212</v>
      </c>
      <c r="L410" s="228" t="s">
        <v>1213</v>
      </c>
      <c r="M410" s="228" t="s">
        <v>1172</v>
      </c>
      <c r="N410" s="228" t="s">
        <v>341</v>
      </c>
      <c r="O410" s="290" t="s">
        <v>205</v>
      </c>
      <c r="P410" s="161"/>
      <c r="Q410" s="160" t="s">
        <v>205</v>
      </c>
      <c r="R410" s="161"/>
      <c r="S410" s="160" t="s">
        <v>205</v>
      </c>
      <c r="T410" s="161"/>
      <c r="U410" s="160" t="s">
        <v>205</v>
      </c>
      <c r="V410" s="161"/>
      <c r="W410" s="160" t="s">
        <v>205</v>
      </c>
      <c r="X410" s="161"/>
      <c r="Y410" s="160" t="s">
        <v>239</v>
      </c>
      <c r="Z410" s="161" t="s">
        <v>1214</v>
      </c>
      <c r="AA410" s="160" t="s">
        <v>205</v>
      </c>
      <c r="AB410" s="161"/>
      <c r="AC410" s="160" t="s">
        <v>205</v>
      </c>
      <c r="AD410" s="161"/>
      <c r="AE410" s="160" t="s">
        <v>205</v>
      </c>
      <c r="AF410" s="289" t="str">
        <f t="shared" si="18"/>
        <v>NC</v>
      </c>
      <c r="AG410" s="291" t="str">
        <f t="shared" si="19"/>
        <v>UTILIZOU O PDA CORRETAMENTE. NÃO HÁ FOTOS DE TODAS AS ETAPAS</v>
      </c>
      <c r="AH410" s="160"/>
      <c r="AI410" s="292" t="s">
        <v>6</v>
      </c>
      <c r="AJ410" s="293" t="str">
        <f t="shared" si="20"/>
        <v>SÃO PAULO</v>
      </c>
      <c r="AK410" s="294" t="s">
        <v>39</v>
      </c>
    </row>
    <row r="411" spans="1:37" ht="30" customHeight="1">
      <c r="A411" s="215" t="s">
        <v>198</v>
      </c>
      <c r="B411" s="215">
        <v>2621071133</v>
      </c>
      <c r="C411" s="215" t="s">
        <v>444</v>
      </c>
      <c r="D411" s="215" t="s">
        <v>80</v>
      </c>
      <c r="E411" s="215" t="s">
        <v>5</v>
      </c>
      <c r="F411" s="215" t="s">
        <v>1215</v>
      </c>
      <c r="G411" s="215">
        <v>1331</v>
      </c>
      <c r="H411" s="215" t="s">
        <v>200</v>
      </c>
      <c r="I411" s="215" t="s">
        <v>958</v>
      </c>
      <c r="J411" s="215" t="s">
        <v>445</v>
      </c>
      <c r="K411" s="215" t="s">
        <v>200</v>
      </c>
      <c r="L411" s="216">
        <v>46163.708333333336</v>
      </c>
      <c r="M411" s="216">
        <v>46163.711805555555</v>
      </c>
      <c r="N411" s="215" t="s">
        <v>204</v>
      </c>
      <c r="O411" s="157" t="s">
        <v>205</v>
      </c>
      <c r="P411" s="92"/>
      <c r="Q411" s="145" t="s">
        <v>205</v>
      </c>
      <c r="R411" s="92"/>
      <c r="S411" s="145" t="s">
        <v>205</v>
      </c>
      <c r="T411" s="92"/>
      <c r="U411" s="145" t="s">
        <v>205</v>
      </c>
      <c r="V411" s="92"/>
      <c r="W411" s="145" t="s">
        <v>205</v>
      </c>
      <c r="X411" s="92"/>
      <c r="Y411" s="145" t="s">
        <v>205</v>
      </c>
      <c r="Z411" s="92"/>
      <c r="AA411" s="145" t="s">
        <v>205</v>
      </c>
      <c r="AB411" s="92"/>
      <c r="AC411" s="145" t="s">
        <v>205</v>
      </c>
      <c r="AD411" s="92"/>
      <c r="AE411" s="145" t="s">
        <v>205</v>
      </c>
      <c r="AF411" s="182" t="str">
        <f t="shared" si="18"/>
        <v>C</v>
      </c>
      <c r="AG411" s="54" t="str">
        <f t="shared" si="19"/>
        <v>UTILIZOU O PDA CORRETAMENTE</v>
      </c>
      <c r="AH411" s="145" t="s">
        <v>205</v>
      </c>
      <c r="AI411" s="192" t="s">
        <v>6</v>
      </c>
      <c r="AJ411" s="96" t="str">
        <f t="shared" si="20"/>
        <v>SÃO PAULO</v>
      </c>
      <c r="AK411" s="193" t="s">
        <v>39</v>
      </c>
    </row>
    <row r="412" spans="1:37" ht="30" customHeight="1">
      <c r="A412" s="215" t="s">
        <v>198</v>
      </c>
      <c r="B412" s="215">
        <v>2621070093</v>
      </c>
      <c r="C412" s="215" t="s">
        <v>105</v>
      </c>
      <c r="D412" s="215" t="s">
        <v>81</v>
      </c>
      <c r="E412" s="215" t="s">
        <v>5</v>
      </c>
      <c r="F412" s="215" t="s">
        <v>1216</v>
      </c>
      <c r="G412" s="215">
        <v>25</v>
      </c>
      <c r="H412" s="215" t="s">
        <v>200</v>
      </c>
      <c r="I412" s="215" t="s">
        <v>497</v>
      </c>
      <c r="J412" s="215" t="s">
        <v>350</v>
      </c>
      <c r="K412" s="215" t="s">
        <v>1217</v>
      </c>
      <c r="L412" s="216">
        <v>46163.722916666666</v>
      </c>
      <c r="M412" s="216">
        <v>46163.724305555559</v>
      </c>
      <c r="N412" s="215" t="s">
        <v>326</v>
      </c>
      <c r="O412" s="157" t="s">
        <v>206</v>
      </c>
      <c r="P412" s="92"/>
      <c r="Q412" s="145" t="s">
        <v>206</v>
      </c>
      <c r="R412" s="92"/>
      <c r="S412" s="145" t="s">
        <v>206</v>
      </c>
      <c r="T412" s="92"/>
      <c r="U412" s="145" t="s">
        <v>206</v>
      </c>
      <c r="V412" s="92"/>
      <c r="W412" s="145" t="s">
        <v>206</v>
      </c>
      <c r="X412" s="92"/>
      <c r="Y412" s="145" t="s">
        <v>206</v>
      </c>
      <c r="Z412" s="92"/>
      <c r="AA412" s="145" t="s">
        <v>206</v>
      </c>
      <c r="AB412" s="92"/>
      <c r="AC412" s="145" t="s">
        <v>206</v>
      </c>
      <c r="AD412" s="92" t="s">
        <v>1218</v>
      </c>
      <c r="AE412" s="145" t="s">
        <v>239</v>
      </c>
      <c r="AF412" s="182" t="str">
        <f t="shared" si="18"/>
        <v>NC</v>
      </c>
      <c r="AG412" s="54" t="str">
        <f t="shared" si="19"/>
        <v>NÃO UTILIZOU O PDA</v>
      </c>
      <c r="AH412" s="145"/>
      <c r="AI412" s="192" t="s">
        <v>6</v>
      </c>
      <c r="AJ412" s="96" t="str">
        <f t="shared" si="20"/>
        <v>SÃO PAULO</v>
      </c>
      <c r="AK412" s="193" t="s">
        <v>39</v>
      </c>
    </row>
    <row r="413" spans="1:37" ht="30" customHeight="1">
      <c r="A413" s="215" t="s">
        <v>198</v>
      </c>
      <c r="B413" s="215">
        <v>2621065988</v>
      </c>
      <c r="C413" s="215" t="s">
        <v>106</v>
      </c>
      <c r="D413" s="215" t="s">
        <v>81</v>
      </c>
      <c r="E413" s="215" t="s">
        <v>5</v>
      </c>
      <c r="F413" s="215" t="s">
        <v>1219</v>
      </c>
      <c r="G413" s="215">
        <v>694</v>
      </c>
      <c r="H413" s="215"/>
      <c r="I413" s="215" t="s">
        <v>343</v>
      </c>
      <c r="J413" s="215" t="s">
        <v>281</v>
      </c>
      <c r="K413" s="215" t="s">
        <v>1220</v>
      </c>
      <c r="L413" s="216">
        <v>46163.554166666669</v>
      </c>
      <c r="M413" s="216">
        <v>46163.563888888886</v>
      </c>
      <c r="N413" s="215" t="s">
        <v>326</v>
      </c>
      <c r="O413" s="157" t="s">
        <v>205</v>
      </c>
      <c r="P413" s="92"/>
      <c r="Q413" s="145" t="s">
        <v>205</v>
      </c>
      <c r="R413" s="92"/>
      <c r="S413" s="145" t="s">
        <v>205</v>
      </c>
      <c r="T413" s="92"/>
      <c r="U413" s="145" t="s">
        <v>62</v>
      </c>
      <c r="V413" s="92"/>
      <c r="W413" s="145" t="s">
        <v>62</v>
      </c>
      <c r="X413" s="92"/>
      <c r="Y413" s="145" t="s">
        <v>62</v>
      </c>
      <c r="Z413" s="92"/>
      <c r="AA413" s="145" t="s">
        <v>205</v>
      </c>
      <c r="AB413" s="92"/>
      <c r="AC413" s="145" t="s">
        <v>205</v>
      </c>
      <c r="AD413" s="92"/>
      <c r="AE413" s="145" t="s">
        <v>205</v>
      </c>
      <c r="AF413" s="182" t="str">
        <f t="shared" si="18"/>
        <v>C</v>
      </c>
      <c r="AG413" s="54" t="str">
        <f t="shared" si="19"/>
        <v>UTILIZOU O PDA CORRETAMENTE</v>
      </c>
      <c r="AH413" s="145"/>
      <c r="AI413" s="192" t="s">
        <v>6</v>
      </c>
      <c r="AJ413" s="96" t="str">
        <f t="shared" si="20"/>
        <v>SÃO PAULO</v>
      </c>
      <c r="AK413" s="193" t="s">
        <v>39</v>
      </c>
    </row>
    <row r="414" spans="1:37" ht="30" customHeight="1">
      <c r="A414" s="215" t="s">
        <v>198</v>
      </c>
      <c r="B414" s="215">
        <v>2621248993</v>
      </c>
      <c r="C414" s="215" t="s">
        <v>89</v>
      </c>
      <c r="D414" s="215" t="s">
        <v>78</v>
      </c>
      <c r="E414" s="215" t="s">
        <v>5</v>
      </c>
      <c r="F414" s="215" t="s">
        <v>1057</v>
      </c>
      <c r="G414" s="215">
        <v>224</v>
      </c>
      <c r="H414" s="215" t="s">
        <v>226</v>
      </c>
      <c r="I414" s="215" t="s">
        <v>397</v>
      </c>
      <c r="J414" s="215" t="s">
        <v>238</v>
      </c>
      <c r="K414" s="215" t="s">
        <v>200</v>
      </c>
      <c r="L414" s="216">
        <v>46163.25</v>
      </c>
      <c r="M414" s="216">
        <v>46163.250694444447</v>
      </c>
      <c r="N414" s="215" t="s">
        <v>326</v>
      </c>
      <c r="O414" s="157" t="s">
        <v>205</v>
      </c>
      <c r="P414" s="92"/>
      <c r="Q414" s="145" t="s">
        <v>206</v>
      </c>
      <c r="R414" s="92"/>
      <c r="S414" s="145" t="s">
        <v>206</v>
      </c>
      <c r="T414" s="92"/>
      <c r="U414" s="145" t="s">
        <v>206</v>
      </c>
      <c r="V414" s="92"/>
      <c r="W414" s="145" t="s">
        <v>206</v>
      </c>
      <c r="X414" s="92"/>
      <c r="Y414" s="145" t="s">
        <v>206</v>
      </c>
      <c r="Z414" s="92"/>
      <c r="AA414" s="145" t="s">
        <v>206</v>
      </c>
      <c r="AB414" s="92"/>
      <c r="AC414" s="145" t="s">
        <v>206</v>
      </c>
      <c r="AD414" s="92"/>
      <c r="AE414" s="145" t="s">
        <v>205</v>
      </c>
      <c r="AF414" s="182" t="str">
        <f t="shared" si="18"/>
        <v>NC</v>
      </c>
      <c r="AG414" s="54" t="str">
        <f t="shared" si="19"/>
        <v>UTILIZOU O PDA CORRETAMENTE. NÃO HÁ FOTOS DE TODAS AS ETAPAS</v>
      </c>
      <c r="AH414" s="145"/>
      <c r="AI414" s="192" t="s">
        <v>6</v>
      </c>
      <c r="AJ414" s="96" t="str">
        <f t="shared" si="20"/>
        <v>SÃO PAULO</v>
      </c>
      <c r="AK414" s="193" t="s">
        <v>39</v>
      </c>
    </row>
    <row r="415" spans="1:37" ht="30" customHeight="1">
      <c r="A415" s="215" t="s">
        <v>198</v>
      </c>
      <c r="B415" s="215">
        <v>2693832286</v>
      </c>
      <c r="C415" s="215" t="s">
        <v>103</v>
      </c>
      <c r="D415" s="215" t="s">
        <v>81</v>
      </c>
      <c r="E415" s="215" t="s">
        <v>5</v>
      </c>
      <c r="F415" s="215" t="s">
        <v>1221</v>
      </c>
      <c r="G415" s="215">
        <v>41</v>
      </c>
      <c r="H415" s="215"/>
      <c r="I415" s="215" t="s">
        <v>810</v>
      </c>
      <c r="J415" s="215" t="s">
        <v>322</v>
      </c>
      <c r="K415" s="215"/>
      <c r="L415" s="216">
        <v>46163.36041666667</v>
      </c>
      <c r="M415" s="216">
        <v>46163.46597222222</v>
      </c>
      <c r="N415" s="215" t="s">
        <v>341</v>
      </c>
      <c r="O415" s="157" t="s">
        <v>206</v>
      </c>
      <c r="P415" s="92"/>
      <c r="Q415" s="145" t="s">
        <v>205</v>
      </c>
      <c r="R415" s="92"/>
      <c r="S415" s="145" t="s">
        <v>205</v>
      </c>
      <c r="T415" s="92"/>
      <c r="U415" s="145" t="s">
        <v>205</v>
      </c>
      <c r="V415" s="92"/>
      <c r="W415" s="145" t="s">
        <v>205</v>
      </c>
      <c r="X415" s="92"/>
      <c r="Y415" s="145" t="s">
        <v>62</v>
      </c>
      <c r="Z415" s="92"/>
      <c r="AA415" s="145" t="s">
        <v>205</v>
      </c>
      <c r="AB415" s="92"/>
      <c r="AC415" s="145" t="s">
        <v>205</v>
      </c>
      <c r="AD415" s="92"/>
      <c r="AE415" s="145" t="s">
        <v>205</v>
      </c>
      <c r="AF415" s="182" t="str">
        <f>IF(AND(O415="",Q415="",S415="",U415="",W415="",Y415="",AA415="",AC415=""),"",IF(OR(AND(O415&lt;&gt;"NA",O415&lt;&gt;"C",O415&lt;&gt;"NC",O415&lt;&gt;"SF",O415&lt;&gt;""),AND(Q415&lt;&gt;"NA",Q415&lt;&gt;"C",Q415&lt;&gt;"NC",Q415&lt;&gt;"SF",Q415&lt;&gt;""),AND(S415&lt;&gt;"NA",S415&lt;&gt;"C",S415&lt;&gt;"NC",S415&lt;&gt;"SF",S415&lt;&gt;""),AND(U415&lt;&gt;"NA",U415&lt;&gt;"C",U415&lt;&gt;"NC",U415&lt;&gt;"SF",U415&lt;&gt;""),AND(W415&lt;&gt;"NA",W415&lt;&gt;"C",W415&lt;&gt;"NC",W415&lt;&gt;"SF",W415&lt;&gt;""),AND(Y415&lt;&gt;"NA",Y415&lt;&gt;"C",Y415&lt;&gt;"NC",Y415&lt;&gt;"SF",Y415&lt;&gt;""),AND(AA415&lt;&gt;"NA",AA415&lt;&gt;"C",AA415&lt;&gt;"NC",AA415&lt;&gt;"SF",AA415&lt;&gt;""),AND(AC415&lt;&gt;"NA",AC415&lt;&gt;"C",AC415&lt;&gt;"NC",AC415&lt;&gt;"SF",AC415&lt;&gt;"")),"FALSO",IF(AND(O415="NA",Q415="NA",S415="NA",U415="NA",W415="NA",Y415="NA",AA415="NA",AC415="NA"),"NA",IF(OR(O415="NC",Q415="NC",S415="NC",U415="NC",W415="NC",Y415="NC",AA415="NC",AC415="NC",O415="SF",Q415="SF",S415="SF",U415="SF",W415="SF",Y415="SF",AA415="SF",AC415="SF"),"NC",IF(OR(O415="C",Q415="C",S415="C",U415="C",W415="C",Y415="C",AA415="C",AC415="C"),"C","")))))</f>
        <v>NC</v>
      </c>
      <c r="AG415" s="54" t="str">
        <f t="shared" si="19"/>
        <v>UTILIZOU O PDA CORRETAMENTE. NÃO HÁ FOTOS DE TODAS AS ETAPAS</v>
      </c>
      <c r="AH415" s="145" t="s">
        <v>205</v>
      </c>
      <c r="AI415" s="192" t="s">
        <v>6</v>
      </c>
      <c r="AJ415" s="96" t="str">
        <f t="shared" si="20"/>
        <v>SÃO PAULO</v>
      </c>
      <c r="AK415" s="193" t="s">
        <v>39</v>
      </c>
    </row>
    <row r="416" spans="1:37" ht="30" customHeight="1">
      <c r="A416" s="215" t="s">
        <v>198</v>
      </c>
      <c r="B416" s="215">
        <v>2621386809</v>
      </c>
      <c r="C416" s="215" t="s">
        <v>103</v>
      </c>
      <c r="D416" s="215" t="s">
        <v>81</v>
      </c>
      <c r="E416" s="215" t="s">
        <v>5</v>
      </c>
      <c r="F416" s="215" t="s">
        <v>876</v>
      </c>
      <c r="G416" s="215">
        <v>336</v>
      </c>
      <c r="H416" s="215" t="s">
        <v>481</v>
      </c>
      <c r="I416" s="215" t="s">
        <v>397</v>
      </c>
      <c r="J416" s="215" t="s">
        <v>322</v>
      </c>
      <c r="K416" s="215" t="s">
        <v>200</v>
      </c>
      <c r="L416" s="216">
        <v>46163.659722222219</v>
      </c>
      <c r="M416" s="216">
        <v>46163.68472222222</v>
      </c>
      <c r="N416" s="215" t="s">
        <v>341</v>
      </c>
      <c r="O416" s="157" t="s">
        <v>205</v>
      </c>
      <c r="P416" s="92"/>
      <c r="Q416" s="145" t="s">
        <v>205</v>
      </c>
      <c r="R416" s="92"/>
      <c r="S416" s="145" t="s">
        <v>205</v>
      </c>
      <c r="T416" s="92"/>
      <c r="U416" s="145" t="s">
        <v>205</v>
      </c>
      <c r="V416" s="92"/>
      <c r="W416" s="145" t="s">
        <v>205</v>
      </c>
      <c r="X416" s="92"/>
      <c r="Y416" s="145" t="s">
        <v>62</v>
      </c>
      <c r="Z416" s="92"/>
      <c r="AA416" s="145" t="s">
        <v>205</v>
      </c>
      <c r="AB416" s="92"/>
      <c r="AC416" s="145" t="s">
        <v>205</v>
      </c>
      <c r="AD416" s="92"/>
      <c r="AE416" s="145" t="s">
        <v>205</v>
      </c>
      <c r="AF416" s="182" t="str">
        <f t="shared" si="18"/>
        <v>C</v>
      </c>
      <c r="AG416" s="54" t="str">
        <f>IF(AND(AE416="C",AF416="C"),"UTILIZOU O PDA CORRETAMENTE",IF(AND(AE416="C",AF416="NC"),"UTILIZOU O PDA CORRETAMENTE. NÃO HÁ FOTOS DE TODAS AS ETAPAS",IF(AND(AE416="NC",AF416="NC"),"NÃO UTILIZOU O PDA",IF(AND(AE416="NA",AF416="NA"),"NÃO AVALIADO POR FALHA DE SINCRONISMO"))))</f>
        <v>UTILIZOU O PDA CORRETAMENTE</v>
      </c>
      <c r="AH416" s="145"/>
      <c r="AI416" s="192" t="s">
        <v>6</v>
      </c>
      <c r="AJ416" s="96" t="str">
        <f t="shared" si="20"/>
        <v>SÃO PAULO</v>
      </c>
      <c r="AK416" s="193" t="s">
        <v>39</v>
      </c>
    </row>
    <row r="417" spans="1:37" ht="30" customHeight="1">
      <c r="A417" s="215" t="s">
        <v>198</v>
      </c>
      <c r="B417" s="215">
        <v>2621360792</v>
      </c>
      <c r="C417" s="215" t="s">
        <v>107</v>
      </c>
      <c r="D417" s="215" t="s">
        <v>81</v>
      </c>
      <c r="E417" s="215" t="s">
        <v>5</v>
      </c>
      <c r="F417" s="215" t="s">
        <v>1222</v>
      </c>
      <c r="G417" s="215">
        <v>265</v>
      </c>
      <c r="H417" s="215" t="s">
        <v>1223</v>
      </c>
      <c r="I417" s="215" t="s">
        <v>1224</v>
      </c>
      <c r="J417" s="215" t="s">
        <v>322</v>
      </c>
      <c r="K417" s="215" t="s">
        <v>1225</v>
      </c>
      <c r="L417" s="216">
        <v>46163.25</v>
      </c>
      <c r="M417" s="216">
        <v>46163.250694444447</v>
      </c>
      <c r="N417" s="215" t="s">
        <v>248</v>
      </c>
      <c r="O417" s="157" t="s">
        <v>205</v>
      </c>
      <c r="P417" s="92"/>
      <c r="Q417" s="145" t="s">
        <v>205</v>
      </c>
      <c r="R417" s="92"/>
      <c r="S417" s="145" t="s">
        <v>205</v>
      </c>
      <c r="T417" s="92"/>
      <c r="U417" s="145" t="s">
        <v>205</v>
      </c>
      <c r="V417" s="92"/>
      <c r="W417" s="145" t="s">
        <v>205</v>
      </c>
      <c r="X417" s="92"/>
      <c r="Y417" s="145" t="s">
        <v>62</v>
      </c>
      <c r="Z417" s="92"/>
      <c r="AA417" s="145" t="s">
        <v>205</v>
      </c>
      <c r="AB417" s="92"/>
      <c r="AC417" s="145" t="s">
        <v>205</v>
      </c>
      <c r="AD417" s="92"/>
      <c r="AE417" s="145" t="s">
        <v>205</v>
      </c>
      <c r="AF417" s="182" t="str">
        <f t="shared" si="18"/>
        <v>C</v>
      </c>
      <c r="AG417" s="54" t="str">
        <f t="shared" si="19"/>
        <v>UTILIZOU O PDA CORRETAMENTE</v>
      </c>
      <c r="AH417" s="145" t="s">
        <v>205</v>
      </c>
      <c r="AI417" s="192" t="s">
        <v>6</v>
      </c>
      <c r="AJ417" s="96" t="str">
        <f t="shared" si="20"/>
        <v>SÃO PAULO</v>
      </c>
      <c r="AK417" s="193" t="s">
        <v>39</v>
      </c>
    </row>
    <row r="418" spans="1:37" ht="30" customHeight="1">
      <c r="A418" s="215" t="s">
        <v>198</v>
      </c>
      <c r="B418" s="215">
        <v>2621102904</v>
      </c>
      <c r="C418" s="215" t="s">
        <v>86</v>
      </c>
      <c r="D418" s="215" t="s">
        <v>77</v>
      </c>
      <c r="E418" s="215" t="s">
        <v>5</v>
      </c>
      <c r="F418" s="215" t="s">
        <v>1226</v>
      </c>
      <c r="G418" s="215">
        <v>265</v>
      </c>
      <c r="H418" s="215" t="s">
        <v>387</v>
      </c>
      <c r="I418" s="215" t="s">
        <v>1227</v>
      </c>
      <c r="J418" s="215" t="s">
        <v>86</v>
      </c>
      <c r="K418" s="215" t="s">
        <v>1228</v>
      </c>
      <c r="L418" s="216">
        <v>46163.415972222225</v>
      </c>
      <c r="M418" s="216">
        <v>46163.512499999997</v>
      </c>
      <c r="N418" s="215" t="s">
        <v>235</v>
      </c>
      <c r="O418" s="157" t="s">
        <v>205</v>
      </c>
      <c r="P418" s="92"/>
      <c r="Q418" s="145" t="s">
        <v>205</v>
      </c>
      <c r="R418" s="92"/>
      <c r="S418" s="145" t="s">
        <v>205</v>
      </c>
      <c r="T418" s="92"/>
      <c r="U418" s="145" t="s">
        <v>205</v>
      </c>
      <c r="V418" s="92"/>
      <c r="W418" s="145" t="s">
        <v>205</v>
      </c>
      <c r="X418" s="92"/>
      <c r="Y418" s="145" t="s">
        <v>205</v>
      </c>
      <c r="Z418" s="92"/>
      <c r="AA418" s="145" t="s">
        <v>205</v>
      </c>
      <c r="AB418" s="92"/>
      <c r="AC418" s="145" t="s">
        <v>205</v>
      </c>
      <c r="AD418" s="92"/>
      <c r="AE418" s="145" t="s">
        <v>205</v>
      </c>
      <c r="AF418" s="182" t="str">
        <f t="shared" ref="AF418:AF480" si="21">IF(AND(O418="",Q418="",S418="",U418="",W418="",Y418="",AA418="",AC418=""),"",IF(OR(AND(O418&lt;&gt;"NA",O418&lt;&gt;"C",O418&lt;&gt;"NC",O418&lt;&gt;"SF",O418&lt;&gt;""),AND(Q418&lt;&gt;"NA",Q418&lt;&gt;"C",Q418&lt;&gt;"NC",Q418&lt;&gt;"SF",Q418&lt;&gt;""),AND(S418&lt;&gt;"NA",S418&lt;&gt;"C",S418&lt;&gt;"NC",S418&lt;&gt;"SF",S418&lt;&gt;""),AND(U418&lt;&gt;"NA",U418&lt;&gt;"C",U418&lt;&gt;"NC",U418&lt;&gt;"SF",U418&lt;&gt;""),AND(W418&lt;&gt;"NA",W418&lt;&gt;"C",W418&lt;&gt;"NC",W418&lt;&gt;"SF",W418&lt;&gt;""),AND(Y418&lt;&gt;"NA",Y418&lt;&gt;"C",Y418&lt;&gt;"NC",Y418&lt;&gt;"SF",Y418&lt;&gt;""),AND(AA418&lt;&gt;"NA",AA418&lt;&gt;"C",AA418&lt;&gt;"NC",AA418&lt;&gt;"SF",AA418&lt;&gt;""),AND(AC418&lt;&gt;"NA",AC418&lt;&gt;"C",AC418&lt;&gt;"NC",AC418&lt;&gt;"SF",AC418&lt;&gt;"")),"FALSO",IF(AND(O418="NA",Q418="NA",S418="NA",U418="NA",W418="NA",Y418="NA",AA418="NA",AC418="NA"),"NA",IF(OR(O418="NC",Q418="NC",S418="NC",U418="NC",W418="NC",Y418="NC",AA418="NC",AC418="NC",O418="SF",Q418="SF",S418="SF",U418="SF",W418="SF",Y418="SF",AA418="SF",AC418="SF"),"NC",IF(OR(O418="C",Q418="C",S418="C",U418="C",W418="C",Y418="C",AA418="C",AC418="C"),"C","")))))</f>
        <v>C</v>
      </c>
      <c r="AG418" s="54" t="str">
        <f t="shared" ref="AG418:AG480" si="22">IF(AND(AE418="C",AF418="C"),"UTILIZOU O PDA CORRETAMENTE",IF(AND(AE418="C",AF418="NC"),"UTILIZOU O PDA CORRETAMENTE. NÃO HÁ FOTOS DE TODAS AS ETAPAS",IF(AND(AE418="NC",AF418="NC"),"NÃO UTILIZOU O PDA",IF(AND(AE418="NA",AF418="NA"),"NÃO AVALIADO POR FALHA DE SINCRONISMO"))))</f>
        <v>UTILIZOU O PDA CORRETAMENTE</v>
      </c>
      <c r="AH418" s="145" t="s">
        <v>205</v>
      </c>
      <c r="AI418" s="192" t="s">
        <v>6</v>
      </c>
      <c r="AJ418" s="96" t="str">
        <f t="shared" ref="AJ418:AJ480" si="23">E418</f>
        <v>SÃO PAULO</v>
      </c>
      <c r="AK418" s="193" t="s">
        <v>39</v>
      </c>
    </row>
    <row r="419" spans="1:37" ht="30" customHeight="1">
      <c r="A419" s="215" t="s">
        <v>198</v>
      </c>
      <c r="B419" s="215">
        <v>2621271332</v>
      </c>
      <c r="C419" s="215" t="s">
        <v>94</v>
      </c>
      <c r="D419" s="215" t="s">
        <v>77</v>
      </c>
      <c r="E419" s="215" t="s">
        <v>5</v>
      </c>
      <c r="F419" s="215" t="s">
        <v>1229</v>
      </c>
      <c r="G419" s="215">
        <v>102</v>
      </c>
      <c r="H419" s="215" t="s">
        <v>226</v>
      </c>
      <c r="I419" s="215" t="s">
        <v>1164</v>
      </c>
      <c r="J419" s="215" t="s">
        <v>94</v>
      </c>
      <c r="K419" s="215" t="s">
        <v>1230</v>
      </c>
      <c r="L419" s="216">
        <v>46163.613194444442</v>
      </c>
      <c r="M419" s="216">
        <v>46163.633333333331</v>
      </c>
      <c r="N419" s="215" t="s">
        <v>235</v>
      </c>
      <c r="O419" s="157" t="s">
        <v>205</v>
      </c>
      <c r="P419" s="92"/>
      <c r="Q419" s="145" t="s">
        <v>62</v>
      </c>
      <c r="R419" s="92"/>
      <c r="S419" s="145" t="s">
        <v>62</v>
      </c>
      <c r="T419" s="92"/>
      <c r="U419" s="145" t="s">
        <v>62</v>
      </c>
      <c r="V419" s="92"/>
      <c r="W419" s="145" t="s">
        <v>62</v>
      </c>
      <c r="X419" s="92"/>
      <c r="Y419" s="145" t="s">
        <v>62</v>
      </c>
      <c r="Z419" s="92"/>
      <c r="AA419" s="145" t="s">
        <v>62</v>
      </c>
      <c r="AB419" s="92"/>
      <c r="AC419" s="145" t="s">
        <v>239</v>
      </c>
      <c r="AD419" s="92" t="s">
        <v>413</v>
      </c>
      <c r="AE419" s="145" t="s">
        <v>205</v>
      </c>
      <c r="AF419" s="182" t="str">
        <f t="shared" si="21"/>
        <v>NC</v>
      </c>
      <c r="AG419" s="54" t="str">
        <f t="shared" si="22"/>
        <v>UTILIZOU O PDA CORRETAMENTE. NÃO HÁ FOTOS DE TODAS AS ETAPAS</v>
      </c>
      <c r="AH419" s="145" t="s">
        <v>205</v>
      </c>
      <c r="AI419" s="192" t="s">
        <v>6</v>
      </c>
      <c r="AJ419" s="96" t="str">
        <f t="shared" si="23"/>
        <v>SÃO PAULO</v>
      </c>
      <c r="AK419" s="193" t="s">
        <v>39</v>
      </c>
    </row>
    <row r="420" spans="1:37" ht="30" customHeight="1">
      <c r="A420" s="215" t="s">
        <v>198</v>
      </c>
      <c r="B420" s="215">
        <v>2621271378</v>
      </c>
      <c r="C420" s="215" t="s">
        <v>96</v>
      </c>
      <c r="D420" s="215" t="s">
        <v>77</v>
      </c>
      <c r="E420" s="215" t="s">
        <v>5</v>
      </c>
      <c r="F420" s="215" t="s">
        <v>1229</v>
      </c>
      <c r="G420" s="215">
        <v>102</v>
      </c>
      <c r="H420" s="215" t="s">
        <v>318</v>
      </c>
      <c r="I420" s="215" t="s">
        <v>1164</v>
      </c>
      <c r="J420" s="215" t="s">
        <v>96</v>
      </c>
      <c r="K420" s="215" t="s">
        <v>1231</v>
      </c>
      <c r="L420" s="216">
        <v>46163.634027777778</v>
      </c>
      <c r="M420" s="216">
        <v>46163.635416666664</v>
      </c>
      <c r="N420" s="215" t="s">
        <v>235</v>
      </c>
      <c r="O420" s="157" t="s">
        <v>205</v>
      </c>
      <c r="P420" s="92"/>
      <c r="Q420" s="145" t="s">
        <v>62</v>
      </c>
      <c r="R420" s="92"/>
      <c r="S420" s="145" t="s">
        <v>62</v>
      </c>
      <c r="T420" s="92"/>
      <c r="U420" s="145" t="s">
        <v>62</v>
      </c>
      <c r="V420" s="92"/>
      <c r="W420" s="145" t="s">
        <v>62</v>
      </c>
      <c r="X420" s="92"/>
      <c r="Y420" s="145" t="s">
        <v>62</v>
      </c>
      <c r="Z420" s="92"/>
      <c r="AA420" s="145" t="s">
        <v>62</v>
      </c>
      <c r="AB420" s="92"/>
      <c r="AC420" s="145" t="s">
        <v>239</v>
      </c>
      <c r="AD420" s="92"/>
      <c r="AE420" s="145" t="s">
        <v>205</v>
      </c>
      <c r="AF420" s="182" t="str">
        <f t="shared" si="21"/>
        <v>NC</v>
      </c>
      <c r="AG420" s="54" t="str">
        <f t="shared" si="22"/>
        <v>UTILIZOU O PDA CORRETAMENTE. NÃO HÁ FOTOS DE TODAS AS ETAPAS</v>
      </c>
      <c r="AH420" s="145" t="s">
        <v>205</v>
      </c>
      <c r="AI420" s="192" t="s">
        <v>6</v>
      </c>
      <c r="AJ420" s="96" t="str">
        <f t="shared" si="23"/>
        <v>SÃO PAULO</v>
      </c>
      <c r="AK420" s="193" t="s">
        <v>39</v>
      </c>
    </row>
    <row r="421" spans="1:37" ht="30" customHeight="1">
      <c r="A421" s="215" t="s">
        <v>198</v>
      </c>
      <c r="B421" s="215">
        <v>2621282515</v>
      </c>
      <c r="C421" s="215" t="s">
        <v>314</v>
      </c>
      <c r="D421" s="215" t="s">
        <v>77</v>
      </c>
      <c r="E421" s="215" t="s">
        <v>5</v>
      </c>
      <c r="F421" s="215" t="s">
        <v>1232</v>
      </c>
      <c r="G421" s="215">
        <v>544</v>
      </c>
      <c r="H421" s="215" t="s">
        <v>1233</v>
      </c>
      <c r="I421" s="215" t="s">
        <v>219</v>
      </c>
      <c r="J421" s="215" t="s">
        <v>317</v>
      </c>
      <c r="K421" s="215" t="s">
        <v>1234</v>
      </c>
      <c r="L421" s="216">
        <v>46163.644444444442</v>
      </c>
      <c r="M421" s="216">
        <v>46163.645138888889</v>
      </c>
      <c r="N421" s="215" t="s">
        <v>254</v>
      </c>
      <c r="O421" s="157" t="s">
        <v>205</v>
      </c>
      <c r="P421" s="92"/>
      <c r="Q421" s="145" t="s">
        <v>205</v>
      </c>
      <c r="R421" s="92"/>
      <c r="S421" s="145" t="s">
        <v>205</v>
      </c>
      <c r="T421" s="92"/>
      <c r="U421" s="145" t="s">
        <v>205</v>
      </c>
      <c r="V421" s="92"/>
      <c r="W421" s="145" t="s">
        <v>205</v>
      </c>
      <c r="X421" s="92"/>
      <c r="Y421" s="145" t="s">
        <v>205</v>
      </c>
      <c r="Z421" s="92"/>
      <c r="AA421" s="145" t="s">
        <v>205</v>
      </c>
      <c r="AB421" s="92"/>
      <c r="AC421" s="145" t="s">
        <v>205</v>
      </c>
      <c r="AD421" s="92"/>
      <c r="AE421" s="145" t="s">
        <v>205</v>
      </c>
      <c r="AF421" s="182" t="str">
        <f t="shared" si="21"/>
        <v>C</v>
      </c>
      <c r="AG421" s="54" t="str">
        <f t="shared" si="22"/>
        <v>UTILIZOU O PDA CORRETAMENTE</v>
      </c>
      <c r="AH421" s="145" t="s">
        <v>205</v>
      </c>
      <c r="AI421" s="192" t="s">
        <v>6</v>
      </c>
      <c r="AJ421" s="96" t="str">
        <f t="shared" si="23"/>
        <v>SÃO PAULO</v>
      </c>
      <c r="AK421" s="193" t="s">
        <v>39</v>
      </c>
    </row>
    <row r="422" spans="1:37" ht="30" customHeight="1">
      <c r="A422" s="215" t="s">
        <v>198</v>
      </c>
      <c r="B422" s="215">
        <v>2621282492</v>
      </c>
      <c r="C422" s="215" t="s">
        <v>314</v>
      </c>
      <c r="D422" s="215" t="s">
        <v>77</v>
      </c>
      <c r="E422" s="215" t="s">
        <v>5</v>
      </c>
      <c r="F422" s="215" t="s">
        <v>1232</v>
      </c>
      <c r="G422" s="215">
        <v>544</v>
      </c>
      <c r="H422" s="215" t="s">
        <v>1235</v>
      </c>
      <c r="I422" s="215" t="s">
        <v>219</v>
      </c>
      <c r="J422" s="215" t="s">
        <v>317</v>
      </c>
      <c r="K422" s="215" t="s">
        <v>1234</v>
      </c>
      <c r="L422" s="216">
        <v>46163.634027777778</v>
      </c>
      <c r="M422" s="216">
        <v>46163.635416666664</v>
      </c>
      <c r="N422" s="215" t="s">
        <v>254</v>
      </c>
      <c r="O422" s="157" t="s">
        <v>205</v>
      </c>
      <c r="P422" s="92"/>
      <c r="Q422" s="145" t="s">
        <v>205</v>
      </c>
      <c r="R422" s="92"/>
      <c r="S422" s="145" t="s">
        <v>205</v>
      </c>
      <c r="T422" s="92"/>
      <c r="U422" s="145" t="s">
        <v>205</v>
      </c>
      <c r="V422" s="92"/>
      <c r="W422" s="145" t="s">
        <v>205</v>
      </c>
      <c r="X422" s="92"/>
      <c r="Y422" s="145" t="s">
        <v>205</v>
      </c>
      <c r="Z422" s="92"/>
      <c r="AA422" s="145" t="s">
        <v>205</v>
      </c>
      <c r="AB422" s="92"/>
      <c r="AC422" s="145" t="s">
        <v>205</v>
      </c>
      <c r="AD422" s="92"/>
      <c r="AE422" s="145" t="s">
        <v>205</v>
      </c>
      <c r="AF422" s="182" t="str">
        <f t="shared" si="21"/>
        <v>C</v>
      </c>
      <c r="AG422" s="54" t="str">
        <f t="shared" si="22"/>
        <v>UTILIZOU O PDA CORRETAMENTE</v>
      </c>
      <c r="AH422" s="145" t="s">
        <v>205</v>
      </c>
      <c r="AI422" s="192" t="s">
        <v>6</v>
      </c>
      <c r="AJ422" s="96" t="str">
        <f t="shared" si="23"/>
        <v>SÃO PAULO</v>
      </c>
      <c r="AK422" s="193" t="s">
        <v>39</v>
      </c>
    </row>
    <row r="423" spans="1:37" ht="30" customHeight="1">
      <c r="A423" s="215" t="s">
        <v>198</v>
      </c>
      <c r="B423" s="215">
        <v>2621282488</v>
      </c>
      <c r="C423" s="215" t="s">
        <v>314</v>
      </c>
      <c r="D423" s="215" t="s">
        <v>77</v>
      </c>
      <c r="E423" s="215" t="s">
        <v>5</v>
      </c>
      <c r="F423" s="215" t="s">
        <v>1232</v>
      </c>
      <c r="G423" s="215">
        <v>544</v>
      </c>
      <c r="H423" s="215" t="s">
        <v>652</v>
      </c>
      <c r="I423" s="215" t="s">
        <v>219</v>
      </c>
      <c r="J423" s="215" t="s">
        <v>317</v>
      </c>
      <c r="K423" s="215" t="s">
        <v>1234</v>
      </c>
      <c r="L423" s="216">
        <v>46163.632638888892</v>
      </c>
      <c r="M423" s="216">
        <v>46163.634027777778</v>
      </c>
      <c r="N423" s="215" t="s">
        <v>254</v>
      </c>
      <c r="O423" s="157" t="s">
        <v>205</v>
      </c>
      <c r="P423" s="92"/>
      <c r="Q423" s="145" t="s">
        <v>205</v>
      </c>
      <c r="R423" s="92"/>
      <c r="S423" s="145" t="s">
        <v>205</v>
      </c>
      <c r="T423" s="92"/>
      <c r="U423" s="145" t="s">
        <v>205</v>
      </c>
      <c r="V423" s="92"/>
      <c r="W423" s="145" t="s">
        <v>205</v>
      </c>
      <c r="X423" s="92"/>
      <c r="Y423" s="145" t="s">
        <v>205</v>
      </c>
      <c r="Z423" s="92"/>
      <c r="AA423" s="145" t="s">
        <v>205</v>
      </c>
      <c r="AB423" s="92"/>
      <c r="AC423" s="145" t="s">
        <v>205</v>
      </c>
      <c r="AD423" s="92"/>
      <c r="AE423" s="145" t="s">
        <v>205</v>
      </c>
      <c r="AF423" s="182" t="str">
        <f t="shared" si="21"/>
        <v>C</v>
      </c>
      <c r="AG423" s="54" t="str">
        <f t="shared" si="22"/>
        <v>UTILIZOU O PDA CORRETAMENTE</v>
      </c>
      <c r="AH423" s="145" t="s">
        <v>205</v>
      </c>
      <c r="AI423" s="192" t="s">
        <v>6</v>
      </c>
      <c r="AJ423" s="96" t="str">
        <f t="shared" si="23"/>
        <v>SÃO PAULO</v>
      </c>
      <c r="AK423" s="193" t="s">
        <v>39</v>
      </c>
    </row>
    <row r="424" spans="1:37" ht="30" customHeight="1">
      <c r="A424" s="215" t="s">
        <v>198</v>
      </c>
      <c r="B424" s="215">
        <v>2621282511</v>
      </c>
      <c r="C424" s="215" t="s">
        <v>314</v>
      </c>
      <c r="D424" s="215" t="s">
        <v>77</v>
      </c>
      <c r="E424" s="215" t="s">
        <v>5</v>
      </c>
      <c r="F424" s="215" t="s">
        <v>1232</v>
      </c>
      <c r="G424" s="215">
        <v>544</v>
      </c>
      <c r="H424" s="215" t="s">
        <v>1236</v>
      </c>
      <c r="I424" s="215" t="s">
        <v>219</v>
      </c>
      <c r="J424" s="215" t="s">
        <v>317</v>
      </c>
      <c r="K424" s="215" t="s">
        <v>1234</v>
      </c>
      <c r="L424" s="216">
        <v>46163.642361111109</v>
      </c>
      <c r="M424" s="216">
        <v>46163.643750000003</v>
      </c>
      <c r="N424" s="215" t="s">
        <v>254</v>
      </c>
      <c r="O424" s="157" t="s">
        <v>205</v>
      </c>
      <c r="P424" s="92"/>
      <c r="Q424" s="145" t="s">
        <v>205</v>
      </c>
      <c r="R424" s="92"/>
      <c r="S424" s="145" t="s">
        <v>205</v>
      </c>
      <c r="T424" s="92"/>
      <c r="U424" s="145" t="s">
        <v>205</v>
      </c>
      <c r="V424" s="92"/>
      <c r="W424" s="145" t="s">
        <v>205</v>
      </c>
      <c r="X424" s="92"/>
      <c r="Y424" s="145" t="s">
        <v>205</v>
      </c>
      <c r="Z424" s="92"/>
      <c r="AA424" s="145" t="s">
        <v>205</v>
      </c>
      <c r="AB424" s="92"/>
      <c r="AC424" s="145" t="s">
        <v>205</v>
      </c>
      <c r="AD424" s="92"/>
      <c r="AE424" s="145" t="s">
        <v>205</v>
      </c>
      <c r="AF424" s="182" t="str">
        <f t="shared" si="21"/>
        <v>C</v>
      </c>
      <c r="AG424" s="54" t="str">
        <f t="shared" si="22"/>
        <v>UTILIZOU O PDA CORRETAMENTE</v>
      </c>
      <c r="AH424" s="145" t="s">
        <v>205</v>
      </c>
      <c r="AI424" s="192" t="s">
        <v>6</v>
      </c>
      <c r="AJ424" s="96" t="str">
        <f t="shared" si="23"/>
        <v>SÃO PAULO</v>
      </c>
      <c r="AK424" s="193" t="s">
        <v>39</v>
      </c>
    </row>
    <row r="425" spans="1:37" ht="30" customHeight="1">
      <c r="A425" s="215" t="s">
        <v>198</v>
      </c>
      <c r="B425" s="215">
        <v>2621282494</v>
      </c>
      <c r="C425" s="215" t="s">
        <v>314</v>
      </c>
      <c r="D425" s="215" t="s">
        <v>77</v>
      </c>
      <c r="E425" s="215" t="s">
        <v>5</v>
      </c>
      <c r="F425" s="215" t="s">
        <v>1232</v>
      </c>
      <c r="G425" s="215">
        <v>544</v>
      </c>
      <c r="H425" s="215" t="s">
        <v>273</v>
      </c>
      <c r="I425" s="215" t="s">
        <v>219</v>
      </c>
      <c r="J425" s="215" t="s">
        <v>317</v>
      </c>
      <c r="K425" s="215" t="s">
        <v>1237</v>
      </c>
      <c r="L425" s="216">
        <v>46163.636111111111</v>
      </c>
      <c r="M425" s="216">
        <v>46163.63958333333</v>
      </c>
      <c r="N425" s="215" t="s">
        <v>254</v>
      </c>
      <c r="O425" s="157" t="s">
        <v>205</v>
      </c>
      <c r="P425" s="92"/>
      <c r="Q425" s="145" t="s">
        <v>205</v>
      </c>
      <c r="R425" s="92"/>
      <c r="S425" s="145" t="s">
        <v>205</v>
      </c>
      <c r="T425" s="92"/>
      <c r="U425" s="145" t="s">
        <v>205</v>
      </c>
      <c r="V425" s="92"/>
      <c r="W425" s="145" t="s">
        <v>205</v>
      </c>
      <c r="X425" s="92"/>
      <c r="Y425" s="145" t="s">
        <v>205</v>
      </c>
      <c r="Z425" s="92"/>
      <c r="AA425" s="145" t="s">
        <v>205</v>
      </c>
      <c r="AB425" s="92"/>
      <c r="AC425" s="145" t="s">
        <v>205</v>
      </c>
      <c r="AD425" s="92"/>
      <c r="AE425" s="145" t="s">
        <v>205</v>
      </c>
      <c r="AF425" s="182" t="str">
        <f t="shared" si="21"/>
        <v>C</v>
      </c>
      <c r="AG425" s="54" t="str">
        <f t="shared" si="22"/>
        <v>UTILIZOU O PDA CORRETAMENTE</v>
      </c>
      <c r="AH425" s="145" t="s">
        <v>205</v>
      </c>
      <c r="AI425" s="192" t="s">
        <v>6</v>
      </c>
      <c r="AJ425" s="96" t="str">
        <f t="shared" si="23"/>
        <v>SÃO PAULO</v>
      </c>
      <c r="AK425" s="193" t="s">
        <v>39</v>
      </c>
    </row>
    <row r="426" spans="1:37" ht="30" customHeight="1">
      <c r="A426" s="215" t="s">
        <v>198</v>
      </c>
      <c r="B426" s="215">
        <v>2621282481</v>
      </c>
      <c r="C426" s="215" t="s">
        <v>314</v>
      </c>
      <c r="D426" s="215" t="s">
        <v>77</v>
      </c>
      <c r="E426" s="215" t="s">
        <v>5</v>
      </c>
      <c r="F426" s="215" t="s">
        <v>1232</v>
      </c>
      <c r="G426" s="215">
        <v>544</v>
      </c>
      <c r="H426" s="215" t="s">
        <v>250</v>
      </c>
      <c r="I426" s="215" t="s">
        <v>219</v>
      </c>
      <c r="J426" s="215" t="s">
        <v>317</v>
      </c>
      <c r="K426" s="215" t="s">
        <v>1238</v>
      </c>
      <c r="L426" s="216">
        <v>46163.629166666666</v>
      </c>
      <c r="M426" s="216">
        <v>46163.631944444445</v>
      </c>
      <c r="N426" s="215" t="s">
        <v>254</v>
      </c>
      <c r="O426" s="157" t="s">
        <v>205</v>
      </c>
      <c r="P426" s="92"/>
      <c r="Q426" s="145" t="s">
        <v>205</v>
      </c>
      <c r="R426" s="92"/>
      <c r="S426" s="145" t="s">
        <v>205</v>
      </c>
      <c r="T426" s="92"/>
      <c r="U426" s="145" t="s">
        <v>205</v>
      </c>
      <c r="V426" s="92"/>
      <c r="W426" s="145" t="s">
        <v>205</v>
      </c>
      <c r="X426" s="92"/>
      <c r="Y426" s="145" t="s">
        <v>205</v>
      </c>
      <c r="Z426" s="92"/>
      <c r="AA426" s="145" t="s">
        <v>205</v>
      </c>
      <c r="AB426" s="92"/>
      <c r="AC426" s="145" t="s">
        <v>205</v>
      </c>
      <c r="AD426" s="92"/>
      <c r="AE426" s="145" t="s">
        <v>205</v>
      </c>
      <c r="AF426" s="182" t="str">
        <f t="shared" si="21"/>
        <v>C</v>
      </c>
      <c r="AG426" s="54" t="str">
        <f t="shared" si="22"/>
        <v>UTILIZOU O PDA CORRETAMENTE</v>
      </c>
      <c r="AH426" s="145" t="s">
        <v>205</v>
      </c>
      <c r="AI426" s="192" t="s">
        <v>6</v>
      </c>
      <c r="AJ426" s="96" t="str">
        <f t="shared" si="23"/>
        <v>SÃO PAULO</v>
      </c>
      <c r="AK426" s="193" t="s">
        <v>39</v>
      </c>
    </row>
    <row r="427" spans="1:37" ht="30" customHeight="1">
      <c r="A427" s="215" t="s">
        <v>198</v>
      </c>
      <c r="B427" s="215">
        <v>2621282451</v>
      </c>
      <c r="C427" s="215" t="s">
        <v>314</v>
      </c>
      <c r="D427" s="215" t="s">
        <v>77</v>
      </c>
      <c r="E427" s="215" t="s">
        <v>5</v>
      </c>
      <c r="F427" s="215" t="s">
        <v>1232</v>
      </c>
      <c r="G427" s="215">
        <v>544</v>
      </c>
      <c r="H427" s="215" t="s">
        <v>481</v>
      </c>
      <c r="I427" s="215" t="s">
        <v>219</v>
      </c>
      <c r="J427" s="215" t="s">
        <v>317</v>
      </c>
      <c r="K427" s="215" t="s">
        <v>1234</v>
      </c>
      <c r="L427" s="216">
        <v>46163.601388888892</v>
      </c>
      <c r="M427" s="216">
        <v>46163.602777777778</v>
      </c>
      <c r="N427" s="215" t="s">
        <v>254</v>
      </c>
      <c r="O427" s="157" t="s">
        <v>205</v>
      </c>
      <c r="P427" s="92"/>
      <c r="Q427" s="145" t="s">
        <v>205</v>
      </c>
      <c r="R427" s="92"/>
      <c r="S427" s="145" t="s">
        <v>205</v>
      </c>
      <c r="T427" s="92"/>
      <c r="U427" s="145" t="s">
        <v>205</v>
      </c>
      <c r="V427" s="92"/>
      <c r="W427" s="145" t="s">
        <v>205</v>
      </c>
      <c r="X427" s="92"/>
      <c r="Y427" s="145" t="s">
        <v>205</v>
      </c>
      <c r="Z427" s="92"/>
      <c r="AA427" s="145" t="s">
        <v>205</v>
      </c>
      <c r="AB427" s="92"/>
      <c r="AC427" s="145" t="s">
        <v>205</v>
      </c>
      <c r="AD427" s="92"/>
      <c r="AE427" s="145" t="s">
        <v>205</v>
      </c>
      <c r="AF427" s="182" t="str">
        <f t="shared" si="21"/>
        <v>C</v>
      </c>
      <c r="AG427" s="54" t="str">
        <f t="shared" si="22"/>
        <v>UTILIZOU O PDA CORRETAMENTE</v>
      </c>
      <c r="AH427" s="145" t="s">
        <v>205</v>
      </c>
      <c r="AI427" s="192" t="s">
        <v>6</v>
      </c>
      <c r="AJ427" s="96" t="str">
        <f t="shared" si="23"/>
        <v>SÃO PAULO</v>
      </c>
      <c r="AK427" s="193" t="s">
        <v>39</v>
      </c>
    </row>
    <row r="428" spans="1:37" ht="30" customHeight="1">
      <c r="A428" s="215" t="s">
        <v>198</v>
      </c>
      <c r="B428" s="215">
        <v>2621282426</v>
      </c>
      <c r="C428" s="215" t="s">
        <v>314</v>
      </c>
      <c r="D428" s="215" t="s">
        <v>77</v>
      </c>
      <c r="E428" s="215" t="s">
        <v>5</v>
      </c>
      <c r="F428" s="215" t="s">
        <v>1232</v>
      </c>
      <c r="G428" s="215">
        <v>544</v>
      </c>
      <c r="H428" s="215" t="s">
        <v>318</v>
      </c>
      <c r="I428" s="215" t="s">
        <v>219</v>
      </c>
      <c r="J428" s="215" t="s">
        <v>317</v>
      </c>
      <c r="K428" s="215" t="s">
        <v>1234</v>
      </c>
      <c r="L428" s="216">
        <v>46163.598611111112</v>
      </c>
      <c r="M428" s="216">
        <v>46163.600694444445</v>
      </c>
      <c r="N428" s="215" t="s">
        <v>254</v>
      </c>
      <c r="O428" s="157" t="s">
        <v>205</v>
      </c>
      <c r="P428" s="92"/>
      <c r="Q428" s="145" t="s">
        <v>205</v>
      </c>
      <c r="R428" s="92"/>
      <c r="S428" s="145" t="s">
        <v>205</v>
      </c>
      <c r="T428" s="92"/>
      <c r="U428" s="145" t="s">
        <v>205</v>
      </c>
      <c r="V428" s="92"/>
      <c r="W428" s="145" t="s">
        <v>205</v>
      </c>
      <c r="X428" s="92"/>
      <c r="Y428" s="145" t="s">
        <v>205</v>
      </c>
      <c r="Z428" s="92"/>
      <c r="AA428" s="145" t="s">
        <v>205</v>
      </c>
      <c r="AB428" s="92"/>
      <c r="AC428" s="240" t="s">
        <v>205</v>
      </c>
      <c r="AD428" s="92"/>
      <c r="AE428" s="145" t="s">
        <v>205</v>
      </c>
      <c r="AF428" s="182" t="str">
        <f t="shared" si="21"/>
        <v>C</v>
      </c>
      <c r="AG428" s="54" t="str">
        <f t="shared" si="22"/>
        <v>UTILIZOU O PDA CORRETAMENTE</v>
      </c>
      <c r="AH428" s="145" t="s">
        <v>205</v>
      </c>
      <c r="AI428" s="192" t="s">
        <v>6</v>
      </c>
      <c r="AJ428" s="96" t="str">
        <f t="shared" si="23"/>
        <v>SÃO PAULO</v>
      </c>
      <c r="AK428" s="193" t="s">
        <v>39</v>
      </c>
    </row>
    <row r="429" spans="1:37" ht="30" customHeight="1">
      <c r="A429" s="215" t="s">
        <v>198</v>
      </c>
      <c r="B429" s="215">
        <v>2621282423</v>
      </c>
      <c r="C429" s="215" t="s">
        <v>314</v>
      </c>
      <c r="D429" s="215" t="s">
        <v>77</v>
      </c>
      <c r="E429" s="215" t="s">
        <v>5</v>
      </c>
      <c r="F429" s="215" t="s">
        <v>1232</v>
      </c>
      <c r="G429" s="215">
        <v>544</v>
      </c>
      <c r="H429" s="215" t="s">
        <v>226</v>
      </c>
      <c r="I429" s="215" t="s">
        <v>219</v>
      </c>
      <c r="J429" s="215" t="s">
        <v>317</v>
      </c>
      <c r="K429" s="215" t="s">
        <v>1239</v>
      </c>
      <c r="L429" s="216">
        <v>46163.645833333336</v>
      </c>
      <c r="M429" s="216">
        <v>46163.659722222219</v>
      </c>
      <c r="N429" s="215" t="s">
        <v>254</v>
      </c>
      <c r="O429" s="157" t="s">
        <v>205</v>
      </c>
      <c r="P429" s="92"/>
      <c r="Q429" s="145" t="s">
        <v>205</v>
      </c>
      <c r="R429" s="92"/>
      <c r="S429" s="145" t="s">
        <v>205</v>
      </c>
      <c r="T429" s="92"/>
      <c r="U429" s="145" t="s">
        <v>205</v>
      </c>
      <c r="V429" s="92"/>
      <c r="W429" s="145" t="s">
        <v>205</v>
      </c>
      <c r="X429" s="92"/>
      <c r="Y429" s="145" t="s">
        <v>205</v>
      </c>
      <c r="Z429" s="92"/>
      <c r="AA429" s="145" t="s">
        <v>205</v>
      </c>
      <c r="AB429" s="329"/>
      <c r="AC429" s="143" t="s">
        <v>205</v>
      </c>
      <c r="AD429" s="9"/>
      <c r="AE429" s="145" t="s">
        <v>205</v>
      </c>
      <c r="AF429" s="182" t="str">
        <f t="shared" si="21"/>
        <v>C</v>
      </c>
      <c r="AG429" s="54" t="str">
        <f t="shared" si="22"/>
        <v>UTILIZOU O PDA CORRETAMENTE</v>
      </c>
      <c r="AH429" s="145" t="s">
        <v>205</v>
      </c>
      <c r="AI429" s="192" t="s">
        <v>6</v>
      </c>
      <c r="AJ429" s="96" t="str">
        <f t="shared" si="23"/>
        <v>SÃO PAULO</v>
      </c>
      <c r="AK429" s="193" t="s">
        <v>39</v>
      </c>
    </row>
    <row r="430" spans="1:37" ht="30" customHeight="1">
      <c r="A430" s="215" t="s">
        <v>198</v>
      </c>
      <c r="B430" s="215">
        <v>2621282497</v>
      </c>
      <c r="C430" s="215" t="s">
        <v>314</v>
      </c>
      <c r="D430" s="215" t="s">
        <v>77</v>
      </c>
      <c r="E430" s="215" t="s">
        <v>5</v>
      </c>
      <c r="F430" s="215" t="s">
        <v>1232</v>
      </c>
      <c r="G430" s="215">
        <v>544</v>
      </c>
      <c r="H430" s="215" t="s">
        <v>1240</v>
      </c>
      <c r="I430" s="215" t="s">
        <v>219</v>
      </c>
      <c r="J430" s="215" t="s">
        <v>317</v>
      </c>
      <c r="K430" s="215" t="s">
        <v>1234</v>
      </c>
      <c r="L430" s="216">
        <v>46163.640972222223</v>
      </c>
      <c r="M430" s="216">
        <v>46163.642361111109</v>
      </c>
      <c r="N430" s="215" t="s">
        <v>254</v>
      </c>
      <c r="O430" s="157" t="s">
        <v>205</v>
      </c>
      <c r="P430" s="92"/>
      <c r="Q430" s="145" t="s">
        <v>205</v>
      </c>
      <c r="R430" s="92"/>
      <c r="S430" s="145" t="s">
        <v>205</v>
      </c>
      <c r="T430" s="92"/>
      <c r="U430" s="145" t="s">
        <v>205</v>
      </c>
      <c r="V430" s="92"/>
      <c r="W430" s="145" t="s">
        <v>205</v>
      </c>
      <c r="X430" s="92"/>
      <c r="Y430" s="145" t="s">
        <v>205</v>
      </c>
      <c r="Z430" s="92"/>
      <c r="AA430" s="145" t="s">
        <v>205</v>
      </c>
      <c r="AB430" s="329"/>
      <c r="AC430" s="143" t="s">
        <v>205</v>
      </c>
      <c r="AD430" s="9"/>
      <c r="AE430" s="145" t="s">
        <v>205</v>
      </c>
      <c r="AF430" s="182" t="str">
        <f t="shared" si="21"/>
        <v>C</v>
      </c>
      <c r="AG430" s="54" t="str">
        <f t="shared" si="22"/>
        <v>UTILIZOU O PDA CORRETAMENTE</v>
      </c>
      <c r="AH430" s="145" t="s">
        <v>205</v>
      </c>
      <c r="AI430" s="192" t="s">
        <v>6</v>
      </c>
      <c r="AJ430" s="96" t="str">
        <f t="shared" si="23"/>
        <v>SÃO PAULO</v>
      </c>
      <c r="AK430" s="193" t="s">
        <v>39</v>
      </c>
    </row>
    <row r="431" spans="1:37" ht="30" customHeight="1">
      <c r="A431" s="215" t="s">
        <v>198</v>
      </c>
      <c r="B431" s="215">
        <v>2621282455</v>
      </c>
      <c r="C431" s="215" t="s">
        <v>314</v>
      </c>
      <c r="D431" s="215" t="s">
        <v>77</v>
      </c>
      <c r="E431" s="215" t="s">
        <v>5</v>
      </c>
      <c r="F431" s="215" t="s">
        <v>1232</v>
      </c>
      <c r="G431" s="215">
        <v>544</v>
      </c>
      <c r="H431" s="215" t="s">
        <v>363</v>
      </c>
      <c r="I431" s="215" t="s">
        <v>219</v>
      </c>
      <c r="J431" s="215" t="s">
        <v>317</v>
      </c>
      <c r="K431" s="215" t="s">
        <v>1234</v>
      </c>
      <c r="L431" s="216">
        <v>46163.602777777778</v>
      </c>
      <c r="M431" s="216">
        <v>46163.604166666664</v>
      </c>
      <c r="N431" s="215" t="s">
        <v>254</v>
      </c>
      <c r="O431" s="157" t="s">
        <v>205</v>
      </c>
      <c r="P431" s="92"/>
      <c r="Q431" s="145" t="s">
        <v>205</v>
      </c>
      <c r="R431" s="92"/>
      <c r="S431" s="145" t="s">
        <v>205</v>
      </c>
      <c r="T431" s="92"/>
      <c r="U431" s="145" t="s">
        <v>205</v>
      </c>
      <c r="V431" s="92"/>
      <c r="W431" s="145" t="s">
        <v>205</v>
      </c>
      <c r="X431" s="92"/>
      <c r="Y431" s="145" t="s">
        <v>205</v>
      </c>
      <c r="Z431" s="92"/>
      <c r="AA431" s="145" t="s">
        <v>205</v>
      </c>
      <c r="AB431" s="92"/>
      <c r="AC431" s="224" t="s">
        <v>205</v>
      </c>
      <c r="AD431" s="92"/>
      <c r="AE431" s="145" t="s">
        <v>205</v>
      </c>
      <c r="AF431" s="182" t="str">
        <f t="shared" si="21"/>
        <v>C</v>
      </c>
      <c r="AG431" s="54" t="str">
        <f t="shared" si="22"/>
        <v>UTILIZOU O PDA CORRETAMENTE</v>
      </c>
      <c r="AH431" s="145" t="s">
        <v>205</v>
      </c>
      <c r="AI431" s="192" t="s">
        <v>6</v>
      </c>
      <c r="AJ431" s="96" t="str">
        <f t="shared" si="23"/>
        <v>SÃO PAULO</v>
      </c>
      <c r="AK431" s="193" t="s">
        <v>39</v>
      </c>
    </row>
    <row r="432" spans="1:37" ht="30" customHeight="1">
      <c r="A432" s="215" t="s">
        <v>198</v>
      </c>
      <c r="B432" s="215">
        <v>2621282485</v>
      </c>
      <c r="C432" s="215" t="s">
        <v>314</v>
      </c>
      <c r="D432" s="215" t="s">
        <v>77</v>
      </c>
      <c r="E432" s="215" t="s">
        <v>5</v>
      </c>
      <c r="F432" s="215" t="s">
        <v>1232</v>
      </c>
      <c r="G432" s="215">
        <v>544</v>
      </c>
      <c r="H432" s="215" t="s">
        <v>708</v>
      </c>
      <c r="I432" s="215" t="s">
        <v>219</v>
      </c>
      <c r="J432" s="215" t="s">
        <v>317</v>
      </c>
      <c r="K432" s="215" t="s">
        <v>1234</v>
      </c>
      <c r="L432" s="216">
        <v>46163.62777777778</v>
      </c>
      <c r="M432" s="216">
        <v>46163.629166666666</v>
      </c>
      <c r="N432" s="215" t="s">
        <v>254</v>
      </c>
      <c r="O432" s="157" t="s">
        <v>205</v>
      </c>
      <c r="P432" s="92"/>
      <c r="Q432" s="145" t="s">
        <v>205</v>
      </c>
      <c r="R432" s="92"/>
      <c r="S432" s="145" t="s">
        <v>205</v>
      </c>
      <c r="T432" s="92"/>
      <c r="U432" s="145" t="s">
        <v>205</v>
      </c>
      <c r="V432" s="92"/>
      <c r="W432" s="145" t="s">
        <v>205</v>
      </c>
      <c r="X432" s="92"/>
      <c r="Y432" s="145" t="s">
        <v>205</v>
      </c>
      <c r="Z432" s="92"/>
      <c r="AA432" s="145" t="s">
        <v>205</v>
      </c>
      <c r="AB432" s="92"/>
      <c r="AC432" s="145" t="s">
        <v>205</v>
      </c>
      <c r="AD432" s="92"/>
      <c r="AE432" s="145" t="s">
        <v>205</v>
      </c>
      <c r="AF432" s="182" t="str">
        <f t="shared" si="21"/>
        <v>C</v>
      </c>
      <c r="AG432" s="54" t="str">
        <f t="shared" si="22"/>
        <v>UTILIZOU O PDA CORRETAMENTE</v>
      </c>
      <c r="AH432" s="145" t="s">
        <v>205</v>
      </c>
      <c r="AI432" s="192" t="s">
        <v>6</v>
      </c>
      <c r="AJ432" s="96" t="str">
        <f t="shared" si="23"/>
        <v>SÃO PAULO</v>
      </c>
      <c r="AK432" s="193" t="s">
        <v>39</v>
      </c>
    </row>
    <row r="433" spans="1:37" ht="30" customHeight="1">
      <c r="A433" s="215" t="s">
        <v>198</v>
      </c>
      <c r="B433" s="215">
        <v>2693818062</v>
      </c>
      <c r="C433" s="215" t="s">
        <v>99</v>
      </c>
      <c r="D433" s="215" t="s">
        <v>81</v>
      </c>
      <c r="E433" s="215" t="s">
        <v>5</v>
      </c>
      <c r="F433" s="215" t="s">
        <v>1241</v>
      </c>
      <c r="G433" s="215">
        <v>270</v>
      </c>
      <c r="H433" s="215"/>
      <c r="I433" s="215" t="s">
        <v>1242</v>
      </c>
      <c r="J433" s="215" t="s">
        <v>268</v>
      </c>
      <c r="K433" s="215"/>
      <c r="L433" s="216">
        <v>46163.438194444447</v>
      </c>
      <c r="M433" s="216">
        <v>46163.448611111111</v>
      </c>
      <c r="N433" s="215" t="s">
        <v>221</v>
      </c>
      <c r="O433" s="157" t="s">
        <v>205</v>
      </c>
      <c r="P433" s="92"/>
      <c r="Q433" s="145" t="s">
        <v>205</v>
      </c>
      <c r="R433" s="92"/>
      <c r="S433" s="145" t="s">
        <v>205</v>
      </c>
      <c r="T433" s="92"/>
      <c r="U433" s="145" t="s">
        <v>205</v>
      </c>
      <c r="V433" s="92"/>
      <c r="W433" s="145" t="s">
        <v>205</v>
      </c>
      <c r="X433" s="92"/>
      <c r="Y433" s="145" t="s">
        <v>205</v>
      </c>
      <c r="Z433" s="92"/>
      <c r="AA433" s="145" t="s">
        <v>205</v>
      </c>
      <c r="AB433" s="92"/>
      <c r="AC433" s="145" t="s">
        <v>205</v>
      </c>
      <c r="AD433" s="92"/>
      <c r="AE433" s="145" t="s">
        <v>205</v>
      </c>
      <c r="AF433" s="182" t="str">
        <f t="shared" si="21"/>
        <v>C</v>
      </c>
      <c r="AG433" s="54" t="str">
        <f t="shared" si="22"/>
        <v>UTILIZOU O PDA CORRETAMENTE</v>
      </c>
      <c r="AH433" s="145" t="s">
        <v>205</v>
      </c>
      <c r="AI433" s="192" t="s">
        <v>6</v>
      </c>
      <c r="AJ433" s="96" t="str">
        <f t="shared" si="23"/>
        <v>SÃO PAULO</v>
      </c>
      <c r="AK433" s="193" t="s">
        <v>39</v>
      </c>
    </row>
    <row r="434" spans="1:37" ht="30" customHeight="1">
      <c r="A434" s="215" t="s">
        <v>198</v>
      </c>
      <c r="B434" s="215">
        <v>2621390070</v>
      </c>
      <c r="C434" s="215" t="s">
        <v>331</v>
      </c>
      <c r="D434" s="215" t="s">
        <v>79</v>
      </c>
      <c r="E434" s="215" t="s">
        <v>5</v>
      </c>
      <c r="F434" s="215" t="s">
        <v>332</v>
      </c>
      <c r="G434" s="215">
        <v>229</v>
      </c>
      <c r="H434" s="215" t="s">
        <v>200</v>
      </c>
      <c r="I434" s="215" t="s">
        <v>333</v>
      </c>
      <c r="J434" s="215" t="s">
        <v>334</v>
      </c>
      <c r="K434" s="215" t="s">
        <v>200</v>
      </c>
      <c r="L434" s="216">
        <v>46163.455555555556</v>
      </c>
      <c r="M434" s="216">
        <v>46163.55972222222</v>
      </c>
      <c r="N434" s="215" t="s">
        <v>230</v>
      </c>
      <c r="O434" s="157" t="s">
        <v>205</v>
      </c>
      <c r="P434" s="92"/>
      <c r="Q434" s="145" t="s">
        <v>205</v>
      </c>
      <c r="R434" s="92"/>
      <c r="S434" s="145" t="s">
        <v>205</v>
      </c>
      <c r="T434" s="92"/>
      <c r="U434" s="145" t="s">
        <v>205</v>
      </c>
      <c r="V434" s="92"/>
      <c r="W434" s="145" t="s">
        <v>205</v>
      </c>
      <c r="X434" s="92"/>
      <c r="Y434" s="145" t="s">
        <v>205</v>
      </c>
      <c r="Z434" s="92"/>
      <c r="AA434" s="145" t="s">
        <v>205</v>
      </c>
      <c r="AB434" s="92"/>
      <c r="AC434" s="145" t="s">
        <v>205</v>
      </c>
      <c r="AD434" s="92"/>
      <c r="AE434" s="145" t="s">
        <v>205</v>
      </c>
      <c r="AF434" s="182" t="str">
        <f t="shared" si="21"/>
        <v>C</v>
      </c>
      <c r="AG434" s="54" t="str">
        <f t="shared" si="22"/>
        <v>UTILIZOU O PDA CORRETAMENTE</v>
      </c>
      <c r="AH434" s="145" t="s">
        <v>205</v>
      </c>
      <c r="AI434" s="192" t="s">
        <v>6</v>
      </c>
      <c r="AJ434" s="96" t="str">
        <f t="shared" si="23"/>
        <v>SÃO PAULO</v>
      </c>
      <c r="AK434" s="193" t="s">
        <v>39</v>
      </c>
    </row>
    <row r="435" spans="1:37" ht="30" customHeight="1">
      <c r="A435" s="215" t="s">
        <v>198</v>
      </c>
      <c r="B435" s="215">
        <v>2621249249</v>
      </c>
      <c r="C435" s="215" t="s">
        <v>100</v>
      </c>
      <c r="D435" s="215" t="s">
        <v>81</v>
      </c>
      <c r="E435" s="215" t="s">
        <v>5</v>
      </c>
      <c r="F435" s="215" t="s">
        <v>1243</v>
      </c>
      <c r="G435" s="215">
        <v>278</v>
      </c>
      <c r="H435" s="215" t="s">
        <v>387</v>
      </c>
      <c r="I435" s="215" t="s">
        <v>1082</v>
      </c>
      <c r="J435" s="215" t="s">
        <v>243</v>
      </c>
      <c r="K435" s="215" t="s">
        <v>1244</v>
      </c>
      <c r="L435" s="216">
        <v>46163.438194444447</v>
      </c>
      <c r="M435" s="216">
        <v>46163.44027777778</v>
      </c>
      <c r="N435" s="215" t="s">
        <v>357</v>
      </c>
      <c r="O435" s="157" t="s">
        <v>205</v>
      </c>
      <c r="P435" s="92"/>
      <c r="Q435" s="145" t="s">
        <v>205</v>
      </c>
      <c r="R435" s="92"/>
      <c r="S435" s="145" t="s">
        <v>205</v>
      </c>
      <c r="T435" s="92"/>
      <c r="U435" s="145" t="s">
        <v>205</v>
      </c>
      <c r="V435" s="92"/>
      <c r="W435" s="145" t="s">
        <v>205</v>
      </c>
      <c r="X435" s="92"/>
      <c r="Y435" s="145" t="s">
        <v>205</v>
      </c>
      <c r="Z435" s="92"/>
      <c r="AA435" s="145" t="s">
        <v>205</v>
      </c>
      <c r="AB435" s="92"/>
      <c r="AC435" s="145" t="s">
        <v>205</v>
      </c>
      <c r="AD435" s="92"/>
      <c r="AE435" s="145" t="s">
        <v>205</v>
      </c>
      <c r="AF435" s="182" t="str">
        <f t="shared" si="21"/>
        <v>C</v>
      </c>
      <c r="AG435" s="54" t="str">
        <f t="shared" si="22"/>
        <v>UTILIZOU O PDA CORRETAMENTE</v>
      </c>
      <c r="AH435" s="145"/>
      <c r="AI435" s="192" t="s">
        <v>6</v>
      </c>
      <c r="AJ435" s="96" t="str">
        <f t="shared" si="23"/>
        <v>SÃO PAULO</v>
      </c>
      <c r="AK435" s="193" t="s">
        <v>39</v>
      </c>
    </row>
    <row r="436" spans="1:37" ht="30" customHeight="1">
      <c r="A436" s="215" t="s">
        <v>198</v>
      </c>
      <c r="B436" s="215">
        <v>2621151245</v>
      </c>
      <c r="C436" s="215" t="s">
        <v>100</v>
      </c>
      <c r="D436" s="215" t="s">
        <v>81</v>
      </c>
      <c r="E436" s="215" t="s">
        <v>5</v>
      </c>
      <c r="F436" s="215" t="s">
        <v>940</v>
      </c>
      <c r="G436" s="215">
        <v>3849</v>
      </c>
      <c r="H436" s="215" t="s">
        <v>200</v>
      </c>
      <c r="I436" s="215" t="s">
        <v>1173</v>
      </c>
      <c r="J436" s="215" t="s">
        <v>243</v>
      </c>
      <c r="K436" s="215" t="s">
        <v>200</v>
      </c>
      <c r="L436" s="216">
        <v>46163.448611111111</v>
      </c>
      <c r="M436" s="216">
        <v>46163.453472222223</v>
      </c>
      <c r="N436" s="215" t="s">
        <v>326</v>
      </c>
      <c r="O436" s="157" t="s">
        <v>205</v>
      </c>
      <c r="P436" s="92"/>
      <c r="Q436" s="145" t="s">
        <v>205</v>
      </c>
      <c r="R436" s="92"/>
      <c r="S436" s="145" t="s">
        <v>205</v>
      </c>
      <c r="T436" s="92"/>
      <c r="U436" s="145" t="s">
        <v>205</v>
      </c>
      <c r="V436" s="92"/>
      <c r="W436" s="145" t="s">
        <v>205</v>
      </c>
      <c r="X436" s="92"/>
      <c r="Y436" s="145" t="s">
        <v>205</v>
      </c>
      <c r="Z436" s="92"/>
      <c r="AA436" s="145" t="s">
        <v>205</v>
      </c>
      <c r="AB436" s="92"/>
      <c r="AC436" s="145" t="s">
        <v>206</v>
      </c>
      <c r="AD436" s="92"/>
      <c r="AE436" s="145" t="s">
        <v>205</v>
      </c>
      <c r="AF436" s="182" t="str">
        <f t="shared" si="21"/>
        <v>NC</v>
      </c>
      <c r="AG436" s="54" t="str">
        <f>IF(AND(AE436="C",AF436="C"),"UTILIZOU O PDA CORRETAMENTE",IF(AND(AE436="C",AF436="NC"),"UTILIZOU O PDA CORRETAMENTE. NÃO HÁ FOTOS DE TODAS AS ETAPAS",IF(AND(AE436="NC",AF436="NC"),"NÃO UTILIZOU O PDA",IF(AND(AE436="NA",AF436="NA"),"NÃO AVALIADO POR FALHA DE SINCRONISMO"))))</f>
        <v>UTILIZOU O PDA CORRETAMENTE. NÃO HÁ FOTOS DE TODAS AS ETAPAS</v>
      </c>
      <c r="AH436" s="145" t="s">
        <v>205</v>
      </c>
      <c r="AI436" s="192" t="s">
        <v>6</v>
      </c>
      <c r="AJ436" s="96" t="str">
        <f t="shared" si="23"/>
        <v>SÃO PAULO</v>
      </c>
      <c r="AK436" s="193" t="s">
        <v>39</v>
      </c>
    </row>
    <row r="437" spans="1:37" ht="30" customHeight="1">
      <c r="A437" s="215" t="s">
        <v>198</v>
      </c>
      <c r="B437" s="215">
        <v>2621362924</v>
      </c>
      <c r="C437" s="215" t="s">
        <v>105</v>
      </c>
      <c r="D437" s="215" t="s">
        <v>81</v>
      </c>
      <c r="E437" s="215" t="s">
        <v>5</v>
      </c>
      <c r="F437" s="215" t="s">
        <v>1245</v>
      </c>
      <c r="G437" s="215">
        <v>155</v>
      </c>
      <c r="H437" s="215"/>
      <c r="I437" s="215" t="s">
        <v>1246</v>
      </c>
      <c r="J437" s="215" t="s">
        <v>350</v>
      </c>
      <c r="K437" s="215"/>
      <c r="L437" s="216">
        <v>46163.25</v>
      </c>
      <c r="M437" s="216">
        <v>46163.250694444447</v>
      </c>
      <c r="N437" s="215" t="s">
        <v>310</v>
      </c>
      <c r="O437" s="157" t="s">
        <v>62</v>
      </c>
      <c r="P437" s="92"/>
      <c r="Q437" s="145" t="s">
        <v>62</v>
      </c>
      <c r="R437" s="92"/>
      <c r="S437" s="145" t="s">
        <v>62</v>
      </c>
      <c r="T437" s="92"/>
      <c r="U437" s="145" t="s">
        <v>62</v>
      </c>
      <c r="V437" s="92"/>
      <c r="W437" s="145" t="s">
        <v>62</v>
      </c>
      <c r="X437" s="92"/>
      <c r="Y437" s="145" t="s">
        <v>62</v>
      </c>
      <c r="Z437" s="92"/>
      <c r="AA437" s="145" t="s">
        <v>62</v>
      </c>
      <c r="AB437" s="92"/>
      <c r="AC437" s="145" t="s">
        <v>62</v>
      </c>
      <c r="AD437" s="92"/>
      <c r="AE437" s="145" t="s">
        <v>62</v>
      </c>
      <c r="AF437" s="182" t="str">
        <f t="shared" si="21"/>
        <v>NA</v>
      </c>
      <c r="AG437" s="54" t="str">
        <f t="shared" si="22"/>
        <v>NÃO AVALIADO POR FALHA DE SINCRONISMO</v>
      </c>
      <c r="AH437" s="145" t="s">
        <v>205</v>
      </c>
      <c r="AI437" s="192" t="s">
        <v>6</v>
      </c>
      <c r="AJ437" s="96" t="str">
        <f t="shared" si="23"/>
        <v>SÃO PAULO</v>
      </c>
      <c r="AK437" s="193" t="s">
        <v>39</v>
      </c>
    </row>
    <row r="438" spans="1:37" ht="30" customHeight="1">
      <c r="A438" s="215" t="s">
        <v>198</v>
      </c>
      <c r="B438" s="215">
        <v>2621448852</v>
      </c>
      <c r="C438" s="215" t="s">
        <v>102</v>
      </c>
      <c r="D438" s="215" t="s">
        <v>81</v>
      </c>
      <c r="E438" s="215" t="s">
        <v>5</v>
      </c>
      <c r="F438" s="215" t="s">
        <v>1060</v>
      </c>
      <c r="G438" s="215">
        <v>260</v>
      </c>
      <c r="H438" s="215" t="s">
        <v>200</v>
      </c>
      <c r="I438" s="215" t="s">
        <v>1061</v>
      </c>
      <c r="J438" s="215" t="s">
        <v>268</v>
      </c>
      <c r="K438" s="215" t="s">
        <v>200</v>
      </c>
      <c r="L438" s="216">
        <v>46163.52847222222</v>
      </c>
      <c r="M438" s="216">
        <v>46163.688194444447</v>
      </c>
      <c r="N438" s="215" t="s">
        <v>310</v>
      </c>
      <c r="O438" s="157" t="s">
        <v>205</v>
      </c>
      <c r="P438" s="92"/>
      <c r="Q438" s="145" t="s">
        <v>205</v>
      </c>
      <c r="R438" s="92"/>
      <c r="S438" s="145" t="s">
        <v>205</v>
      </c>
      <c r="T438" s="92"/>
      <c r="U438" s="145" t="s">
        <v>205</v>
      </c>
      <c r="V438" s="92"/>
      <c r="W438" s="145" t="s">
        <v>205</v>
      </c>
      <c r="X438" s="92"/>
      <c r="Y438" s="145" t="s">
        <v>205</v>
      </c>
      <c r="Z438" s="92"/>
      <c r="AA438" s="145" t="s">
        <v>205</v>
      </c>
      <c r="AB438" s="92"/>
      <c r="AC438" s="145" t="s">
        <v>205</v>
      </c>
      <c r="AD438" s="92"/>
      <c r="AE438" s="145" t="s">
        <v>205</v>
      </c>
      <c r="AF438" s="182" t="str">
        <f t="shared" si="21"/>
        <v>C</v>
      </c>
      <c r="AG438" s="54" t="str">
        <f t="shared" si="22"/>
        <v>UTILIZOU O PDA CORRETAMENTE</v>
      </c>
      <c r="AH438" s="145" t="s">
        <v>205</v>
      </c>
      <c r="AI438" s="192" t="s">
        <v>6</v>
      </c>
      <c r="AJ438" s="96" t="str">
        <f t="shared" si="23"/>
        <v>SÃO PAULO</v>
      </c>
      <c r="AK438" s="193" t="s">
        <v>39</v>
      </c>
    </row>
    <row r="439" spans="1:37" ht="30" customHeight="1">
      <c r="A439" s="215" t="s">
        <v>198</v>
      </c>
      <c r="B439" s="215">
        <v>2693878969</v>
      </c>
      <c r="C439" s="215" t="s">
        <v>99</v>
      </c>
      <c r="D439" s="215" t="s">
        <v>81</v>
      </c>
      <c r="E439" s="215" t="s">
        <v>5</v>
      </c>
      <c r="F439" s="215" t="s">
        <v>1247</v>
      </c>
      <c r="G439" s="215">
        <v>61</v>
      </c>
      <c r="H439" s="215" t="s">
        <v>387</v>
      </c>
      <c r="I439" s="215" t="s">
        <v>346</v>
      </c>
      <c r="J439" s="215" t="s">
        <v>268</v>
      </c>
      <c r="K439" s="215"/>
      <c r="L439" s="216">
        <v>46163.634027777778</v>
      </c>
      <c r="M439" s="216">
        <v>46163.635416666664</v>
      </c>
      <c r="N439" s="215" t="s">
        <v>221</v>
      </c>
      <c r="O439" s="157" t="s">
        <v>205</v>
      </c>
      <c r="P439" s="92"/>
      <c r="Q439" s="145" t="s">
        <v>205</v>
      </c>
      <c r="R439" s="92"/>
      <c r="S439" s="145" t="s">
        <v>205</v>
      </c>
      <c r="T439" s="92"/>
      <c r="U439" s="145" t="s">
        <v>205</v>
      </c>
      <c r="V439" s="92"/>
      <c r="W439" s="145" t="s">
        <v>205</v>
      </c>
      <c r="X439" s="92"/>
      <c r="Y439" s="145" t="s">
        <v>205</v>
      </c>
      <c r="Z439" s="92"/>
      <c r="AA439" s="145" t="s">
        <v>205</v>
      </c>
      <c r="AB439" s="92"/>
      <c r="AC439" s="145" t="s">
        <v>205</v>
      </c>
      <c r="AD439" s="92"/>
      <c r="AE439" s="145" t="s">
        <v>205</v>
      </c>
      <c r="AF439" s="182" t="str">
        <f t="shared" si="21"/>
        <v>C</v>
      </c>
      <c r="AG439" s="54" t="str">
        <f t="shared" si="22"/>
        <v>UTILIZOU O PDA CORRETAMENTE</v>
      </c>
      <c r="AH439" s="145" t="s">
        <v>205</v>
      </c>
      <c r="AI439" s="192" t="s">
        <v>6</v>
      </c>
      <c r="AJ439" s="96" t="str">
        <f t="shared" si="23"/>
        <v>SÃO PAULO</v>
      </c>
      <c r="AK439" s="193" t="s">
        <v>39</v>
      </c>
    </row>
    <row r="440" spans="1:37" ht="30" customHeight="1">
      <c r="A440" s="215" t="s">
        <v>198</v>
      </c>
      <c r="B440" s="215">
        <v>2621506362</v>
      </c>
      <c r="C440" s="215" t="s">
        <v>100</v>
      </c>
      <c r="D440" s="215" t="s">
        <v>81</v>
      </c>
      <c r="E440" s="215" t="s">
        <v>5</v>
      </c>
      <c r="F440" s="215" t="s">
        <v>1057</v>
      </c>
      <c r="G440" s="215">
        <v>219</v>
      </c>
      <c r="H440" s="215" t="s">
        <v>226</v>
      </c>
      <c r="I440" s="215" t="s">
        <v>397</v>
      </c>
      <c r="J440" s="215" t="s">
        <v>243</v>
      </c>
      <c r="K440" s="215" t="s">
        <v>1248</v>
      </c>
      <c r="L440" s="216">
        <v>46163.640277777777</v>
      </c>
      <c r="M440" s="216">
        <v>46163.663194444445</v>
      </c>
      <c r="N440" s="215" t="s">
        <v>326</v>
      </c>
      <c r="O440" s="157" t="s">
        <v>205</v>
      </c>
      <c r="P440" s="92"/>
      <c r="Q440" s="145" t="s">
        <v>205</v>
      </c>
      <c r="R440" s="92"/>
      <c r="S440" s="145" t="s">
        <v>205</v>
      </c>
      <c r="T440" s="92"/>
      <c r="U440" s="145" t="s">
        <v>205</v>
      </c>
      <c r="V440" s="92"/>
      <c r="W440" s="145" t="s">
        <v>205</v>
      </c>
      <c r="X440" s="92"/>
      <c r="Y440" s="145" t="s">
        <v>239</v>
      </c>
      <c r="Z440" s="92" t="s">
        <v>1214</v>
      </c>
      <c r="AA440" s="145" t="s">
        <v>205</v>
      </c>
      <c r="AB440" s="92"/>
      <c r="AC440" s="145" t="s">
        <v>206</v>
      </c>
      <c r="AD440" s="92"/>
      <c r="AE440" s="145" t="s">
        <v>205</v>
      </c>
      <c r="AF440" s="182" t="str">
        <f t="shared" si="21"/>
        <v>NC</v>
      </c>
      <c r="AG440" s="54" t="str">
        <f t="shared" si="22"/>
        <v>UTILIZOU O PDA CORRETAMENTE. NÃO HÁ FOTOS DE TODAS AS ETAPAS</v>
      </c>
      <c r="AH440" s="145" t="s">
        <v>205</v>
      </c>
      <c r="AI440" s="192" t="s">
        <v>6</v>
      </c>
      <c r="AJ440" s="96" t="str">
        <f t="shared" si="23"/>
        <v>SÃO PAULO</v>
      </c>
      <c r="AK440" s="193" t="s">
        <v>39</v>
      </c>
    </row>
    <row r="441" spans="1:37" ht="30" customHeight="1">
      <c r="A441" s="215" t="s">
        <v>198</v>
      </c>
      <c r="B441" s="215">
        <v>2621505446</v>
      </c>
      <c r="C441" s="215" t="s">
        <v>99</v>
      </c>
      <c r="D441" s="215" t="s">
        <v>81</v>
      </c>
      <c r="E441" s="215" t="s">
        <v>5</v>
      </c>
      <c r="F441" s="215" t="s">
        <v>1247</v>
      </c>
      <c r="G441" s="215">
        <v>59</v>
      </c>
      <c r="H441" s="215"/>
      <c r="I441" s="215" t="s">
        <v>346</v>
      </c>
      <c r="J441" s="215" t="s">
        <v>268</v>
      </c>
      <c r="K441" s="219" t="s">
        <v>1249</v>
      </c>
      <c r="L441" s="216">
        <v>46163.661805555559</v>
      </c>
      <c r="M441" s="216">
        <v>46163.664583333331</v>
      </c>
      <c r="N441" s="215" t="s">
        <v>221</v>
      </c>
      <c r="O441" s="157" t="s">
        <v>205</v>
      </c>
      <c r="P441" s="92"/>
      <c r="Q441" s="145" t="s">
        <v>205</v>
      </c>
      <c r="R441" s="92"/>
      <c r="S441" s="145" t="s">
        <v>205</v>
      </c>
      <c r="T441" s="92"/>
      <c r="U441" s="145" t="s">
        <v>205</v>
      </c>
      <c r="V441" s="92"/>
      <c r="W441" s="145" t="s">
        <v>205</v>
      </c>
      <c r="X441" s="92"/>
      <c r="Y441" s="145" t="s">
        <v>205</v>
      </c>
      <c r="Z441" s="92"/>
      <c r="AA441" s="145" t="s">
        <v>205</v>
      </c>
      <c r="AB441" s="92"/>
      <c r="AC441" s="145" t="s">
        <v>205</v>
      </c>
      <c r="AD441" s="92"/>
      <c r="AE441" s="145" t="s">
        <v>205</v>
      </c>
      <c r="AF441" s="182" t="str">
        <f t="shared" si="21"/>
        <v>C</v>
      </c>
      <c r="AG441" s="54" t="str">
        <f t="shared" si="22"/>
        <v>UTILIZOU O PDA CORRETAMENTE</v>
      </c>
      <c r="AH441" s="145" t="s">
        <v>205</v>
      </c>
      <c r="AI441" s="192" t="s">
        <v>6</v>
      </c>
      <c r="AJ441" s="96" t="str">
        <f t="shared" si="23"/>
        <v>SÃO PAULO</v>
      </c>
      <c r="AK441" s="193" t="s">
        <v>39</v>
      </c>
    </row>
    <row r="442" spans="1:37" ht="30" customHeight="1">
      <c r="A442" s="215" t="s">
        <v>198</v>
      </c>
      <c r="B442" s="215">
        <v>2693800868</v>
      </c>
      <c r="C442" s="215" t="s">
        <v>99</v>
      </c>
      <c r="D442" s="215" t="s">
        <v>81</v>
      </c>
      <c r="E442" s="215" t="s">
        <v>5</v>
      </c>
      <c r="F442" s="215" t="s">
        <v>1023</v>
      </c>
      <c r="G442" s="215">
        <v>116</v>
      </c>
      <c r="H442" s="215" t="s">
        <v>200</v>
      </c>
      <c r="I442" s="215" t="s">
        <v>1024</v>
      </c>
      <c r="J442" s="215" t="s">
        <v>268</v>
      </c>
      <c r="K442" s="215" t="s">
        <v>200</v>
      </c>
      <c r="L442" s="216">
        <v>46163.251388888886</v>
      </c>
      <c r="M442" s="216">
        <v>46163.252083333333</v>
      </c>
      <c r="N442" s="215" t="s">
        <v>357</v>
      </c>
      <c r="O442" s="157" t="s">
        <v>205</v>
      </c>
      <c r="P442" s="92"/>
      <c r="Q442" s="145" t="s">
        <v>205</v>
      </c>
      <c r="R442" s="92"/>
      <c r="S442" s="145" t="s">
        <v>205</v>
      </c>
      <c r="T442" s="92"/>
      <c r="U442" s="145" t="s">
        <v>205</v>
      </c>
      <c r="V442" s="92"/>
      <c r="W442" s="145" t="s">
        <v>205</v>
      </c>
      <c r="X442" s="92"/>
      <c r="Y442" s="145" t="s">
        <v>205</v>
      </c>
      <c r="Z442" s="92"/>
      <c r="AA442" s="145" t="s">
        <v>205</v>
      </c>
      <c r="AB442" s="92"/>
      <c r="AC442" s="145" t="s">
        <v>205</v>
      </c>
      <c r="AD442" s="92"/>
      <c r="AE442" s="145" t="s">
        <v>205</v>
      </c>
      <c r="AF442" s="182" t="str">
        <f t="shared" si="21"/>
        <v>C</v>
      </c>
      <c r="AG442" s="54" t="str">
        <f t="shared" si="22"/>
        <v>UTILIZOU O PDA CORRETAMENTE</v>
      </c>
      <c r="AH442" s="145" t="s">
        <v>205</v>
      </c>
      <c r="AI442" s="192" t="s">
        <v>6</v>
      </c>
      <c r="AJ442" s="96" t="str">
        <f t="shared" si="23"/>
        <v>SÃO PAULO</v>
      </c>
      <c r="AK442" s="193" t="s">
        <v>39</v>
      </c>
    </row>
    <row r="443" spans="1:37" ht="30" customHeight="1">
      <c r="A443" s="215" t="s">
        <v>198</v>
      </c>
      <c r="B443" s="215">
        <v>2621429238</v>
      </c>
      <c r="C443" s="215" t="s">
        <v>89</v>
      </c>
      <c r="D443" s="215" t="s">
        <v>78</v>
      </c>
      <c r="E443" s="215" t="s">
        <v>5</v>
      </c>
      <c r="F443" s="215" t="s">
        <v>631</v>
      </c>
      <c r="G443" s="215">
        <v>1014</v>
      </c>
      <c r="H443" s="215" t="s">
        <v>1250</v>
      </c>
      <c r="I443" s="215" t="s">
        <v>397</v>
      </c>
      <c r="J443" s="215" t="s">
        <v>238</v>
      </c>
      <c r="K443" s="215" t="s">
        <v>1251</v>
      </c>
      <c r="L443" s="216">
        <v>46163.72152777778</v>
      </c>
      <c r="M443" s="216">
        <v>46163.722916666666</v>
      </c>
      <c r="N443" s="215" t="s">
        <v>341</v>
      </c>
      <c r="O443" s="238" t="s">
        <v>62</v>
      </c>
      <c r="P443" s="92"/>
      <c r="Q443" s="145" t="s">
        <v>62</v>
      </c>
      <c r="R443" s="92"/>
      <c r="S443" s="145" t="s">
        <v>62</v>
      </c>
      <c r="T443" s="92"/>
      <c r="U443" s="145" t="s">
        <v>62</v>
      </c>
      <c r="V443" s="92"/>
      <c r="W443" s="145" t="s">
        <v>62</v>
      </c>
      <c r="X443" s="92"/>
      <c r="Y443" s="145" t="s">
        <v>62</v>
      </c>
      <c r="Z443" s="92"/>
      <c r="AA443" s="145" t="s">
        <v>62</v>
      </c>
      <c r="AB443" s="92"/>
      <c r="AC443" s="145" t="s">
        <v>62</v>
      </c>
      <c r="AD443" s="92" t="s">
        <v>525</v>
      </c>
      <c r="AE443" s="145" t="s">
        <v>62</v>
      </c>
      <c r="AF443" s="182" t="str">
        <f t="shared" si="21"/>
        <v>NA</v>
      </c>
      <c r="AG443" s="54" t="str">
        <f t="shared" si="22"/>
        <v>NÃO AVALIADO POR FALHA DE SINCRONISMO</v>
      </c>
      <c r="AH443" s="145"/>
      <c r="AI443" s="192" t="s">
        <v>6</v>
      </c>
      <c r="AJ443" s="96" t="str">
        <f t="shared" si="23"/>
        <v>SÃO PAULO</v>
      </c>
      <c r="AK443" s="193" t="s">
        <v>39</v>
      </c>
    </row>
    <row r="444" spans="1:37" ht="30" customHeight="1">
      <c r="A444" s="228" t="s">
        <v>198</v>
      </c>
      <c r="B444" s="228">
        <v>2621443925</v>
      </c>
      <c r="C444" s="228" t="s">
        <v>100</v>
      </c>
      <c r="D444" s="228" t="s">
        <v>81</v>
      </c>
      <c r="E444" s="228" t="s">
        <v>5</v>
      </c>
      <c r="F444" s="228" t="s">
        <v>891</v>
      </c>
      <c r="G444" s="228">
        <v>9</v>
      </c>
      <c r="H444" s="228" t="s">
        <v>200</v>
      </c>
      <c r="I444" s="228" t="s">
        <v>567</v>
      </c>
      <c r="J444" s="228" t="s">
        <v>243</v>
      </c>
      <c r="K444" s="228" t="s">
        <v>200</v>
      </c>
      <c r="L444" s="230">
        <v>46163.80972222222</v>
      </c>
      <c r="M444" s="230">
        <v>46163.811111111114</v>
      </c>
      <c r="N444" s="264" t="s">
        <v>326</v>
      </c>
      <c r="O444" s="143" t="s">
        <v>205</v>
      </c>
      <c r="P444" s="9"/>
      <c r="Q444" s="145" t="s">
        <v>205</v>
      </c>
      <c r="R444" s="92"/>
      <c r="S444" s="145" t="s">
        <v>205</v>
      </c>
      <c r="T444" s="92"/>
      <c r="U444" s="145" t="s">
        <v>205</v>
      </c>
      <c r="V444" s="92"/>
      <c r="W444" s="145" t="s">
        <v>205</v>
      </c>
      <c r="X444" s="92"/>
      <c r="Y444" s="145" t="s">
        <v>205</v>
      </c>
      <c r="Z444" s="92"/>
      <c r="AA444" s="145" t="s">
        <v>205</v>
      </c>
      <c r="AB444" s="92"/>
      <c r="AC444" s="145" t="s">
        <v>205</v>
      </c>
      <c r="AD444" s="92"/>
      <c r="AE444" s="145" t="s">
        <v>205</v>
      </c>
      <c r="AF444" s="182" t="str">
        <f t="shared" si="21"/>
        <v>C</v>
      </c>
      <c r="AG444" s="54" t="str">
        <f t="shared" si="22"/>
        <v>UTILIZOU O PDA CORRETAMENTE</v>
      </c>
      <c r="AH444" s="145" t="s">
        <v>205</v>
      </c>
      <c r="AI444" s="192" t="s">
        <v>6</v>
      </c>
      <c r="AJ444" s="96" t="str">
        <f t="shared" si="23"/>
        <v>SÃO PAULO</v>
      </c>
      <c r="AK444" s="193" t="s">
        <v>39</v>
      </c>
    </row>
    <row r="445" spans="1:37" ht="30" customHeight="1">
      <c r="A445" s="215" t="s">
        <v>198</v>
      </c>
      <c r="B445" s="215">
        <v>2621475796</v>
      </c>
      <c r="C445" s="215" t="s">
        <v>84</v>
      </c>
      <c r="D445" s="215" t="s">
        <v>77</v>
      </c>
      <c r="E445" s="215" t="s">
        <v>5</v>
      </c>
      <c r="F445" s="215" t="s">
        <v>721</v>
      </c>
      <c r="G445" s="215">
        <v>1196</v>
      </c>
      <c r="H445" s="215" t="s">
        <v>708</v>
      </c>
      <c r="I445" s="215" t="s">
        <v>215</v>
      </c>
      <c r="J445" s="215" t="s">
        <v>252</v>
      </c>
      <c r="K445" s="215" t="s">
        <v>200</v>
      </c>
      <c r="L445" s="216">
        <v>46164.404861111114</v>
      </c>
      <c r="M445" s="216">
        <v>46164.418055555558</v>
      </c>
      <c r="N445" s="263" t="s">
        <v>590</v>
      </c>
      <c r="O445" s="143" t="s">
        <v>205</v>
      </c>
      <c r="P445" s="9"/>
      <c r="Q445" s="145" t="s">
        <v>62</v>
      </c>
      <c r="R445" s="92"/>
      <c r="S445" s="145" t="s">
        <v>62</v>
      </c>
      <c r="T445" s="92"/>
      <c r="U445" s="145" t="s">
        <v>62</v>
      </c>
      <c r="V445" s="92"/>
      <c r="W445" s="145" t="s">
        <v>62</v>
      </c>
      <c r="X445" s="92"/>
      <c r="Y445" s="145" t="s">
        <v>62</v>
      </c>
      <c r="Z445" s="92"/>
      <c r="AA445" s="145" t="s">
        <v>62</v>
      </c>
      <c r="AB445" s="92"/>
      <c r="AC445" s="145" t="s">
        <v>205</v>
      </c>
      <c r="AD445" s="92"/>
      <c r="AE445" s="145" t="s">
        <v>205</v>
      </c>
      <c r="AF445" s="182" t="str">
        <f t="shared" si="21"/>
        <v>C</v>
      </c>
      <c r="AG445" s="54" t="str">
        <f t="shared" si="22"/>
        <v>UTILIZOU O PDA CORRETAMENTE</v>
      </c>
      <c r="AH445" s="145" t="s">
        <v>205</v>
      </c>
      <c r="AI445" s="192" t="s">
        <v>6</v>
      </c>
      <c r="AJ445" s="96" t="str">
        <f t="shared" si="23"/>
        <v>SÃO PAULO</v>
      </c>
      <c r="AK445" s="193" t="s">
        <v>39</v>
      </c>
    </row>
    <row r="446" spans="1:37" ht="30" customHeight="1">
      <c r="A446" s="215" t="s">
        <v>198</v>
      </c>
      <c r="B446" s="215">
        <v>2621293361</v>
      </c>
      <c r="C446" s="215" t="s">
        <v>84</v>
      </c>
      <c r="D446" s="215" t="s">
        <v>77</v>
      </c>
      <c r="E446" s="215" t="s">
        <v>5</v>
      </c>
      <c r="F446" s="215" t="s">
        <v>1252</v>
      </c>
      <c r="G446" s="215">
        <v>204</v>
      </c>
      <c r="H446" s="215" t="s">
        <v>363</v>
      </c>
      <c r="I446" s="215" t="s">
        <v>320</v>
      </c>
      <c r="J446" s="215" t="s">
        <v>252</v>
      </c>
      <c r="K446" s="215"/>
      <c r="L446" s="216">
        <v>46164.463888888888</v>
      </c>
      <c r="M446" s="216">
        <v>46164.469444444447</v>
      </c>
      <c r="N446" s="263" t="s">
        <v>794</v>
      </c>
      <c r="O446" s="143" t="s">
        <v>205</v>
      </c>
      <c r="P446" s="9"/>
      <c r="Q446" s="145" t="s">
        <v>62</v>
      </c>
      <c r="R446" s="92"/>
      <c r="S446" s="145" t="s">
        <v>62</v>
      </c>
      <c r="T446" s="92"/>
      <c r="U446" s="145" t="s">
        <v>62</v>
      </c>
      <c r="V446" s="92"/>
      <c r="W446" s="145" t="s">
        <v>62</v>
      </c>
      <c r="X446" s="92"/>
      <c r="Y446" s="145" t="s">
        <v>62</v>
      </c>
      <c r="Z446" s="92"/>
      <c r="AA446" s="145" t="s">
        <v>62</v>
      </c>
      <c r="AB446" s="92"/>
      <c r="AC446" s="145" t="s">
        <v>205</v>
      </c>
      <c r="AD446" s="92"/>
      <c r="AE446" s="145" t="s">
        <v>205</v>
      </c>
      <c r="AF446" s="182" t="str">
        <f t="shared" si="21"/>
        <v>C</v>
      </c>
      <c r="AG446" s="54" t="str">
        <f t="shared" si="22"/>
        <v>UTILIZOU O PDA CORRETAMENTE</v>
      </c>
      <c r="AH446" s="145" t="s">
        <v>205</v>
      </c>
      <c r="AI446" s="192" t="s">
        <v>6</v>
      </c>
      <c r="AJ446" s="96" t="str">
        <f t="shared" si="23"/>
        <v>SÃO PAULO</v>
      </c>
      <c r="AK446" s="193" t="s">
        <v>39</v>
      </c>
    </row>
    <row r="447" spans="1:37" ht="30" customHeight="1">
      <c r="A447" s="215" t="s">
        <v>198</v>
      </c>
      <c r="B447" s="215">
        <v>2621292796</v>
      </c>
      <c r="C447" s="215" t="s">
        <v>84</v>
      </c>
      <c r="D447" s="215" t="s">
        <v>77</v>
      </c>
      <c r="E447" s="215" t="s">
        <v>5</v>
      </c>
      <c r="F447" s="215" t="s">
        <v>1252</v>
      </c>
      <c r="G447" s="215">
        <v>204</v>
      </c>
      <c r="H447" s="215" t="s">
        <v>481</v>
      </c>
      <c r="I447" s="215" t="s">
        <v>320</v>
      </c>
      <c r="J447" s="215" t="s">
        <v>252</v>
      </c>
      <c r="K447" s="215" t="s">
        <v>200</v>
      </c>
      <c r="L447" s="216">
        <v>46164.453472222223</v>
      </c>
      <c r="M447" s="216">
        <v>46164.463888888888</v>
      </c>
      <c r="N447" s="215" t="s">
        <v>794</v>
      </c>
      <c r="O447" s="231" t="s">
        <v>205</v>
      </c>
      <c r="P447" s="92"/>
      <c r="Q447" s="145" t="s">
        <v>62</v>
      </c>
      <c r="R447" s="92"/>
      <c r="S447" s="145" t="s">
        <v>62</v>
      </c>
      <c r="T447" s="92"/>
      <c r="U447" s="145" t="s">
        <v>62</v>
      </c>
      <c r="V447" s="92"/>
      <c r="W447" s="145" t="s">
        <v>62</v>
      </c>
      <c r="X447" s="92"/>
      <c r="Y447" s="145" t="s">
        <v>62</v>
      </c>
      <c r="Z447" s="92"/>
      <c r="AA447" s="145" t="s">
        <v>62</v>
      </c>
      <c r="AB447" s="92"/>
      <c r="AC447" s="145" t="s">
        <v>205</v>
      </c>
      <c r="AD447" s="92"/>
      <c r="AE447" s="145" t="s">
        <v>205</v>
      </c>
      <c r="AF447" s="182" t="str">
        <f t="shared" si="21"/>
        <v>C</v>
      </c>
      <c r="AG447" s="54" t="str">
        <f t="shared" si="22"/>
        <v>UTILIZOU O PDA CORRETAMENTE</v>
      </c>
      <c r="AH447" s="145" t="s">
        <v>205</v>
      </c>
      <c r="AI447" s="192" t="s">
        <v>6</v>
      </c>
      <c r="AJ447" s="96" t="str">
        <f t="shared" si="23"/>
        <v>SÃO PAULO</v>
      </c>
      <c r="AK447" s="193" t="s">
        <v>39</v>
      </c>
    </row>
    <row r="448" spans="1:37" ht="30" customHeight="1">
      <c r="A448" s="215" t="s">
        <v>198</v>
      </c>
      <c r="B448" s="215">
        <v>2621282540</v>
      </c>
      <c r="C448" s="215" t="s">
        <v>105</v>
      </c>
      <c r="D448" s="215" t="s">
        <v>81</v>
      </c>
      <c r="E448" s="215" t="s">
        <v>5</v>
      </c>
      <c r="F448" s="215" t="s">
        <v>1253</v>
      </c>
      <c r="G448" s="215">
        <v>25</v>
      </c>
      <c r="H448" s="215" t="s">
        <v>226</v>
      </c>
      <c r="I448" s="215" t="s">
        <v>246</v>
      </c>
      <c r="J448" s="215" t="s">
        <v>228</v>
      </c>
      <c r="K448" s="215"/>
      <c r="L448" s="216">
        <v>46164.395138888889</v>
      </c>
      <c r="M448" s="216">
        <v>46164.674305555556</v>
      </c>
      <c r="N448" s="215" t="s">
        <v>221</v>
      </c>
      <c r="O448" s="157" t="s">
        <v>205</v>
      </c>
      <c r="P448" s="92"/>
      <c r="Q448" s="145" t="s">
        <v>205</v>
      </c>
      <c r="R448" s="92"/>
      <c r="S448" s="145" t="s">
        <v>205</v>
      </c>
      <c r="T448" s="92"/>
      <c r="U448" s="145" t="s">
        <v>205</v>
      </c>
      <c r="V448" s="92"/>
      <c r="W448" s="145" t="s">
        <v>205</v>
      </c>
      <c r="X448" s="92"/>
      <c r="Y448" s="145" t="s">
        <v>205</v>
      </c>
      <c r="Z448" s="92"/>
      <c r="AA448" s="145" t="s">
        <v>205</v>
      </c>
      <c r="AB448" s="92"/>
      <c r="AC448" s="145" t="s">
        <v>205</v>
      </c>
      <c r="AD448" s="92"/>
      <c r="AE448" s="145" t="s">
        <v>205</v>
      </c>
      <c r="AF448" s="182" t="str">
        <f t="shared" si="21"/>
        <v>C</v>
      </c>
      <c r="AG448" s="54" t="str">
        <f t="shared" si="22"/>
        <v>UTILIZOU O PDA CORRETAMENTE</v>
      </c>
      <c r="AH448" s="145" t="s">
        <v>205</v>
      </c>
      <c r="AI448" s="192" t="s">
        <v>6</v>
      </c>
      <c r="AJ448" s="96" t="str">
        <f t="shared" si="23"/>
        <v>SÃO PAULO</v>
      </c>
      <c r="AK448" s="193" t="s">
        <v>39</v>
      </c>
    </row>
    <row r="449" spans="1:37" ht="30" customHeight="1">
      <c r="A449" s="215" t="s">
        <v>198</v>
      </c>
      <c r="B449" s="215">
        <v>2621577421</v>
      </c>
      <c r="C449" s="215" t="s">
        <v>287</v>
      </c>
      <c r="D449" s="215" t="s">
        <v>81</v>
      </c>
      <c r="E449" s="215" t="s">
        <v>5</v>
      </c>
      <c r="F449" s="215" t="s">
        <v>1254</v>
      </c>
      <c r="G449" s="215">
        <v>65</v>
      </c>
      <c r="H449" s="215" t="s">
        <v>387</v>
      </c>
      <c r="I449" s="215" t="s">
        <v>523</v>
      </c>
      <c r="J449" s="215" t="s">
        <v>290</v>
      </c>
      <c r="K449" s="215" t="s">
        <v>1255</v>
      </c>
      <c r="L449" s="216">
        <v>46164.334722222222</v>
      </c>
      <c r="M449" s="216">
        <v>46164.335416666669</v>
      </c>
      <c r="N449" s="215" t="s">
        <v>221</v>
      </c>
      <c r="O449" s="157" t="s">
        <v>205</v>
      </c>
      <c r="P449" s="92"/>
      <c r="Q449" s="145" t="s">
        <v>62</v>
      </c>
      <c r="R449" s="92"/>
      <c r="S449" s="145" t="s">
        <v>62</v>
      </c>
      <c r="T449" s="92"/>
      <c r="U449" s="145" t="s">
        <v>62</v>
      </c>
      <c r="V449" s="92"/>
      <c r="W449" s="145" t="s">
        <v>62</v>
      </c>
      <c r="X449" s="92"/>
      <c r="Y449" s="145" t="s">
        <v>62</v>
      </c>
      <c r="Z449" s="92"/>
      <c r="AA449" s="145" t="s">
        <v>62</v>
      </c>
      <c r="AB449" s="92"/>
      <c r="AC449" s="145" t="s">
        <v>205</v>
      </c>
      <c r="AD449" s="92" t="s">
        <v>1256</v>
      </c>
      <c r="AE449" s="145" t="s">
        <v>239</v>
      </c>
      <c r="AF449" s="182" t="str">
        <f t="shared" si="21"/>
        <v>C</v>
      </c>
      <c r="AG449" s="54" t="b">
        <f t="shared" si="22"/>
        <v>0</v>
      </c>
      <c r="AH449" s="145"/>
      <c r="AI449" s="192" t="s">
        <v>6</v>
      </c>
      <c r="AJ449" s="96" t="str">
        <f t="shared" si="23"/>
        <v>SÃO PAULO</v>
      </c>
      <c r="AK449" s="193" t="s">
        <v>39</v>
      </c>
    </row>
    <row r="450" spans="1:37" ht="30" customHeight="1">
      <c r="A450" s="215" t="s">
        <v>198</v>
      </c>
      <c r="B450" s="215">
        <v>2621089541</v>
      </c>
      <c r="C450" s="215" t="s">
        <v>331</v>
      </c>
      <c r="D450" s="215" t="s">
        <v>79</v>
      </c>
      <c r="E450" s="215" t="s">
        <v>5</v>
      </c>
      <c r="F450" s="215" t="s">
        <v>866</v>
      </c>
      <c r="G450" s="215">
        <v>61</v>
      </c>
      <c r="H450" s="215"/>
      <c r="I450" s="215" t="s">
        <v>789</v>
      </c>
      <c r="J450" s="215" t="s">
        <v>334</v>
      </c>
      <c r="K450" s="215" t="s">
        <v>1257</v>
      </c>
      <c r="L450" s="216">
        <v>46164.477777777778</v>
      </c>
      <c r="M450" s="216">
        <v>46164.480555555558</v>
      </c>
      <c r="N450" s="215" t="s">
        <v>230</v>
      </c>
      <c r="O450" s="157" t="s">
        <v>206</v>
      </c>
      <c r="P450" s="92"/>
      <c r="Q450" s="145" t="s">
        <v>206</v>
      </c>
      <c r="R450" s="92"/>
      <c r="S450" s="145" t="s">
        <v>206</v>
      </c>
      <c r="T450" s="92"/>
      <c r="U450" s="145" t="s">
        <v>206</v>
      </c>
      <c r="V450" s="92"/>
      <c r="W450" s="145" t="s">
        <v>206</v>
      </c>
      <c r="X450" s="92"/>
      <c r="Y450" s="145" t="s">
        <v>206</v>
      </c>
      <c r="Z450" s="92"/>
      <c r="AA450" s="145" t="s">
        <v>206</v>
      </c>
      <c r="AB450" s="92"/>
      <c r="AC450" s="145" t="s">
        <v>206</v>
      </c>
      <c r="AD450" s="92" t="s">
        <v>1258</v>
      </c>
      <c r="AE450" s="145" t="s">
        <v>239</v>
      </c>
      <c r="AF450" s="182" t="str">
        <f t="shared" si="21"/>
        <v>NC</v>
      </c>
      <c r="AG450" s="54" t="str">
        <f t="shared" si="22"/>
        <v>NÃO UTILIZOU O PDA</v>
      </c>
      <c r="AH450" s="145"/>
      <c r="AI450" s="192" t="s">
        <v>6</v>
      </c>
      <c r="AJ450" s="96" t="str">
        <f t="shared" si="23"/>
        <v>SÃO PAULO</v>
      </c>
      <c r="AK450" s="193" t="s">
        <v>39</v>
      </c>
    </row>
    <row r="451" spans="1:37" ht="30" customHeight="1">
      <c r="A451" s="215" t="s">
        <v>198</v>
      </c>
      <c r="B451" s="215">
        <v>2621647633</v>
      </c>
      <c r="C451" s="215" t="s">
        <v>331</v>
      </c>
      <c r="D451" s="215" t="s">
        <v>79</v>
      </c>
      <c r="E451" s="215" t="s">
        <v>5</v>
      </c>
      <c r="F451" s="215" t="s">
        <v>945</v>
      </c>
      <c r="G451" s="215">
        <v>106</v>
      </c>
      <c r="H451" s="215" t="s">
        <v>200</v>
      </c>
      <c r="I451" s="215" t="s">
        <v>789</v>
      </c>
      <c r="J451" s="215" t="s">
        <v>334</v>
      </c>
      <c r="K451" s="215" t="s">
        <v>619</v>
      </c>
      <c r="L451" s="216">
        <v>46164.377083333333</v>
      </c>
      <c r="M451" s="216">
        <v>46164.474999999999</v>
      </c>
      <c r="N451" s="215" t="s">
        <v>230</v>
      </c>
      <c r="O451" s="157" t="s">
        <v>205</v>
      </c>
      <c r="P451" s="92"/>
      <c r="Q451" s="145" t="s">
        <v>205</v>
      </c>
      <c r="R451" s="92"/>
      <c r="S451" s="145" t="s">
        <v>205</v>
      </c>
      <c r="T451" s="92"/>
      <c r="U451" s="145" t="s">
        <v>205</v>
      </c>
      <c r="V451" s="92"/>
      <c r="W451" s="145" t="s">
        <v>205</v>
      </c>
      <c r="X451" s="92"/>
      <c r="Y451" s="145" t="s">
        <v>205</v>
      </c>
      <c r="Z451" s="92"/>
      <c r="AA451" s="145" t="s">
        <v>205</v>
      </c>
      <c r="AB451" s="92"/>
      <c r="AC451" s="145" t="s">
        <v>205</v>
      </c>
      <c r="AD451" s="92"/>
      <c r="AE451" s="145" t="s">
        <v>205</v>
      </c>
      <c r="AF451" s="182" t="str">
        <f t="shared" si="21"/>
        <v>C</v>
      </c>
      <c r="AG451" s="54" t="str">
        <f t="shared" si="22"/>
        <v>UTILIZOU O PDA CORRETAMENTE</v>
      </c>
      <c r="AH451" s="145" t="s">
        <v>205</v>
      </c>
      <c r="AI451" s="192" t="s">
        <v>6</v>
      </c>
      <c r="AJ451" s="96" t="str">
        <f t="shared" si="23"/>
        <v>SÃO PAULO</v>
      </c>
      <c r="AK451" s="193" t="s">
        <v>39</v>
      </c>
    </row>
    <row r="452" spans="1:37" ht="30" customHeight="1">
      <c r="A452" s="215" t="s">
        <v>198</v>
      </c>
      <c r="B452" s="215">
        <v>2621086835</v>
      </c>
      <c r="C452" s="215" t="s">
        <v>101</v>
      </c>
      <c r="D452" s="215" t="s">
        <v>79</v>
      </c>
      <c r="E452" s="215" t="s">
        <v>5</v>
      </c>
      <c r="F452" s="215" t="s">
        <v>1259</v>
      </c>
      <c r="G452" s="215">
        <v>28</v>
      </c>
      <c r="H452" s="215"/>
      <c r="I452" s="215" t="s">
        <v>293</v>
      </c>
      <c r="J452" s="215" t="s">
        <v>233</v>
      </c>
      <c r="K452" s="215"/>
      <c r="L452" s="216">
        <v>46164.372916666667</v>
      </c>
      <c r="M452" s="216">
        <v>46164.558333333334</v>
      </c>
      <c r="N452" s="215" t="s">
        <v>310</v>
      </c>
      <c r="O452" s="157" t="s">
        <v>205</v>
      </c>
      <c r="P452" s="92"/>
      <c r="Q452" s="145" t="s">
        <v>205</v>
      </c>
      <c r="R452" s="92"/>
      <c r="S452" s="145" t="s">
        <v>205</v>
      </c>
      <c r="T452" s="92"/>
      <c r="U452" s="145" t="s">
        <v>205</v>
      </c>
      <c r="V452" s="92"/>
      <c r="W452" s="145" t="s">
        <v>205</v>
      </c>
      <c r="X452" s="92"/>
      <c r="Y452" s="145" t="s">
        <v>205</v>
      </c>
      <c r="Z452" s="92"/>
      <c r="AA452" s="145" t="s">
        <v>205</v>
      </c>
      <c r="AB452" s="92"/>
      <c r="AC452" s="145" t="s">
        <v>205</v>
      </c>
      <c r="AD452" s="92"/>
      <c r="AE452" s="145" t="s">
        <v>205</v>
      </c>
      <c r="AF452" s="182" t="str">
        <f t="shared" si="21"/>
        <v>C</v>
      </c>
      <c r="AG452" s="54" t="str">
        <f t="shared" si="22"/>
        <v>UTILIZOU O PDA CORRETAMENTE</v>
      </c>
      <c r="AH452" s="145" t="s">
        <v>205</v>
      </c>
      <c r="AI452" s="192" t="s">
        <v>6</v>
      </c>
      <c r="AJ452" s="96" t="str">
        <f t="shared" si="23"/>
        <v>SÃO PAULO</v>
      </c>
      <c r="AK452" s="193" t="s">
        <v>39</v>
      </c>
    </row>
    <row r="453" spans="1:37" ht="30" customHeight="1">
      <c r="A453" s="215" t="s">
        <v>198</v>
      </c>
      <c r="B453" s="215">
        <v>2621502762</v>
      </c>
      <c r="C453" s="215" t="s">
        <v>105</v>
      </c>
      <c r="D453" s="215" t="s">
        <v>81</v>
      </c>
      <c r="E453" s="215" t="s">
        <v>5</v>
      </c>
      <c r="F453" s="215" t="s">
        <v>1260</v>
      </c>
      <c r="G453" s="215">
        <v>87</v>
      </c>
      <c r="H453" s="215" t="s">
        <v>200</v>
      </c>
      <c r="I453" s="215" t="s">
        <v>484</v>
      </c>
      <c r="J453" s="215" t="s">
        <v>536</v>
      </c>
      <c r="K453" s="215" t="s">
        <v>1261</v>
      </c>
      <c r="L453" s="216">
        <v>46164.6</v>
      </c>
      <c r="M453" s="216">
        <v>46164.634722222225</v>
      </c>
      <c r="N453" s="215" t="s">
        <v>254</v>
      </c>
      <c r="O453" s="157" t="s">
        <v>205</v>
      </c>
      <c r="P453" s="92"/>
      <c r="Q453" s="145" t="s">
        <v>205</v>
      </c>
      <c r="R453" s="92"/>
      <c r="S453" s="145" t="s">
        <v>205</v>
      </c>
      <c r="T453" s="92"/>
      <c r="U453" s="145" t="s">
        <v>205</v>
      </c>
      <c r="V453" s="92"/>
      <c r="W453" s="145" t="s">
        <v>205</v>
      </c>
      <c r="X453" s="92"/>
      <c r="Y453" s="145" t="s">
        <v>62</v>
      </c>
      <c r="Z453" s="92"/>
      <c r="AA453" s="145" t="s">
        <v>205</v>
      </c>
      <c r="AB453" s="92"/>
      <c r="AC453" s="145" t="s">
        <v>205</v>
      </c>
      <c r="AD453" s="92"/>
      <c r="AE453" s="145" t="s">
        <v>205</v>
      </c>
      <c r="AF453" s="182" t="str">
        <f t="shared" si="21"/>
        <v>C</v>
      </c>
      <c r="AG453" s="54" t="str">
        <f t="shared" si="22"/>
        <v>UTILIZOU O PDA CORRETAMENTE</v>
      </c>
      <c r="AH453" s="145"/>
      <c r="AI453" s="192" t="s">
        <v>6</v>
      </c>
      <c r="AJ453" s="96" t="str">
        <f t="shared" si="23"/>
        <v>SÃO PAULO</v>
      </c>
      <c r="AK453" s="193" t="s">
        <v>39</v>
      </c>
    </row>
    <row r="454" spans="1:37" ht="30" customHeight="1">
      <c r="A454" s="215" t="s">
        <v>198</v>
      </c>
      <c r="B454" s="215">
        <v>2621510818</v>
      </c>
      <c r="C454" s="215" t="s">
        <v>1262</v>
      </c>
      <c r="D454" s="215" t="s">
        <v>81</v>
      </c>
      <c r="E454" s="215" t="s">
        <v>5</v>
      </c>
      <c r="F454" s="215" t="s">
        <v>1263</v>
      </c>
      <c r="G454" s="215">
        <v>44</v>
      </c>
      <c r="H454" s="215" t="s">
        <v>1264</v>
      </c>
      <c r="I454" s="215" t="s">
        <v>577</v>
      </c>
      <c r="J454" s="215" t="s">
        <v>220</v>
      </c>
      <c r="K454" s="215" t="s">
        <v>963</v>
      </c>
      <c r="L454" s="216">
        <v>46164.384722222225</v>
      </c>
      <c r="M454" s="216">
        <v>46164.395138888889</v>
      </c>
      <c r="N454" s="215" t="s">
        <v>254</v>
      </c>
      <c r="O454" s="157" t="s">
        <v>62</v>
      </c>
      <c r="P454" s="92"/>
      <c r="Q454" s="145" t="s">
        <v>62</v>
      </c>
      <c r="R454" s="92"/>
      <c r="S454" s="145" t="s">
        <v>62</v>
      </c>
      <c r="T454" s="92"/>
      <c r="U454" s="145" t="s">
        <v>62</v>
      </c>
      <c r="V454" s="92"/>
      <c r="W454" s="145" t="s">
        <v>62</v>
      </c>
      <c r="X454" s="92"/>
      <c r="Y454" s="145" t="s">
        <v>62</v>
      </c>
      <c r="Z454" s="92"/>
      <c r="AA454" s="145" t="s">
        <v>62</v>
      </c>
      <c r="AB454" s="92"/>
      <c r="AC454" s="145" t="s">
        <v>205</v>
      </c>
      <c r="AD454" s="92" t="s">
        <v>1256</v>
      </c>
      <c r="AE454" s="145" t="s">
        <v>205</v>
      </c>
      <c r="AF454" s="182" t="s">
        <v>205</v>
      </c>
      <c r="AG454" s="54" t="str">
        <f t="shared" si="22"/>
        <v>UTILIZOU O PDA CORRETAMENTE</v>
      </c>
      <c r="AH454" s="145"/>
      <c r="AI454" s="192" t="s">
        <v>6</v>
      </c>
      <c r="AJ454" s="96" t="str">
        <f t="shared" si="23"/>
        <v>SÃO PAULO</v>
      </c>
      <c r="AK454" s="193" t="s">
        <v>39</v>
      </c>
    </row>
    <row r="455" spans="1:37" ht="30" customHeight="1">
      <c r="A455" s="215" t="s">
        <v>198</v>
      </c>
      <c r="B455" s="215">
        <v>2621071054</v>
      </c>
      <c r="C455" s="215" t="s">
        <v>87</v>
      </c>
      <c r="D455" s="215" t="s">
        <v>80</v>
      </c>
      <c r="E455" s="215" t="s">
        <v>5</v>
      </c>
      <c r="F455" s="215" t="s">
        <v>1265</v>
      </c>
      <c r="G455" s="215">
        <v>33</v>
      </c>
      <c r="H455" s="215"/>
      <c r="I455" s="215" t="s">
        <v>397</v>
      </c>
      <c r="J455" s="215" t="s">
        <v>216</v>
      </c>
      <c r="K455" s="215" t="s">
        <v>1266</v>
      </c>
      <c r="L455" s="216">
        <v>46164.646527777775</v>
      </c>
      <c r="M455" s="216">
        <v>46164.647222222222</v>
      </c>
      <c r="N455" s="215" t="s">
        <v>217</v>
      </c>
      <c r="O455" s="157" t="s">
        <v>239</v>
      </c>
      <c r="P455" s="92" t="s">
        <v>1267</v>
      </c>
      <c r="Q455" s="145" t="s">
        <v>205</v>
      </c>
      <c r="R455" s="92"/>
      <c r="S455" s="145" t="s">
        <v>205</v>
      </c>
      <c r="T455" s="92"/>
      <c r="U455" s="145" t="s">
        <v>62</v>
      </c>
      <c r="V455" s="92"/>
      <c r="W455" s="145" t="s">
        <v>62</v>
      </c>
      <c r="X455" s="92"/>
      <c r="Y455" s="145" t="s">
        <v>62</v>
      </c>
      <c r="Z455" s="92"/>
      <c r="AA455" s="145" t="s">
        <v>206</v>
      </c>
      <c r="AB455" s="92"/>
      <c r="AC455" s="145" t="s">
        <v>205</v>
      </c>
      <c r="AD455" s="92"/>
      <c r="AE455" s="145"/>
      <c r="AF455" s="182" t="str">
        <f t="shared" si="21"/>
        <v>NC</v>
      </c>
      <c r="AG455" s="54" t="b">
        <f t="shared" si="22"/>
        <v>0</v>
      </c>
      <c r="AH455" s="145"/>
      <c r="AI455" s="192" t="s">
        <v>6</v>
      </c>
      <c r="AJ455" s="96" t="str">
        <f t="shared" si="23"/>
        <v>SÃO PAULO</v>
      </c>
      <c r="AK455" s="193" t="s">
        <v>39</v>
      </c>
    </row>
    <row r="456" spans="1:37" ht="30" customHeight="1">
      <c r="A456" s="215" t="s">
        <v>198</v>
      </c>
      <c r="B456" s="215">
        <v>2621497487</v>
      </c>
      <c r="C456" s="215" t="s">
        <v>105</v>
      </c>
      <c r="D456" s="215" t="s">
        <v>81</v>
      </c>
      <c r="E456" s="215" t="s">
        <v>5</v>
      </c>
      <c r="F456" s="215" t="s">
        <v>631</v>
      </c>
      <c r="G456" s="215">
        <v>1007</v>
      </c>
      <c r="H456" s="215" t="s">
        <v>226</v>
      </c>
      <c r="I456" s="215" t="s">
        <v>397</v>
      </c>
      <c r="J456" s="215" t="s">
        <v>281</v>
      </c>
      <c r="K456" s="219" t="s">
        <v>1268</v>
      </c>
      <c r="L456" s="216">
        <v>46164.25</v>
      </c>
      <c r="M456" s="216">
        <v>46164.250694444447</v>
      </c>
      <c r="N456" s="215" t="s">
        <v>341</v>
      </c>
      <c r="O456" s="157" t="s">
        <v>62</v>
      </c>
      <c r="P456" s="92"/>
      <c r="Q456" s="145" t="s">
        <v>62</v>
      </c>
      <c r="R456" s="92"/>
      <c r="S456" s="145" t="s">
        <v>62</v>
      </c>
      <c r="T456" s="92"/>
      <c r="U456" s="145" t="s">
        <v>62</v>
      </c>
      <c r="V456" s="92"/>
      <c r="W456" s="145" t="s">
        <v>62</v>
      </c>
      <c r="X456" s="92"/>
      <c r="Y456" s="145" t="s">
        <v>62</v>
      </c>
      <c r="Z456" s="92"/>
      <c r="AA456" s="145" t="s">
        <v>62</v>
      </c>
      <c r="AB456" s="92"/>
      <c r="AC456" s="145" t="s">
        <v>62</v>
      </c>
      <c r="AD456" s="92" t="s">
        <v>525</v>
      </c>
      <c r="AE456" s="145" t="s">
        <v>62</v>
      </c>
      <c r="AF456" s="182" t="str">
        <f t="shared" si="21"/>
        <v>NA</v>
      </c>
      <c r="AG456" s="54" t="str">
        <f t="shared" si="22"/>
        <v>NÃO AVALIADO POR FALHA DE SINCRONISMO</v>
      </c>
      <c r="AH456" s="145"/>
      <c r="AI456" s="192" t="s">
        <v>6</v>
      </c>
      <c r="AJ456" s="96" t="str">
        <f t="shared" si="23"/>
        <v>SÃO PAULO</v>
      </c>
      <c r="AK456" s="193" t="s">
        <v>39</v>
      </c>
    </row>
    <row r="457" spans="1:37" ht="30" customHeight="1">
      <c r="A457" s="215" t="s">
        <v>198</v>
      </c>
      <c r="B457" s="215">
        <v>2621665427</v>
      </c>
      <c r="C457" s="215" t="s">
        <v>331</v>
      </c>
      <c r="D457" s="215" t="s">
        <v>79</v>
      </c>
      <c r="E457" s="215" t="s">
        <v>5</v>
      </c>
      <c r="F457" s="215" t="s">
        <v>945</v>
      </c>
      <c r="G457" s="215">
        <v>92</v>
      </c>
      <c r="H457" s="215"/>
      <c r="I457" s="215" t="s">
        <v>789</v>
      </c>
      <c r="J457" s="215" t="s">
        <v>334</v>
      </c>
      <c r="K457" s="215" t="s">
        <v>1269</v>
      </c>
      <c r="L457" s="216">
        <v>46164.501388888886</v>
      </c>
      <c r="M457" s="216">
        <v>46164.548611111109</v>
      </c>
      <c r="N457" s="215" t="s">
        <v>230</v>
      </c>
      <c r="O457" s="157" t="s">
        <v>205</v>
      </c>
      <c r="P457" s="92"/>
      <c r="Q457" s="145" t="s">
        <v>205</v>
      </c>
      <c r="R457" s="92"/>
      <c r="S457" s="145" t="s">
        <v>205</v>
      </c>
      <c r="T457" s="92"/>
      <c r="U457" s="145" t="s">
        <v>205</v>
      </c>
      <c r="V457" s="92"/>
      <c r="W457" s="145" t="s">
        <v>205</v>
      </c>
      <c r="X457" s="92"/>
      <c r="Y457" s="145" t="s">
        <v>205</v>
      </c>
      <c r="Z457" s="92"/>
      <c r="AA457" s="145" t="s">
        <v>205</v>
      </c>
      <c r="AB457" s="92"/>
      <c r="AC457" s="145" t="s">
        <v>205</v>
      </c>
      <c r="AD457" s="92"/>
      <c r="AE457" s="145" t="s">
        <v>205</v>
      </c>
      <c r="AF457" s="182" t="str">
        <f t="shared" si="21"/>
        <v>C</v>
      </c>
      <c r="AG457" s="54" t="str">
        <f t="shared" si="22"/>
        <v>UTILIZOU O PDA CORRETAMENTE</v>
      </c>
      <c r="AH457" s="145" t="s">
        <v>205</v>
      </c>
      <c r="AI457" s="192" t="s">
        <v>6</v>
      </c>
      <c r="AJ457" s="96" t="str">
        <f t="shared" si="23"/>
        <v>SÃO PAULO</v>
      </c>
      <c r="AK457" s="193" t="s">
        <v>39</v>
      </c>
    </row>
    <row r="458" spans="1:37" ht="30" customHeight="1">
      <c r="A458" s="215" t="s">
        <v>198</v>
      </c>
      <c r="B458" s="215">
        <v>2621521261</v>
      </c>
      <c r="C458" s="215" t="s">
        <v>89</v>
      </c>
      <c r="D458" s="215" t="s">
        <v>78</v>
      </c>
      <c r="E458" s="215" t="s">
        <v>5</v>
      </c>
      <c r="F458" s="215" t="s">
        <v>1270</v>
      </c>
      <c r="G458" s="215">
        <v>11</v>
      </c>
      <c r="H458" s="215" t="s">
        <v>214</v>
      </c>
      <c r="I458" s="215" t="s">
        <v>546</v>
      </c>
      <c r="J458" s="215" t="s">
        <v>238</v>
      </c>
      <c r="K458" s="215" t="s">
        <v>200</v>
      </c>
      <c r="L458" s="216">
        <v>46164.492361111108</v>
      </c>
      <c r="M458" s="216">
        <v>46164.499305555553</v>
      </c>
      <c r="N458" s="215" t="s">
        <v>341</v>
      </c>
      <c r="O458" s="157" t="s">
        <v>205</v>
      </c>
      <c r="P458" s="92"/>
      <c r="Q458" s="145" t="s">
        <v>206</v>
      </c>
      <c r="R458" s="92"/>
      <c r="S458" s="145" t="s">
        <v>206</v>
      </c>
      <c r="T458" s="92"/>
      <c r="U458" s="145" t="s">
        <v>206</v>
      </c>
      <c r="V458" s="92"/>
      <c r="W458" s="145" t="s">
        <v>206</v>
      </c>
      <c r="X458" s="92"/>
      <c r="Y458" s="145" t="s">
        <v>62</v>
      </c>
      <c r="Z458" s="92"/>
      <c r="AA458" s="145" t="s">
        <v>206</v>
      </c>
      <c r="AB458" s="92"/>
      <c r="AC458" s="145" t="s">
        <v>205</v>
      </c>
      <c r="AD458" s="92"/>
      <c r="AE458" s="145" t="s">
        <v>205</v>
      </c>
      <c r="AF458" s="182" t="str">
        <f t="shared" si="21"/>
        <v>NC</v>
      </c>
      <c r="AG458" s="54" t="str">
        <f t="shared" si="22"/>
        <v>UTILIZOU O PDA CORRETAMENTE. NÃO HÁ FOTOS DE TODAS AS ETAPAS</v>
      </c>
      <c r="AH458" s="145"/>
      <c r="AI458" s="192" t="s">
        <v>6</v>
      </c>
      <c r="AJ458" s="96" t="str">
        <f t="shared" si="23"/>
        <v>SÃO PAULO</v>
      </c>
      <c r="AK458" s="193" t="s">
        <v>39</v>
      </c>
    </row>
    <row r="459" spans="1:37" ht="30" customHeight="1">
      <c r="A459" s="215" t="s">
        <v>198</v>
      </c>
      <c r="B459" s="215">
        <v>2621458391</v>
      </c>
      <c r="C459" s="215" t="s">
        <v>85</v>
      </c>
      <c r="D459" s="215" t="s">
        <v>80</v>
      </c>
      <c r="E459" s="215" t="s">
        <v>5</v>
      </c>
      <c r="F459" s="215" t="s">
        <v>1271</v>
      </c>
      <c r="G459" s="215">
        <v>906</v>
      </c>
      <c r="H459" s="215"/>
      <c r="I459" s="215" t="s">
        <v>333</v>
      </c>
      <c r="J459" s="215" t="s">
        <v>202</v>
      </c>
      <c r="K459" s="215"/>
      <c r="L459" s="216">
        <v>46166.25</v>
      </c>
      <c r="M459" s="216">
        <v>46166.250694444447</v>
      </c>
      <c r="N459" s="215" t="s">
        <v>204</v>
      </c>
      <c r="O459" s="157" t="s">
        <v>205</v>
      </c>
      <c r="P459" s="92"/>
      <c r="Q459" s="145" t="s">
        <v>205</v>
      </c>
      <c r="R459" s="92"/>
      <c r="S459" s="145" t="s">
        <v>205</v>
      </c>
      <c r="T459" s="92"/>
      <c r="U459" s="145" t="s">
        <v>205</v>
      </c>
      <c r="V459" s="92"/>
      <c r="W459" s="145" t="s">
        <v>205</v>
      </c>
      <c r="X459" s="92"/>
      <c r="Y459" s="145" t="s">
        <v>62</v>
      </c>
      <c r="Z459" s="92"/>
      <c r="AA459" s="145" t="s">
        <v>205</v>
      </c>
      <c r="AB459" s="92"/>
      <c r="AC459" s="145" t="s">
        <v>205</v>
      </c>
      <c r="AD459" s="92"/>
      <c r="AE459" s="145" t="s">
        <v>205</v>
      </c>
      <c r="AF459" s="182" t="str">
        <f t="shared" si="21"/>
        <v>C</v>
      </c>
      <c r="AG459" s="54" t="str">
        <f t="shared" si="22"/>
        <v>UTILIZOU O PDA CORRETAMENTE</v>
      </c>
      <c r="AH459" s="145" t="s">
        <v>205</v>
      </c>
      <c r="AI459" s="192" t="s">
        <v>6</v>
      </c>
      <c r="AJ459" s="96" t="str">
        <f t="shared" si="23"/>
        <v>SÃO PAULO</v>
      </c>
      <c r="AK459" s="193" t="s">
        <v>39</v>
      </c>
    </row>
    <row r="460" spans="1:37" ht="30" customHeight="1">
      <c r="A460" s="215" t="s">
        <v>198</v>
      </c>
      <c r="B460" s="215">
        <v>2621650104</v>
      </c>
      <c r="C460" s="215" t="s">
        <v>94</v>
      </c>
      <c r="D460" s="215" t="s">
        <v>77</v>
      </c>
      <c r="E460" s="215" t="s">
        <v>5</v>
      </c>
      <c r="F460" s="215" t="s">
        <v>1272</v>
      </c>
      <c r="G460" s="215">
        <v>36</v>
      </c>
      <c r="H460" s="215" t="s">
        <v>401</v>
      </c>
      <c r="I460" s="215" t="s">
        <v>993</v>
      </c>
      <c r="J460" s="215" t="s">
        <v>94</v>
      </c>
      <c r="K460" s="215" t="s">
        <v>200</v>
      </c>
      <c r="L460" s="216">
        <v>46164.640277777777</v>
      </c>
      <c r="M460" s="216">
        <v>46164.665277777778</v>
      </c>
      <c r="N460" s="215" t="s">
        <v>310</v>
      </c>
      <c r="O460" s="157" t="s">
        <v>205</v>
      </c>
      <c r="P460" s="92"/>
      <c r="Q460" s="145" t="s">
        <v>205</v>
      </c>
      <c r="R460" s="92"/>
      <c r="S460" s="145" t="s">
        <v>205</v>
      </c>
      <c r="T460" s="92"/>
      <c r="U460" s="145" t="s">
        <v>205</v>
      </c>
      <c r="V460" s="92"/>
      <c r="W460" s="145" t="s">
        <v>205</v>
      </c>
      <c r="X460" s="92"/>
      <c r="Y460" s="145" t="s">
        <v>62</v>
      </c>
      <c r="Z460" s="92"/>
      <c r="AA460" s="145" t="s">
        <v>205</v>
      </c>
      <c r="AB460" s="92"/>
      <c r="AC460" s="145" t="s">
        <v>205</v>
      </c>
      <c r="AD460" s="92"/>
      <c r="AE460" s="145" t="s">
        <v>205</v>
      </c>
      <c r="AF460" s="182" t="str">
        <f t="shared" si="21"/>
        <v>C</v>
      </c>
      <c r="AG460" s="54" t="str">
        <f t="shared" si="22"/>
        <v>UTILIZOU O PDA CORRETAMENTE</v>
      </c>
      <c r="AH460" s="145" t="s">
        <v>205</v>
      </c>
      <c r="AI460" s="192" t="s">
        <v>6</v>
      </c>
      <c r="AJ460" s="96" t="str">
        <f t="shared" si="23"/>
        <v>SÃO PAULO</v>
      </c>
      <c r="AK460" s="193" t="s">
        <v>39</v>
      </c>
    </row>
    <row r="461" spans="1:37" ht="30" customHeight="1">
      <c r="A461" s="215" t="s">
        <v>198</v>
      </c>
      <c r="B461" s="215">
        <v>2621650105</v>
      </c>
      <c r="C461" s="215" t="s">
        <v>96</v>
      </c>
      <c r="D461" s="215" t="s">
        <v>77</v>
      </c>
      <c r="E461" s="215" t="s">
        <v>5</v>
      </c>
      <c r="F461" s="215" t="s">
        <v>1272</v>
      </c>
      <c r="G461" s="215">
        <v>36</v>
      </c>
      <c r="H461" s="215" t="s">
        <v>1273</v>
      </c>
      <c r="I461" s="215" t="s">
        <v>993</v>
      </c>
      <c r="J461" s="215" t="s">
        <v>96</v>
      </c>
      <c r="K461" s="215"/>
      <c r="L461" s="216">
        <v>46164.636111111111</v>
      </c>
      <c r="M461" s="216">
        <v>46164.637499999997</v>
      </c>
      <c r="N461" s="215" t="s">
        <v>310</v>
      </c>
      <c r="O461" s="157" t="s">
        <v>205</v>
      </c>
      <c r="P461" s="92"/>
      <c r="Q461" s="145" t="s">
        <v>205</v>
      </c>
      <c r="R461" s="92"/>
      <c r="S461" s="145" t="s">
        <v>205</v>
      </c>
      <c r="T461" s="92"/>
      <c r="U461" s="145" t="s">
        <v>205</v>
      </c>
      <c r="V461" s="92"/>
      <c r="W461" s="145" t="s">
        <v>205</v>
      </c>
      <c r="X461" s="92"/>
      <c r="Y461" s="145" t="s">
        <v>62</v>
      </c>
      <c r="Z461" s="92"/>
      <c r="AA461" s="145" t="s">
        <v>205</v>
      </c>
      <c r="AB461" s="92"/>
      <c r="AC461" s="145" t="s">
        <v>205</v>
      </c>
      <c r="AD461" s="92"/>
      <c r="AE461" s="145" t="s">
        <v>205</v>
      </c>
      <c r="AF461" s="182" t="s">
        <v>205</v>
      </c>
      <c r="AG461" s="54" t="str">
        <f t="shared" si="22"/>
        <v>UTILIZOU O PDA CORRETAMENTE</v>
      </c>
      <c r="AH461" s="145" t="s">
        <v>205</v>
      </c>
      <c r="AI461" s="192" t="s">
        <v>6</v>
      </c>
      <c r="AJ461" s="96" t="str">
        <f t="shared" si="23"/>
        <v>SÃO PAULO</v>
      </c>
      <c r="AK461" s="193" t="s">
        <v>39</v>
      </c>
    </row>
    <row r="462" spans="1:37" ht="30" customHeight="1">
      <c r="A462" s="215" t="s">
        <v>198</v>
      </c>
      <c r="B462" s="215">
        <v>2621650107</v>
      </c>
      <c r="C462" s="215" t="s">
        <v>96</v>
      </c>
      <c r="D462" s="215" t="s">
        <v>77</v>
      </c>
      <c r="E462" s="215" t="s">
        <v>5</v>
      </c>
      <c r="F462" s="215" t="s">
        <v>1272</v>
      </c>
      <c r="G462" s="215">
        <v>36</v>
      </c>
      <c r="H462" s="215" t="s">
        <v>1274</v>
      </c>
      <c r="I462" s="215" t="s">
        <v>993</v>
      </c>
      <c r="J462" s="215" t="s">
        <v>96</v>
      </c>
      <c r="K462" s="215" t="s">
        <v>200</v>
      </c>
      <c r="L462" s="216">
        <v>46164.638194444444</v>
      </c>
      <c r="M462" s="216">
        <v>46164.640277777777</v>
      </c>
      <c r="N462" s="215" t="s">
        <v>310</v>
      </c>
      <c r="O462" s="157" t="s">
        <v>205</v>
      </c>
      <c r="P462" s="92"/>
      <c r="Q462" s="145" t="s">
        <v>205</v>
      </c>
      <c r="R462" s="92"/>
      <c r="S462" s="145" t="s">
        <v>205</v>
      </c>
      <c r="T462" s="92"/>
      <c r="U462" s="145" t="s">
        <v>205</v>
      </c>
      <c r="V462" s="92"/>
      <c r="W462" s="145" t="s">
        <v>205</v>
      </c>
      <c r="X462" s="92"/>
      <c r="Y462" s="145" t="s">
        <v>62</v>
      </c>
      <c r="Z462" s="92"/>
      <c r="AA462" s="145" t="s">
        <v>205</v>
      </c>
      <c r="AB462" s="92"/>
      <c r="AC462" s="145" t="s">
        <v>205</v>
      </c>
      <c r="AD462" s="92"/>
      <c r="AE462" s="145" t="s">
        <v>205</v>
      </c>
      <c r="AF462" s="182" t="s">
        <v>205</v>
      </c>
      <c r="AG462" s="54" t="str">
        <f t="shared" si="22"/>
        <v>UTILIZOU O PDA CORRETAMENTE</v>
      </c>
      <c r="AH462" s="145" t="s">
        <v>205</v>
      </c>
      <c r="AI462" s="192" t="s">
        <v>6</v>
      </c>
      <c r="AJ462" s="96" t="str">
        <f t="shared" si="23"/>
        <v>SÃO PAULO</v>
      </c>
      <c r="AK462" s="193" t="s">
        <v>39</v>
      </c>
    </row>
    <row r="463" spans="1:37" ht="30" customHeight="1">
      <c r="A463" s="215" t="s">
        <v>198</v>
      </c>
      <c r="B463" s="215">
        <v>2621689324</v>
      </c>
      <c r="C463" s="215" t="s">
        <v>105</v>
      </c>
      <c r="D463" s="215" t="s">
        <v>81</v>
      </c>
      <c r="E463" s="215" t="s">
        <v>5</v>
      </c>
      <c r="F463" s="215" t="s">
        <v>458</v>
      </c>
      <c r="G463" s="215">
        <v>1313</v>
      </c>
      <c r="H463" s="215" t="s">
        <v>226</v>
      </c>
      <c r="I463" s="215" t="s">
        <v>448</v>
      </c>
      <c r="J463" s="215" t="s">
        <v>459</v>
      </c>
      <c r="K463" s="215"/>
      <c r="L463" s="216">
        <v>46164.604166666664</v>
      </c>
      <c r="M463" s="216">
        <v>46164.688888888886</v>
      </c>
      <c r="N463" s="215" t="s">
        <v>235</v>
      </c>
      <c r="O463" s="157" t="s">
        <v>205</v>
      </c>
      <c r="P463" s="92"/>
      <c r="Q463" s="145" t="s">
        <v>205</v>
      </c>
      <c r="R463" s="92"/>
      <c r="S463" s="145" t="s">
        <v>205</v>
      </c>
      <c r="T463" s="92"/>
      <c r="U463" s="145" t="s">
        <v>205</v>
      </c>
      <c r="V463" s="92"/>
      <c r="W463" s="145" t="s">
        <v>205</v>
      </c>
      <c r="X463" s="92"/>
      <c r="Y463" s="145" t="s">
        <v>62</v>
      </c>
      <c r="Z463" s="92"/>
      <c r="AA463" s="145" t="s">
        <v>205</v>
      </c>
      <c r="AB463" s="92"/>
      <c r="AC463" s="145" t="s">
        <v>205</v>
      </c>
      <c r="AD463" s="92"/>
      <c r="AE463" s="145" t="s">
        <v>205</v>
      </c>
      <c r="AF463" s="182" t="str">
        <f t="shared" si="21"/>
        <v>C</v>
      </c>
      <c r="AG463" s="54" t="str">
        <f t="shared" si="22"/>
        <v>UTILIZOU O PDA CORRETAMENTE</v>
      </c>
      <c r="AH463" s="145" t="s">
        <v>205</v>
      </c>
      <c r="AI463" s="192" t="s">
        <v>6</v>
      </c>
      <c r="AJ463" s="96" t="str">
        <f t="shared" si="23"/>
        <v>SÃO PAULO</v>
      </c>
      <c r="AK463" s="193" t="s">
        <v>39</v>
      </c>
    </row>
    <row r="464" spans="1:37" ht="30" customHeight="1">
      <c r="A464" s="215" t="s">
        <v>198</v>
      </c>
      <c r="B464" s="215">
        <v>2621444924</v>
      </c>
      <c r="C464" s="215" t="s">
        <v>287</v>
      </c>
      <c r="D464" s="215" t="s">
        <v>81</v>
      </c>
      <c r="E464" s="215" t="s">
        <v>5</v>
      </c>
      <c r="F464" s="215" t="s">
        <v>1275</v>
      </c>
      <c r="G464" s="215">
        <v>54</v>
      </c>
      <c r="H464" s="215" t="s">
        <v>200</v>
      </c>
      <c r="I464" s="215" t="s">
        <v>215</v>
      </c>
      <c r="J464" s="215" t="s">
        <v>290</v>
      </c>
      <c r="K464" s="215" t="s">
        <v>200</v>
      </c>
      <c r="L464" s="216">
        <v>46164.55972222222</v>
      </c>
      <c r="M464" s="216">
        <v>46164.561111111114</v>
      </c>
      <c r="N464" s="215" t="s">
        <v>254</v>
      </c>
      <c r="O464" s="157" t="s">
        <v>239</v>
      </c>
      <c r="P464" s="92"/>
      <c r="Q464" s="145" t="s">
        <v>239</v>
      </c>
      <c r="R464" s="92"/>
      <c r="S464" s="145" t="s">
        <v>239</v>
      </c>
      <c r="T464" s="92"/>
      <c r="U464" s="145" t="s">
        <v>239</v>
      </c>
      <c r="V464" s="92"/>
      <c r="W464" s="145" t="s">
        <v>239</v>
      </c>
      <c r="X464" s="92"/>
      <c r="Y464" s="145" t="s">
        <v>239</v>
      </c>
      <c r="Z464" s="92"/>
      <c r="AA464" s="145" t="s">
        <v>239</v>
      </c>
      <c r="AB464" s="92"/>
      <c r="AC464" s="145" t="s">
        <v>239</v>
      </c>
      <c r="AD464" s="92" t="s">
        <v>303</v>
      </c>
      <c r="AE464" s="145" t="s">
        <v>239</v>
      </c>
      <c r="AF464" s="182" t="str">
        <f t="shared" si="21"/>
        <v>NC</v>
      </c>
      <c r="AG464" s="54" t="str">
        <f t="shared" si="22"/>
        <v>NÃO UTILIZOU O PDA</v>
      </c>
      <c r="AH464" s="145"/>
      <c r="AI464" s="192" t="s">
        <v>6</v>
      </c>
      <c r="AJ464" s="96" t="str">
        <f t="shared" si="23"/>
        <v>SÃO PAULO</v>
      </c>
      <c r="AK464" s="193" t="s">
        <v>39</v>
      </c>
    </row>
    <row r="465" spans="1:37" ht="30" customHeight="1">
      <c r="A465" s="215" t="s">
        <v>198</v>
      </c>
      <c r="B465" s="215">
        <v>2621242524</v>
      </c>
      <c r="C465" s="215" t="s">
        <v>100</v>
      </c>
      <c r="D465" s="215" t="s">
        <v>81</v>
      </c>
      <c r="E465" s="215" t="s">
        <v>5</v>
      </c>
      <c r="F465" s="215" t="s">
        <v>1276</v>
      </c>
      <c r="G465" s="215">
        <v>347</v>
      </c>
      <c r="H465" s="215"/>
      <c r="I465" s="215" t="s">
        <v>320</v>
      </c>
      <c r="J465" s="215" t="s">
        <v>243</v>
      </c>
      <c r="K465" s="215"/>
      <c r="L465" s="216">
        <v>46164.647916666669</v>
      </c>
      <c r="M465" s="216">
        <v>46164.649305555555</v>
      </c>
      <c r="N465" s="215" t="s">
        <v>326</v>
      </c>
      <c r="O465" s="157" t="s">
        <v>205</v>
      </c>
      <c r="P465" s="92"/>
      <c r="Q465" s="145" t="s">
        <v>205</v>
      </c>
      <c r="R465" s="92"/>
      <c r="S465" s="145" t="s">
        <v>205</v>
      </c>
      <c r="T465" s="92"/>
      <c r="U465" s="145" t="s">
        <v>205</v>
      </c>
      <c r="V465" s="92"/>
      <c r="W465" s="145" t="s">
        <v>205</v>
      </c>
      <c r="X465" s="92"/>
      <c r="Y465" s="145" t="s">
        <v>205</v>
      </c>
      <c r="Z465" s="92"/>
      <c r="AA465" s="145" t="s">
        <v>205</v>
      </c>
      <c r="AB465" s="92"/>
      <c r="AC465" s="145" t="s">
        <v>205</v>
      </c>
      <c r="AD465" s="92"/>
      <c r="AE465" s="145" t="s">
        <v>205</v>
      </c>
      <c r="AF465" s="182" t="str">
        <f t="shared" si="21"/>
        <v>C</v>
      </c>
      <c r="AG465" s="54" t="str">
        <f t="shared" si="22"/>
        <v>UTILIZOU O PDA CORRETAMENTE</v>
      </c>
      <c r="AH465" s="145" t="s">
        <v>205</v>
      </c>
      <c r="AI465" s="192" t="s">
        <v>6</v>
      </c>
      <c r="AJ465" s="96" t="str">
        <f t="shared" si="23"/>
        <v>SÃO PAULO</v>
      </c>
      <c r="AK465" s="193" t="s">
        <v>39</v>
      </c>
    </row>
    <row r="466" spans="1:37" ht="30" customHeight="1">
      <c r="A466" s="215" t="s">
        <v>198</v>
      </c>
      <c r="B466" s="215">
        <v>2620796302</v>
      </c>
      <c r="C466" s="215" t="s">
        <v>91</v>
      </c>
      <c r="D466" s="215" t="s">
        <v>77</v>
      </c>
      <c r="E466" s="215" t="s">
        <v>5</v>
      </c>
      <c r="F466" s="215" t="s">
        <v>1271</v>
      </c>
      <c r="G466" s="215">
        <v>906</v>
      </c>
      <c r="H466" s="215" t="s">
        <v>200</v>
      </c>
      <c r="I466" s="215" t="s">
        <v>260</v>
      </c>
      <c r="J466" s="215" t="s">
        <v>853</v>
      </c>
      <c r="K466" s="215" t="s">
        <v>200</v>
      </c>
      <c r="L466" s="216">
        <v>46164.052083333336</v>
      </c>
      <c r="M466" s="216">
        <v>46164.059027777781</v>
      </c>
      <c r="N466" s="215" t="s">
        <v>204</v>
      </c>
      <c r="O466" s="157" t="s">
        <v>62</v>
      </c>
      <c r="P466" s="92"/>
      <c r="Q466" s="145" t="s">
        <v>62</v>
      </c>
      <c r="R466" s="92"/>
      <c r="S466" s="145" t="s">
        <v>62</v>
      </c>
      <c r="T466" s="92"/>
      <c r="U466" s="145" t="s">
        <v>62</v>
      </c>
      <c r="V466" s="92"/>
      <c r="W466" s="145" t="s">
        <v>62</v>
      </c>
      <c r="X466" s="92"/>
      <c r="Y466" s="145" t="s">
        <v>62</v>
      </c>
      <c r="Z466" s="92"/>
      <c r="AA466" s="145" t="s">
        <v>62</v>
      </c>
      <c r="AB466" s="92"/>
      <c r="AC466" s="145" t="s">
        <v>62</v>
      </c>
      <c r="AD466" s="92"/>
      <c r="AE466" s="145" t="s">
        <v>62</v>
      </c>
      <c r="AF466" s="182" t="str">
        <f t="shared" si="21"/>
        <v>NA</v>
      </c>
      <c r="AG466" s="54" t="str">
        <f t="shared" si="22"/>
        <v>NÃO AVALIADO POR FALHA DE SINCRONISMO</v>
      </c>
      <c r="AH466" s="145"/>
      <c r="AI466" s="192" t="s">
        <v>6</v>
      </c>
      <c r="AJ466" s="96" t="str">
        <f t="shared" si="23"/>
        <v>SÃO PAULO</v>
      </c>
      <c r="AK466" s="193" t="s">
        <v>39</v>
      </c>
    </row>
    <row r="467" spans="1:37" ht="30" customHeight="1">
      <c r="A467" s="215" t="s">
        <v>198</v>
      </c>
      <c r="B467" s="215">
        <v>2621282540</v>
      </c>
      <c r="C467" s="215" t="s">
        <v>100</v>
      </c>
      <c r="D467" s="215" t="s">
        <v>81</v>
      </c>
      <c r="E467" s="215" t="s">
        <v>5</v>
      </c>
      <c r="F467" s="215" t="s">
        <v>1253</v>
      </c>
      <c r="G467" s="215">
        <v>25</v>
      </c>
      <c r="H467" s="215" t="s">
        <v>226</v>
      </c>
      <c r="I467" s="215" t="s">
        <v>246</v>
      </c>
      <c r="J467" s="215" t="s">
        <v>243</v>
      </c>
      <c r="K467" s="215" t="s">
        <v>1277</v>
      </c>
      <c r="L467" s="216">
        <v>46164.675000000003</v>
      </c>
      <c r="M467" s="216">
        <v>46164.676388888889</v>
      </c>
      <c r="N467" s="215" t="s">
        <v>221</v>
      </c>
      <c r="O467" s="157" t="s">
        <v>205</v>
      </c>
      <c r="P467" s="92"/>
      <c r="Q467" s="145" t="s">
        <v>205</v>
      </c>
      <c r="R467" s="92"/>
      <c r="S467" s="145" t="s">
        <v>205</v>
      </c>
      <c r="T467" s="92"/>
      <c r="U467" s="145" t="s">
        <v>205</v>
      </c>
      <c r="V467" s="92"/>
      <c r="W467" s="145" t="s">
        <v>205</v>
      </c>
      <c r="X467" s="92"/>
      <c r="Y467" s="145" t="s">
        <v>205</v>
      </c>
      <c r="Z467" s="92"/>
      <c r="AA467" s="145" t="s">
        <v>205</v>
      </c>
      <c r="AB467" s="92"/>
      <c r="AC467" s="145" t="s">
        <v>205</v>
      </c>
      <c r="AD467" s="92"/>
      <c r="AE467" s="145" t="s">
        <v>205</v>
      </c>
      <c r="AF467" s="182" t="str">
        <f t="shared" si="21"/>
        <v>C</v>
      </c>
      <c r="AG467" s="54" t="str">
        <f t="shared" si="22"/>
        <v>UTILIZOU O PDA CORRETAMENTE</v>
      </c>
      <c r="AH467" s="145" t="s">
        <v>205</v>
      </c>
      <c r="AI467" s="192" t="s">
        <v>6</v>
      </c>
      <c r="AJ467" s="96" t="str">
        <f t="shared" si="23"/>
        <v>SÃO PAULO</v>
      </c>
      <c r="AK467" s="193" t="s">
        <v>39</v>
      </c>
    </row>
    <row r="468" spans="1:37" ht="30" customHeight="1">
      <c r="A468" s="215" t="s">
        <v>198</v>
      </c>
      <c r="B468" s="215">
        <v>2621659461</v>
      </c>
      <c r="C468" s="215" t="s">
        <v>103</v>
      </c>
      <c r="D468" s="215" t="s">
        <v>81</v>
      </c>
      <c r="E468" s="215" t="s">
        <v>5</v>
      </c>
      <c r="F468" s="215" t="s">
        <v>1278</v>
      </c>
      <c r="G468" s="215">
        <v>777</v>
      </c>
      <c r="H468" s="215" t="s">
        <v>379</v>
      </c>
      <c r="I468" s="215" t="s">
        <v>260</v>
      </c>
      <c r="J468" s="215" t="s">
        <v>322</v>
      </c>
      <c r="K468" s="215" t="s">
        <v>200</v>
      </c>
      <c r="L468" s="216">
        <v>46165.25</v>
      </c>
      <c r="M468" s="216">
        <v>46165.250694444447</v>
      </c>
      <c r="N468" s="215" t="s">
        <v>326</v>
      </c>
      <c r="O468" s="157" t="s">
        <v>205</v>
      </c>
      <c r="P468" s="92"/>
      <c r="Q468" s="145" t="s">
        <v>205</v>
      </c>
      <c r="R468" s="92"/>
      <c r="S468" s="145" t="s">
        <v>205</v>
      </c>
      <c r="T468" s="92"/>
      <c r="U468" s="145" t="s">
        <v>205</v>
      </c>
      <c r="V468" s="92"/>
      <c r="W468" s="145" t="s">
        <v>205</v>
      </c>
      <c r="X468" s="92"/>
      <c r="Y468" s="145" t="s">
        <v>62</v>
      </c>
      <c r="Z468" s="92"/>
      <c r="AA468" s="145" t="s">
        <v>205</v>
      </c>
      <c r="AB468" s="92"/>
      <c r="AC468" s="145" t="s">
        <v>205</v>
      </c>
      <c r="AD468" s="92"/>
      <c r="AE468" s="145" t="s">
        <v>205</v>
      </c>
      <c r="AF468" s="182" t="str">
        <f t="shared" si="21"/>
        <v>C</v>
      </c>
      <c r="AG468" s="54" t="str">
        <f t="shared" si="22"/>
        <v>UTILIZOU O PDA CORRETAMENTE</v>
      </c>
      <c r="AH468" s="145" t="s">
        <v>205</v>
      </c>
      <c r="AI468" s="192" t="s">
        <v>6</v>
      </c>
      <c r="AJ468" s="96" t="str">
        <f t="shared" si="23"/>
        <v>SÃO PAULO</v>
      </c>
      <c r="AK468" s="193" t="s">
        <v>39</v>
      </c>
    </row>
    <row r="469" spans="1:37" ht="30" customHeight="1">
      <c r="A469" s="215" t="s">
        <v>198</v>
      </c>
      <c r="B469" s="215">
        <v>2621498196</v>
      </c>
      <c r="C469" s="215" t="s">
        <v>331</v>
      </c>
      <c r="D469" s="215" t="s">
        <v>79</v>
      </c>
      <c r="E469" s="215" t="s">
        <v>5</v>
      </c>
      <c r="F469" s="215" t="s">
        <v>332</v>
      </c>
      <c r="G469" s="215">
        <v>595</v>
      </c>
      <c r="H469" s="215" t="s">
        <v>226</v>
      </c>
      <c r="I469" s="215" t="s">
        <v>333</v>
      </c>
      <c r="J469" s="215" t="s">
        <v>334</v>
      </c>
      <c r="K469" s="215" t="s">
        <v>1279</v>
      </c>
      <c r="L469" s="216">
        <v>46165.570833333331</v>
      </c>
      <c r="M469" s="216">
        <v>46165.697916666664</v>
      </c>
      <c r="N469" s="215" t="s">
        <v>235</v>
      </c>
      <c r="O469" s="157" t="s">
        <v>205</v>
      </c>
      <c r="P469" s="92"/>
      <c r="Q469" s="145" t="s">
        <v>205</v>
      </c>
      <c r="R469" s="92"/>
      <c r="S469" s="145" t="s">
        <v>205</v>
      </c>
      <c r="T469" s="92"/>
      <c r="U469" s="145" t="s">
        <v>205</v>
      </c>
      <c r="V469" s="92"/>
      <c r="W469" s="145" t="s">
        <v>205</v>
      </c>
      <c r="X469" s="92"/>
      <c r="Y469" s="145" t="s">
        <v>205</v>
      </c>
      <c r="Z469" s="92"/>
      <c r="AA469" s="145" t="s">
        <v>205</v>
      </c>
      <c r="AB469" s="92"/>
      <c r="AC469" s="145" t="s">
        <v>205</v>
      </c>
      <c r="AD469" s="92"/>
      <c r="AE469" s="145" t="s">
        <v>205</v>
      </c>
      <c r="AF469" s="182" t="str">
        <f t="shared" si="21"/>
        <v>C</v>
      </c>
      <c r="AG469" s="54" t="str">
        <f t="shared" si="22"/>
        <v>UTILIZOU O PDA CORRETAMENTE</v>
      </c>
      <c r="AH469" s="145" t="s">
        <v>205</v>
      </c>
      <c r="AI469" s="192" t="s">
        <v>6</v>
      </c>
      <c r="AJ469" s="96" t="str">
        <f t="shared" si="23"/>
        <v>SÃO PAULO</v>
      </c>
      <c r="AK469" s="193" t="s">
        <v>39</v>
      </c>
    </row>
    <row r="470" spans="1:37" ht="30" customHeight="1">
      <c r="A470" s="215" t="s">
        <v>198</v>
      </c>
      <c r="B470" s="215">
        <v>2693966624</v>
      </c>
      <c r="C470" s="215" t="s">
        <v>99</v>
      </c>
      <c r="D470" s="215" t="s">
        <v>81</v>
      </c>
      <c r="E470" s="215" t="s">
        <v>5</v>
      </c>
      <c r="F470" s="215" t="s">
        <v>1280</v>
      </c>
      <c r="G470" s="215">
        <v>106</v>
      </c>
      <c r="H470" s="215"/>
      <c r="I470" s="215" t="s">
        <v>1281</v>
      </c>
      <c r="J470" s="215" t="s">
        <v>268</v>
      </c>
      <c r="K470" s="215" t="s">
        <v>1282</v>
      </c>
      <c r="L470" s="216">
        <v>46165.426388888889</v>
      </c>
      <c r="M470" s="216">
        <v>46165.431944444441</v>
      </c>
      <c r="N470" s="215" t="s">
        <v>341</v>
      </c>
      <c r="O470" s="157" t="s">
        <v>205</v>
      </c>
      <c r="P470" s="92"/>
      <c r="Q470" s="145" t="s">
        <v>205</v>
      </c>
      <c r="R470" s="92"/>
      <c r="S470" s="145" t="s">
        <v>206</v>
      </c>
      <c r="T470" s="92"/>
      <c r="U470" s="145" t="s">
        <v>205</v>
      </c>
      <c r="V470" s="92"/>
      <c r="W470" s="145" t="s">
        <v>205</v>
      </c>
      <c r="X470" s="92"/>
      <c r="Y470" s="145" t="s">
        <v>205</v>
      </c>
      <c r="Z470" s="92"/>
      <c r="AA470" s="145" t="s">
        <v>206</v>
      </c>
      <c r="AB470" s="92"/>
      <c r="AC470" s="145" t="s">
        <v>206</v>
      </c>
      <c r="AD470" s="92"/>
      <c r="AE470" s="145" t="s">
        <v>205</v>
      </c>
      <c r="AF470" s="182" t="str">
        <f t="shared" si="21"/>
        <v>NC</v>
      </c>
      <c r="AG470" s="54" t="str">
        <f t="shared" si="22"/>
        <v>UTILIZOU O PDA CORRETAMENTE. NÃO HÁ FOTOS DE TODAS AS ETAPAS</v>
      </c>
      <c r="AH470" s="145" t="s">
        <v>205</v>
      </c>
      <c r="AI470" s="192" t="s">
        <v>6</v>
      </c>
      <c r="AJ470" s="96" t="str">
        <f t="shared" si="23"/>
        <v>SÃO PAULO</v>
      </c>
      <c r="AK470" s="193" t="s">
        <v>39</v>
      </c>
    </row>
    <row r="471" spans="1:37" ht="30" customHeight="1">
      <c r="A471" s="215" t="s">
        <v>198</v>
      </c>
      <c r="B471" s="215">
        <v>2693985527</v>
      </c>
      <c r="C471" s="215" t="s">
        <v>99</v>
      </c>
      <c r="D471" s="215" t="s">
        <v>81</v>
      </c>
      <c r="E471" s="215" t="s">
        <v>5</v>
      </c>
      <c r="F471" s="215" t="s">
        <v>1283</v>
      </c>
      <c r="G471" s="215">
        <v>171</v>
      </c>
      <c r="H471" s="215" t="s">
        <v>200</v>
      </c>
      <c r="I471" s="215" t="s">
        <v>227</v>
      </c>
      <c r="J471" s="215" t="s">
        <v>268</v>
      </c>
      <c r="K471" s="215" t="s">
        <v>200</v>
      </c>
      <c r="L471" s="216">
        <v>46165.412499999999</v>
      </c>
      <c r="M471" s="216">
        <v>46165.456250000003</v>
      </c>
      <c r="N471" s="215" t="s">
        <v>221</v>
      </c>
      <c r="O471" s="157" t="s">
        <v>205</v>
      </c>
      <c r="P471" s="92"/>
      <c r="Q471" s="145" t="s">
        <v>205</v>
      </c>
      <c r="R471" s="92"/>
      <c r="S471" s="145" t="s">
        <v>205</v>
      </c>
      <c r="T471" s="92"/>
      <c r="U471" s="145" t="s">
        <v>205</v>
      </c>
      <c r="V471" s="92"/>
      <c r="W471" s="145" t="s">
        <v>206</v>
      </c>
      <c r="X471" s="92"/>
      <c r="Y471" s="145" t="s">
        <v>205</v>
      </c>
      <c r="Z471" s="92"/>
      <c r="AA471" s="145" t="s">
        <v>205</v>
      </c>
      <c r="AB471" s="92"/>
      <c r="AC471" s="145" t="s">
        <v>205</v>
      </c>
      <c r="AD471" s="92"/>
      <c r="AE471" s="145" t="s">
        <v>205</v>
      </c>
      <c r="AF471" s="182" t="str">
        <f t="shared" si="21"/>
        <v>NC</v>
      </c>
      <c r="AG471" s="54" t="str">
        <f t="shared" si="22"/>
        <v>UTILIZOU O PDA CORRETAMENTE. NÃO HÁ FOTOS DE TODAS AS ETAPAS</v>
      </c>
      <c r="AH471" s="145" t="s">
        <v>205</v>
      </c>
      <c r="AI471" s="192" t="s">
        <v>6</v>
      </c>
      <c r="AJ471" s="96" t="str">
        <f t="shared" si="23"/>
        <v>SÃO PAULO</v>
      </c>
      <c r="AK471" s="193" t="s">
        <v>39</v>
      </c>
    </row>
    <row r="472" spans="1:37" ht="30" customHeight="1">
      <c r="A472" s="215" t="s">
        <v>198</v>
      </c>
      <c r="B472" s="215">
        <v>2621774425</v>
      </c>
      <c r="C472" s="215" t="s">
        <v>99</v>
      </c>
      <c r="D472" s="215" t="s">
        <v>81</v>
      </c>
      <c r="E472" s="215" t="s">
        <v>5</v>
      </c>
      <c r="F472" s="215" t="s">
        <v>345</v>
      </c>
      <c r="G472" s="215">
        <v>496</v>
      </c>
      <c r="H472" s="215" t="s">
        <v>318</v>
      </c>
      <c r="I472" s="215" t="s">
        <v>346</v>
      </c>
      <c r="J472" s="215" t="s">
        <v>268</v>
      </c>
      <c r="K472" s="215"/>
      <c r="L472" s="216">
        <v>46165.458333333336</v>
      </c>
      <c r="M472" s="216">
        <v>46165.459027777775</v>
      </c>
      <c r="N472" s="215" t="s">
        <v>248</v>
      </c>
      <c r="O472" s="157" t="s">
        <v>62</v>
      </c>
      <c r="P472" s="92"/>
      <c r="Q472" s="145" t="s">
        <v>62</v>
      </c>
      <c r="R472" s="92"/>
      <c r="S472" s="145" t="s">
        <v>62</v>
      </c>
      <c r="T472" s="92"/>
      <c r="U472" s="145" t="s">
        <v>62</v>
      </c>
      <c r="V472" s="92"/>
      <c r="W472" s="145" t="s">
        <v>62</v>
      </c>
      <c r="X472" s="92"/>
      <c r="Y472" s="145" t="s">
        <v>62</v>
      </c>
      <c r="Z472" s="92"/>
      <c r="AA472" s="145" t="s">
        <v>62</v>
      </c>
      <c r="AB472" s="92"/>
      <c r="AC472" s="145" t="s">
        <v>62</v>
      </c>
      <c r="AD472" s="92"/>
      <c r="AE472" s="145" t="s">
        <v>62</v>
      </c>
      <c r="AF472" s="182" t="str">
        <f t="shared" si="21"/>
        <v>NA</v>
      </c>
      <c r="AG472" s="54" t="str">
        <f t="shared" si="22"/>
        <v>NÃO AVALIADO POR FALHA DE SINCRONISMO</v>
      </c>
      <c r="AH472" s="145"/>
      <c r="AI472" s="192" t="s">
        <v>6</v>
      </c>
      <c r="AJ472" s="96" t="str">
        <f t="shared" si="23"/>
        <v>SÃO PAULO</v>
      </c>
      <c r="AK472" s="193" t="s">
        <v>39</v>
      </c>
    </row>
    <row r="473" spans="1:37" ht="30" customHeight="1">
      <c r="A473" s="215" t="s">
        <v>198</v>
      </c>
      <c r="B473" s="215">
        <v>2621772135</v>
      </c>
      <c r="C473" s="215" t="s">
        <v>105</v>
      </c>
      <c r="D473" s="215" t="s">
        <v>81</v>
      </c>
      <c r="E473" s="215" t="s">
        <v>5</v>
      </c>
      <c r="F473" s="215" t="s">
        <v>1284</v>
      </c>
      <c r="G473" s="215">
        <v>244</v>
      </c>
      <c r="H473" s="215" t="s">
        <v>1285</v>
      </c>
      <c r="I473" s="215" t="s">
        <v>1286</v>
      </c>
      <c r="J473" s="215" t="s">
        <v>350</v>
      </c>
      <c r="K473" s="219" t="s">
        <v>1287</v>
      </c>
      <c r="L473" s="216">
        <v>46165.375</v>
      </c>
      <c r="M473" s="216">
        <v>46165.375694444447</v>
      </c>
      <c r="N473" s="215" t="s">
        <v>248</v>
      </c>
      <c r="O473" s="157" t="s">
        <v>62</v>
      </c>
      <c r="P473" s="92"/>
      <c r="Q473" s="145" t="s">
        <v>62</v>
      </c>
      <c r="R473" s="92"/>
      <c r="S473" s="145" t="s">
        <v>62</v>
      </c>
      <c r="T473" s="92"/>
      <c r="U473" s="145" t="s">
        <v>62</v>
      </c>
      <c r="V473" s="92"/>
      <c r="W473" s="145" t="s">
        <v>62</v>
      </c>
      <c r="X473" s="92"/>
      <c r="Y473" s="145" t="s">
        <v>62</v>
      </c>
      <c r="Z473" s="92"/>
      <c r="AA473" s="145" t="s">
        <v>62</v>
      </c>
      <c r="AB473" s="92"/>
      <c r="AC473" s="145" t="s">
        <v>62</v>
      </c>
      <c r="AD473" s="92"/>
      <c r="AE473" s="145" t="s">
        <v>62</v>
      </c>
      <c r="AF473" s="182" t="str">
        <f t="shared" si="21"/>
        <v>NA</v>
      </c>
      <c r="AG473" s="54" t="str">
        <f t="shared" si="22"/>
        <v>NÃO AVALIADO POR FALHA DE SINCRONISMO</v>
      </c>
      <c r="AH473" s="145"/>
      <c r="AI473" s="192" t="s">
        <v>6</v>
      </c>
      <c r="AJ473" s="96" t="str">
        <f t="shared" si="23"/>
        <v>SÃO PAULO</v>
      </c>
      <c r="AK473" s="193" t="s">
        <v>39</v>
      </c>
    </row>
    <row r="474" spans="1:37" ht="30" customHeight="1">
      <c r="A474" s="215" t="s">
        <v>198</v>
      </c>
      <c r="B474" s="215">
        <v>2621772103</v>
      </c>
      <c r="C474" s="215" t="s">
        <v>100</v>
      </c>
      <c r="D474" s="215" t="s">
        <v>81</v>
      </c>
      <c r="E474" s="215" t="s">
        <v>5</v>
      </c>
      <c r="F474" s="215" t="s">
        <v>1284</v>
      </c>
      <c r="G474" s="215">
        <v>242</v>
      </c>
      <c r="H474" s="215"/>
      <c r="I474" s="215" t="s">
        <v>1288</v>
      </c>
      <c r="J474" s="215" t="s">
        <v>243</v>
      </c>
      <c r="K474" s="219" t="s">
        <v>1287</v>
      </c>
      <c r="L474" s="216">
        <v>46165.461805555555</v>
      </c>
      <c r="M474" s="216">
        <v>46165.462500000001</v>
      </c>
      <c r="N474" s="215" t="s">
        <v>248</v>
      </c>
      <c r="O474" s="157" t="s">
        <v>62</v>
      </c>
      <c r="P474" s="92"/>
      <c r="Q474" s="145" t="s">
        <v>62</v>
      </c>
      <c r="R474" s="92"/>
      <c r="S474" s="145" t="s">
        <v>62</v>
      </c>
      <c r="T474" s="92"/>
      <c r="U474" s="145" t="s">
        <v>62</v>
      </c>
      <c r="V474" s="92"/>
      <c r="W474" s="145" t="s">
        <v>62</v>
      </c>
      <c r="X474" s="92"/>
      <c r="Y474" s="145" t="s">
        <v>62</v>
      </c>
      <c r="Z474" s="92"/>
      <c r="AA474" s="145" t="s">
        <v>62</v>
      </c>
      <c r="AB474" s="92"/>
      <c r="AC474" s="145" t="s">
        <v>62</v>
      </c>
      <c r="AD474" s="92"/>
      <c r="AE474" s="145" t="s">
        <v>62</v>
      </c>
      <c r="AF474" s="182" t="str">
        <f t="shared" si="21"/>
        <v>NA</v>
      </c>
      <c r="AG474" s="54" t="str">
        <f t="shared" si="22"/>
        <v>NÃO AVALIADO POR FALHA DE SINCRONISMO</v>
      </c>
      <c r="AH474" s="145"/>
      <c r="AI474" s="192" t="s">
        <v>6</v>
      </c>
      <c r="AJ474" s="96" t="str">
        <f t="shared" si="23"/>
        <v>SÃO PAULO</v>
      </c>
      <c r="AK474" s="193" t="s">
        <v>39</v>
      </c>
    </row>
    <row r="475" spans="1:37" ht="30" customHeight="1">
      <c r="A475" s="215" t="s">
        <v>198</v>
      </c>
      <c r="B475" s="215">
        <v>2621775184</v>
      </c>
      <c r="C475" s="215" t="s">
        <v>106</v>
      </c>
      <c r="D475" s="215" t="s">
        <v>81</v>
      </c>
      <c r="E475" s="215" t="s">
        <v>5</v>
      </c>
      <c r="F475" s="215" t="s">
        <v>1289</v>
      </c>
      <c r="G475" s="215">
        <v>22</v>
      </c>
      <c r="H475" s="215" t="s">
        <v>200</v>
      </c>
      <c r="I475" s="215" t="s">
        <v>260</v>
      </c>
      <c r="J475" s="215" t="s">
        <v>350</v>
      </c>
      <c r="K475" s="215" t="s">
        <v>1290</v>
      </c>
      <c r="L475" s="216">
        <v>46165.852777777778</v>
      </c>
      <c r="M475" s="216">
        <v>46166.074305555558</v>
      </c>
      <c r="N475" s="215" t="s">
        <v>297</v>
      </c>
      <c r="O475" s="157" t="s">
        <v>205</v>
      </c>
      <c r="P475" s="92"/>
      <c r="Q475" s="145" t="s">
        <v>205</v>
      </c>
      <c r="R475" s="92"/>
      <c r="S475" s="145" t="s">
        <v>206</v>
      </c>
      <c r="T475" s="92"/>
      <c r="U475" s="145" t="s">
        <v>205</v>
      </c>
      <c r="V475" s="92"/>
      <c r="W475" s="145" t="s">
        <v>205</v>
      </c>
      <c r="X475" s="92"/>
      <c r="Y475" s="145" t="s">
        <v>62</v>
      </c>
      <c r="Z475" s="92"/>
      <c r="AA475" s="145" t="s">
        <v>206</v>
      </c>
      <c r="AB475" s="92"/>
      <c r="AC475" s="145" t="s">
        <v>206</v>
      </c>
      <c r="AD475" s="92"/>
      <c r="AE475" s="145" t="s">
        <v>205</v>
      </c>
      <c r="AF475" s="182" t="str">
        <f t="shared" si="21"/>
        <v>NC</v>
      </c>
      <c r="AG475" s="54" t="str">
        <f t="shared" si="22"/>
        <v>UTILIZOU O PDA CORRETAMENTE. NÃO HÁ FOTOS DE TODAS AS ETAPAS</v>
      </c>
      <c r="AH475" s="145" t="s">
        <v>205</v>
      </c>
      <c r="AI475" s="192" t="s">
        <v>6</v>
      </c>
      <c r="AJ475" s="96" t="str">
        <f t="shared" si="23"/>
        <v>SÃO PAULO</v>
      </c>
      <c r="AK475" s="193" t="s">
        <v>39</v>
      </c>
    </row>
    <row r="476" spans="1:37" ht="30" customHeight="1">
      <c r="A476" s="215" t="s">
        <v>198</v>
      </c>
      <c r="B476" s="215">
        <v>2694047753</v>
      </c>
      <c r="C476" s="215" t="s">
        <v>103</v>
      </c>
      <c r="D476" s="215" t="s">
        <v>81</v>
      </c>
      <c r="E476" s="215" t="s">
        <v>5</v>
      </c>
      <c r="F476" s="215" t="s">
        <v>1291</v>
      </c>
      <c r="G476" s="215">
        <v>99</v>
      </c>
      <c r="H476" s="215" t="s">
        <v>318</v>
      </c>
      <c r="I476" s="215" t="s">
        <v>320</v>
      </c>
      <c r="J476" s="215" t="s">
        <v>322</v>
      </c>
      <c r="K476" s="215"/>
      <c r="L476" s="216">
        <v>46166.495833333334</v>
      </c>
      <c r="M476" s="216">
        <v>46166.538888888892</v>
      </c>
      <c r="N476" s="215" t="s">
        <v>326</v>
      </c>
      <c r="O476" s="157" t="s">
        <v>205</v>
      </c>
      <c r="P476" s="92"/>
      <c r="Q476" s="145" t="s">
        <v>205</v>
      </c>
      <c r="R476" s="92"/>
      <c r="S476" s="145" t="s">
        <v>205</v>
      </c>
      <c r="T476" s="92"/>
      <c r="U476" s="145" t="s">
        <v>205</v>
      </c>
      <c r="V476" s="92"/>
      <c r="W476" s="145" t="s">
        <v>205</v>
      </c>
      <c r="X476" s="92"/>
      <c r="Y476" s="145" t="s">
        <v>62</v>
      </c>
      <c r="Z476" s="92"/>
      <c r="AA476" s="145" t="s">
        <v>205</v>
      </c>
      <c r="AB476" s="92"/>
      <c r="AC476" s="145" t="s">
        <v>205</v>
      </c>
      <c r="AD476" s="92"/>
      <c r="AE476" s="145" t="s">
        <v>205</v>
      </c>
      <c r="AF476" s="182" t="str">
        <f t="shared" si="21"/>
        <v>C</v>
      </c>
      <c r="AG476" s="54" t="str">
        <f t="shared" si="22"/>
        <v>UTILIZOU O PDA CORRETAMENTE</v>
      </c>
      <c r="AH476" s="145" t="s">
        <v>205</v>
      </c>
      <c r="AI476" s="192" t="s">
        <v>6</v>
      </c>
      <c r="AJ476" s="96" t="str">
        <f t="shared" si="23"/>
        <v>SÃO PAULO</v>
      </c>
      <c r="AK476" s="193" t="s">
        <v>39</v>
      </c>
    </row>
    <row r="477" spans="1:37" ht="30" customHeight="1">
      <c r="A477" s="215" t="s">
        <v>198</v>
      </c>
      <c r="B477" s="215">
        <v>2621774694</v>
      </c>
      <c r="C477" s="215" t="s">
        <v>107</v>
      </c>
      <c r="D477" s="215" t="s">
        <v>81</v>
      </c>
      <c r="E477" s="215" t="s">
        <v>5</v>
      </c>
      <c r="F477" s="215" t="s">
        <v>1292</v>
      </c>
      <c r="G477" s="215">
        <v>29</v>
      </c>
      <c r="H477" s="215" t="s">
        <v>200</v>
      </c>
      <c r="I477" s="215" t="s">
        <v>881</v>
      </c>
      <c r="J477" s="215" t="s">
        <v>322</v>
      </c>
      <c r="K477" s="215" t="s">
        <v>200</v>
      </c>
      <c r="L477" s="216">
        <v>46166.354861111111</v>
      </c>
      <c r="M477" s="216">
        <v>46166.375694444447</v>
      </c>
      <c r="N477" s="215" t="s">
        <v>326</v>
      </c>
      <c r="O477" s="157" t="s">
        <v>205</v>
      </c>
      <c r="P477" s="92"/>
      <c r="Q477" s="145" t="s">
        <v>205</v>
      </c>
      <c r="R477" s="92"/>
      <c r="S477" s="145" t="s">
        <v>205</v>
      </c>
      <c r="T477" s="92"/>
      <c r="U477" s="145" t="s">
        <v>205</v>
      </c>
      <c r="V477" s="92"/>
      <c r="W477" s="145" t="s">
        <v>205</v>
      </c>
      <c r="X477" s="92"/>
      <c r="Y477" s="145" t="s">
        <v>62</v>
      </c>
      <c r="Z477" s="92"/>
      <c r="AA477" s="145" t="s">
        <v>205</v>
      </c>
      <c r="AB477" s="92"/>
      <c r="AC477" s="145" t="s">
        <v>205</v>
      </c>
      <c r="AD477" s="92"/>
      <c r="AE477" s="145" t="s">
        <v>205</v>
      </c>
      <c r="AF477" s="182" t="str">
        <f t="shared" si="21"/>
        <v>C</v>
      </c>
      <c r="AG477" s="54" t="str">
        <f t="shared" si="22"/>
        <v>UTILIZOU O PDA CORRETAMENTE</v>
      </c>
      <c r="AH477" s="145" t="s">
        <v>205</v>
      </c>
      <c r="AI477" s="192" t="s">
        <v>6</v>
      </c>
      <c r="AJ477" s="96" t="str">
        <f t="shared" si="23"/>
        <v>SÃO PAULO</v>
      </c>
      <c r="AK477" s="193" t="s">
        <v>39</v>
      </c>
    </row>
    <row r="478" spans="1:37" ht="30" customHeight="1">
      <c r="A478" s="215" t="s">
        <v>198</v>
      </c>
      <c r="B478" s="215">
        <v>2621445082</v>
      </c>
      <c r="C478" s="215" t="s">
        <v>105</v>
      </c>
      <c r="D478" s="215" t="s">
        <v>81</v>
      </c>
      <c r="E478" s="215" t="s">
        <v>5</v>
      </c>
      <c r="F478" s="215" t="s">
        <v>1293</v>
      </c>
      <c r="G478" s="215">
        <v>140</v>
      </c>
      <c r="H478" s="215"/>
      <c r="I478" s="215" t="s">
        <v>1294</v>
      </c>
      <c r="J478" s="215" t="s">
        <v>350</v>
      </c>
      <c r="K478" s="215" t="s">
        <v>1295</v>
      </c>
      <c r="L478" s="216">
        <v>46166.565972222219</v>
      </c>
      <c r="M478" s="216">
        <v>46166.570833333331</v>
      </c>
      <c r="N478" s="215" t="s">
        <v>357</v>
      </c>
      <c r="O478" s="157" t="s">
        <v>205</v>
      </c>
      <c r="P478" s="92"/>
      <c r="Q478" s="145" t="s">
        <v>205</v>
      </c>
      <c r="R478" s="92"/>
      <c r="S478" s="145" t="s">
        <v>205</v>
      </c>
      <c r="T478" s="92"/>
      <c r="U478" s="145" t="s">
        <v>206</v>
      </c>
      <c r="V478" s="92"/>
      <c r="W478" s="145" t="s">
        <v>206</v>
      </c>
      <c r="X478" s="92"/>
      <c r="Y478" s="145" t="s">
        <v>62</v>
      </c>
      <c r="Z478" s="92"/>
      <c r="AA478" s="145" t="s">
        <v>206</v>
      </c>
      <c r="AB478" s="92"/>
      <c r="AC478" s="145" t="s">
        <v>206</v>
      </c>
      <c r="AD478" s="92"/>
      <c r="AE478" s="145" t="s">
        <v>205</v>
      </c>
      <c r="AF478" s="182" t="str">
        <f t="shared" si="21"/>
        <v>NC</v>
      </c>
      <c r="AG478" s="54" t="str">
        <f t="shared" si="22"/>
        <v>UTILIZOU O PDA CORRETAMENTE. NÃO HÁ FOTOS DE TODAS AS ETAPAS</v>
      </c>
      <c r="AH478" s="145" t="s">
        <v>205</v>
      </c>
      <c r="AI478" s="192" t="s">
        <v>6</v>
      </c>
      <c r="AJ478" s="96" t="str">
        <f t="shared" si="23"/>
        <v>SÃO PAULO</v>
      </c>
      <c r="AK478" s="193" t="s">
        <v>39</v>
      </c>
    </row>
    <row r="479" spans="1:37" ht="30" customHeight="1">
      <c r="A479" s="215" t="s">
        <v>198</v>
      </c>
      <c r="B479" s="215">
        <v>2621444033</v>
      </c>
      <c r="C479" s="215" t="s">
        <v>100</v>
      </c>
      <c r="D479" s="215" t="s">
        <v>81</v>
      </c>
      <c r="E479" s="215" t="s">
        <v>5</v>
      </c>
      <c r="F479" s="215" t="s">
        <v>1296</v>
      </c>
      <c r="G479" s="215">
        <v>116</v>
      </c>
      <c r="H479" s="215" t="s">
        <v>200</v>
      </c>
      <c r="I479" s="215" t="s">
        <v>1297</v>
      </c>
      <c r="J479" s="215" t="s">
        <v>243</v>
      </c>
      <c r="K479" s="215" t="s">
        <v>200</v>
      </c>
      <c r="L479" s="216">
        <v>46166.481249999997</v>
      </c>
      <c r="M479" s="216">
        <v>46166.482638888891</v>
      </c>
      <c r="N479" s="215" t="s">
        <v>235</v>
      </c>
      <c r="O479" s="157" t="s">
        <v>205</v>
      </c>
      <c r="P479" s="92"/>
      <c r="Q479" s="145" t="s">
        <v>205</v>
      </c>
      <c r="R479" s="92"/>
      <c r="S479" s="145" t="s">
        <v>205</v>
      </c>
      <c r="T479" s="92"/>
      <c r="U479" s="145" t="s">
        <v>205</v>
      </c>
      <c r="V479" s="92"/>
      <c r="W479" s="145" t="s">
        <v>205</v>
      </c>
      <c r="X479" s="92"/>
      <c r="Y479" s="145" t="s">
        <v>205</v>
      </c>
      <c r="Z479" s="92"/>
      <c r="AA479" s="145" t="s">
        <v>205</v>
      </c>
      <c r="AB479" s="92"/>
      <c r="AC479" s="145" t="s">
        <v>205</v>
      </c>
      <c r="AD479" s="92"/>
      <c r="AE479" s="145" t="s">
        <v>205</v>
      </c>
      <c r="AF479" s="182" t="str">
        <f t="shared" si="21"/>
        <v>C</v>
      </c>
      <c r="AG479" s="54" t="str">
        <f t="shared" si="22"/>
        <v>UTILIZOU O PDA CORRETAMENTE</v>
      </c>
      <c r="AH479" s="145" t="s">
        <v>205</v>
      </c>
      <c r="AI479" s="192" t="s">
        <v>6</v>
      </c>
      <c r="AJ479" s="96" t="str">
        <f t="shared" si="23"/>
        <v>SÃO PAULO</v>
      </c>
      <c r="AK479" s="193" t="s">
        <v>39</v>
      </c>
    </row>
    <row r="480" spans="1:37" ht="30" customHeight="1">
      <c r="A480" s="215" t="s">
        <v>198</v>
      </c>
      <c r="B480" s="215">
        <v>2621445190</v>
      </c>
      <c r="C480" s="215" t="s">
        <v>89</v>
      </c>
      <c r="D480" s="215" t="s">
        <v>78</v>
      </c>
      <c r="E480" s="215" t="s">
        <v>5</v>
      </c>
      <c r="F480" s="215" t="s">
        <v>517</v>
      </c>
      <c r="G480" s="215">
        <v>15</v>
      </c>
      <c r="H480" s="215" t="s">
        <v>1298</v>
      </c>
      <c r="I480" s="215" t="s">
        <v>593</v>
      </c>
      <c r="J480" s="215" t="s">
        <v>238</v>
      </c>
      <c r="K480" s="215" t="s">
        <v>1299</v>
      </c>
      <c r="L480" s="216">
        <v>46166.431944444441</v>
      </c>
      <c r="M480" s="216">
        <v>46166.432638888888</v>
      </c>
      <c r="N480" s="215" t="s">
        <v>248</v>
      </c>
      <c r="O480" s="157" t="s">
        <v>205</v>
      </c>
      <c r="P480" s="92"/>
      <c r="Q480" s="145" t="s">
        <v>205</v>
      </c>
      <c r="R480" s="92"/>
      <c r="S480" s="145" t="s">
        <v>205</v>
      </c>
      <c r="T480" s="92"/>
      <c r="U480" s="145" t="s">
        <v>206</v>
      </c>
      <c r="V480" s="92"/>
      <c r="W480" s="145" t="s">
        <v>206</v>
      </c>
      <c r="X480" s="92"/>
      <c r="Y480" s="145" t="s">
        <v>62</v>
      </c>
      <c r="Z480" s="92"/>
      <c r="AA480" s="145" t="s">
        <v>205</v>
      </c>
      <c r="AB480" s="92"/>
      <c r="AC480" s="145" t="s">
        <v>205</v>
      </c>
      <c r="AD480" s="92"/>
      <c r="AE480" s="145" t="s">
        <v>205</v>
      </c>
      <c r="AF480" s="182" t="str">
        <f t="shared" si="21"/>
        <v>NC</v>
      </c>
      <c r="AG480" s="54" t="str">
        <f t="shared" si="22"/>
        <v>UTILIZOU O PDA CORRETAMENTE. NÃO HÁ FOTOS DE TODAS AS ETAPAS</v>
      </c>
      <c r="AH480" s="145"/>
      <c r="AI480" s="192" t="s">
        <v>6</v>
      </c>
      <c r="AJ480" s="96" t="str">
        <f t="shared" si="23"/>
        <v>SÃO PAULO</v>
      </c>
      <c r="AK480" s="193" t="s">
        <v>39</v>
      </c>
    </row>
    <row r="481" spans="1:37" ht="30" customHeight="1">
      <c r="A481" s="215" t="s">
        <v>198</v>
      </c>
      <c r="B481" s="215">
        <v>2621773587</v>
      </c>
      <c r="C481" s="215" t="s">
        <v>99</v>
      </c>
      <c r="D481" s="215" t="s">
        <v>81</v>
      </c>
      <c r="E481" s="215" t="s">
        <v>5</v>
      </c>
      <c r="F481" s="215" t="s">
        <v>631</v>
      </c>
      <c r="G481" s="215">
        <v>717</v>
      </c>
      <c r="H481" s="215" t="s">
        <v>200</v>
      </c>
      <c r="I481" s="215" t="s">
        <v>397</v>
      </c>
      <c r="J481" s="215" t="s">
        <v>268</v>
      </c>
      <c r="K481" s="215" t="s">
        <v>1300</v>
      </c>
      <c r="L481" s="216">
        <v>46166.570833333331</v>
      </c>
      <c r="M481" s="216">
        <v>46166.572916666664</v>
      </c>
      <c r="N481" s="215" t="s">
        <v>341</v>
      </c>
      <c r="O481" s="157" t="s">
        <v>205</v>
      </c>
      <c r="P481" s="92"/>
      <c r="Q481" s="145" t="s">
        <v>205</v>
      </c>
      <c r="R481" s="92"/>
      <c r="S481" s="145" t="s">
        <v>206</v>
      </c>
      <c r="T481" s="92"/>
      <c r="U481" s="145" t="s">
        <v>205</v>
      </c>
      <c r="V481" s="92"/>
      <c r="W481" s="145" t="s">
        <v>205</v>
      </c>
      <c r="X481" s="92"/>
      <c r="Y481" s="145" t="s">
        <v>205</v>
      </c>
      <c r="Z481" s="92"/>
      <c r="AA481" s="145" t="s">
        <v>206</v>
      </c>
      <c r="AB481" s="92"/>
      <c r="AC481" s="145" t="s">
        <v>205</v>
      </c>
      <c r="AD481" s="92"/>
      <c r="AE481" s="145" t="s">
        <v>205</v>
      </c>
      <c r="AF481" s="182" t="str">
        <f t="shared" ref="AF481:AF502" si="24">IF(AND(O481="",Q481="",S481="",U481="",W481="",Y481="",AA481="",AC481=""),"",IF(OR(AND(O481&lt;&gt;"NA",O481&lt;&gt;"C",O481&lt;&gt;"NC",O481&lt;&gt;"SF",O481&lt;&gt;""),AND(Q481&lt;&gt;"NA",Q481&lt;&gt;"C",Q481&lt;&gt;"NC",Q481&lt;&gt;"SF",Q481&lt;&gt;""),AND(S481&lt;&gt;"NA",S481&lt;&gt;"C",S481&lt;&gt;"NC",S481&lt;&gt;"SF",S481&lt;&gt;""),AND(U481&lt;&gt;"NA",U481&lt;&gt;"C",U481&lt;&gt;"NC",U481&lt;&gt;"SF",U481&lt;&gt;""),AND(W481&lt;&gt;"NA",W481&lt;&gt;"C",W481&lt;&gt;"NC",W481&lt;&gt;"SF",W481&lt;&gt;""),AND(Y481&lt;&gt;"NA",Y481&lt;&gt;"C",Y481&lt;&gt;"NC",Y481&lt;&gt;"SF",Y481&lt;&gt;""),AND(AA481&lt;&gt;"NA",AA481&lt;&gt;"C",AA481&lt;&gt;"NC",AA481&lt;&gt;"SF",AA481&lt;&gt;""),AND(AC481&lt;&gt;"NA",AC481&lt;&gt;"C",AC481&lt;&gt;"NC",AC481&lt;&gt;"SF",AC481&lt;&gt;"")),"FALSO",IF(AND(O481="NA",Q481="NA",S481="NA",U481="NA",W481="NA",Y481="NA",AA481="NA",AC481="NA"),"NA",IF(OR(O481="NC",Q481="NC",S481="NC",U481="NC",W481="NC",Y481="NC",AA481="NC",AC481="NC",O481="SF",Q481="SF",S481="SF",U481="SF",W481="SF",Y481="SF",AA481="SF",AC481="SF"),"NC",IF(OR(O481="C",Q481="C",S481="C",U481="C",W481="C",Y481="C",AA481="C",AC481="C"),"C","")))))</f>
        <v>NC</v>
      </c>
      <c r="AG481" s="54" t="str">
        <f t="shared" ref="AG481:AG502" si="25">IF(AND(AE481="C",AF481="C"),"UTILIZOU O PDA CORRETAMENTE",IF(AND(AE481="C",AF481="NC"),"UTILIZOU O PDA CORRETAMENTE. NÃO HÁ FOTOS DE TODAS AS ETAPAS",IF(AND(AE481="NC",AF481="NC"),"NÃO UTILIZOU O PDA",IF(AND(AE481="NA",AF481="NA"),"NÃO AVALIADO POR FALHA DE SINCRONISMO"))))</f>
        <v>UTILIZOU O PDA CORRETAMENTE. NÃO HÁ FOTOS DE TODAS AS ETAPAS</v>
      </c>
      <c r="AH481" s="145" t="s">
        <v>205</v>
      </c>
      <c r="AI481" s="192" t="s">
        <v>6</v>
      </c>
      <c r="AJ481" s="96" t="str">
        <f t="shared" ref="AJ481:AJ502" si="26">E481</f>
        <v>SÃO PAULO</v>
      </c>
      <c r="AK481" s="193" t="s">
        <v>39</v>
      </c>
    </row>
    <row r="482" spans="1:37" ht="30" customHeight="1">
      <c r="A482" s="215" t="s">
        <v>198</v>
      </c>
      <c r="B482" s="215">
        <v>2694023021</v>
      </c>
      <c r="C482" s="215" t="s">
        <v>89</v>
      </c>
      <c r="D482" s="215" t="s">
        <v>78</v>
      </c>
      <c r="E482" s="215" t="s">
        <v>5</v>
      </c>
      <c r="F482" s="215" t="s">
        <v>1301</v>
      </c>
      <c r="G482" s="215">
        <v>94</v>
      </c>
      <c r="H482" s="215"/>
      <c r="I482" s="215" t="s">
        <v>366</v>
      </c>
      <c r="J482" s="215" t="s">
        <v>238</v>
      </c>
      <c r="K482" s="215" t="s">
        <v>1302</v>
      </c>
      <c r="L482" s="216">
        <v>46166.25</v>
      </c>
      <c r="M482" s="216">
        <v>46166.250694444447</v>
      </c>
      <c r="N482" s="215" t="s">
        <v>357</v>
      </c>
      <c r="O482" s="157" t="s">
        <v>205</v>
      </c>
      <c r="P482" s="92"/>
      <c r="Q482" s="145" t="s">
        <v>205</v>
      </c>
      <c r="R482" s="92"/>
      <c r="S482" s="145" t="s">
        <v>205</v>
      </c>
      <c r="T482" s="92"/>
      <c r="U482" s="145" t="s">
        <v>205</v>
      </c>
      <c r="V482" s="92"/>
      <c r="W482" s="145" t="s">
        <v>205</v>
      </c>
      <c r="X482" s="92"/>
      <c r="Y482" s="145" t="s">
        <v>62</v>
      </c>
      <c r="Z482" s="92"/>
      <c r="AA482" s="145" t="s">
        <v>205</v>
      </c>
      <c r="AB482" s="92"/>
      <c r="AC482" s="145" t="s">
        <v>205</v>
      </c>
      <c r="AD482" s="92"/>
      <c r="AE482" s="145" t="s">
        <v>205</v>
      </c>
      <c r="AF482" s="182" t="str">
        <f t="shared" si="24"/>
        <v>C</v>
      </c>
      <c r="AG482" s="54" t="str">
        <f t="shared" si="25"/>
        <v>UTILIZOU O PDA CORRETAMENTE</v>
      </c>
      <c r="AH482" s="145"/>
      <c r="AI482" s="192" t="s">
        <v>6</v>
      </c>
      <c r="AJ482" s="96" t="str">
        <f t="shared" si="26"/>
        <v>SÃO PAULO</v>
      </c>
      <c r="AK482" s="193" t="s">
        <v>39</v>
      </c>
    </row>
    <row r="483" spans="1:37" ht="30" customHeight="1">
      <c r="A483" s="228" t="s">
        <v>198</v>
      </c>
      <c r="B483" s="228">
        <v>2621648106</v>
      </c>
      <c r="C483" s="228" t="s">
        <v>100</v>
      </c>
      <c r="D483" s="228" t="s">
        <v>81</v>
      </c>
      <c r="E483" s="228" t="s">
        <v>5</v>
      </c>
      <c r="F483" s="228" t="s">
        <v>1303</v>
      </c>
      <c r="G483" s="228">
        <v>2534</v>
      </c>
      <c r="H483" s="228" t="s">
        <v>318</v>
      </c>
      <c r="I483" s="228" t="s">
        <v>346</v>
      </c>
      <c r="J483" s="228" t="s">
        <v>243</v>
      </c>
      <c r="K483" s="228" t="s">
        <v>1304</v>
      </c>
      <c r="L483" s="230">
        <v>46166.538888888892</v>
      </c>
      <c r="M483" s="230">
        <v>46166.541666666664</v>
      </c>
      <c r="N483" s="228" t="s">
        <v>248</v>
      </c>
      <c r="O483" s="238" t="s">
        <v>206</v>
      </c>
      <c r="P483" s="239"/>
      <c r="Q483" s="240" t="s">
        <v>206</v>
      </c>
      <c r="R483" s="239"/>
      <c r="S483" s="240" t="s">
        <v>206</v>
      </c>
      <c r="T483" s="239"/>
      <c r="U483" s="240" t="s">
        <v>206</v>
      </c>
      <c r="V483" s="239"/>
      <c r="W483" s="240" t="s">
        <v>206</v>
      </c>
      <c r="X483" s="239"/>
      <c r="Y483" s="240" t="s">
        <v>206</v>
      </c>
      <c r="Z483" s="239"/>
      <c r="AA483" s="240" t="s">
        <v>206</v>
      </c>
      <c r="AB483" s="239"/>
      <c r="AC483" s="240" t="s">
        <v>206</v>
      </c>
      <c r="AD483" s="239"/>
      <c r="AE483" s="240" t="s">
        <v>239</v>
      </c>
      <c r="AF483" s="338" t="str">
        <f t="shared" si="24"/>
        <v>NC</v>
      </c>
      <c r="AG483" s="339" t="str">
        <f t="shared" si="25"/>
        <v>NÃO UTILIZOU O PDA</v>
      </c>
      <c r="AH483" s="240" t="s">
        <v>205</v>
      </c>
      <c r="AI483" s="340" t="s">
        <v>6</v>
      </c>
      <c r="AJ483" s="341" t="str">
        <f t="shared" si="26"/>
        <v>SÃO PAULO</v>
      </c>
      <c r="AK483" s="342" t="s">
        <v>39</v>
      </c>
    </row>
    <row r="484" spans="1:37" s="337" customFormat="1" ht="30" customHeight="1">
      <c r="A484" s="228" t="s">
        <v>198</v>
      </c>
      <c r="B484" s="228">
        <v>2621458520</v>
      </c>
      <c r="C484" s="228" t="s">
        <v>207</v>
      </c>
      <c r="D484" s="228" t="s">
        <v>80</v>
      </c>
      <c r="E484" s="228" t="s">
        <v>5</v>
      </c>
      <c r="F484" s="228" t="s">
        <v>1271</v>
      </c>
      <c r="G484" s="228">
        <v>906</v>
      </c>
      <c r="H484" s="228"/>
      <c r="I484" s="228" t="s">
        <v>333</v>
      </c>
      <c r="J484" s="228" t="s">
        <v>210</v>
      </c>
      <c r="K484" s="228" t="s">
        <v>1305</v>
      </c>
      <c r="L484" s="230">
        <v>46166.25</v>
      </c>
      <c r="M484" s="230">
        <v>46166.250694444447</v>
      </c>
      <c r="N484" s="228" t="s">
        <v>204</v>
      </c>
      <c r="O484" s="143" t="s">
        <v>205</v>
      </c>
      <c r="P484" s="56"/>
      <c r="Q484" s="143" t="s">
        <v>205</v>
      </c>
      <c r="R484" s="56"/>
      <c r="S484" s="143" t="s">
        <v>205</v>
      </c>
      <c r="T484" s="56"/>
      <c r="U484" s="143" t="s">
        <v>205</v>
      </c>
      <c r="V484" s="56"/>
      <c r="W484" s="143" t="s">
        <v>205</v>
      </c>
      <c r="X484" s="56"/>
      <c r="Y484" s="143" t="s">
        <v>62</v>
      </c>
      <c r="Z484" s="56"/>
      <c r="AA484" s="143" t="s">
        <v>205</v>
      </c>
      <c r="AB484" s="56"/>
      <c r="AC484" s="143" t="s">
        <v>205</v>
      </c>
      <c r="AD484" s="56"/>
      <c r="AE484" s="143" t="s">
        <v>205</v>
      </c>
      <c r="AF484" s="335" t="str">
        <f t="shared" si="24"/>
        <v>C</v>
      </c>
      <c r="AG484" s="54" t="str">
        <f t="shared" si="25"/>
        <v>UTILIZOU O PDA CORRETAMENTE</v>
      </c>
      <c r="AH484" s="143" t="s">
        <v>205</v>
      </c>
      <c r="AI484" s="236" t="s">
        <v>6</v>
      </c>
      <c r="AJ484" s="236" t="str">
        <f t="shared" si="26"/>
        <v>SÃO PAULO</v>
      </c>
      <c r="AK484" s="336" t="s">
        <v>39</v>
      </c>
    </row>
    <row r="485" spans="1:37" ht="30" customHeight="1">
      <c r="A485" s="215" t="s">
        <v>198</v>
      </c>
      <c r="B485" s="215">
        <v>2621832018</v>
      </c>
      <c r="C485" s="215" t="s">
        <v>107</v>
      </c>
      <c r="D485" s="215" t="s">
        <v>81</v>
      </c>
      <c r="E485" s="215" t="s">
        <v>5</v>
      </c>
      <c r="F485" s="215" t="s">
        <v>1306</v>
      </c>
      <c r="G485" s="215">
        <v>7210</v>
      </c>
      <c r="H485" s="215" t="s">
        <v>200</v>
      </c>
      <c r="I485" s="215" t="s">
        <v>1307</v>
      </c>
      <c r="J485" s="215" t="s">
        <v>322</v>
      </c>
      <c r="K485" s="215" t="s">
        <v>1308</v>
      </c>
      <c r="L485" s="216">
        <v>46167.25</v>
      </c>
      <c r="M485" s="216">
        <v>46167.253472222219</v>
      </c>
      <c r="N485" s="215" t="s">
        <v>235</v>
      </c>
      <c r="O485" s="231" t="s">
        <v>205</v>
      </c>
      <c r="P485" s="225"/>
      <c r="Q485" s="224" t="s">
        <v>205</v>
      </c>
      <c r="R485" s="225"/>
      <c r="S485" s="224" t="s">
        <v>205</v>
      </c>
      <c r="T485" s="225"/>
      <c r="U485" s="224" t="s">
        <v>205</v>
      </c>
      <c r="V485" s="225"/>
      <c r="W485" s="224" t="s">
        <v>205</v>
      </c>
      <c r="X485" s="225"/>
      <c r="Y485" s="224" t="s">
        <v>62</v>
      </c>
      <c r="Z485" s="225"/>
      <c r="AA485" s="224" t="s">
        <v>205</v>
      </c>
      <c r="AB485" s="225"/>
      <c r="AC485" s="224" t="s">
        <v>205</v>
      </c>
      <c r="AD485" s="225"/>
      <c r="AE485" s="224" t="s">
        <v>205</v>
      </c>
      <c r="AF485" s="182" t="str">
        <f t="shared" si="24"/>
        <v>C</v>
      </c>
      <c r="AG485" s="343" t="str">
        <f t="shared" si="25"/>
        <v>UTILIZOU O PDA CORRETAMENTE</v>
      </c>
      <c r="AH485" s="224" t="s">
        <v>205</v>
      </c>
      <c r="AI485" s="344" t="s">
        <v>6</v>
      </c>
      <c r="AJ485" s="345" t="str">
        <f t="shared" si="26"/>
        <v>SÃO PAULO</v>
      </c>
      <c r="AK485" s="346" t="s">
        <v>39</v>
      </c>
    </row>
    <row r="486" spans="1:37" ht="30" customHeight="1">
      <c r="A486" s="215" t="s">
        <v>198</v>
      </c>
      <c r="B486" s="215">
        <v>2694057151</v>
      </c>
      <c r="C486" s="215" t="s">
        <v>107</v>
      </c>
      <c r="D486" s="215" t="s">
        <v>81</v>
      </c>
      <c r="E486" s="215" t="s">
        <v>5</v>
      </c>
      <c r="F486" s="215" t="s">
        <v>1309</v>
      </c>
      <c r="G486" s="215">
        <v>345</v>
      </c>
      <c r="H486" s="215" t="s">
        <v>226</v>
      </c>
      <c r="I486" s="215" t="s">
        <v>343</v>
      </c>
      <c r="J486" s="215" t="s">
        <v>268</v>
      </c>
      <c r="K486" s="215"/>
      <c r="L486" s="216">
        <v>46167.25</v>
      </c>
      <c r="M486" s="216">
        <v>46167.253472222219</v>
      </c>
      <c r="N486" s="215" t="s">
        <v>235</v>
      </c>
      <c r="O486" s="157" t="s">
        <v>205</v>
      </c>
      <c r="P486" s="92"/>
      <c r="Q486" s="145" t="s">
        <v>205</v>
      </c>
      <c r="R486" s="92"/>
      <c r="S486" s="145" t="s">
        <v>205</v>
      </c>
      <c r="T486" s="92"/>
      <c r="U486" s="145" t="s">
        <v>205</v>
      </c>
      <c r="V486" s="92"/>
      <c r="W486" s="145" t="s">
        <v>205</v>
      </c>
      <c r="X486" s="92"/>
      <c r="Y486" s="145" t="s">
        <v>205</v>
      </c>
      <c r="Z486" s="92"/>
      <c r="AA486" s="145" t="s">
        <v>205</v>
      </c>
      <c r="AB486" s="92"/>
      <c r="AC486" s="145" t="s">
        <v>205</v>
      </c>
      <c r="AD486" s="92"/>
      <c r="AE486" s="145" t="s">
        <v>205</v>
      </c>
      <c r="AF486" s="182" t="str">
        <f t="shared" si="24"/>
        <v>C</v>
      </c>
      <c r="AG486" s="54" t="str">
        <f t="shared" si="25"/>
        <v>UTILIZOU O PDA CORRETAMENTE</v>
      </c>
      <c r="AH486" s="145" t="s">
        <v>205</v>
      </c>
      <c r="AI486" s="192" t="s">
        <v>6</v>
      </c>
      <c r="AJ486" s="96" t="str">
        <f t="shared" si="26"/>
        <v>SÃO PAULO</v>
      </c>
      <c r="AK486" s="193" t="s">
        <v>39</v>
      </c>
    </row>
    <row r="487" spans="1:37" ht="30" customHeight="1">
      <c r="A487" s="215" t="s">
        <v>198</v>
      </c>
      <c r="B487" s="215">
        <v>2621835731</v>
      </c>
      <c r="C487" s="215" t="s">
        <v>103</v>
      </c>
      <c r="D487" s="215" t="s">
        <v>81</v>
      </c>
      <c r="E487" s="215" t="s">
        <v>5</v>
      </c>
      <c r="F487" s="215" t="s">
        <v>1310</v>
      </c>
      <c r="G487" s="215">
        <v>244</v>
      </c>
      <c r="H487" s="215" t="s">
        <v>200</v>
      </c>
      <c r="I487" s="215" t="s">
        <v>223</v>
      </c>
      <c r="J487" s="215" t="s">
        <v>322</v>
      </c>
      <c r="K487" s="215" t="s">
        <v>200</v>
      </c>
      <c r="L487" s="216">
        <v>46167.25</v>
      </c>
      <c r="M487" s="216">
        <v>46167.250694444447</v>
      </c>
      <c r="N487" s="215" t="s">
        <v>235</v>
      </c>
      <c r="O487" s="157" t="s">
        <v>205</v>
      </c>
      <c r="P487" s="92"/>
      <c r="Q487" s="145" t="s">
        <v>205</v>
      </c>
      <c r="R487" s="92"/>
      <c r="S487" s="145" t="s">
        <v>205</v>
      </c>
      <c r="T487" s="92"/>
      <c r="U487" s="145" t="s">
        <v>205</v>
      </c>
      <c r="V487" s="92"/>
      <c r="W487" s="145" t="s">
        <v>205</v>
      </c>
      <c r="X487" s="92"/>
      <c r="Y487" s="145" t="s">
        <v>62</v>
      </c>
      <c r="Z487" s="92"/>
      <c r="AA487" s="145" t="s">
        <v>205</v>
      </c>
      <c r="AB487" s="92"/>
      <c r="AC487" s="145" t="s">
        <v>205</v>
      </c>
      <c r="AD487" s="92"/>
      <c r="AE487" s="145" t="s">
        <v>205</v>
      </c>
      <c r="AF487" s="182" t="str">
        <f t="shared" si="24"/>
        <v>C</v>
      </c>
      <c r="AG487" s="54" t="str">
        <f t="shared" si="25"/>
        <v>UTILIZOU O PDA CORRETAMENTE</v>
      </c>
      <c r="AH487" s="145" t="s">
        <v>205</v>
      </c>
      <c r="AI487" s="192" t="s">
        <v>6</v>
      </c>
      <c r="AJ487" s="96" t="str">
        <f t="shared" si="26"/>
        <v>SÃO PAULO</v>
      </c>
      <c r="AK487" s="193" t="s">
        <v>39</v>
      </c>
    </row>
    <row r="488" spans="1:37" ht="30" customHeight="1">
      <c r="A488" s="215" t="s">
        <v>198</v>
      </c>
      <c r="B488" s="215">
        <v>2694055333</v>
      </c>
      <c r="C488" s="215" t="s">
        <v>103</v>
      </c>
      <c r="D488" s="215" t="s">
        <v>81</v>
      </c>
      <c r="E488" s="215" t="s">
        <v>5</v>
      </c>
      <c r="F488" s="215" t="s">
        <v>1311</v>
      </c>
      <c r="G488" s="215">
        <v>161</v>
      </c>
      <c r="H488" s="215"/>
      <c r="I488" s="215" t="s">
        <v>540</v>
      </c>
      <c r="J488" s="215" t="s">
        <v>322</v>
      </c>
      <c r="K488" s="215"/>
      <c r="L488" s="216">
        <v>46167.25</v>
      </c>
      <c r="M488" s="216">
        <v>46167.256944444445</v>
      </c>
      <c r="N488" s="215" t="s">
        <v>212</v>
      </c>
      <c r="O488" s="157" t="s">
        <v>205</v>
      </c>
      <c r="P488" s="92"/>
      <c r="Q488" s="145" t="s">
        <v>205</v>
      </c>
      <c r="R488" s="92"/>
      <c r="S488" s="145" t="s">
        <v>205</v>
      </c>
      <c r="T488" s="92"/>
      <c r="U488" s="145" t="s">
        <v>205</v>
      </c>
      <c r="V488" s="92"/>
      <c r="W488" s="145" t="s">
        <v>205</v>
      </c>
      <c r="X488" s="92"/>
      <c r="Y488" s="145" t="s">
        <v>62</v>
      </c>
      <c r="Z488" s="92"/>
      <c r="AA488" s="145" t="s">
        <v>205</v>
      </c>
      <c r="AB488" s="92"/>
      <c r="AC488" s="145" t="s">
        <v>205</v>
      </c>
      <c r="AD488" s="92"/>
      <c r="AE488" s="145" t="s">
        <v>205</v>
      </c>
      <c r="AF488" s="182" t="str">
        <f t="shared" si="24"/>
        <v>C</v>
      </c>
      <c r="AG488" s="54" t="str">
        <f t="shared" si="25"/>
        <v>UTILIZOU O PDA CORRETAMENTE</v>
      </c>
      <c r="AH488" s="145" t="s">
        <v>205</v>
      </c>
      <c r="AI488" s="192" t="s">
        <v>6</v>
      </c>
      <c r="AJ488" s="96" t="str">
        <f t="shared" si="26"/>
        <v>SÃO PAULO</v>
      </c>
      <c r="AK488" s="193" t="s">
        <v>39</v>
      </c>
    </row>
    <row r="489" spans="1:37" ht="30" customHeight="1">
      <c r="A489" s="215" t="s">
        <v>198</v>
      </c>
      <c r="B489" s="215">
        <v>2621505650</v>
      </c>
      <c r="C489" s="215" t="s">
        <v>86</v>
      </c>
      <c r="D489" s="215" t="s">
        <v>77</v>
      </c>
      <c r="E489" s="215" t="s">
        <v>5</v>
      </c>
      <c r="F489" s="215" t="s">
        <v>1312</v>
      </c>
      <c r="G489" s="215">
        <v>132</v>
      </c>
      <c r="H489" s="215" t="s">
        <v>387</v>
      </c>
      <c r="I489" s="215" t="s">
        <v>1313</v>
      </c>
      <c r="J489" s="215" t="s">
        <v>86</v>
      </c>
      <c r="K489" s="215" t="s">
        <v>200</v>
      </c>
      <c r="L489" s="216">
        <v>46167.413194444445</v>
      </c>
      <c r="M489" s="216">
        <v>46167.768055555556</v>
      </c>
      <c r="N489" s="215" t="s">
        <v>310</v>
      </c>
      <c r="O489" s="157" t="s">
        <v>205</v>
      </c>
      <c r="P489" s="92"/>
      <c r="Q489" s="145" t="s">
        <v>205</v>
      </c>
      <c r="R489" s="92"/>
      <c r="S489" s="145" t="s">
        <v>205</v>
      </c>
      <c r="T489" s="92"/>
      <c r="U489" s="145" t="s">
        <v>205</v>
      </c>
      <c r="V489" s="92"/>
      <c r="W489" s="145" t="s">
        <v>205</v>
      </c>
      <c r="X489" s="92"/>
      <c r="Y489" s="145" t="s">
        <v>205</v>
      </c>
      <c r="Z489" s="92"/>
      <c r="AA489" s="145" t="s">
        <v>205</v>
      </c>
      <c r="AB489" s="92"/>
      <c r="AC489" s="145" t="s">
        <v>205</v>
      </c>
      <c r="AD489" s="92"/>
      <c r="AE489" s="145" t="s">
        <v>205</v>
      </c>
      <c r="AF489" s="182" t="str">
        <f t="shared" si="24"/>
        <v>C</v>
      </c>
      <c r="AG489" s="54" t="str">
        <f t="shared" si="25"/>
        <v>UTILIZOU O PDA CORRETAMENTE</v>
      </c>
      <c r="AH489" s="145" t="s">
        <v>205</v>
      </c>
      <c r="AI489" s="192" t="s">
        <v>6</v>
      </c>
      <c r="AJ489" s="96" t="str">
        <f t="shared" si="26"/>
        <v>SÃO PAULO</v>
      </c>
      <c r="AK489" s="193" t="s">
        <v>39</v>
      </c>
    </row>
    <row r="490" spans="1:37" ht="30" customHeight="1">
      <c r="A490" s="215" t="s">
        <v>198</v>
      </c>
      <c r="B490" s="215">
        <v>2621657339</v>
      </c>
      <c r="C490" s="215" t="s">
        <v>105</v>
      </c>
      <c r="D490" s="215" t="s">
        <v>81</v>
      </c>
      <c r="E490" s="215" t="s">
        <v>5</v>
      </c>
      <c r="F490" s="215" t="s">
        <v>1314</v>
      </c>
      <c r="G490" s="215">
        <v>34</v>
      </c>
      <c r="H490" s="215" t="s">
        <v>387</v>
      </c>
      <c r="I490" s="215" t="s">
        <v>497</v>
      </c>
      <c r="J490" s="215" t="s">
        <v>536</v>
      </c>
      <c r="K490" s="215" t="s">
        <v>1315</v>
      </c>
      <c r="L490" s="216">
        <v>46167.552083333336</v>
      </c>
      <c r="M490" s="216">
        <v>46167.553472222222</v>
      </c>
      <c r="N490" s="215" t="s">
        <v>357</v>
      </c>
      <c r="O490" s="157" t="s">
        <v>205</v>
      </c>
      <c r="P490" s="92"/>
      <c r="Q490" s="145" t="s">
        <v>205</v>
      </c>
      <c r="R490" s="92"/>
      <c r="S490" s="145" t="s">
        <v>205</v>
      </c>
      <c r="T490" s="92"/>
      <c r="U490" s="145" t="s">
        <v>205</v>
      </c>
      <c r="V490" s="92"/>
      <c r="W490" s="145" t="s">
        <v>205</v>
      </c>
      <c r="X490" s="92"/>
      <c r="Y490" s="145" t="s">
        <v>62</v>
      </c>
      <c r="Z490" s="92"/>
      <c r="AA490" s="145" t="s">
        <v>205</v>
      </c>
      <c r="AB490" s="92"/>
      <c r="AC490" s="145" t="s">
        <v>205</v>
      </c>
      <c r="AD490" s="92"/>
      <c r="AE490" s="145" t="s">
        <v>205</v>
      </c>
      <c r="AF490" s="182" t="str">
        <f t="shared" si="24"/>
        <v>C</v>
      </c>
      <c r="AG490" s="54" t="str">
        <f t="shared" si="25"/>
        <v>UTILIZOU O PDA CORRETAMENTE</v>
      </c>
      <c r="AH490" s="145" t="s">
        <v>205</v>
      </c>
      <c r="AI490" s="192" t="s">
        <v>6</v>
      </c>
      <c r="AJ490" s="96" t="str">
        <f t="shared" si="26"/>
        <v>SÃO PAULO</v>
      </c>
      <c r="AK490" s="193" t="s">
        <v>39</v>
      </c>
    </row>
    <row r="491" spans="1:37" ht="30" customHeight="1">
      <c r="A491" s="215" t="s">
        <v>198</v>
      </c>
      <c r="B491" s="215">
        <v>2621781556</v>
      </c>
      <c r="C491" s="215" t="s">
        <v>105</v>
      </c>
      <c r="D491" s="215" t="s">
        <v>81</v>
      </c>
      <c r="E491" s="215" t="s">
        <v>5</v>
      </c>
      <c r="F491" s="215" t="s">
        <v>1316</v>
      </c>
      <c r="G491" s="215">
        <v>326</v>
      </c>
      <c r="H491" s="215" t="s">
        <v>387</v>
      </c>
      <c r="I491" s="215" t="s">
        <v>1317</v>
      </c>
      <c r="J491" s="215" t="s">
        <v>536</v>
      </c>
      <c r="K491" s="215" t="s">
        <v>1318</v>
      </c>
      <c r="L491" s="216">
        <v>46167.681250000001</v>
      </c>
      <c r="M491" s="216">
        <v>46167.683333333334</v>
      </c>
      <c r="N491" s="215" t="s">
        <v>254</v>
      </c>
      <c r="O491" s="157" t="s">
        <v>239</v>
      </c>
      <c r="P491" s="92" t="s">
        <v>303</v>
      </c>
      <c r="Q491" s="145" t="s">
        <v>239</v>
      </c>
      <c r="R491" s="92" t="s">
        <v>303</v>
      </c>
      <c r="S491" s="145" t="s">
        <v>239</v>
      </c>
      <c r="T491" s="92" t="s">
        <v>303</v>
      </c>
      <c r="U491" s="145" t="s">
        <v>239</v>
      </c>
      <c r="V491" s="92" t="s">
        <v>303</v>
      </c>
      <c r="W491" s="145" t="s">
        <v>239</v>
      </c>
      <c r="X491" s="92" t="s">
        <v>303</v>
      </c>
      <c r="Y491" s="145" t="s">
        <v>239</v>
      </c>
      <c r="Z491" s="92" t="s">
        <v>303</v>
      </c>
      <c r="AA491" s="145" t="s">
        <v>239</v>
      </c>
      <c r="AB491" s="92" t="s">
        <v>303</v>
      </c>
      <c r="AC491" s="145" t="s">
        <v>239</v>
      </c>
      <c r="AD491" s="92" t="s">
        <v>303</v>
      </c>
      <c r="AE491" s="145" t="s">
        <v>239</v>
      </c>
      <c r="AF491" s="182" t="str">
        <f t="shared" si="24"/>
        <v>NC</v>
      </c>
      <c r="AG491" s="54" t="str">
        <f t="shared" si="25"/>
        <v>NÃO UTILIZOU O PDA</v>
      </c>
      <c r="AH491" s="145"/>
      <c r="AI491" s="192" t="s">
        <v>6</v>
      </c>
      <c r="AJ491" s="96" t="str">
        <f t="shared" si="26"/>
        <v>SÃO PAULO</v>
      </c>
      <c r="AK491" s="193" t="s">
        <v>39</v>
      </c>
    </row>
    <row r="492" spans="1:37" ht="30" customHeight="1">
      <c r="A492" s="215" t="s">
        <v>198</v>
      </c>
      <c r="B492" s="215">
        <v>2621835523</v>
      </c>
      <c r="C492" s="215" t="s">
        <v>106</v>
      </c>
      <c r="D492" s="215" t="s">
        <v>81</v>
      </c>
      <c r="E492" s="215" t="s">
        <v>5</v>
      </c>
      <c r="F492" s="215" t="s">
        <v>1319</v>
      </c>
      <c r="G492" s="215">
        <v>155</v>
      </c>
      <c r="H492" s="215" t="s">
        <v>387</v>
      </c>
      <c r="I492" s="215" t="s">
        <v>232</v>
      </c>
      <c r="J492" s="215" t="s">
        <v>350</v>
      </c>
      <c r="K492" s="215"/>
      <c r="L492" s="216">
        <v>46167.25</v>
      </c>
      <c r="M492" s="216">
        <v>46167.250694444447</v>
      </c>
      <c r="N492" s="215" t="s">
        <v>341</v>
      </c>
      <c r="O492" s="157" t="s">
        <v>62</v>
      </c>
      <c r="P492" s="92"/>
      <c r="Q492" s="145" t="s">
        <v>62</v>
      </c>
      <c r="R492" s="92"/>
      <c r="S492" s="145" t="s">
        <v>62</v>
      </c>
      <c r="T492" s="92"/>
      <c r="U492" s="145" t="s">
        <v>62</v>
      </c>
      <c r="V492" s="92"/>
      <c r="W492" s="145" t="s">
        <v>62</v>
      </c>
      <c r="X492" s="92"/>
      <c r="Y492" s="145" t="s">
        <v>62</v>
      </c>
      <c r="Z492" s="92"/>
      <c r="AA492" s="145" t="s">
        <v>62</v>
      </c>
      <c r="AB492" s="92"/>
      <c r="AC492" s="145" t="s">
        <v>62</v>
      </c>
      <c r="AD492" s="92"/>
      <c r="AE492" s="145" t="s">
        <v>62</v>
      </c>
      <c r="AF492" s="182" t="str">
        <f t="shared" si="24"/>
        <v>NA</v>
      </c>
      <c r="AG492" s="54" t="str">
        <f t="shared" si="25"/>
        <v>NÃO AVALIADO POR FALHA DE SINCRONISMO</v>
      </c>
      <c r="AH492" s="145" t="s">
        <v>205</v>
      </c>
      <c r="AI492" s="192" t="s">
        <v>6</v>
      </c>
      <c r="AJ492" s="96" t="str">
        <f t="shared" si="26"/>
        <v>SÃO PAULO</v>
      </c>
      <c r="AK492" s="193" t="s">
        <v>39</v>
      </c>
    </row>
    <row r="493" spans="1:37" ht="30" customHeight="1">
      <c r="A493" s="215" t="s">
        <v>198</v>
      </c>
      <c r="B493" s="215">
        <v>2621857392</v>
      </c>
      <c r="C493" s="215" t="s">
        <v>85</v>
      </c>
      <c r="D493" s="215" t="s">
        <v>80</v>
      </c>
      <c r="E493" s="215" t="s">
        <v>5</v>
      </c>
      <c r="F493" s="215" t="s">
        <v>1293</v>
      </c>
      <c r="G493" s="215">
        <v>138</v>
      </c>
      <c r="H493" s="215" t="s">
        <v>200</v>
      </c>
      <c r="I493" s="215" t="s">
        <v>1320</v>
      </c>
      <c r="J493" s="215" t="s">
        <v>202</v>
      </c>
      <c r="K493" s="215" t="s">
        <v>1321</v>
      </c>
      <c r="L493" s="216">
        <v>46167.532638888886</v>
      </c>
      <c r="M493" s="216">
        <v>46167.536111111112</v>
      </c>
      <c r="N493" s="215" t="s">
        <v>357</v>
      </c>
      <c r="O493" s="157" t="s">
        <v>205</v>
      </c>
      <c r="P493" s="92"/>
      <c r="Q493" s="145" t="s">
        <v>205</v>
      </c>
      <c r="R493" s="92"/>
      <c r="S493" s="145" t="s">
        <v>205</v>
      </c>
      <c r="T493" s="92"/>
      <c r="U493" s="145" t="s">
        <v>206</v>
      </c>
      <c r="V493" s="92"/>
      <c r="W493" s="145" t="s">
        <v>206</v>
      </c>
      <c r="X493" s="92"/>
      <c r="Y493" s="145" t="s">
        <v>62</v>
      </c>
      <c r="Z493" s="92"/>
      <c r="AA493" s="145" t="s">
        <v>206</v>
      </c>
      <c r="AB493" s="92"/>
      <c r="AC493" s="145" t="s">
        <v>206</v>
      </c>
      <c r="AD493" s="92"/>
      <c r="AE493" s="145" t="s">
        <v>205</v>
      </c>
      <c r="AF493" s="182" t="str">
        <f t="shared" si="24"/>
        <v>NC</v>
      </c>
      <c r="AG493" s="54" t="str">
        <f t="shared" si="25"/>
        <v>UTILIZOU O PDA CORRETAMENTE. NÃO HÁ FOTOS DE TODAS AS ETAPAS</v>
      </c>
      <c r="AH493" s="145" t="s">
        <v>205</v>
      </c>
      <c r="AI493" s="192" t="s">
        <v>6</v>
      </c>
      <c r="AJ493" s="96" t="str">
        <f t="shared" si="26"/>
        <v>SÃO PAULO</v>
      </c>
      <c r="AK493" s="193" t="s">
        <v>39</v>
      </c>
    </row>
    <row r="494" spans="1:37" ht="30" customHeight="1">
      <c r="A494" s="215" t="s">
        <v>198</v>
      </c>
      <c r="B494" s="215">
        <v>2621669066</v>
      </c>
      <c r="C494" s="215" t="s">
        <v>584</v>
      </c>
      <c r="D494" s="215" t="s">
        <v>80</v>
      </c>
      <c r="E494" s="215" t="s">
        <v>5</v>
      </c>
      <c r="F494" s="215" t="s">
        <v>1293</v>
      </c>
      <c r="G494" s="215">
        <v>140</v>
      </c>
      <c r="H494" s="215"/>
      <c r="I494" s="215" t="s">
        <v>1294</v>
      </c>
      <c r="J494" s="215" t="s">
        <v>586</v>
      </c>
      <c r="K494" s="215" t="s">
        <v>1322</v>
      </c>
      <c r="L494" s="216">
        <v>46167.530555555553</v>
      </c>
      <c r="M494" s="216">
        <v>46167.533333333333</v>
      </c>
      <c r="N494" s="215" t="s">
        <v>357</v>
      </c>
      <c r="O494" s="157" t="s">
        <v>205</v>
      </c>
      <c r="P494" s="92"/>
      <c r="Q494" s="145" t="s">
        <v>205</v>
      </c>
      <c r="R494" s="92"/>
      <c r="S494" s="145" t="s">
        <v>205</v>
      </c>
      <c r="T494" s="92"/>
      <c r="U494" s="145" t="s">
        <v>206</v>
      </c>
      <c r="V494" s="92"/>
      <c r="W494" s="145" t="s">
        <v>206</v>
      </c>
      <c r="X494" s="92"/>
      <c r="Y494" s="145" t="s">
        <v>62</v>
      </c>
      <c r="Z494" s="92"/>
      <c r="AA494" s="145" t="s">
        <v>206</v>
      </c>
      <c r="AB494" s="92"/>
      <c r="AC494" s="145" t="s">
        <v>206</v>
      </c>
      <c r="AD494" s="92"/>
      <c r="AE494" s="145" t="s">
        <v>205</v>
      </c>
      <c r="AF494" s="182" t="str">
        <f t="shared" si="24"/>
        <v>NC</v>
      </c>
      <c r="AG494" s="54" t="str">
        <f t="shared" si="25"/>
        <v>UTILIZOU O PDA CORRETAMENTE. NÃO HÁ FOTOS DE TODAS AS ETAPAS</v>
      </c>
      <c r="AH494" s="145" t="s">
        <v>205</v>
      </c>
      <c r="AI494" s="192" t="s">
        <v>6</v>
      </c>
      <c r="AJ494" s="96" t="str">
        <f t="shared" si="26"/>
        <v>SÃO PAULO</v>
      </c>
      <c r="AK494" s="193" t="s">
        <v>39</v>
      </c>
    </row>
    <row r="495" spans="1:37" ht="30" customHeight="1">
      <c r="A495" s="215" t="s">
        <v>198</v>
      </c>
      <c r="B495" s="215">
        <v>2621494831</v>
      </c>
      <c r="C495" s="215" t="s">
        <v>105</v>
      </c>
      <c r="D495" s="215" t="s">
        <v>81</v>
      </c>
      <c r="E495" s="215" t="s">
        <v>5</v>
      </c>
      <c r="F495" s="215" t="s">
        <v>1323</v>
      </c>
      <c r="G495" s="215">
        <v>1132</v>
      </c>
      <c r="H495" s="215" t="s">
        <v>200</v>
      </c>
      <c r="I495" s="215" t="s">
        <v>565</v>
      </c>
      <c r="J495" s="215" t="s">
        <v>536</v>
      </c>
      <c r="K495" s="215" t="s">
        <v>200</v>
      </c>
      <c r="L495" s="216">
        <v>46167.25</v>
      </c>
      <c r="M495" s="216">
        <v>46167.250694444447</v>
      </c>
      <c r="N495" s="215" t="s">
        <v>230</v>
      </c>
      <c r="O495" s="157" t="s">
        <v>205</v>
      </c>
      <c r="P495" s="92"/>
      <c r="Q495" s="145" t="s">
        <v>205</v>
      </c>
      <c r="R495" s="92"/>
      <c r="S495" s="145" t="s">
        <v>205</v>
      </c>
      <c r="T495" s="92"/>
      <c r="U495" s="145" t="s">
        <v>205</v>
      </c>
      <c r="V495" s="92"/>
      <c r="W495" s="145" t="s">
        <v>62</v>
      </c>
      <c r="X495" s="92"/>
      <c r="Y495" s="145" t="s">
        <v>62</v>
      </c>
      <c r="Z495" s="92"/>
      <c r="AA495" s="145" t="s">
        <v>205</v>
      </c>
      <c r="AB495" s="92"/>
      <c r="AC495" s="145" t="s">
        <v>205</v>
      </c>
      <c r="AD495" s="92"/>
      <c r="AE495" s="145" t="s">
        <v>205</v>
      </c>
      <c r="AF495" s="182" t="str">
        <f t="shared" si="24"/>
        <v>C</v>
      </c>
      <c r="AG495" s="54" t="str">
        <f t="shared" si="25"/>
        <v>UTILIZOU O PDA CORRETAMENTE</v>
      </c>
      <c r="AH495" s="145" t="s">
        <v>205</v>
      </c>
      <c r="AI495" s="192" t="s">
        <v>6</v>
      </c>
      <c r="AJ495" s="96" t="str">
        <f t="shared" si="26"/>
        <v>SÃO PAULO</v>
      </c>
      <c r="AK495" s="193" t="s">
        <v>39</v>
      </c>
    </row>
    <row r="496" spans="1:37" ht="30" customHeight="1">
      <c r="A496" s="215" t="s">
        <v>198</v>
      </c>
      <c r="B496" s="215">
        <v>2621648545</v>
      </c>
      <c r="C496" s="215" t="s">
        <v>99</v>
      </c>
      <c r="D496" s="215" t="s">
        <v>81</v>
      </c>
      <c r="E496" s="215" t="s">
        <v>5</v>
      </c>
      <c r="F496" s="215" t="s">
        <v>695</v>
      </c>
      <c r="G496" s="215">
        <v>774</v>
      </c>
      <c r="H496" s="215"/>
      <c r="I496" s="215" t="s">
        <v>274</v>
      </c>
      <c r="J496" s="215" t="s">
        <v>268</v>
      </c>
      <c r="K496" s="215"/>
      <c r="L496" s="216">
        <v>46167.525694444441</v>
      </c>
      <c r="M496" s="216">
        <v>46167.531944444447</v>
      </c>
      <c r="N496" s="215" t="s">
        <v>221</v>
      </c>
      <c r="O496" s="157" t="s">
        <v>206</v>
      </c>
      <c r="P496" s="92"/>
      <c r="Q496" s="145" t="s">
        <v>206</v>
      </c>
      <c r="R496" s="92"/>
      <c r="S496" s="145" t="s">
        <v>206</v>
      </c>
      <c r="T496" s="92"/>
      <c r="U496" s="145" t="s">
        <v>206</v>
      </c>
      <c r="V496" s="92"/>
      <c r="W496" s="145" t="s">
        <v>206</v>
      </c>
      <c r="X496" s="92"/>
      <c r="Y496" s="145" t="s">
        <v>206</v>
      </c>
      <c r="Z496" s="92"/>
      <c r="AA496" s="145" t="s">
        <v>206</v>
      </c>
      <c r="AB496" s="92"/>
      <c r="AC496" s="145" t="s">
        <v>205</v>
      </c>
      <c r="AD496" s="92"/>
      <c r="AE496" s="145" t="s">
        <v>205</v>
      </c>
      <c r="AF496" s="182" t="str">
        <f t="shared" si="24"/>
        <v>NC</v>
      </c>
      <c r="AG496" s="54" t="str">
        <f t="shared" si="25"/>
        <v>UTILIZOU O PDA CORRETAMENTE. NÃO HÁ FOTOS DE TODAS AS ETAPAS</v>
      </c>
      <c r="AH496" s="145" t="s">
        <v>205</v>
      </c>
      <c r="AI496" s="192" t="s">
        <v>6</v>
      </c>
      <c r="AJ496" s="96" t="str">
        <f t="shared" si="26"/>
        <v>SÃO PAULO</v>
      </c>
      <c r="AK496" s="193" t="s">
        <v>39</v>
      </c>
    </row>
    <row r="497" spans="1:37" ht="30" customHeight="1">
      <c r="A497" s="215" t="s">
        <v>198</v>
      </c>
      <c r="B497" s="215">
        <v>2621773339</v>
      </c>
      <c r="C497" s="215" t="s">
        <v>100</v>
      </c>
      <c r="D497" s="215" t="s">
        <v>81</v>
      </c>
      <c r="E497" s="215" t="s">
        <v>5</v>
      </c>
      <c r="F497" s="215" t="s">
        <v>1324</v>
      </c>
      <c r="G497" s="215">
        <v>301</v>
      </c>
      <c r="H497" s="215" t="s">
        <v>200</v>
      </c>
      <c r="I497" s="215" t="s">
        <v>470</v>
      </c>
      <c r="J497" s="215" t="s">
        <v>243</v>
      </c>
      <c r="K497" s="215" t="s">
        <v>1325</v>
      </c>
      <c r="L497" s="216">
        <v>46167.536111111112</v>
      </c>
      <c r="M497" s="216">
        <v>46167.538194444445</v>
      </c>
      <c r="N497" s="215" t="s">
        <v>248</v>
      </c>
      <c r="O497" s="157" t="s">
        <v>206</v>
      </c>
      <c r="P497" s="92"/>
      <c r="Q497" s="145" t="s">
        <v>206</v>
      </c>
      <c r="R497" s="92"/>
      <c r="S497" s="145" t="s">
        <v>206</v>
      </c>
      <c r="T497" s="92"/>
      <c r="U497" s="145" t="s">
        <v>206</v>
      </c>
      <c r="V497" s="92"/>
      <c r="W497" s="145" t="s">
        <v>206</v>
      </c>
      <c r="X497" s="92"/>
      <c r="Y497" s="145" t="s">
        <v>206</v>
      </c>
      <c r="Z497" s="92"/>
      <c r="AA497" s="145" t="s">
        <v>206</v>
      </c>
      <c r="AB497" s="92"/>
      <c r="AC497" s="145" t="s">
        <v>206</v>
      </c>
      <c r="AD497" s="92"/>
      <c r="AE497" s="145" t="s">
        <v>239</v>
      </c>
      <c r="AF497" s="182" t="str">
        <f t="shared" si="24"/>
        <v>NC</v>
      </c>
      <c r="AG497" s="54" t="str">
        <f t="shared" si="25"/>
        <v>NÃO UTILIZOU O PDA</v>
      </c>
      <c r="AH497" s="145" t="s">
        <v>205</v>
      </c>
      <c r="AI497" s="192" t="s">
        <v>6</v>
      </c>
      <c r="AJ497" s="96" t="str">
        <f t="shared" si="26"/>
        <v>SÃO PAULO</v>
      </c>
      <c r="AK497" s="193" t="s">
        <v>39</v>
      </c>
    </row>
    <row r="498" spans="1:37" ht="30" customHeight="1">
      <c r="A498" s="215" t="s">
        <v>198</v>
      </c>
      <c r="B498" s="215">
        <v>2694088177</v>
      </c>
      <c r="C498" s="215" t="s">
        <v>89</v>
      </c>
      <c r="D498" s="215" t="s">
        <v>78</v>
      </c>
      <c r="E498" s="215" t="s">
        <v>5</v>
      </c>
      <c r="F498" s="215" t="s">
        <v>1326</v>
      </c>
      <c r="G498" s="215">
        <v>292</v>
      </c>
      <c r="H498" s="215" t="s">
        <v>200</v>
      </c>
      <c r="I498" s="215" t="s">
        <v>497</v>
      </c>
      <c r="J498" s="215" t="s">
        <v>238</v>
      </c>
      <c r="K498" s="215" t="s">
        <v>200</v>
      </c>
      <c r="L498" s="216">
        <v>46167.609027777777</v>
      </c>
      <c r="M498" s="216">
        <v>46167.609722222223</v>
      </c>
      <c r="N498" s="215" t="s">
        <v>357</v>
      </c>
      <c r="O498" s="157" t="s">
        <v>205</v>
      </c>
      <c r="P498" s="92"/>
      <c r="Q498" s="145" t="s">
        <v>205</v>
      </c>
      <c r="R498" s="92"/>
      <c r="S498" s="145" t="s">
        <v>205</v>
      </c>
      <c r="T498" s="92"/>
      <c r="U498" s="145" t="s">
        <v>205</v>
      </c>
      <c r="V498" s="92"/>
      <c r="W498" s="145" t="s">
        <v>205</v>
      </c>
      <c r="X498" s="92"/>
      <c r="Y498" s="145" t="s">
        <v>62</v>
      </c>
      <c r="Z498" s="92"/>
      <c r="AA498" s="145" t="s">
        <v>205</v>
      </c>
      <c r="AB498" s="92"/>
      <c r="AC498" s="145" t="s">
        <v>205</v>
      </c>
      <c r="AD498" s="92"/>
      <c r="AE498" s="145" t="s">
        <v>205</v>
      </c>
      <c r="AF498" s="182" t="str">
        <f t="shared" si="24"/>
        <v>C</v>
      </c>
      <c r="AG498" s="54" t="str">
        <f t="shared" si="25"/>
        <v>UTILIZOU O PDA CORRETAMENTE</v>
      </c>
      <c r="AH498" s="145" t="s">
        <v>205</v>
      </c>
      <c r="AI498" s="192" t="s">
        <v>6</v>
      </c>
      <c r="AJ498" s="96" t="str">
        <f t="shared" si="26"/>
        <v>SÃO PAULO</v>
      </c>
      <c r="AK498" s="193" t="s">
        <v>39</v>
      </c>
    </row>
    <row r="499" spans="1:37" ht="30" customHeight="1">
      <c r="A499" s="215" t="s">
        <v>198</v>
      </c>
      <c r="B499" s="215">
        <v>2621836455</v>
      </c>
      <c r="C499" s="215" t="s">
        <v>107</v>
      </c>
      <c r="D499" s="215" t="s">
        <v>81</v>
      </c>
      <c r="E499" s="215" t="s">
        <v>5</v>
      </c>
      <c r="F499" s="215" t="s">
        <v>1327</v>
      </c>
      <c r="G499" s="215">
        <v>543</v>
      </c>
      <c r="H499" s="215"/>
      <c r="I499" s="215" t="s">
        <v>1227</v>
      </c>
      <c r="J499" s="215" t="s">
        <v>322</v>
      </c>
      <c r="K499" s="215" t="s">
        <v>1328</v>
      </c>
      <c r="L499" s="216">
        <v>46167.624305555553</v>
      </c>
      <c r="M499" s="216">
        <v>46167.627083333333</v>
      </c>
      <c r="N499" s="215" t="s">
        <v>326</v>
      </c>
      <c r="O499" s="157" t="s">
        <v>205</v>
      </c>
      <c r="P499" s="92"/>
      <c r="Q499" s="145" t="s">
        <v>205</v>
      </c>
      <c r="R499" s="92"/>
      <c r="S499" s="145" t="s">
        <v>205</v>
      </c>
      <c r="T499" s="92"/>
      <c r="U499" s="145" t="s">
        <v>205</v>
      </c>
      <c r="V499" s="92"/>
      <c r="W499" s="145" t="s">
        <v>205</v>
      </c>
      <c r="X499" s="92"/>
      <c r="Y499" s="145" t="s">
        <v>62</v>
      </c>
      <c r="Z499" s="92"/>
      <c r="AA499" s="145" t="s">
        <v>205</v>
      </c>
      <c r="AB499" s="92"/>
      <c r="AC499" s="145" t="s">
        <v>205</v>
      </c>
      <c r="AD499" s="92"/>
      <c r="AE499" s="145" t="s">
        <v>205</v>
      </c>
      <c r="AF499" s="182" t="str">
        <f t="shared" si="24"/>
        <v>C</v>
      </c>
      <c r="AG499" s="54" t="str">
        <f t="shared" si="25"/>
        <v>UTILIZOU O PDA CORRETAMENTE</v>
      </c>
      <c r="AH499" s="145" t="s">
        <v>205</v>
      </c>
      <c r="AI499" s="192" t="s">
        <v>6</v>
      </c>
      <c r="AJ499" s="96" t="str">
        <f t="shared" si="26"/>
        <v>SÃO PAULO</v>
      </c>
      <c r="AK499" s="193" t="s">
        <v>39</v>
      </c>
    </row>
    <row r="500" spans="1:37" ht="30" customHeight="1">
      <c r="A500" s="215" t="s">
        <v>198</v>
      </c>
      <c r="B500" s="215">
        <v>2621876463</v>
      </c>
      <c r="C500" s="215" t="s">
        <v>107</v>
      </c>
      <c r="D500" s="215" t="s">
        <v>81</v>
      </c>
      <c r="E500" s="215" t="s">
        <v>5</v>
      </c>
      <c r="F500" s="215" t="s">
        <v>1081</v>
      </c>
      <c r="G500" s="215">
        <v>67</v>
      </c>
      <c r="H500" s="215" t="s">
        <v>200</v>
      </c>
      <c r="I500" s="215" t="s">
        <v>1329</v>
      </c>
      <c r="J500" s="215" t="s">
        <v>322</v>
      </c>
      <c r="K500" s="215" t="s">
        <v>1330</v>
      </c>
      <c r="L500" s="216">
        <v>46167.680555555555</v>
      </c>
      <c r="M500" s="216">
        <v>46167.706250000003</v>
      </c>
      <c r="N500" s="215" t="s">
        <v>221</v>
      </c>
      <c r="O500" s="157" t="s">
        <v>205</v>
      </c>
      <c r="P500" s="92"/>
      <c r="Q500" s="145" t="s">
        <v>205</v>
      </c>
      <c r="R500" s="92"/>
      <c r="S500" s="145" t="s">
        <v>205</v>
      </c>
      <c r="T500" s="92"/>
      <c r="U500" s="145" t="s">
        <v>205</v>
      </c>
      <c r="V500" s="92"/>
      <c r="W500" s="145" t="s">
        <v>206</v>
      </c>
      <c r="X500" s="92"/>
      <c r="Y500" s="145" t="s">
        <v>62</v>
      </c>
      <c r="Z500" s="92"/>
      <c r="AA500" s="145" t="s">
        <v>206</v>
      </c>
      <c r="AB500" s="92"/>
      <c r="AC500" s="145" t="s">
        <v>206</v>
      </c>
      <c r="AD500" s="92"/>
      <c r="AE500" s="145" t="s">
        <v>239</v>
      </c>
      <c r="AF500" s="182" t="str">
        <f t="shared" si="24"/>
        <v>NC</v>
      </c>
      <c r="AG500" s="54" t="str">
        <f t="shared" si="25"/>
        <v>NÃO UTILIZOU O PDA</v>
      </c>
      <c r="AH500" s="145" t="s">
        <v>205</v>
      </c>
      <c r="AI500" s="192" t="s">
        <v>6</v>
      </c>
      <c r="AJ500" s="96" t="str">
        <f t="shared" si="26"/>
        <v>SÃO PAULO</v>
      </c>
      <c r="AK500" s="193" t="s">
        <v>39</v>
      </c>
    </row>
    <row r="501" spans="1:37" ht="30" customHeight="1">
      <c r="A501" s="215" t="s">
        <v>198</v>
      </c>
      <c r="B501" s="215">
        <v>2621781594</v>
      </c>
      <c r="C501" s="215" t="s">
        <v>100</v>
      </c>
      <c r="D501" s="215" t="s">
        <v>81</v>
      </c>
      <c r="E501" s="215" t="s">
        <v>5</v>
      </c>
      <c r="F501" s="215" t="s">
        <v>1331</v>
      </c>
      <c r="G501" s="215">
        <v>585</v>
      </c>
      <c r="H501" s="215"/>
      <c r="I501" s="215" t="s">
        <v>1332</v>
      </c>
      <c r="J501" s="215" t="s">
        <v>243</v>
      </c>
      <c r="K501" s="215"/>
      <c r="L501" s="216">
        <v>46167.667361111111</v>
      </c>
      <c r="M501" s="216">
        <v>46167.669444444444</v>
      </c>
      <c r="N501" s="215" t="s">
        <v>254</v>
      </c>
      <c r="O501" s="157" t="s">
        <v>62</v>
      </c>
      <c r="P501" s="92"/>
      <c r="Q501" s="145" t="s">
        <v>62</v>
      </c>
      <c r="R501" s="92"/>
      <c r="S501" s="145" t="s">
        <v>62</v>
      </c>
      <c r="T501" s="92"/>
      <c r="U501" s="145" t="s">
        <v>62</v>
      </c>
      <c r="V501" s="92"/>
      <c r="W501" s="145" t="s">
        <v>62</v>
      </c>
      <c r="X501" s="92"/>
      <c r="Y501" s="145" t="s">
        <v>62</v>
      </c>
      <c r="Z501" s="92"/>
      <c r="AA501" s="145" t="s">
        <v>62</v>
      </c>
      <c r="AB501" s="92"/>
      <c r="AC501" s="145" t="s">
        <v>62</v>
      </c>
      <c r="AD501" s="92"/>
      <c r="AE501" s="145" t="s">
        <v>62</v>
      </c>
      <c r="AF501" s="182" t="str">
        <f t="shared" si="24"/>
        <v>NA</v>
      </c>
      <c r="AG501" s="54" t="str">
        <f t="shared" si="25"/>
        <v>NÃO AVALIADO POR FALHA DE SINCRONISMO</v>
      </c>
      <c r="AH501" s="145" t="s">
        <v>205</v>
      </c>
      <c r="AI501" s="192" t="s">
        <v>6</v>
      </c>
      <c r="AJ501" s="96" t="str">
        <f t="shared" si="26"/>
        <v>SÃO PAULO</v>
      </c>
      <c r="AK501" s="193" t="s">
        <v>39</v>
      </c>
    </row>
    <row r="502" spans="1:37" ht="30" customHeight="1">
      <c r="A502" s="215" t="s">
        <v>198</v>
      </c>
      <c r="B502" s="215">
        <v>2621832423</v>
      </c>
      <c r="C502" s="215" t="s">
        <v>287</v>
      </c>
      <c r="D502" s="215" t="s">
        <v>81</v>
      </c>
      <c r="E502" s="215" t="s">
        <v>5</v>
      </c>
      <c r="F502" s="215" t="s">
        <v>513</v>
      </c>
      <c r="G502" s="215">
        <v>1435</v>
      </c>
      <c r="H502" s="215" t="s">
        <v>318</v>
      </c>
      <c r="I502" s="215" t="s">
        <v>251</v>
      </c>
      <c r="J502" s="215" t="s">
        <v>290</v>
      </c>
      <c r="K502" s="215" t="s">
        <v>1333</v>
      </c>
      <c r="L502" s="216">
        <v>46167.694444444445</v>
      </c>
      <c r="M502" s="216">
        <v>46167.696527777778</v>
      </c>
      <c r="N502" s="215" t="s">
        <v>230</v>
      </c>
      <c r="O502" s="157" t="s">
        <v>205</v>
      </c>
      <c r="P502" s="92"/>
      <c r="Q502" s="145" t="s">
        <v>206</v>
      </c>
      <c r="R502" s="92"/>
      <c r="S502" s="145" t="s">
        <v>206</v>
      </c>
      <c r="T502" s="92"/>
      <c r="U502" s="145" t="s">
        <v>206</v>
      </c>
      <c r="V502" s="92"/>
      <c r="W502" s="145" t="s">
        <v>206</v>
      </c>
      <c r="X502" s="92"/>
      <c r="Y502" s="145" t="s">
        <v>206</v>
      </c>
      <c r="Z502" s="92"/>
      <c r="AA502" s="145" t="s">
        <v>206</v>
      </c>
      <c r="AB502" s="92"/>
      <c r="AC502" s="145" t="s">
        <v>205</v>
      </c>
      <c r="AD502" s="92" t="s">
        <v>1334</v>
      </c>
      <c r="AE502" s="145" t="s">
        <v>205</v>
      </c>
      <c r="AF502" s="182" t="str">
        <f t="shared" si="24"/>
        <v>NC</v>
      </c>
      <c r="AG502" s="54" t="str">
        <f t="shared" si="25"/>
        <v>UTILIZOU O PDA CORRETAMENTE. NÃO HÁ FOTOS DE TODAS AS ETAPAS</v>
      </c>
      <c r="AH502" s="145" t="s">
        <v>205</v>
      </c>
      <c r="AI502" s="192" t="s">
        <v>6</v>
      </c>
      <c r="AJ502" s="96" t="str">
        <f t="shared" si="26"/>
        <v>SÃO PAULO</v>
      </c>
      <c r="AK502" s="193" t="s">
        <v>39</v>
      </c>
    </row>
    <row r="503" spans="1:37" ht="30" customHeight="1">
      <c r="A503" s="215" t="s">
        <v>198</v>
      </c>
      <c r="B503" s="215">
        <v>2621458585</v>
      </c>
      <c r="C503" s="215" t="s">
        <v>88</v>
      </c>
      <c r="D503" s="215" t="s">
        <v>80</v>
      </c>
      <c r="E503" s="215" t="s">
        <v>5</v>
      </c>
      <c r="F503" s="215" t="s">
        <v>1271</v>
      </c>
      <c r="G503" s="215">
        <v>906</v>
      </c>
      <c r="H503" s="215"/>
      <c r="I503" s="215" t="s">
        <v>333</v>
      </c>
      <c r="J503" s="215" t="s">
        <v>738</v>
      </c>
      <c r="K503" s="215" t="s">
        <v>1335</v>
      </c>
      <c r="L503" s="216">
        <v>46167.708333333336</v>
      </c>
      <c r="M503" s="216">
        <v>46167.711805555555</v>
      </c>
      <c r="N503" s="215" t="s">
        <v>204</v>
      </c>
      <c r="O503" s="157" t="s">
        <v>205</v>
      </c>
      <c r="P503" s="92"/>
      <c r="Q503" s="145" t="s">
        <v>205</v>
      </c>
      <c r="R503" s="92"/>
      <c r="S503" s="145" t="s">
        <v>205</v>
      </c>
      <c r="T503" s="92"/>
      <c r="U503" s="145" t="s">
        <v>205</v>
      </c>
      <c r="V503" s="92"/>
      <c r="W503" s="145" t="s">
        <v>205</v>
      </c>
      <c r="X503" s="92"/>
      <c r="Y503" s="145" t="s">
        <v>62</v>
      </c>
      <c r="Z503" s="92"/>
      <c r="AA503" s="145" t="s">
        <v>205</v>
      </c>
      <c r="AB503" s="92"/>
      <c r="AC503" s="145" t="s">
        <v>205</v>
      </c>
      <c r="AD503" s="92"/>
      <c r="AE503" s="145" t="s">
        <v>205</v>
      </c>
      <c r="AF503" s="182" t="str">
        <f t="shared" ref="AF503:AF564" si="27">IF(AND(O503="",Q503="",S503="",U503="",W503="",Y503="",AA503="",AC503=""),"",IF(OR(AND(O503&lt;&gt;"NA",O503&lt;&gt;"C",O503&lt;&gt;"NC",O503&lt;&gt;"SF",O503&lt;&gt;""),AND(Q503&lt;&gt;"NA",Q503&lt;&gt;"C",Q503&lt;&gt;"NC",Q503&lt;&gt;"SF",Q503&lt;&gt;""),AND(S503&lt;&gt;"NA",S503&lt;&gt;"C",S503&lt;&gt;"NC",S503&lt;&gt;"SF",S503&lt;&gt;""),AND(U503&lt;&gt;"NA",U503&lt;&gt;"C",U503&lt;&gt;"NC",U503&lt;&gt;"SF",U503&lt;&gt;""),AND(W503&lt;&gt;"NA",W503&lt;&gt;"C",W503&lt;&gt;"NC",W503&lt;&gt;"SF",W503&lt;&gt;""),AND(Y503&lt;&gt;"NA",Y503&lt;&gt;"C",Y503&lt;&gt;"NC",Y503&lt;&gt;"SF",Y503&lt;&gt;""),AND(AA503&lt;&gt;"NA",AA503&lt;&gt;"C",AA503&lt;&gt;"NC",AA503&lt;&gt;"SF",AA503&lt;&gt;""),AND(AC503&lt;&gt;"NA",AC503&lt;&gt;"C",AC503&lt;&gt;"NC",AC503&lt;&gt;"SF",AC503&lt;&gt;"")),"FALSO",IF(AND(O503="NA",Q503="NA",S503="NA",U503="NA",W503="NA",Y503="NA",AA503="NA",AC503="NA"),"NA",IF(OR(O503="NC",Q503="NC",S503="NC",U503="NC",W503="NC",Y503="NC",AA503="NC",AC503="NC",O503="SF",Q503="SF",S503="SF",U503="SF",W503="SF",Y503="SF",AA503="SF",AC503="SF"),"NC",IF(OR(O503="C",Q503="C",S503="C",U503="C",W503="C",Y503="C",AA503="C",AC503="C"),"C","")))))</f>
        <v>C</v>
      </c>
      <c r="AG503" s="54" t="str">
        <f t="shared" ref="AG503:AG564" si="28">IF(AND(AE503="C",AF503="C"),"UTILIZOU O PDA CORRETAMENTE",IF(AND(AE503="C",AF503="NC"),"UTILIZOU O PDA CORRETAMENTE. NÃO HÁ FOTOS DE TODAS AS ETAPAS",IF(AND(AE503="NC",AF503="NC"),"NÃO UTILIZOU O PDA",IF(AND(AE503="NA",AF503="NA"),"NÃO AVALIADO POR FALHA DE SINCRONISMO"))))</f>
        <v>UTILIZOU O PDA CORRETAMENTE</v>
      </c>
      <c r="AH503" s="145" t="s">
        <v>205</v>
      </c>
      <c r="AI503" s="192" t="s">
        <v>6</v>
      </c>
      <c r="AJ503" s="96" t="str">
        <f t="shared" ref="AJ503:AJ564" si="29">E503</f>
        <v>SÃO PAULO</v>
      </c>
      <c r="AK503" s="193" t="s">
        <v>39</v>
      </c>
    </row>
    <row r="504" spans="1:37" ht="30" customHeight="1">
      <c r="A504" s="228" t="s">
        <v>198</v>
      </c>
      <c r="B504" s="228">
        <v>2621648213</v>
      </c>
      <c r="C504" s="228" t="s">
        <v>100</v>
      </c>
      <c r="D504" s="228" t="s">
        <v>81</v>
      </c>
      <c r="E504" s="228" t="s">
        <v>5</v>
      </c>
      <c r="F504" s="228" t="s">
        <v>1336</v>
      </c>
      <c r="G504" s="228">
        <v>65</v>
      </c>
      <c r="H504" s="228" t="s">
        <v>200</v>
      </c>
      <c r="I504" s="228" t="s">
        <v>271</v>
      </c>
      <c r="J504" s="228" t="s">
        <v>243</v>
      </c>
      <c r="K504" s="228" t="s">
        <v>200</v>
      </c>
      <c r="L504" s="230">
        <v>46167.790277777778</v>
      </c>
      <c r="M504" s="230">
        <v>46167.791666666664</v>
      </c>
      <c r="N504" s="228" t="s">
        <v>326</v>
      </c>
      <c r="O504" s="157" t="s">
        <v>205</v>
      </c>
      <c r="P504" s="92"/>
      <c r="Q504" s="145" t="s">
        <v>205</v>
      </c>
      <c r="R504" s="92"/>
      <c r="S504" s="145" t="s">
        <v>205</v>
      </c>
      <c r="T504" s="92"/>
      <c r="U504" s="145" t="s">
        <v>205</v>
      </c>
      <c r="V504" s="92"/>
      <c r="W504" s="145" t="s">
        <v>205</v>
      </c>
      <c r="X504" s="92"/>
      <c r="Y504" s="145" t="s">
        <v>205</v>
      </c>
      <c r="Z504" s="92"/>
      <c r="AA504" s="145" t="s">
        <v>205</v>
      </c>
      <c r="AB504" s="92"/>
      <c r="AC504" s="145" t="s">
        <v>205</v>
      </c>
      <c r="AD504" s="92"/>
      <c r="AE504" s="145" t="s">
        <v>205</v>
      </c>
      <c r="AF504" s="182" t="str">
        <f t="shared" si="27"/>
        <v>C</v>
      </c>
      <c r="AG504" s="54" t="str">
        <f t="shared" si="28"/>
        <v>UTILIZOU O PDA CORRETAMENTE</v>
      </c>
      <c r="AH504" s="145" t="s">
        <v>205</v>
      </c>
      <c r="AI504" s="192" t="s">
        <v>6</v>
      </c>
      <c r="AJ504" s="96" t="str">
        <f t="shared" si="29"/>
        <v>SÃO PAULO</v>
      </c>
      <c r="AK504" s="193" t="s">
        <v>39</v>
      </c>
    </row>
    <row r="505" spans="1:37" ht="30" customHeight="1">
      <c r="A505" s="215" t="s">
        <v>198</v>
      </c>
      <c r="B505" s="215">
        <v>2621702623</v>
      </c>
      <c r="C505" s="215" t="s">
        <v>84</v>
      </c>
      <c r="D505" s="215" t="s">
        <v>77</v>
      </c>
      <c r="E505" s="215" t="s">
        <v>5</v>
      </c>
      <c r="F505" s="215" t="s">
        <v>1252</v>
      </c>
      <c r="G505" s="215">
        <v>204</v>
      </c>
      <c r="H505" s="215" t="s">
        <v>250</v>
      </c>
      <c r="I505" s="215" t="s">
        <v>320</v>
      </c>
      <c r="J505" s="215" t="s">
        <v>252</v>
      </c>
      <c r="K505" s="215"/>
      <c r="L505" s="216">
        <v>46168.412499999999</v>
      </c>
      <c r="M505" s="216">
        <v>46168.515277777777</v>
      </c>
      <c r="N505" s="215" t="s">
        <v>310</v>
      </c>
      <c r="O505" s="157" t="s">
        <v>205</v>
      </c>
      <c r="P505" s="92"/>
      <c r="Q505" s="145" t="s">
        <v>205</v>
      </c>
      <c r="R505" s="92"/>
      <c r="S505" s="145" t="s">
        <v>205</v>
      </c>
      <c r="T505" s="92"/>
      <c r="U505" s="145" t="s">
        <v>205</v>
      </c>
      <c r="V505" s="92"/>
      <c r="W505" s="145" t="s">
        <v>205</v>
      </c>
      <c r="X505" s="92"/>
      <c r="Y505" s="145" t="s">
        <v>62</v>
      </c>
      <c r="Z505" s="92"/>
      <c r="AA505" s="145" t="s">
        <v>205</v>
      </c>
      <c r="AB505" s="92"/>
      <c r="AC505" s="145" t="s">
        <v>205</v>
      </c>
      <c r="AD505" s="92"/>
      <c r="AE505" s="145" t="s">
        <v>205</v>
      </c>
      <c r="AF505" s="182" t="str">
        <f t="shared" si="27"/>
        <v>C</v>
      </c>
      <c r="AG505" s="54" t="str">
        <f t="shared" si="28"/>
        <v>UTILIZOU O PDA CORRETAMENTE</v>
      </c>
      <c r="AH505" s="145" t="s">
        <v>205</v>
      </c>
      <c r="AI505" s="192" t="s">
        <v>6</v>
      </c>
      <c r="AJ505" s="96" t="str">
        <f t="shared" si="29"/>
        <v>SÃO PAULO</v>
      </c>
      <c r="AK505" s="193" t="s">
        <v>39</v>
      </c>
    </row>
    <row r="506" spans="1:37" ht="30" customHeight="1">
      <c r="A506" s="215" t="s">
        <v>198</v>
      </c>
      <c r="B506" s="215">
        <v>2621706030</v>
      </c>
      <c r="C506" s="215" t="s">
        <v>84</v>
      </c>
      <c r="D506" s="215" t="s">
        <v>77</v>
      </c>
      <c r="E506" s="215" t="s">
        <v>5</v>
      </c>
      <c r="F506" s="215" t="s">
        <v>644</v>
      </c>
      <c r="G506" s="215">
        <v>149</v>
      </c>
      <c r="H506" s="215" t="s">
        <v>363</v>
      </c>
      <c r="I506" s="215" t="s">
        <v>346</v>
      </c>
      <c r="J506" s="215" t="s">
        <v>252</v>
      </c>
      <c r="K506" s="215" t="s">
        <v>200</v>
      </c>
      <c r="L506" s="216">
        <v>46168.618055555555</v>
      </c>
      <c r="M506" s="216">
        <v>46168.622916666667</v>
      </c>
      <c r="N506" s="215" t="s">
        <v>1337</v>
      </c>
      <c r="O506" s="157" t="s">
        <v>205</v>
      </c>
      <c r="P506" s="92"/>
      <c r="Q506" s="145" t="s">
        <v>62</v>
      </c>
      <c r="R506" s="92"/>
      <c r="S506" s="145" t="s">
        <v>62</v>
      </c>
      <c r="T506" s="92"/>
      <c r="U506" s="145" t="s">
        <v>62</v>
      </c>
      <c r="V506" s="92"/>
      <c r="W506" s="145" t="s">
        <v>62</v>
      </c>
      <c r="X506" s="92"/>
      <c r="Y506" s="145" t="s">
        <v>62</v>
      </c>
      <c r="Z506" s="92"/>
      <c r="AA506" s="145" t="s">
        <v>62</v>
      </c>
      <c r="AB506" s="92"/>
      <c r="AC506" s="145" t="s">
        <v>205</v>
      </c>
      <c r="AD506" s="92"/>
      <c r="AE506" s="145" t="s">
        <v>205</v>
      </c>
      <c r="AF506" s="182" t="str">
        <f t="shared" si="27"/>
        <v>C</v>
      </c>
      <c r="AG506" s="54" t="str">
        <f t="shared" si="28"/>
        <v>UTILIZOU O PDA CORRETAMENTE</v>
      </c>
      <c r="AH506" s="145" t="s">
        <v>205</v>
      </c>
      <c r="AI506" s="192" t="s">
        <v>6</v>
      </c>
      <c r="AJ506" s="96" t="str">
        <f t="shared" si="29"/>
        <v>SÃO PAULO</v>
      </c>
      <c r="AK506" s="193" t="s">
        <v>39</v>
      </c>
    </row>
    <row r="507" spans="1:37" ht="30" customHeight="1">
      <c r="A507" s="215" t="s">
        <v>198</v>
      </c>
      <c r="B507" s="215">
        <v>2622036364</v>
      </c>
      <c r="C507" s="215" t="s">
        <v>101</v>
      </c>
      <c r="D507" s="215" t="s">
        <v>79</v>
      </c>
      <c r="E507" s="215" t="s">
        <v>5</v>
      </c>
      <c r="F507" s="215" t="s">
        <v>1336</v>
      </c>
      <c r="G507" s="215">
        <v>55</v>
      </c>
      <c r="H507" s="215"/>
      <c r="I507" s="215" t="s">
        <v>271</v>
      </c>
      <c r="J507" s="215" t="s">
        <v>233</v>
      </c>
      <c r="K507" s="215" t="s">
        <v>1338</v>
      </c>
      <c r="L507" s="216">
        <v>46168.543749999997</v>
      </c>
      <c r="M507" s="216">
        <v>46168.545138888891</v>
      </c>
      <c r="N507" s="215" t="s">
        <v>326</v>
      </c>
      <c r="O507" s="157" t="s">
        <v>205</v>
      </c>
      <c r="P507" s="92"/>
      <c r="Q507" s="145" t="s">
        <v>205</v>
      </c>
      <c r="R507" s="92"/>
      <c r="S507" s="145" t="s">
        <v>205</v>
      </c>
      <c r="T507" s="92"/>
      <c r="U507" s="145" t="s">
        <v>205</v>
      </c>
      <c r="V507" s="92"/>
      <c r="W507" s="145" t="s">
        <v>205</v>
      </c>
      <c r="X507" s="92"/>
      <c r="Y507" s="145" t="s">
        <v>62</v>
      </c>
      <c r="Z507" s="92"/>
      <c r="AA507" s="145" t="s">
        <v>205</v>
      </c>
      <c r="AB507" s="92"/>
      <c r="AC507" s="145" t="s">
        <v>205</v>
      </c>
      <c r="AD507" s="92"/>
      <c r="AE507" s="145" t="s">
        <v>205</v>
      </c>
      <c r="AF507" s="182" t="str">
        <f t="shared" si="27"/>
        <v>C</v>
      </c>
      <c r="AG507" s="54" t="str">
        <f t="shared" si="28"/>
        <v>UTILIZOU O PDA CORRETAMENTE</v>
      </c>
      <c r="AH507" s="145" t="s">
        <v>205</v>
      </c>
      <c r="AI507" s="192" t="s">
        <v>6</v>
      </c>
      <c r="AJ507" s="96" t="str">
        <f t="shared" si="29"/>
        <v>SÃO PAULO</v>
      </c>
      <c r="AK507" s="193" t="s">
        <v>39</v>
      </c>
    </row>
    <row r="508" spans="1:37" ht="30" customHeight="1">
      <c r="A508" s="215" t="s">
        <v>198</v>
      </c>
      <c r="B508" s="215">
        <v>2621835519</v>
      </c>
      <c r="C508" s="215" t="s">
        <v>105</v>
      </c>
      <c r="D508" s="215" t="s">
        <v>81</v>
      </c>
      <c r="E508" s="215" t="s">
        <v>5</v>
      </c>
      <c r="F508" s="215" t="s">
        <v>371</v>
      </c>
      <c r="G508" s="215">
        <v>177</v>
      </c>
      <c r="H508" s="215" t="s">
        <v>214</v>
      </c>
      <c r="I508" s="215" t="s">
        <v>372</v>
      </c>
      <c r="J508" s="215" t="s">
        <v>228</v>
      </c>
      <c r="K508" s="219" t="s">
        <v>1339</v>
      </c>
      <c r="L508" s="216">
        <v>46168.470138888886</v>
      </c>
      <c r="M508" s="216">
        <v>46168.481249999997</v>
      </c>
      <c r="N508" s="215" t="s">
        <v>326</v>
      </c>
      <c r="O508" s="157" t="s">
        <v>205</v>
      </c>
      <c r="P508" s="92"/>
      <c r="Q508" s="145" t="s">
        <v>239</v>
      </c>
      <c r="R508" s="92" t="s">
        <v>667</v>
      </c>
      <c r="S508" s="145" t="s">
        <v>62</v>
      </c>
      <c r="T508" s="92"/>
      <c r="U508" s="145" t="s">
        <v>62</v>
      </c>
      <c r="V508" s="92"/>
      <c r="W508" s="145" t="s">
        <v>62</v>
      </c>
      <c r="X508" s="92"/>
      <c r="Y508" s="145" t="s">
        <v>62</v>
      </c>
      <c r="Z508" s="92"/>
      <c r="AA508" s="145" t="s">
        <v>62</v>
      </c>
      <c r="AB508" s="92"/>
      <c r="AC508" s="145" t="s">
        <v>206</v>
      </c>
      <c r="AD508" s="92"/>
      <c r="AE508" s="145" t="s">
        <v>205</v>
      </c>
      <c r="AF508" s="182" t="str">
        <f t="shared" si="27"/>
        <v>NC</v>
      </c>
      <c r="AG508" s="54" t="str">
        <f t="shared" si="28"/>
        <v>UTILIZOU O PDA CORRETAMENTE. NÃO HÁ FOTOS DE TODAS AS ETAPAS</v>
      </c>
      <c r="AH508" s="145" t="s">
        <v>205</v>
      </c>
      <c r="AI508" s="192" t="s">
        <v>6</v>
      </c>
      <c r="AJ508" s="96" t="str">
        <f t="shared" si="29"/>
        <v>SÃO PAULO</v>
      </c>
      <c r="AK508" s="193" t="s">
        <v>39</v>
      </c>
    </row>
    <row r="509" spans="1:37" ht="30" customHeight="1">
      <c r="A509" s="215" t="s">
        <v>198</v>
      </c>
      <c r="B509" s="215">
        <v>2621839946</v>
      </c>
      <c r="C509" s="215" t="s">
        <v>105</v>
      </c>
      <c r="D509" s="215" t="s">
        <v>81</v>
      </c>
      <c r="E509" s="215" t="s">
        <v>5</v>
      </c>
      <c r="F509" s="215" t="s">
        <v>1340</v>
      </c>
      <c r="G509" s="215">
        <v>100</v>
      </c>
      <c r="H509" s="215"/>
      <c r="I509" s="215" t="s">
        <v>1341</v>
      </c>
      <c r="J509" s="215" t="s">
        <v>350</v>
      </c>
      <c r="K509" s="215"/>
      <c r="L509" s="216">
        <v>46168.402777777781</v>
      </c>
      <c r="M509" s="216">
        <v>46168.455555555556</v>
      </c>
      <c r="N509" s="215" t="s">
        <v>326</v>
      </c>
      <c r="O509" s="157" t="s">
        <v>205</v>
      </c>
      <c r="P509" s="92"/>
      <c r="Q509" s="145" t="s">
        <v>205</v>
      </c>
      <c r="R509" s="92"/>
      <c r="S509" s="145" t="s">
        <v>205</v>
      </c>
      <c r="T509" s="92"/>
      <c r="U509" s="145" t="s">
        <v>205</v>
      </c>
      <c r="V509" s="92"/>
      <c r="W509" s="145" t="s">
        <v>205</v>
      </c>
      <c r="X509" s="92"/>
      <c r="Y509" s="145" t="s">
        <v>62</v>
      </c>
      <c r="Z509" s="92"/>
      <c r="AA509" s="145" t="s">
        <v>205</v>
      </c>
      <c r="AB509" s="92"/>
      <c r="AC509" s="145" t="s">
        <v>205</v>
      </c>
      <c r="AD509" s="92"/>
      <c r="AE509" s="145" t="s">
        <v>205</v>
      </c>
      <c r="AF509" s="182" t="str">
        <f t="shared" si="27"/>
        <v>C</v>
      </c>
      <c r="AG509" s="54" t="str">
        <f t="shared" si="28"/>
        <v>UTILIZOU O PDA CORRETAMENTE</v>
      </c>
      <c r="AH509" s="145" t="s">
        <v>205</v>
      </c>
      <c r="AI509" s="192" t="s">
        <v>6</v>
      </c>
      <c r="AJ509" s="96" t="str">
        <f t="shared" si="29"/>
        <v>SÃO PAULO</v>
      </c>
      <c r="AK509" s="193" t="s">
        <v>39</v>
      </c>
    </row>
    <row r="510" spans="1:37" ht="30" customHeight="1">
      <c r="A510" s="215" t="s">
        <v>198</v>
      </c>
      <c r="B510" s="215">
        <v>2621360883</v>
      </c>
      <c r="C510" s="215" t="s">
        <v>87</v>
      </c>
      <c r="D510" s="215" t="s">
        <v>80</v>
      </c>
      <c r="E510" s="215" t="s">
        <v>5</v>
      </c>
      <c r="F510" s="215" t="s">
        <v>408</v>
      </c>
      <c r="G510" s="215">
        <v>42</v>
      </c>
      <c r="H510" s="215" t="s">
        <v>226</v>
      </c>
      <c r="I510" s="215" t="s">
        <v>410</v>
      </c>
      <c r="J510" s="215" t="s">
        <v>216</v>
      </c>
      <c r="K510" s="215" t="s">
        <v>200</v>
      </c>
      <c r="L510" s="216">
        <v>46168.621527777781</v>
      </c>
      <c r="M510" s="216">
        <v>46168.625</v>
      </c>
      <c r="N510" s="215" t="s">
        <v>217</v>
      </c>
      <c r="O510" s="157" t="s">
        <v>205</v>
      </c>
      <c r="P510" s="92"/>
      <c r="Q510" s="145" t="s">
        <v>205</v>
      </c>
      <c r="R510" s="92"/>
      <c r="S510" s="145" t="s">
        <v>205</v>
      </c>
      <c r="T510" s="92"/>
      <c r="U510" s="145" t="s">
        <v>205</v>
      </c>
      <c r="V510" s="92"/>
      <c r="W510" s="145" t="s">
        <v>62</v>
      </c>
      <c r="X510" s="92"/>
      <c r="Y510" s="145" t="s">
        <v>62</v>
      </c>
      <c r="Z510" s="92"/>
      <c r="AA510" s="145" t="s">
        <v>205</v>
      </c>
      <c r="AB510" s="92"/>
      <c r="AC510" s="145" t="s">
        <v>205</v>
      </c>
      <c r="AD510" s="92"/>
      <c r="AE510" s="145" t="s">
        <v>205</v>
      </c>
      <c r="AF510" s="182" t="str">
        <f t="shared" si="27"/>
        <v>C</v>
      </c>
      <c r="AG510" s="54" t="str">
        <f t="shared" si="28"/>
        <v>UTILIZOU O PDA CORRETAMENTE</v>
      </c>
      <c r="AH510" s="145" t="s">
        <v>205</v>
      </c>
      <c r="AI510" s="192" t="s">
        <v>6</v>
      </c>
      <c r="AJ510" s="96" t="str">
        <f t="shared" si="29"/>
        <v>SÃO PAULO</v>
      </c>
      <c r="AK510" s="193" t="s">
        <v>39</v>
      </c>
    </row>
    <row r="511" spans="1:37" ht="30" customHeight="1">
      <c r="A511" s="215" t="s">
        <v>198</v>
      </c>
      <c r="B511" s="215">
        <v>2694129383</v>
      </c>
      <c r="C511" s="215" t="s">
        <v>102</v>
      </c>
      <c r="D511" s="215" t="s">
        <v>81</v>
      </c>
      <c r="E511" s="215" t="s">
        <v>5</v>
      </c>
      <c r="F511" s="215" t="s">
        <v>1342</v>
      </c>
      <c r="G511" s="215">
        <v>333</v>
      </c>
      <c r="H511" s="215" t="s">
        <v>200</v>
      </c>
      <c r="I511" s="215" t="s">
        <v>232</v>
      </c>
      <c r="J511" s="215" t="s">
        <v>268</v>
      </c>
      <c r="K511" s="215" t="s">
        <v>1343</v>
      </c>
      <c r="L511" s="216">
        <v>46168.25</v>
      </c>
      <c r="M511" s="216">
        <v>46168.253472222219</v>
      </c>
      <c r="N511" s="215" t="s">
        <v>357</v>
      </c>
      <c r="O511" s="157" t="s">
        <v>62</v>
      </c>
      <c r="P511" s="92"/>
      <c r="Q511" s="145" t="s">
        <v>62</v>
      </c>
      <c r="R511" s="92"/>
      <c r="S511" s="145" t="s">
        <v>62</v>
      </c>
      <c r="T511" s="92"/>
      <c r="U511" s="145" t="s">
        <v>62</v>
      </c>
      <c r="V511" s="92"/>
      <c r="W511" s="145" t="s">
        <v>62</v>
      </c>
      <c r="X511" s="92"/>
      <c r="Y511" s="145" t="s">
        <v>62</v>
      </c>
      <c r="Z511" s="92"/>
      <c r="AA511" s="145" t="s">
        <v>62</v>
      </c>
      <c r="AB511" s="92"/>
      <c r="AC511" s="145" t="s">
        <v>62</v>
      </c>
      <c r="AD511" s="92" t="s">
        <v>525</v>
      </c>
      <c r="AE511" s="145" t="s">
        <v>62</v>
      </c>
      <c r="AF511" s="182" t="str">
        <f t="shared" si="27"/>
        <v>NA</v>
      </c>
      <c r="AG511" s="54" t="str">
        <f t="shared" si="28"/>
        <v>NÃO AVALIADO POR FALHA DE SINCRONISMO</v>
      </c>
      <c r="AH511" s="145" t="s">
        <v>205</v>
      </c>
      <c r="AI511" s="192" t="s">
        <v>6</v>
      </c>
      <c r="AJ511" s="96" t="str">
        <f t="shared" si="29"/>
        <v>SÃO PAULO</v>
      </c>
      <c r="AK511" s="193" t="s">
        <v>39</v>
      </c>
    </row>
    <row r="512" spans="1:37" ht="30" customHeight="1">
      <c r="A512" s="215" t="s">
        <v>198</v>
      </c>
      <c r="B512" s="215">
        <v>2621702730</v>
      </c>
      <c r="C512" s="215" t="s">
        <v>96</v>
      </c>
      <c r="D512" s="215" t="s">
        <v>77</v>
      </c>
      <c r="E512" s="215" t="s">
        <v>5</v>
      </c>
      <c r="F512" s="215" t="s">
        <v>1344</v>
      </c>
      <c r="G512" s="215">
        <v>196</v>
      </c>
      <c r="H512" s="215" t="s">
        <v>318</v>
      </c>
      <c r="I512" s="215" t="s">
        <v>993</v>
      </c>
      <c r="J512" s="215" t="s">
        <v>96</v>
      </c>
      <c r="K512" s="215"/>
      <c r="L512" s="216">
        <v>46168.688194444447</v>
      </c>
      <c r="M512" s="216">
        <v>46168.693055555559</v>
      </c>
      <c r="N512" s="215" t="s">
        <v>310</v>
      </c>
      <c r="O512" s="157" t="s">
        <v>205</v>
      </c>
      <c r="P512" s="92"/>
      <c r="Q512" s="145" t="s">
        <v>205</v>
      </c>
      <c r="R512" s="92"/>
      <c r="S512" s="145" t="s">
        <v>62</v>
      </c>
      <c r="T512" s="92"/>
      <c r="U512" s="145" t="s">
        <v>62</v>
      </c>
      <c r="V512" s="92"/>
      <c r="W512" s="145" t="s">
        <v>62</v>
      </c>
      <c r="X512" s="92"/>
      <c r="Y512" s="145" t="s">
        <v>62</v>
      </c>
      <c r="Z512" s="92"/>
      <c r="AA512" s="145" t="s">
        <v>62</v>
      </c>
      <c r="AB512" s="92"/>
      <c r="AC512" s="145" t="s">
        <v>205</v>
      </c>
      <c r="AD512" s="92"/>
      <c r="AE512" s="145" t="s">
        <v>205</v>
      </c>
      <c r="AF512" s="182" t="str">
        <f t="shared" si="27"/>
        <v>C</v>
      </c>
      <c r="AG512" s="54" t="str">
        <f t="shared" si="28"/>
        <v>UTILIZOU O PDA CORRETAMENTE</v>
      </c>
      <c r="AH512" s="145" t="s">
        <v>205</v>
      </c>
      <c r="AI512" s="192" t="s">
        <v>6</v>
      </c>
      <c r="AJ512" s="96" t="str">
        <f t="shared" si="29"/>
        <v>SÃO PAULO</v>
      </c>
      <c r="AK512" s="193" t="s">
        <v>39</v>
      </c>
    </row>
    <row r="513" spans="1:37" ht="30" customHeight="1">
      <c r="A513" s="215" t="s">
        <v>198</v>
      </c>
      <c r="B513" s="215">
        <v>2621703088</v>
      </c>
      <c r="C513" s="215" t="s">
        <v>86</v>
      </c>
      <c r="D513" s="215" t="s">
        <v>77</v>
      </c>
      <c r="E513" s="215" t="s">
        <v>5</v>
      </c>
      <c r="F513" s="215" t="s">
        <v>1081</v>
      </c>
      <c r="G513" s="215">
        <v>67</v>
      </c>
      <c r="H513" s="215" t="s">
        <v>200</v>
      </c>
      <c r="I513" s="215" t="s">
        <v>1082</v>
      </c>
      <c r="J513" s="215" t="s">
        <v>86</v>
      </c>
      <c r="K513" s="215" t="s">
        <v>479</v>
      </c>
      <c r="L513" s="216">
        <v>46168.563194444447</v>
      </c>
      <c r="M513" s="216">
        <v>46168.64166666667</v>
      </c>
      <c r="N513" s="215" t="s">
        <v>310</v>
      </c>
      <c r="O513" s="157" t="s">
        <v>205</v>
      </c>
      <c r="P513" s="92"/>
      <c r="Q513" s="145" t="s">
        <v>205</v>
      </c>
      <c r="R513" s="92"/>
      <c r="S513" s="145" t="s">
        <v>205</v>
      </c>
      <c r="T513" s="92"/>
      <c r="U513" s="145" t="s">
        <v>205</v>
      </c>
      <c r="V513" s="92"/>
      <c r="W513" s="145" t="s">
        <v>205</v>
      </c>
      <c r="X513" s="92"/>
      <c r="Y513" s="145" t="s">
        <v>205</v>
      </c>
      <c r="Z513" s="92"/>
      <c r="AA513" s="145" t="s">
        <v>205</v>
      </c>
      <c r="AB513" s="92"/>
      <c r="AC513" s="145" t="s">
        <v>205</v>
      </c>
      <c r="AD513" s="92"/>
      <c r="AE513" s="145" t="s">
        <v>205</v>
      </c>
      <c r="AF513" s="182" t="str">
        <f t="shared" si="27"/>
        <v>C</v>
      </c>
      <c r="AG513" s="54" t="str">
        <f t="shared" si="28"/>
        <v>UTILIZOU O PDA CORRETAMENTE</v>
      </c>
      <c r="AH513" s="145" t="s">
        <v>205</v>
      </c>
      <c r="AI513" s="192" t="s">
        <v>6</v>
      </c>
      <c r="AJ513" s="96" t="str">
        <f t="shared" si="29"/>
        <v>SÃO PAULO</v>
      </c>
      <c r="AK513" s="193" t="s">
        <v>39</v>
      </c>
    </row>
    <row r="514" spans="1:37" ht="30" customHeight="1">
      <c r="A514" s="215" t="s">
        <v>198</v>
      </c>
      <c r="B514" s="215">
        <v>2621702729</v>
      </c>
      <c r="C514" s="215" t="s">
        <v>94</v>
      </c>
      <c r="D514" s="215" t="s">
        <v>77</v>
      </c>
      <c r="E514" s="215" t="s">
        <v>5</v>
      </c>
      <c r="F514" s="215" t="s">
        <v>1344</v>
      </c>
      <c r="G514" s="215">
        <v>196</v>
      </c>
      <c r="H514" s="215" t="s">
        <v>226</v>
      </c>
      <c r="I514" s="215" t="s">
        <v>993</v>
      </c>
      <c r="J514" s="215" t="s">
        <v>94</v>
      </c>
      <c r="K514" s="219" t="s">
        <v>1345</v>
      </c>
      <c r="L514" s="216">
        <v>46168.693055555559</v>
      </c>
      <c r="M514" s="216">
        <v>46168.713194444441</v>
      </c>
      <c r="N514" s="215" t="s">
        <v>310</v>
      </c>
      <c r="O514" s="157" t="s">
        <v>205</v>
      </c>
      <c r="P514" s="92"/>
      <c r="Q514" s="145" t="s">
        <v>205</v>
      </c>
      <c r="R514" s="92"/>
      <c r="S514" s="145" t="s">
        <v>62</v>
      </c>
      <c r="T514" s="92"/>
      <c r="U514" s="145" t="s">
        <v>62</v>
      </c>
      <c r="V514" s="92"/>
      <c r="W514" s="145" t="s">
        <v>62</v>
      </c>
      <c r="X514" s="92"/>
      <c r="Y514" s="145" t="s">
        <v>62</v>
      </c>
      <c r="Z514" s="92"/>
      <c r="AA514" s="145" t="s">
        <v>62</v>
      </c>
      <c r="AB514" s="92"/>
      <c r="AC514" s="145" t="s">
        <v>205</v>
      </c>
      <c r="AD514" s="92"/>
      <c r="AE514" s="145" t="s">
        <v>205</v>
      </c>
      <c r="AF514" s="182" t="str">
        <f t="shared" si="27"/>
        <v>C</v>
      </c>
      <c r="AG514" s="54" t="str">
        <f t="shared" si="28"/>
        <v>UTILIZOU O PDA CORRETAMENTE</v>
      </c>
      <c r="AH514" s="145" t="s">
        <v>205</v>
      </c>
      <c r="AI514" s="192" t="s">
        <v>6</v>
      </c>
      <c r="AJ514" s="96" t="str">
        <f t="shared" si="29"/>
        <v>SÃO PAULO</v>
      </c>
      <c r="AK514" s="193" t="s">
        <v>39</v>
      </c>
    </row>
    <row r="515" spans="1:37" ht="30" customHeight="1">
      <c r="A515" s="215" t="s">
        <v>198</v>
      </c>
      <c r="B515" s="215">
        <v>2621648434</v>
      </c>
      <c r="C515" s="215" t="s">
        <v>105</v>
      </c>
      <c r="D515" s="215" t="s">
        <v>81</v>
      </c>
      <c r="E515" s="215" t="s">
        <v>5</v>
      </c>
      <c r="F515" s="215" t="s">
        <v>1346</v>
      </c>
      <c r="G515" s="215">
        <v>401</v>
      </c>
      <c r="H515" s="215" t="s">
        <v>200</v>
      </c>
      <c r="I515" s="215" t="s">
        <v>277</v>
      </c>
      <c r="J515" s="215" t="s">
        <v>281</v>
      </c>
      <c r="K515" s="215" t="s">
        <v>200</v>
      </c>
      <c r="L515" s="216">
        <v>46168.25</v>
      </c>
      <c r="M515" s="216">
        <v>46168.250694444447</v>
      </c>
      <c r="N515" s="215" t="s">
        <v>212</v>
      </c>
      <c r="O515" s="157" t="s">
        <v>205</v>
      </c>
      <c r="P515" s="92"/>
      <c r="Q515" s="145" t="s">
        <v>205</v>
      </c>
      <c r="R515" s="92"/>
      <c r="S515" s="145" t="s">
        <v>205</v>
      </c>
      <c r="T515" s="92"/>
      <c r="U515" s="145" t="s">
        <v>205</v>
      </c>
      <c r="V515" s="92"/>
      <c r="W515" s="145" t="s">
        <v>206</v>
      </c>
      <c r="X515" s="92"/>
      <c r="Y515" s="145" t="s">
        <v>62</v>
      </c>
      <c r="Z515" s="92"/>
      <c r="AA515" s="145" t="s">
        <v>205</v>
      </c>
      <c r="AB515" s="92"/>
      <c r="AC515" s="145" t="s">
        <v>205</v>
      </c>
      <c r="AD515" s="92"/>
      <c r="AE515" s="145" t="s">
        <v>205</v>
      </c>
      <c r="AF515" s="182" t="str">
        <f t="shared" si="27"/>
        <v>NC</v>
      </c>
      <c r="AG515" s="54" t="str">
        <f t="shared" si="28"/>
        <v>UTILIZOU O PDA CORRETAMENTE. NÃO HÁ FOTOS DE TODAS AS ETAPAS</v>
      </c>
      <c r="AH515" s="145" t="s">
        <v>205</v>
      </c>
      <c r="AI515" s="192" t="s">
        <v>6</v>
      </c>
      <c r="AJ515" s="96" t="str">
        <f t="shared" si="29"/>
        <v>SÃO PAULO</v>
      </c>
      <c r="AK515" s="193" t="s">
        <v>39</v>
      </c>
    </row>
    <row r="516" spans="1:37" ht="30" customHeight="1">
      <c r="A516" s="215" t="s">
        <v>198</v>
      </c>
      <c r="B516" s="215">
        <v>2621773115</v>
      </c>
      <c r="C516" s="215" t="s">
        <v>105</v>
      </c>
      <c r="D516" s="215" t="s">
        <v>81</v>
      </c>
      <c r="E516" s="215" t="s">
        <v>5</v>
      </c>
      <c r="F516" s="215" t="s">
        <v>539</v>
      </c>
      <c r="G516" s="215">
        <v>2815</v>
      </c>
      <c r="H516" s="215" t="s">
        <v>226</v>
      </c>
      <c r="I516" s="215" t="s">
        <v>540</v>
      </c>
      <c r="J516" s="215" t="s">
        <v>228</v>
      </c>
      <c r="K516" s="215" t="s">
        <v>1347</v>
      </c>
      <c r="L516" s="216">
        <v>46168.636111111111</v>
      </c>
      <c r="M516" s="216">
        <v>46168.65</v>
      </c>
      <c r="N516" s="215" t="s">
        <v>212</v>
      </c>
      <c r="O516" s="157" t="s">
        <v>205</v>
      </c>
      <c r="P516" s="92"/>
      <c r="Q516" s="145" t="s">
        <v>205</v>
      </c>
      <c r="R516" s="92"/>
      <c r="S516" s="145" t="s">
        <v>205</v>
      </c>
      <c r="T516" s="92"/>
      <c r="U516" s="145" t="s">
        <v>205</v>
      </c>
      <c r="V516" s="92"/>
      <c r="W516" s="145" t="s">
        <v>206</v>
      </c>
      <c r="X516" s="92"/>
      <c r="Y516" s="145" t="s">
        <v>62</v>
      </c>
      <c r="Z516" s="92"/>
      <c r="AA516" s="145" t="s">
        <v>205</v>
      </c>
      <c r="AB516" s="92"/>
      <c r="AC516" s="145" t="s">
        <v>206</v>
      </c>
      <c r="AD516" s="92"/>
      <c r="AE516" s="145" t="s">
        <v>205</v>
      </c>
      <c r="AF516" s="182" t="str">
        <f t="shared" si="27"/>
        <v>NC</v>
      </c>
      <c r="AG516" s="54" t="str">
        <f t="shared" si="28"/>
        <v>UTILIZOU O PDA CORRETAMENTE. NÃO HÁ FOTOS DE TODAS AS ETAPAS</v>
      </c>
      <c r="AH516" s="145" t="s">
        <v>205</v>
      </c>
      <c r="AI516" s="192" t="s">
        <v>6</v>
      </c>
      <c r="AJ516" s="96" t="str">
        <f t="shared" si="29"/>
        <v>SÃO PAULO</v>
      </c>
      <c r="AK516" s="193" t="s">
        <v>39</v>
      </c>
    </row>
    <row r="517" spans="1:37" ht="30" customHeight="1">
      <c r="A517" s="215" t="s">
        <v>198</v>
      </c>
      <c r="B517" s="215">
        <v>2694116220</v>
      </c>
      <c r="C517" s="215" t="s">
        <v>103</v>
      </c>
      <c r="D517" s="215" t="s">
        <v>81</v>
      </c>
      <c r="E517" s="215" t="s">
        <v>5</v>
      </c>
      <c r="F517" s="215" t="s">
        <v>1348</v>
      </c>
      <c r="G517" s="215">
        <v>0</v>
      </c>
      <c r="H517" s="215" t="s">
        <v>1349</v>
      </c>
      <c r="I517" s="215" t="s">
        <v>215</v>
      </c>
      <c r="J517" s="215" t="s">
        <v>322</v>
      </c>
      <c r="K517" s="215" t="s">
        <v>200</v>
      </c>
      <c r="L517" s="216">
        <v>46168.40347222222</v>
      </c>
      <c r="M517" s="216">
        <v>46168.457638888889</v>
      </c>
      <c r="N517" s="215" t="s">
        <v>235</v>
      </c>
      <c r="O517" s="157" t="s">
        <v>205</v>
      </c>
      <c r="P517" s="92"/>
      <c r="Q517" s="145" t="s">
        <v>205</v>
      </c>
      <c r="R517" s="92"/>
      <c r="S517" s="145" t="s">
        <v>205</v>
      </c>
      <c r="T517" s="92"/>
      <c r="U517" s="145" t="s">
        <v>205</v>
      </c>
      <c r="V517" s="92"/>
      <c r="W517" s="145" t="s">
        <v>205</v>
      </c>
      <c r="X517" s="92"/>
      <c r="Y517" s="145" t="s">
        <v>62</v>
      </c>
      <c r="Z517" s="92"/>
      <c r="AA517" s="145" t="s">
        <v>205</v>
      </c>
      <c r="AB517" s="92"/>
      <c r="AC517" s="145" t="s">
        <v>205</v>
      </c>
      <c r="AD517" s="92"/>
      <c r="AE517" s="145" t="s">
        <v>205</v>
      </c>
      <c r="AF517" s="182" t="str">
        <f t="shared" si="27"/>
        <v>C</v>
      </c>
      <c r="AG517" s="54" t="str">
        <f t="shared" si="28"/>
        <v>UTILIZOU O PDA CORRETAMENTE</v>
      </c>
      <c r="AH517" s="145" t="s">
        <v>205</v>
      </c>
      <c r="AI517" s="192" t="s">
        <v>6</v>
      </c>
      <c r="AJ517" s="96" t="str">
        <f t="shared" si="29"/>
        <v>SÃO PAULO</v>
      </c>
      <c r="AK517" s="193" t="s">
        <v>39</v>
      </c>
    </row>
    <row r="518" spans="1:37" ht="30" customHeight="1">
      <c r="A518" s="215" t="s">
        <v>198</v>
      </c>
      <c r="B518" s="215">
        <v>2694166835</v>
      </c>
      <c r="C518" s="215" t="s">
        <v>103</v>
      </c>
      <c r="D518" s="215" t="s">
        <v>81</v>
      </c>
      <c r="E518" s="215" t="s">
        <v>5</v>
      </c>
      <c r="F518" s="215" t="s">
        <v>1350</v>
      </c>
      <c r="G518" s="215">
        <v>101</v>
      </c>
      <c r="H518" s="215"/>
      <c r="I518" s="215" t="s">
        <v>320</v>
      </c>
      <c r="J518" s="215" t="s">
        <v>322</v>
      </c>
      <c r="K518" s="215"/>
      <c r="L518" s="216">
        <v>46168.635416666664</v>
      </c>
      <c r="M518" s="216">
        <v>46168.79791666667</v>
      </c>
      <c r="N518" s="215" t="s">
        <v>235</v>
      </c>
      <c r="O518" s="157" t="s">
        <v>205</v>
      </c>
      <c r="P518" s="92"/>
      <c r="Q518" s="145" t="s">
        <v>205</v>
      </c>
      <c r="R518" s="92"/>
      <c r="S518" s="145" t="s">
        <v>205</v>
      </c>
      <c r="T518" s="92"/>
      <c r="U518" s="145" t="s">
        <v>205</v>
      </c>
      <c r="V518" s="92"/>
      <c r="W518" s="145" t="s">
        <v>205</v>
      </c>
      <c r="X518" s="92"/>
      <c r="Y518" s="145" t="s">
        <v>62</v>
      </c>
      <c r="Z518" s="92"/>
      <c r="AA518" s="145" t="s">
        <v>205</v>
      </c>
      <c r="AB518" s="92"/>
      <c r="AC518" s="145" t="s">
        <v>205</v>
      </c>
      <c r="AD518" s="92"/>
      <c r="AE518" s="145" t="s">
        <v>205</v>
      </c>
      <c r="AF518" s="182" t="str">
        <f t="shared" si="27"/>
        <v>C</v>
      </c>
      <c r="AG518" s="54" t="str">
        <f t="shared" si="28"/>
        <v>UTILIZOU O PDA CORRETAMENTE</v>
      </c>
      <c r="AH518" s="145" t="s">
        <v>205</v>
      </c>
      <c r="AI518" s="192" t="s">
        <v>6</v>
      </c>
      <c r="AJ518" s="96" t="str">
        <f t="shared" si="29"/>
        <v>SÃO PAULO</v>
      </c>
      <c r="AK518" s="193" t="s">
        <v>39</v>
      </c>
    </row>
    <row r="519" spans="1:37" ht="30" customHeight="1">
      <c r="A519" s="215" t="s">
        <v>198</v>
      </c>
      <c r="B519" s="215">
        <v>2694161520</v>
      </c>
      <c r="C519" s="215" t="s">
        <v>103</v>
      </c>
      <c r="D519" s="215" t="s">
        <v>81</v>
      </c>
      <c r="E519" s="215" t="s">
        <v>5</v>
      </c>
      <c r="F519" s="215" t="s">
        <v>1351</v>
      </c>
      <c r="G519" s="215">
        <v>472</v>
      </c>
      <c r="H519" s="215" t="s">
        <v>200</v>
      </c>
      <c r="I519" s="215" t="s">
        <v>227</v>
      </c>
      <c r="J519" s="215" t="s">
        <v>322</v>
      </c>
      <c r="K519" s="215" t="s">
        <v>1352</v>
      </c>
      <c r="L519" s="216">
        <v>46168.25</v>
      </c>
      <c r="M519" s="216">
        <v>46168.250694444447</v>
      </c>
      <c r="N519" s="215" t="s">
        <v>341</v>
      </c>
      <c r="O519" s="157" t="s">
        <v>206</v>
      </c>
      <c r="P519" s="92"/>
      <c r="Q519" s="145" t="s">
        <v>206</v>
      </c>
      <c r="R519" s="92"/>
      <c r="S519" s="145" t="s">
        <v>206</v>
      </c>
      <c r="T519" s="92"/>
      <c r="U519" s="145" t="s">
        <v>206</v>
      </c>
      <c r="V519" s="92"/>
      <c r="W519" s="145" t="s">
        <v>206</v>
      </c>
      <c r="X519" s="92"/>
      <c r="Y519" s="145" t="s">
        <v>206</v>
      </c>
      <c r="Z519" s="92"/>
      <c r="AA519" s="145" t="s">
        <v>206</v>
      </c>
      <c r="AB519" s="92"/>
      <c r="AC519" s="145" t="s">
        <v>206</v>
      </c>
      <c r="AD519" s="92"/>
      <c r="AE519" s="145" t="s">
        <v>239</v>
      </c>
      <c r="AF519" s="182" t="str">
        <f t="shared" si="27"/>
        <v>NC</v>
      </c>
      <c r="AG519" s="54" t="str">
        <f t="shared" si="28"/>
        <v>NÃO UTILIZOU O PDA</v>
      </c>
      <c r="AH519" s="145" t="s">
        <v>205</v>
      </c>
      <c r="AI519" s="192" t="s">
        <v>6</v>
      </c>
      <c r="AJ519" s="96" t="str">
        <f t="shared" si="29"/>
        <v>SÃO PAULO</v>
      </c>
      <c r="AK519" s="193" t="s">
        <v>39</v>
      </c>
    </row>
    <row r="520" spans="1:37" ht="30" customHeight="1">
      <c r="A520" s="215" t="s">
        <v>198</v>
      </c>
      <c r="B520" s="215">
        <v>2622113066</v>
      </c>
      <c r="C520" s="215" t="s">
        <v>89</v>
      </c>
      <c r="D520" s="215" t="s">
        <v>78</v>
      </c>
      <c r="E520" s="215" t="s">
        <v>5</v>
      </c>
      <c r="F520" s="215" t="s">
        <v>1353</v>
      </c>
      <c r="G520" s="215">
        <v>145</v>
      </c>
      <c r="H520" s="215"/>
      <c r="I520" s="215" t="s">
        <v>562</v>
      </c>
      <c r="J520" s="215" t="s">
        <v>238</v>
      </c>
      <c r="K520" s="215"/>
      <c r="L520" s="216">
        <v>46168.394444444442</v>
      </c>
      <c r="M520" s="216">
        <v>46168.409722222219</v>
      </c>
      <c r="N520" s="215" t="s">
        <v>221</v>
      </c>
      <c r="O520" s="157" t="s">
        <v>205</v>
      </c>
      <c r="P520" s="92"/>
      <c r="Q520" s="145" t="s">
        <v>205</v>
      </c>
      <c r="R520" s="92"/>
      <c r="S520" s="145" t="s">
        <v>205</v>
      </c>
      <c r="T520" s="92"/>
      <c r="U520" s="145" t="s">
        <v>205</v>
      </c>
      <c r="V520" s="92"/>
      <c r="W520" s="145" t="s">
        <v>205</v>
      </c>
      <c r="X520" s="92"/>
      <c r="Y520" s="145" t="s">
        <v>62</v>
      </c>
      <c r="Z520" s="92"/>
      <c r="AA520" s="145" t="s">
        <v>205</v>
      </c>
      <c r="AB520" s="92"/>
      <c r="AC520" s="145" t="s">
        <v>205</v>
      </c>
      <c r="AD520" s="92"/>
      <c r="AE520" s="145" t="s">
        <v>205</v>
      </c>
      <c r="AF520" s="182" t="str">
        <f t="shared" si="27"/>
        <v>C</v>
      </c>
      <c r="AG520" s="54" t="str">
        <f t="shared" si="28"/>
        <v>UTILIZOU O PDA CORRETAMENTE</v>
      </c>
      <c r="AH520" s="145" t="s">
        <v>205</v>
      </c>
      <c r="AI520" s="192" t="s">
        <v>6</v>
      </c>
      <c r="AJ520" s="96" t="str">
        <f t="shared" si="29"/>
        <v>SÃO PAULO</v>
      </c>
      <c r="AK520" s="193" t="s">
        <v>39</v>
      </c>
    </row>
    <row r="521" spans="1:37" ht="30" customHeight="1">
      <c r="A521" s="215" t="s">
        <v>198</v>
      </c>
      <c r="B521" s="215">
        <v>2622158105</v>
      </c>
      <c r="C521" s="215" t="s">
        <v>89</v>
      </c>
      <c r="D521" s="215" t="s">
        <v>78</v>
      </c>
      <c r="E521" s="215" t="s">
        <v>5</v>
      </c>
      <c r="F521" s="215" t="s">
        <v>526</v>
      </c>
      <c r="G521" s="215">
        <v>3687</v>
      </c>
      <c r="H521" s="215" t="s">
        <v>226</v>
      </c>
      <c r="I521" s="215" t="s">
        <v>1354</v>
      </c>
      <c r="J521" s="215" t="s">
        <v>238</v>
      </c>
      <c r="K521" s="215" t="s">
        <v>1355</v>
      </c>
      <c r="L521" s="216">
        <v>46168.541666666664</v>
      </c>
      <c r="M521" s="216">
        <v>46168.57916666667</v>
      </c>
      <c r="N521" s="215" t="s">
        <v>357</v>
      </c>
      <c r="O521" s="157" t="s">
        <v>205</v>
      </c>
      <c r="P521" s="92"/>
      <c r="Q521" s="145" t="s">
        <v>205</v>
      </c>
      <c r="R521" s="92"/>
      <c r="S521" s="145" t="s">
        <v>205</v>
      </c>
      <c r="T521" s="92"/>
      <c r="U521" s="145" t="s">
        <v>206</v>
      </c>
      <c r="V521" s="92"/>
      <c r="W521" s="145" t="s">
        <v>205</v>
      </c>
      <c r="X521" s="92"/>
      <c r="Y521" s="145" t="s">
        <v>62</v>
      </c>
      <c r="Z521" s="92"/>
      <c r="AA521" s="145" t="s">
        <v>206</v>
      </c>
      <c r="AB521" s="92"/>
      <c r="AC521" s="145" t="s">
        <v>206</v>
      </c>
      <c r="AD521" s="92"/>
      <c r="AE521" s="145" t="s">
        <v>205</v>
      </c>
      <c r="AF521" s="182" t="str">
        <f t="shared" si="27"/>
        <v>NC</v>
      </c>
      <c r="AG521" s="54" t="str">
        <f t="shared" si="28"/>
        <v>UTILIZOU O PDA CORRETAMENTE. NÃO HÁ FOTOS DE TODAS AS ETAPAS</v>
      </c>
      <c r="AH521" s="145" t="s">
        <v>205</v>
      </c>
      <c r="AI521" s="192" t="s">
        <v>6</v>
      </c>
      <c r="AJ521" s="96" t="str">
        <f t="shared" si="29"/>
        <v>SÃO PAULO</v>
      </c>
      <c r="AK521" s="193" t="s">
        <v>39</v>
      </c>
    </row>
    <row r="522" spans="1:37" ht="30" customHeight="1">
      <c r="A522" s="215" t="s">
        <v>198</v>
      </c>
      <c r="B522" s="215">
        <v>2621781563</v>
      </c>
      <c r="C522" s="215" t="s">
        <v>100</v>
      </c>
      <c r="D522" s="215" t="s">
        <v>81</v>
      </c>
      <c r="E522" s="215" t="s">
        <v>5</v>
      </c>
      <c r="F522" s="215" t="s">
        <v>1356</v>
      </c>
      <c r="G522" s="215">
        <v>175</v>
      </c>
      <c r="H522" s="215"/>
      <c r="I522" s="215" t="s">
        <v>280</v>
      </c>
      <c r="J522" s="215" t="s">
        <v>243</v>
      </c>
      <c r="K522" s="215" t="s">
        <v>1357</v>
      </c>
      <c r="L522" s="216">
        <v>46168.540277777778</v>
      </c>
      <c r="M522" s="216">
        <v>46168.542361111111</v>
      </c>
      <c r="N522" s="215" t="s">
        <v>230</v>
      </c>
      <c r="O522" s="157" t="s">
        <v>205</v>
      </c>
      <c r="P522" s="92"/>
      <c r="Q522" s="145" t="s">
        <v>205</v>
      </c>
      <c r="R522" s="92"/>
      <c r="S522" s="145" t="s">
        <v>205</v>
      </c>
      <c r="T522" s="92"/>
      <c r="U522" s="145" t="s">
        <v>205</v>
      </c>
      <c r="V522" s="92"/>
      <c r="W522" s="145" t="s">
        <v>205</v>
      </c>
      <c r="X522" s="92"/>
      <c r="Y522" s="145" t="s">
        <v>205</v>
      </c>
      <c r="Z522" s="92"/>
      <c r="AA522" s="145" t="s">
        <v>205</v>
      </c>
      <c r="AB522" s="92"/>
      <c r="AC522" s="145" t="s">
        <v>205</v>
      </c>
      <c r="AD522" s="92"/>
      <c r="AE522" s="145" t="s">
        <v>205</v>
      </c>
      <c r="AF522" s="182" t="str">
        <f t="shared" si="27"/>
        <v>C</v>
      </c>
      <c r="AG522" s="54" t="str">
        <f t="shared" si="28"/>
        <v>UTILIZOU O PDA CORRETAMENTE</v>
      </c>
      <c r="AH522" s="145" t="s">
        <v>205</v>
      </c>
      <c r="AI522" s="192" t="s">
        <v>6</v>
      </c>
      <c r="AJ522" s="96" t="str">
        <f t="shared" si="29"/>
        <v>SÃO PAULO</v>
      </c>
      <c r="AK522" s="193" t="s">
        <v>39</v>
      </c>
    </row>
    <row r="523" spans="1:37" ht="30" customHeight="1">
      <c r="A523" s="215" t="s">
        <v>198</v>
      </c>
      <c r="B523" s="215">
        <v>2622157563</v>
      </c>
      <c r="C523" s="215" t="s">
        <v>101</v>
      </c>
      <c r="D523" s="215" t="s">
        <v>79</v>
      </c>
      <c r="E523" s="215" t="s">
        <v>5</v>
      </c>
      <c r="F523" s="215" t="s">
        <v>1358</v>
      </c>
      <c r="G523" s="215">
        <v>735</v>
      </c>
      <c r="H523" s="215" t="s">
        <v>200</v>
      </c>
      <c r="I523" s="215" t="s">
        <v>209</v>
      </c>
      <c r="J523" s="215" t="s">
        <v>233</v>
      </c>
      <c r="K523" s="215" t="s">
        <v>1359</v>
      </c>
      <c r="L523" s="216">
        <v>46168.64166666667</v>
      </c>
      <c r="M523" s="216">
        <v>46168.661805555559</v>
      </c>
      <c r="N523" s="215" t="s">
        <v>326</v>
      </c>
      <c r="O523" s="157" t="s">
        <v>205</v>
      </c>
      <c r="P523" s="92"/>
      <c r="Q523" s="145" t="s">
        <v>205</v>
      </c>
      <c r="R523" s="92"/>
      <c r="S523" s="145" t="s">
        <v>205</v>
      </c>
      <c r="T523" s="92"/>
      <c r="U523" s="145" t="s">
        <v>205</v>
      </c>
      <c r="V523" s="92"/>
      <c r="W523" s="145" t="s">
        <v>205</v>
      </c>
      <c r="X523" s="92"/>
      <c r="Y523" s="145" t="s">
        <v>205</v>
      </c>
      <c r="Z523" s="92"/>
      <c r="AA523" s="145" t="s">
        <v>205</v>
      </c>
      <c r="AB523" s="92"/>
      <c r="AC523" s="145" t="s">
        <v>205</v>
      </c>
      <c r="AD523" s="92"/>
      <c r="AE523" s="145" t="s">
        <v>205</v>
      </c>
      <c r="AF523" s="182" t="str">
        <f t="shared" si="27"/>
        <v>C</v>
      </c>
      <c r="AG523" s="54" t="str">
        <f t="shared" si="28"/>
        <v>UTILIZOU O PDA CORRETAMENTE</v>
      </c>
      <c r="AH523" s="145" t="s">
        <v>205</v>
      </c>
      <c r="AI523" s="192" t="s">
        <v>6</v>
      </c>
      <c r="AJ523" s="96" t="str">
        <f t="shared" si="29"/>
        <v>SÃO PAULO</v>
      </c>
      <c r="AK523" s="193" t="s">
        <v>39</v>
      </c>
    </row>
    <row r="524" spans="1:37" ht="30" customHeight="1">
      <c r="A524" s="215" t="s">
        <v>198</v>
      </c>
      <c r="B524" s="215">
        <v>2694091407</v>
      </c>
      <c r="C524" s="215" t="s">
        <v>99</v>
      </c>
      <c r="D524" s="215" t="s">
        <v>81</v>
      </c>
      <c r="E524" s="215" t="s">
        <v>5</v>
      </c>
      <c r="F524" s="215" t="s">
        <v>1140</v>
      </c>
      <c r="G524" s="215">
        <v>57</v>
      </c>
      <c r="H524" s="215"/>
      <c r="I524" s="215" t="s">
        <v>1049</v>
      </c>
      <c r="J524" s="215" t="s">
        <v>268</v>
      </c>
      <c r="K524" s="215"/>
      <c r="L524" s="216">
        <v>46168.253472222219</v>
      </c>
      <c r="M524" s="216">
        <v>46168.254166666666</v>
      </c>
      <c r="N524" s="215" t="s">
        <v>221</v>
      </c>
      <c r="O524" s="157" t="s">
        <v>205</v>
      </c>
      <c r="P524" s="92"/>
      <c r="Q524" s="145" t="s">
        <v>205</v>
      </c>
      <c r="R524" s="92"/>
      <c r="S524" s="145" t="s">
        <v>205</v>
      </c>
      <c r="T524" s="92"/>
      <c r="U524" s="145" t="s">
        <v>205</v>
      </c>
      <c r="V524" s="92"/>
      <c r="W524" s="145" t="s">
        <v>205</v>
      </c>
      <c r="X524" s="92"/>
      <c r="Y524" s="145" t="s">
        <v>205</v>
      </c>
      <c r="Z524" s="92"/>
      <c r="AA524" s="145" t="s">
        <v>205</v>
      </c>
      <c r="AB524" s="92"/>
      <c r="AC524" s="145" t="s">
        <v>205</v>
      </c>
      <c r="AD524" s="92"/>
      <c r="AE524" s="145" t="s">
        <v>205</v>
      </c>
      <c r="AF524" s="182" t="str">
        <f t="shared" si="27"/>
        <v>C</v>
      </c>
      <c r="AG524" s="54" t="str">
        <f t="shared" si="28"/>
        <v>UTILIZOU O PDA CORRETAMENTE</v>
      </c>
      <c r="AH524" s="145" t="s">
        <v>205</v>
      </c>
      <c r="AI524" s="192" t="s">
        <v>6</v>
      </c>
      <c r="AJ524" s="96" t="str">
        <f t="shared" si="29"/>
        <v>SÃO PAULO</v>
      </c>
      <c r="AK524" s="193" t="s">
        <v>39</v>
      </c>
    </row>
    <row r="525" spans="1:37" ht="30" customHeight="1">
      <c r="A525" s="215" t="s">
        <v>198</v>
      </c>
      <c r="B525" s="215">
        <v>2622112259</v>
      </c>
      <c r="C525" s="215" t="s">
        <v>105</v>
      </c>
      <c r="D525" s="215" t="s">
        <v>81</v>
      </c>
      <c r="E525" s="215" t="s">
        <v>5</v>
      </c>
      <c r="F525" s="215" t="s">
        <v>1360</v>
      </c>
      <c r="G525" s="215">
        <v>114</v>
      </c>
      <c r="H525" s="215" t="s">
        <v>226</v>
      </c>
      <c r="I525" s="215" t="s">
        <v>881</v>
      </c>
      <c r="J525" s="215" t="s">
        <v>350</v>
      </c>
      <c r="K525" s="215" t="s">
        <v>1352</v>
      </c>
      <c r="L525" s="216">
        <v>46168.333333333336</v>
      </c>
      <c r="M525" s="216">
        <v>46168.334027777775</v>
      </c>
      <c r="N525" s="215" t="s">
        <v>297</v>
      </c>
      <c r="O525" s="157" t="s">
        <v>206</v>
      </c>
      <c r="P525" s="92"/>
      <c r="Q525" s="145" t="s">
        <v>206</v>
      </c>
      <c r="R525" s="92"/>
      <c r="S525" s="145" t="s">
        <v>206</v>
      </c>
      <c r="T525" s="92"/>
      <c r="U525" s="145" t="s">
        <v>206</v>
      </c>
      <c r="V525" s="92"/>
      <c r="W525" s="145" t="s">
        <v>206</v>
      </c>
      <c r="X525" s="92"/>
      <c r="Y525" s="145" t="s">
        <v>206</v>
      </c>
      <c r="Z525" s="92"/>
      <c r="AA525" s="145" t="s">
        <v>206</v>
      </c>
      <c r="AB525" s="92"/>
      <c r="AC525" s="145" t="s">
        <v>206</v>
      </c>
      <c r="AD525" s="92"/>
      <c r="AE525" s="145" t="s">
        <v>239</v>
      </c>
      <c r="AF525" s="182" t="str">
        <f t="shared" si="27"/>
        <v>NC</v>
      </c>
      <c r="AG525" s="54" t="str">
        <f t="shared" si="28"/>
        <v>NÃO UTILIZOU O PDA</v>
      </c>
      <c r="AH525" s="145" t="s">
        <v>205</v>
      </c>
      <c r="AI525" s="192" t="s">
        <v>6</v>
      </c>
      <c r="AJ525" s="96" t="str">
        <f t="shared" si="29"/>
        <v>SÃO PAULO</v>
      </c>
      <c r="AK525" s="193" t="s">
        <v>39</v>
      </c>
    </row>
    <row r="526" spans="1:37" ht="30" customHeight="1">
      <c r="A526" s="215" t="s">
        <v>198</v>
      </c>
      <c r="B526" s="215">
        <v>2621896846</v>
      </c>
      <c r="C526" s="215" t="s">
        <v>99</v>
      </c>
      <c r="D526" s="215" t="s">
        <v>81</v>
      </c>
      <c r="E526" s="215" t="s">
        <v>5</v>
      </c>
      <c r="F526" s="215" t="s">
        <v>1361</v>
      </c>
      <c r="G526" s="215">
        <v>62</v>
      </c>
      <c r="H526" s="215"/>
      <c r="I526" s="215" t="s">
        <v>448</v>
      </c>
      <c r="J526" s="215" t="s">
        <v>268</v>
      </c>
      <c r="K526" s="215"/>
      <c r="L526" s="216">
        <v>46168.618750000001</v>
      </c>
      <c r="M526" s="216">
        <v>46168.620138888888</v>
      </c>
      <c r="N526" s="215" t="s">
        <v>235</v>
      </c>
      <c r="O526" s="157" t="s">
        <v>205</v>
      </c>
      <c r="P526" s="92"/>
      <c r="Q526" s="145" t="s">
        <v>205</v>
      </c>
      <c r="R526" s="92"/>
      <c r="S526" s="145" t="s">
        <v>205</v>
      </c>
      <c r="T526" s="92"/>
      <c r="U526" s="145" t="s">
        <v>205</v>
      </c>
      <c r="V526" s="92"/>
      <c r="W526" s="145" t="s">
        <v>205</v>
      </c>
      <c r="X526" s="92"/>
      <c r="Y526" s="145" t="s">
        <v>205</v>
      </c>
      <c r="Z526" s="92"/>
      <c r="AA526" s="145" t="s">
        <v>205</v>
      </c>
      <c r="AB526" s="92"/>
      <c r="AC526" s="145" t="s">
        <v>205</v>
      </c>
      <c r="AD526" s="92"/>
      <c r="AE526" s="145" t="s">
        <v>205</v>
      </c>
      <c r="AF526" s="182" t="str">
        <f t="shared" si="27"/>
        <v>C</v>
      </c>
      <c r="AG526" s="54" t="str">
        <f t="shared" si="28"/>
        <v>UTILIZOU O PDA CORRETAMENTE</v>
      </c>
      <c r="AH526" s="145" t="s">
        <v>205</v>
      </c>
      <c r="AI526" s="192" t="s">
        <v>6</v>
      </c>
      <c r="AJ526" s="96" t="str">
        <f t="shared" si="29"/>
        <v>SÃO PAULO</v>
      </c>
      <c r="AK526" s="193" t="s">
        <v>39</v>
      </c>
    </row>
    <row r="527" spans="1:37" ht="30" customHeight="1">
      <c r="A527" s="215" t="s">
        <v>198</v>
      </c>
      <c r="B527" s="215">
        <v>2622138799</v>
      </c>
      <c r="C527" s="215" t="s">
        <v>106</v>
      </c>
      <c r="D527" s="215" t="s">
        <v>81</v>
      </c>
      <c r="E527" s="215" t="s">
        <v>5</v>
      </c>
      <c r="F527" s="215" t="s">
        <v>1081</v>
      </c>
      <c r="G527" s="215">
        <v>67</v>
      </c>
      <c r="H527" s="215" t="s">
        <v>200</v>
      </c>
      <c r="I527" s="215" t="s">
        <v>1082</v>
      </c>
      <c r="J527" s="215" t="s">
        <v>350</v>
      </c>
      <c r="K527" s="215" t="s">
        <v>1362</v>
      </c>
      <c r="L527" s="216">
        <v>46168.458333333336</v>
      </c>
      <c r="M527" s="216">
        <v>46168.459027777775</v>
      </c>
      <c r="N527" s="215" t="s">
        <v>297</v>
      </c>
      <c r="O527" s="157" t="s">
        <v>206</v>
      </c>
      <c r="P527" s="92"/>
      <c r="Q527" s="145" t="s">
        <v>206</v>
      </c>
      <c r="R527" s="92"/>
      <c r="S527" s="145" t="s">
        <v>206</v>
      </c>
      <c r="T527" s="92"/>
      <c r="U527" s="145" t="s">
        <v>206</v>
      </c>
      <c r="V527" s="92"/>
      <c r="W527" s="145" t="s">
        <v>206</v>
      </c>
      <c r="X527" s="92"/>
      <c r="Y527" s="145" t="s">
        <v>206</v>
      </c>
      <c r="Z527" s="92"/>
      <c r="AA527" s="145" t="s">
        <v>206</v>
      </c>
      <c r="AB527" s="92"/>
      <c r="AC527" s="145" t="s">
        <v>206</v>
      </c>
      <c r="AD527" s="92"/>
      <c r="AE527" s="145" t="s">
        <v>239</v>
      </c>
      <c r="AF527" s="182" t="str">
        <f t="shared" si="27"/>
        <v>NC</v>
      </c>
      <c r="AG527" s="54" t="str">
        <f t="shared" si="28"/>
        <v>NÃO UTILIZOU O PDA</v>
      </c>
      <c r="AH527" s="145" t="s">
        <v>205</v>
      </c>
      <c r="AI527" s="192" t="s">
        <v>6</v>
      </c>
      <c r="AJ527" s="96" t="str">
        <f t="shared" si="29"/>
        <v>SÃO PAULO</v>
      </c>
      <c r="AK527" s="193" t="s">
        <v>39</v>
      </c>
    </row>
    <row r="528" spans="1:37" ht="30" customHeight="1">
      <c r="A528" s="215" t="s">
        <v>198</v>
      </c>
      <c r="B528" s="215">
        <v>2694168591</v>
      </c>
      <c r="C528" s="215" t="s">
        <v>89</v>
      </c>
      <c r="D528" s="215" t="s">
        <v>78</v>
      </c>
      <c r="E528" s="215" t="s">
        <v>5</v>
      </c>
      <c r="F528" s="215" t="s">
        <v>1363</v>
      </c>
      <c r="G528" s="215">
        <v>345</v>
      </c>
      <c r="H528" s="215" t="s">
        <v>417</v>
      </c>
      <c r="I528" s="215" t="s">
        <v>227</v>
      </c>
      <c r="J528" s="215" t="s">
        <v>238</v>
      </c>
      <c r="K528" s="215" t="s">
        <v>1352</v>
      </c>
      <c r="L528" s="216">
        <v>46168.251388888886</v>
      </c>
      <c r="M528" s="216">
        <v>46168.253472222219</v>
      </c>
      <c r="N528" s="215" t="s">
        <v>341</v>
      </c>
      <c r="O528" s="157" t="s">
        <v>62</v>
      </c>
      <c r="P528" s="92"/>
      <c r="Q528" s="145" t="s">
        <v>62</v>
      </c>
      <c r="R528" s="92"/>
      <c r="S528" s="145" t="s">
        <v>62</v>
      </c>
      <c r="T528" s="92"/>
      <c r="U528" s="145" t="s">
        <v>62</v>
      </c>
      <c r="V528" s="92"/>
      <c r="W528" s="145" t="s">
        <v>62</v>
      </c>
      <c r="X528" s="92"/>
      <c r="Y528" s="145" t="s">
        <v>62</v>
      </c>
      <c r="Z528" s="92"/>
      <c r="AA528" s="145" t="s">
        <v>62</v>
      </c>
      <c r="AB528" s="92"/>
      <c r="AC528" s="145" t="s">
        <v>62</v>
      </c>
      <c r="AD528" s="92"/>
      <c r="AE528" s="145" t="s">
        <v>62</v>
      </c>
      <c r="AF528" s="182" t="str">
        <f t="shared" si="27"/>
        <v>NA</v>
      </c>
      <c r="AG528" s="54" t="str">
        <f t="shared" si="28"/>
        <v>NÃO AVALIADO POR FALHA DE SINCRONISMO</v>
      </c>
      <c r="AH528" s="145"/>
      <c r="AI528" s="192" t="s">
        <v>6</v>
      </c>
      <c r="AJ528" s="96" t="str">
        <f t="shared" si="29"/>
        <v>SÃO PAULO</v>
      </c>
      <c r="AK528" s="193" t="s">
        <v>39</v>
      </c>
    </row>
    <row r="529" spans="1:37" ht="30" customHeight="1">
      <c r="A529" s="215" t="s">
        <v>198</v>
      </c>
      <c r="B529" s="215">
        <v>2622152680</v>
      </c>
      <c r="C529" s="215" t="s">
        <v>87</v>
      </c>
      <c r="D529" s="215" t="s">
        <v>80</v>
      </c>
      <c r="E529" s="215" t="s">
        <v>5</v>
      </c>
      <c r="F529" s="215" t="s">
        <v>199</v>
      </c>
      <c r="G529" s="215">
        <v>0</v>
      </c>
      <c r="H529" s="215" t="s">
        <v>200</v>
      </c>
      <c r="I529" s="215" t="s">
        <v>1082</v>
      </c>
      <c r="J529" s="215" t="s">
        <v>216</v>
      </c>
      <c r="K529" s="215" t="s">
        <v>1364</v>
      </c>
      <c r="L529" s="216">
        <v>46168.808333333334</v>
      </c>
      <c r="M529" s="216">
        <v>46168.832638888889</v>
      </c>
      <c r="N529" s="215" t="s">
        <v>297</v>
      </c>
      <c r="O529" s="157" t="s">
        <v>205</v>
      </c>
      <c r="P529" s="92"/>
      <c r="Q529" s="145" t="s">
        <v>205</v>
      </c>
      <c r="R529" s="92"/>
      <c r="S529" s="145" t="s">
        <v>206</v>
      </c>
      <c r="T529" s="92"/>
      <c r="U529" s="145" t="s">
        <v>62</v>
      </c>
      <c r="V529" s="92"/>
      <c r="W529" s="145" t="s">
        <v>62</v>
      </c>
      <c r="X529" s="92"/>
      <c r="Y529" s="145" t="s">
        <v>62</v>
      </c>
      <c r="Z529" s="92"/>
      <c r="AA529" s="145" t="s">
        <v>206</v>
      </c>
      <c r="AB529" s="92"/>
      <c r="AC529" s="145" t="s">
        <v>205</v>
      </c>
      <c r="AD529" s="92"/>
      <c r="AE529" s="145" t="s">
        <v>205</v>
      </c>
      <c r="AF529" s="182" t="str">
        <f t="shared" si="27"/>
        <v>NC</v>
      </c>
      <c r="AG529" s="54" t="str">
        <f t="shared" si="28"/>
        <v>UTILIZOU O PDA CORRETAMENTE. NÃO HÁ FOTOS DE TODAS AS ETAPAS</v>
      </c>
      <c r="AH529" s="145"/>
      <c r="AI529" s="192" t="s">
        <v>6</v>
      </c>
      <c r="AJ529" s="96" t="str">
        <f t="shared" si="29"/>
        <v>SÃO PAULO</v>
      </c>
      <c r="AK529" s="193" t="s">
        <v>39</v>
      </c>
    </row>
    <row r="530" spans="1:37" ht="30" customHeight="1">
      <c r="A530" s="215" t="s">
        <v>198</v>
      </c>
      <c r="B530" s="215">
        <v>2622069597</v>
      </c>
      <c r="C530" s="215" t="s">
        <v>89</v>
      </c>
      <c r="D530" s="215" t="s">
        <v>78</v>
      </c>
      <c r="E530" s="215" t="s">
        <v>5</v>
      </c>
      <c r="F530" s="215" t="s">
        <v>631</v>
      </c>
      <c r="G530" s="215">
        <v>1089</v>
      </c>
      <c r="H530" s="215" t="s">
        <v>226</v>
      </c>
      <c r="I530" s="215" t="s">
        <v>397</v>
      </c>
      <c r="J530" s="215" t="s">
        <v>238</v>
      </c>
      <c r="K530" s="215" t="s">
        <v>1365</v>
      </c>
      <c r="L530" s="216">
        <v>46168.661805555559</v>
      </c>
      <c r="M530" s="216">
        <v>46168.686111111114</v>
      </c>
      <c r="N530" s="215" t="s">
        <v>221</v>
      </c>
      <c r="O530" s="157" t="s">
        <v>205</v>
      </c>
      <c r="P530" s="92"/>
      <c r="Q530" s="145" t="s">
        <v>205</v>
      </c>
      <c r="R530" s="92"/>
      <c r="S530" s="145" t="s">
        <v>205</v>
      </c>
      <c r="T530" s="92"/>
      <c r="U530" s="145" t="s">
        <v>205</v>
      </c>
      <c r="V530" s="92"/>
      <c r="W530" s="145" t="s">
        <v>205</v>
      </c>
      <c r="X530" s="92"/>
      <c r="Y530" s="145" t="s">
        <v>62</v>
      </c>
      <c r="Z530" s="92"/>
      <c r="AA530" s="145" t="s">
        <v>205</v>
      </c>
      <c r="AB530" s="92"/>
      <c r="AC530" s="145" t="s">
        <v>205</v>
      </c>
      <c r="AD530" s="92"/>
      <c r="AE530" s="145" t="s">
        <v>205</v>
      </c>
      <c r="AF530" s="182" t="str">
        <f t="shared" si="27"/>
        <v>C</v>
      </c>
      <c r="AG530" s="54" t="str">
        <f t="shared" si="28"/>
        <v>UTILIZOU O PDA CORRETAMENTE</v>
      </c>
      <c r="AH530" s="145" t="s">
        <v>205</v>
      </c>
      <c r="AI530" s="192" t="s">
        <v>6</v>
      </c>
      <c r="AJ530" s="96" t="str">
        <f t="shared" si="29"/>
        <v>SÃO PAULO</v>
      </c>
      <c r="AK530" s="193" t="s">
        <v>39</v>
      </c>
    </row>
    <row r="531" spans="1:37" ht="30" customHeight="1">
      <c r="A531" s="215" t="s">
        <v>198</v>
      </c>
      <c r="B531" s="215">
        <v>2621685072</v>
      </c>
      <c r="C531" s="215" t="s">
        <v>101</v>
      </c>
      <c r="D531" s="215" t="s">
        <v>79</v>
      </c>
      <c r="E531" s="215" t="s">
        <v>5</v>
      </c>
      <c r="F531" s="215" t="s">
        <v>1278</v>
      </c>
      <c r="G531" s="215">
        <v>356</v>
      </c>
      <c r="H531" s="215" t="s">
        <v>200</v>
      </c>
      <c r="I531" s="215" t="s">
        <v>260</v>
      </c>
      <c r="J531" s="215" t="s">
        <v>233</v>
      </c>
      <c r="K531" s="215" t="s">
        <v>1366</v>
      </c>
      <c r="L531" s="216">
        <v>46168.25</v>
      </c>
      <c r="M531" s="216">
        <v>46168.250694444447</v>
      </c>
      <c r="N531" s="215" t="s">
        <v>341</v>
      </c>
      <c r="O531" s="157" t="s">
        <v>62</v>
      </c>
      <c r="P531" s="92"/>
      <c r="Q531" s="145" t="s">
        <v>62</v>
      </c>
      <c r="R531" s="92"/>
      <c r="S531" s="145" t="s">
        <v>62</v>
      </c>
      <c r="T531" s="92"/>
      <c r="U531" s="145" t="s">
        <v>62</v>
      </c>
      <c r="V531" s="92"/>
      <c r="W531" s="145" t="s">
        <v>62</v>
      </c>
      <c r="X531" s="92"/>
      <c r="Y531" s="145" t="s">
        <v>62</v>
      </c>
      <c r="Z531" s="92"/>
      <c r="AA531" s="145" t="s">
        <v>62</v>
      </c>
      <c r="AB531" s="92"/>
      <c r="AC531" s="145" t="s">
        <v>62</v>
      </c>
      <c r="AD531" s="92"/>
      <c r="AE531" s="145" t="s">
        <v>62</v>
      </c>
      <c r="AF531" s="182" t="str">
        <f t="shared" si="27"/>
        <v>NA</v>
      </c>
      <c r="AG531" s="54" t="str">
        <f t="shared" si="28"/>
        <v>NÃO AVALIADO POR FALHA DE SINCRONISMO</v>
      </c>
      <c r="AH531" s="145"/>
      <c r="AI531" s="192" t="s">
        <v>6</v>
      </c>
      <c r="AJ531" s="96" t="str">
        <f t="shared" si="29"/>
        <v>SÃO PAULO</v>
      </c>
      <c r="AK531" s="193" t="s">
        <v>39</v>
      </c>
    </row>
    <row r="532" spans="1:37" ht="30" customHeight="1">
      <c r="A532" s="215" t="s">
        <v>198</v>
      </c>
      <c r="B532" s="215">
        <v>2621839495</v>
      </c>
      <c r="C532" s="215" t="s">
        <v>287</v>
      </c>
      <c r="D532" s="215" t="s">
        <v>81</v>
      </c>
      <c r="E532" s="215" t="s">
        <v>5</v>
      </c>
      <c r="F532" s="215" t="s">
        <v>695</v>
      </c>
      <c r="G532" s="215">
        <v>569</v>
      </c>
      <c r="H532" s="215"/>
      <c r="I532" s="215" t="s">
        <v>274</v>
      </c>
      <c r="J532" s="215" t="s">
        <v>290</v>
      </c>
      <c r="K532" s="215"/>
      <c r="L532" s="216">
        <v>46168.740277777775</v>
      </c>
      <c r="M532" s="216">
        <v>46168.742361111108</v>
      </c>
      <c r="N532" s="215" t="s">
        <v>212</v>
      </c>
      <c r="O532" s="157" t="s">
        <v>205</v>
      </c>
      <c r="P532" s="92"/>
      <c r="Q532" s="145" t="s">
        <v>205</v>
      </c>
      <c r="R532" s="92"/>
      <c r="S532" s="145" t="s">
        <v>205</v>
      </c>
      <c r="T532" s="92"/>
      <c r="U532" s="145" t="s">
        <v>205</v>
      </c>
      <c r="V532" s="92"/>
      <c r="W532" s="145" t="s">
        <v>206</v>
      </c>
      <c r="X532" s="92"/>
      <c r="Y532" s="145" t="s">
        <v>62</v>
      </c>
      <c r="Z532" s="92"/>
      <c r="AA532" s="145" t="s">
        <v>205</v>
      </c>
      <c r="AB532" s="92"/>
      <c r="AC532" s="145" t="s">
        <v>205</v>
      </c>
      <c r="AD532" s="92"/>
      <c r="AE532" s="145" t="s">
        <v>205</v>
      </c>
      <c r="AF532" s="182" t="str">
        <f t="shared" si="27"/>
        <v>NC</v>
      </c>
      <c r="AG532" s="54" t="str">
        <f t="shared" si="28"/>
        <v>UTILIZOU O PDA CORRETAMENTE. NÃO HÁ FOTOS DE TODAS AS ETAPAS</v>
      </c>
      <c r="AH532" s="145" t="s">
        <v>205</v>
      </c>
      <c r="AI532" s="192" t="s">
        <v>6</v>
      </c>
      <c r="AJ532" s="96" t="str">
        <f t="shared" si="29"/>
        <v>SÃO PAULO</v>
      </c>
      <c r="AK532" s="193" t="s">
        <v>39</v>
      </c>
    </row>
    <row r="533" spans="1:37" ht="30" customHeight="1">
      <c r="A533" s="228" t="s">
        <v>198</v>
      </c>
      <c r="B533" s="228">
        <v>2621832454</v>
      </c>
      <c r="C533" s="228" t="s">
        <v>100</v>
      </c>
      <c r="D533" s="228" t="s">
        <v>81</v>
      </c>
      <c r="E533" s="228" t="s">
        <v>5</v>
      </c>
      <c r="F533" s="228" t="s">
        <v>311</v>
      </c>
      <c r="G533" s="228">
        <v>730</v>
      </c>
      <c r="H533" s="228" t="s">
        <v>200</v>
      </c>
      <c r="I533" s="228" t="s">
        <v>1207</v>
      </c>
      <c r="J533" s="228" t="s">
        <v>243</v>
      </c>
      <c r="K533" s="228" t="s">
        <v>1367</v>
      </c>
      <c r="L533" s="230">
        <v>46168.73541666667</v>
      </c>
      <c r="M533" s="230">
        <v>46168.741666666669</v>
      </c>
      <c r="N533" s="228" t="s">
        <v>230</v>
      </c>
      <c r="O533" s="157" t="s">
        <v>205</v>
      </c>
      <c r="P533" s="92"/>
      <c r="Q533" s="145" t="s">
        <v>205</v>
      </c>
      <c r="R533" s="92"/>
      <c r="S533" s="145" t="s">
        <v>205</v>
      </c>
      <c r="T533" s="92"/>
      <c r="U533" s="145" t="s">
        <v>205</v>
      </c>
      <c r="V533" s="92"/>
      <c r="W533" s="145" t="s">
        <v>205</v>
      </c>
      <c r="X533" s="92"/>
      <c r="Y533" s="145" t="s">
        <v>205</v>
      </c>
      <c r="Z533" s="92"/>
      <c r="AA533" s="145" t="s">
        <v>205</v>
      </c>
      <c r="AB533" s="92"/>
      <c r="AC533" s="145" t="s">
        <v>205</v>
      </c>
      <c r="AD533" s="92"/>
      <c r="AE533" s="145" t="s">
        <v>205</v>
      </c>
      <c r="AF533" s="182" t="str">
        <f t="shared" si="27"/>
        <v>C</v>
      </c>
      <c r="AG533" s="54" t="str">
        <f t="shared" si="28"/>
        <v>UTILIZOU O PDA CORRETAMENTE</v>
      </c>
      <c r="AH533" s="145" t="s">
        <v>205</v>
      </c>
      <c r="AI533" s="192" t="s">
        <v>6</v>
      </c>
      <c r="AJ533" s="96" t="str">
        <f t="shared" si="29"/>
        <v>SÃO PAULO</v>
      </c>
      <c r="AK533" s="193" t="s">
        <v>39</v>
      </c>
    </row>
    <row r="534" spans="1:37" ht="30" customHeight="1">
      <c r="A534" s="215" t="s">
        <v>198</v>
      </c>
      <c r="B534" s="215">
        <v>2621674717</v>
      </c>
      <c r="C534" s="215" t="s">
        <v>95</v>
      </c>
      <c r="D534" s="215" t="s">
        <v>77</v>
      </c>
      <c r="E534" s="215" t="s">
        <v>5</v>
      </c>
      <c r="F534" s="215" t="s">
        <v>1368</v>
      </c>
      <c r="G534" s="215">
        <v>234</v>
      </c>
      <c r="H534" s="215" t="s">
        <v>226</v>
      </c>
      <c r="I534" s="215" t="s">
        <v>1369</v>
      </c>
      <c r="J534" s="215" t="s">
        <v>95</v>
      </c>
      <c r="K534" s="215"/>
      <c r="L534" s="216">
        <v>46169.37777777778</v>
      </c>
      <c r="M534" s="216">
        <v>46169.387499999997</v>
      </c>
      <c r="N534" s="215" t="s">
        <v>254</v>
      </c>
      <c r="O534" s="157" t="s">
        <v>239</v>
      </c>
      <c r="P534" s="92" t="s">
        <v>303</v>
      </c>
      <c r="Q534" s="145" t="s">
        <v>239</v>
      </c>
      <c r="R534" s="92" t="s">
        <v>303</v>
      </c>
      <c r="S534" s="145" t="s">
        <v>239</v>
      </c>
      <c r="T534" s="92" t="s">
        <v>303</v>
      </c>
      <c r="U534" s="145" t="s">
        <v>239</v>
      </c>
      <c r="V534" s="92" t="s">
        <v>303</v>
      </c>
      <c r="W534" s="145" t="s">
        <v>239</v>
      </c>
      <c r="X534" s="92" t="s">
        <v>303</v>
      </c>
      <c r="Y534" s="145" t="s">
        <v>239</v>
      </c>
      <c r="Z534" s="92" t="s">
        <v>303</v>
      </c>
      <c r="AA534" s="145" t="s">
        <v>239</v>
      </c>
      <c r="AB534" s="92" t="s">
        <v>303</v>
      </c>
      <c r="AC534" s="145" t="s">
        <v>239</v>
      </c>
      <c r="AD534" s="92" t="s">
        <v>303</v>
      </c>
      <c r="AE534" s="145" t="s">
        <v>239</v>
      </c>
      <c r="AF534" s="182" t="str">
        <f t="shared" si="27"/>
        <v>NC</v>
      </c>
      <c r="AG534" s="54" t="str">
        <f t="shared" si="28"/>
        <v>NÃO UTILIZOU O PDA</v>
      </c>
      <c r="AH534" s="145" t="s">
        <v>205</v>
      </c>
      <c r="AI534" s="192" t="s">
        <v>6</v>
      </c>
      <c r="AJ534" s="96" t="str">
        <f t="shared" si="29"/>
        <v>SÃO PAULO</v>
      </c>
      <c r="AK534" s="193" t="s">
        <v>39</v>
      </c>
    </row>
    <row r="535" spans="1:37" ht="30" customHeight="1">
      <c r="A535" s="215" t="s">
        <v>198</v>
      </c>
      <c r="B535" s="215">
        <v>2622183200</v>
      </c>
      <c r="C535" s="215" t="s">
        <v>106</v>
      </c>
      <c r="D535" s="215" t="s">
        <v>81</v>
      </c>
      <c r="E535" s="215" t="s">
        <v>5</v>
      </c>
      <c r="F535" s="215" t="s">
        <v>1037</v>
      </c>
      <c r="G535" s="215">
        <v>59</v>
      </c>
      <c r="H535" s="215" t="s">
        <v>226</v>
      </c>
      <c r="I535" s="215" t="s">
        <v>1038</v>
      </c>
      <c r="J535" s="215" t="s">
        <v>228</v>
      </c>
      <c r="K535" s="215" t="s">
        <v>325</v>
      </c>
      <c r="L535" s="216">
        <v>46169.397222222222</v>
      </c>
      <c r="M535" s="216">
        <v>46169.426388888889</v>
      </c>
      <c r="N535" s="215" t="s">
        <v>326</v>
      </c>
      <c r="O535" s="157" t="s">
        <v>205</v>
      </c>
      <c r="P535" s="92"/>
      <c r="Q535" s="145" t="s">
        <v>205</v>
      </c>
      <c r="R535" s="92"/>
      <c r="S535" s="145" t="s">
        <v>205</v>
      </c>
      <c r="T535" s="92"/>
      <c r="U535" s="145" t="s">
        <v>205</v>
      </c>
      <c r="V535" s="92"/>
      <c r="W535" s="145" t="s">
        <v>205</v>
      </c>
      <c r="X535" s="92"/>
      <c r="Y535" s="145" t="s">
        <v>62</v>
      </c>
      <c r="Z535" s="92"/>
      <c r="AA535" s="145" t="s">
        <v>205</v>
      </c>
      <c r="AB535" s="92"/>
      <c r="AC535" s="145" t="s">
        <v>205</v>
      </c>
      <c r="AD535" s="92"/>
      <c r="AE535" s="145" t="s">
        <v>205</v>
      </c>
      <c r="AF535" s="182" t="str">
        <f t="shared" si="27"/>
        <v>C</v>
      </c>
      <c r="AG535" s="54" t="str">
        <f t="shared" si="28"/>
        <v>UTILIZOU O PDA CORRETAMENTE</v>
      </c>
      <c r="AH535" s="145" t="s">
        <v>205</v>
      </c>
      <c r="AI535" s="192" t="s">
        <v>6</v>
      </c>
      <c r="AJ535" s="96" t="str">
        <f t="shared" si="29"/>
        <v>SÃO PAULO</v>
      </c>
      <c r="AK535" s="193" t="s">
        <v>39</v>
      </c>
    </row>
    <row r="536" spans="1:37" ht="30" customHeight="1">
      <c r="A536" s="215" t="s">
        <v>198</v>
      </c>
      <c r="B536" s="215">
        <v>2694183929</v>
      </c>
      <c r="C536" s="215" t="s">
        <v>107</v>
      </c>
      <c r="D536" s="215" t="s">
        <v>81</v>
      </c>
      <c r="E536" s="215" t="s">
        <v>5</v>
      </c>
      <c r="F536" s="215" t="s">
        <v>1370</v>
      </c>
      <c r="G536" s="215">
        <v>93</v>
      </c>
      <c r="H536" s="215"/>
      <c r="I536" s="215" t="s">
        <v>427</v>
      </c>
      <c r="J536" s="215" t="s">
        <v>268</v>
      </c>
      <c r="K536" s="215"/>
      <c r="L536" s="216">
        <v>46169.25</v>
      </c>
      <c r="M536" s="216">
        <v>46169.250694444447</v>
      </c>
      <c r="N536" s="215" t="s">
        <v>248</v>
      </c>
      <c r="O536" s="157" t="s">
        <v>205</v>
      </c>
      <c r="P536" s="92"/>
      <c r="Q536" s="145" t="s">
        <v>205</v>
      </c>
      <c r="R536" s="92"/>
      <c r="S536" s="145" t="s">
        <v>205</v>
      </c>
      <c r="T536" s="92"/>
      <c r="U536" s="145" t="s">
        <v>205</v>
      </c>
      <c r="V536" s="92"/>
      <c r="W536" s="145" t="s">
        <v>205</v>
      </c>
      <c r="X536" s="92"/>
      <c r="Y536" s="145" t="s">
        <v>239</v>
      </c>
      <c r="Z536" s="92" t="s">
        <v>519</v>
      </c>
      <c r="AA536" s="145" t="s">
        <v>205</v>
      </c>
      <c r="AB536" s="92"/>
      <c r="AC536" s="145" t="s">
        <v>205</v>
      </c>
      <c r="AD536" s="92"/>
      <c r="AE536" s="145" t="s">
        <v>205</v>
      </c>
      <c r="AF536" s="182" t="str">
        <f t="shared" si="27"/>
        <v>NC</v>
      </c>
      <c r="AG536" s="54" t="str">
        <f t="shared" si="28"/>
        <v>UTILIZOU O PDA CORRETAMENTE. NÃO HÁ FOTOS DE TODAS AS ETAPAS</v>
      </c>
      <c r="AH536" s="145" t="s">
        <v>205</v>
      </c>
      <c r="AI536" s="192" t="s">
        <v>6</v>
      </c>
      <c r="AJ536" s="96" t="str">
        <f t="shared" si="29"/>
        <v>SÃO PAULO</v>
      </c>
      <c r="AK536" s="193" t="s">
        <v>39</v>
      </c>
    </row>
    <row r="537" spans="1:37" ht="30" customHeight="1">
      <c r="A537" s="215" t="s">
        <v>198</v>
      </c>
      <c r="B537" s="215">
        <v>2694195899</v>
      </c>
      <c r="C537" s="215" t="s">
        <v>103</v>
      </c>
      <c r="D537" s="215" t="s">
        <v>81</v>
      </c>
      <c r="E537" s="215" t="s">
        <v>5</v>
      </c>
      <c r="F537" s="215" t="s">
        <v>1371</v>
      </c>
      <c r="G537" s="215">
        <v>302</v>
      </c>
      <c r="H537" s="215" t="s">
        <v>200</v>
      </c>
      <c r="I537" s="215" t="s">
        <v>737</v>
      </c>
      <c r="J537" s="215" t="s">
        <v>268</v>
      </c>
      <c r="K537" s="215" t="s">
        <v>1372</v>
      </c>
      <c r="L537" s="216">
        <v>46169.25</v>
      </c>
      <c r="M537" s="216">
        <v>46169.250694444447</v>
      </c>
      <c r="N537" s="215" t="s">
        <v>248</v>
      </c>
      <c r="O537" s="157" t="s">
        <v>205</v>
      </c>
      <c r="P537" s="92"/>
      <c r="Q537" s="145" t="s">
        <v>205</v>
      </c>
      <c r="R537" s="92"/>
      <c r="S537" s="145" t="s">
        <v>205</v>
      </c>
      <c r="T537" s="92"/>
      <c r="U537" s="145" t="s">
        <v>205</v>
      </c>
      <c r="V537" s="92"/>
      <c r="W537" s="145" t="s">
        <v>205</v>
      </c>
      <c r="X537" s="92"/>
      <c r="Y537" s="145" t="s">
        <v>205</v>
      </c>
      <c r="Z537" s="92"/>
      <c r="AA537" s="145" t="s">
        <v>205</v>
      </c>
      <c r="AB537" s="92"/>
      <c r="AC537" s="145" t="s">
        <v>205</v>
      </c>
      <c r="AD537" s="92"/>
      <c r="AE537" s="145" t="s">
        <v>205</v>
      </c>
      <c r="AF537" s="182" t="str">
        <f t="shared" si="27"/>
        <v>C</v>
      </c>
      <c r="AG537" s="54" t="str">
        <f t="shared" si="28"/>
        <v>UTILIZOU O PDA CORRETAMENTE</v>
      </c>
      <c r="AH537" s="145" t="s">
        <v>205</v>
      </c>
      <c r="AI537" s="192" t="s">
        <v>6</v>
      </c>
      <c r="AJ537" s="96" t="str">
        <f t="shared" si="29"/>
        <v>SÃO PAULO</v>
      </c>
      <c r="AK537" s="193" t="s">
        <v>39</v>
      </c>
    </row>
    <row r="538" spans="1:37" ht="30" customHeight="1">
      <c r="A538" s="215" t="s">
        <v>198</v>
      </c>
      <c r="B538" s="215">
        <v>2694263556</v>
      </c>
      <c r="C538" s="215" t="s">
        <v>103</v>
      </c>
      <c r="D538" s="215" t="s">
        <v>81</v>
      </c>
      <c r="E538" s="215" t="s">
        <v>5</v>
      </c>
      <c r="F538" s="215" t="s">
        <v>1314</v>
      </c>
      <c r="G538" s="215">
        <v>50</v>
      </c>
      <c r="H538" s="215"/>
      <c r="I538" s="215" t="s">
        <v>497</v>
      </c>
      <c r="J538" s="215" t="s">
        <v>322</v>
      </c>
      <c r="K538" s="215"/>
      <c r="L538" s="216">
        <v>46169.25</v>
      </c>
      <c r="M538" s="216">
        <v>46169.250694444447</v>
      </c>
      <c r="N538" s="215" t="s">
        <v>357</v>
      </c>
      <c r="O538" s="157" t="s">
        <v>205</v>
      </c>
      <c r="P538" s="92"/>
      <c r="Q538" s="145" t="s">
        <v>205</v>
      </c>
      <c r="R538" s="92"/>
      <c r="S538" s="145" t="s">
        <v>205</v>
      </c>
      <c r="T538" s="92"/>
      <c r="U538" s="145" t="s">
        <v>205</v>
      </c>
      <c r="V538" s="92"/>
      <c r="W538" s="145" t="s">
        <v>205</v>
      </c>
      <c r="X538" s="92"/>
      <c r="Y538" s="145" t="s">
        <v>62</v>
      </c>
      <c r="Z538" s="92"/>
      <c r="AA538" s="145" t="s">
        <v>205</v>
      </c>
      <c r="AB538" s="92"/>
      <c r="AC538" s="145" t="s">
        <v>205</v>
      </c>
      <c r="AD538" s="92"/>
      <c r="AE538" s="145" t="s">
        <v>205</v>
      </c>
      <c r="AF538" s="182" t="str">
        <f t="shared" si="27"/>
        <v>C</v>
      </c>
      <c r="AG538" s="54" t="str">
        <f t="shared" si="28"/>
        <v>UTILIZOU O PDA CORRETAMENTE</v>
      </c>
      <c r="AH538" s="145" t="s">
        <v>205</v>
      </c>
      <c r="AI538" s="192" t="s">
        <v>6</v>
      </c>
      <c r="AJ538" s="96" t="str">
        <f t="shared" si="29"/>
        <v>SÃO PAULO</v>
      </c>
      <c r="AK538" s="193" t="s">
        <v>39</v>
      </c>
    </row>
    <row r="539" spans="1:37" ht="30" customHeight="1">
      <c r="A539" s="215" t="s">
        <v>198</v>
      </c>
      <c r="B539" s="215">
        <v>2622143513</v>
      </c>
      <c r="C539" s="215" t="s">
        <v>107</v>
      </c>
      <c r="D539" s="215" t="s">
        <v>81</v>
      </c>
      <c r="E539" s="215" t="s">
        <v>5</v>
      </c>
      <c r="F539" s="215" t="s">
        <v>1373</v>
      </c>
      <c r="G539" s="215">
        <v>23</v>
      </c>
      <c r="H539" s="215" t="s">
        <v>200</v>
      </c>
      <c r="I539" s="215" t="s">
        <v>260</v>
      </c>
      <c r="J539" s="215" t="s">
        <v>220</v>
      </c>
      <c r="K539" s="215" t="s">
        <v>200</v>
      </c>
      <c r="L539" s="216">
        <v>46169.371527777781</v>
      </c>
      <c r="M539" s="216">
        <v>46169.412499999999</v>
      </c>
      <c r="N539" s="215" t="s">
        <v>235</v>
      </c>
      <c r="O539" s="157" t="s">
        <v>205</v>
      </c>
      <c r="P539" s="92"/>
      <c r="Q539" s="145" t="s">
        <v>205</v>
      </c>
      <c r="R539" s="92"/>
      <c r="S539" s="145" t="s">
        <v>205</v>
      </c>
      <c r="T539" s="92"/>
      <c r="U539" s="145" t="s">
        <v>205</v>
      </c>
      <c r="V539" s="92"/>
      <c r="W539" s="145" t="s">
        <v>205</v>
      </c>
      <c r="X539" s="92"/>
      <c r="Y539" s="145" t="s">
        <v>62</v>
      </c>
      <c r="Z539" s="92"/>
      <c r="AA539" s="145" t="s">
        <v>205</v>
      </c>
      <c r="AB539" s="92"/>
      <c r="AC539" s="145" t="s">
        <v>205</v>
      </c>
      <c r="AD539" s="92"/>
      <c r="AE539" s="145" t="s">
        <v>205</v>
      </c>
      <c r="AF539" s="182" t="str">
        <f t="shared" si="27"/>
        <v>C</v>
      </c>
      <c r="AG539" s="54" t="str">
        <f t="shared" si="28"/>
        <v>UTILIZOU O PDA CORRETAMENTE</v>
      </c>
      <c r="AH539" s="145" t="s">
        <v>205</v>
      </c>
      <c r="AI539" s="192" t="s">
        <v>6</v>
      </c>
      <c r="AJ539" s="96" t="str">
        <f t="shared" si="29"/>
        <v>SÃO PAULO</v>
      </c>
      <c r="AK539" s="193" t="s">
        <v>39</v>
      </c>
    </row>
    <row r="540" spans="1:37" ht="30" customHeight="1">
      <c r="A540" s="215" t="s">
        <v>198</v>
      </c>
      <c r="B540" s="215">
        <v>2622144386</v>
      </c>
      <c r="C540" s="215" t="s">
        <v>107</v>
      </c>
      <c r="D540" s="215" t="s">
        <v>81</v>
      </c>
      <c r="E540" s="215" t="s">
        <v>5</v>
      </c>
      <c r="F540" s="215" t="s">
        <v>561</v>
      </c>
      <c r="G540" s="215">
        <v>33</v>
      </c>
      <c r="H540" s="215"/>
      <c r="I540" s="215" t="s">
        <v>607</v>
      </c>
      <c r="J540" s="215" t="s">
        <v>268</v>
      </c>
      <c r="K540" s="215"/>
      <c r="L540" s="216">
        <v>46169.25</v>
      </c>
      <c r="M540" s="216">
        <v>46169.250694444447</v>
      </c>
      <c r="N540" s="215" t="s">
        <v>235</v>
      </c>
      <c r="O540" s="157" t="s">
        <v>205</v>
      </c>
      <c r="P540" s="92"/>
      <c r="Q540" s="145" t="s">
        <v>205</v>
      </c>
      <c r="R540" s="92"/>
      <c r="S540" s="145" t="s">
        <v>205</v>
      </c>
      <c r="T540" s="92"/>
      <c r="U540" s="145" t="s">
        <v>205</v>
      </c>
      <c r="V540" s="92"/>
      <c r="W540" s="145" t="s">
        <v>205</v>
      </c>
      <c r="X540" s="92"/>
      <c r="Y540" s="145" t="s">
        <v>205</v>
      </c>
      <c r="Z540" s="92"/>
      <c r="AA540" s="145" t="s">
        <v>205</v>
      </c>
      <c r="AB540" s="92"/>
      <c r="AC540" s="145" t="s">
        <v>205</v>
      </c>
      <c r="AD540" s="92"/>
      <c r="AE540" s="145" t="s">
        <v>205</v>
      </c>
      <c r="AF540" s="182" t="str">
        <f t="shared" si="27"/>
        <v>C</v>
      </c>
      <c r="AG540" s="54" t="str">
        <f t="shared" si="28"/>
        <v>UTILIZOU O PDA CORRETAMENTE</v>
      </c>
      <c r="AH540" s="145" t="s">
        <v>205</v>
      </c>
      <c r="AI540" s="192" t="s">
        <v>6</v>
      </c>
      <c r="AJ540" s="96" t="str">
        <f t="shared" si="29"/>
        <v>SÃO PAULO</v>
      </c>
      <c r="AK540" s="193" t="s">
        <v>39</v>
      </c>
    </row>
    <row r="541" spans="1:37" ht="30" customHeight="1">
      <c r="A541" s="215" t="s">
        <v>198</v>
      </c>
      <c r="B541" s="215">
        <v>2621884340</v>
      </c>
      <c r="C541" s="215" t="s">
        <v>84</v>
      </c>
      <c r="D541" s="215" t="s">
        <v>77</v>
      </c>
      <c r="E541" s="215" t="s">
        <v>5</v>
      </c>
      <c r="F541" s="215" t="s">
        <v>1374</v>
      </c>
      <c r="G541" s="215">
        <v>57</v>
      </c>
      <c r="H541" s="215" t="s">
        <v>708</v>
      </c>
      <c r="I541" s="215" t="s">
        <v>1375</v>
      </c>
      <c r="J541" s="215" t="s">
        <v>252</v>
      </c>
      <c r="K541" s="215" t="s">
        <v>200</v>
      </c>
      <c r="L541" s="216">
        <v>46169.578472222223</v>
      </c>
      <c r="M541" s="216">
        <v>46169.581250000003</v>
      </c>
      <c r="N541" s="215" t="s">
        <v>310</v>
      </c>
      <c r="O541" s="157" t="s">
        <v>205</v>
      </c>
      <c r="P541" s="92"/>
      <c r="Q541" s="145" t="s">
        <v>205</v>
      </c>
      <c r="R541" s="92"/>
      <c r="S541" s="145" t="s">
        <v>205</v>
      </c>
      <c r="T541" s="92"/>
      <c r="U541" s="145" t="s">
        <v>205</v>
      </c>
      <c r="V541" s="92"/>
      <c r="W541" s="145" t="s">
        <v>205</v>
      </c>
      <c r="X541" s="92"/>
      <c r="Y541" s="145" t="s">
        <v>205</v>
      </c>
      <c r="Z541" s="92"/>
      <c r="AA541" s="145" t="s">
        <v>205</v>
      </c>
      <c r="AB541" s="92"/>
      <c r="AC541" s="145" t="s">
        <v>205</v>
      </c>
      <c r="AD541" s="92" t="s">
        <v>1376</v>
      </c>
      <c r="AE541" s="145" t="s">
        <v>205</v>
      </c>
      <c r="AF541" s="182" t="str">
        <f t="shared" si="27"/>
        <v>C</v>
      </c>
      <c r="AG541" s="54" t="str">
        <f t="shared" si="28"/>
        <v>UTILIZOU O PDA CORRETAMENTE</v>
      </c>
      <c r="AH541" s="145" t="s">
        <v>205</v>
      </c>
      <c r="AI541" s="192" t="s">
        <v>6</v>
      </c>
      <c r="AJ541" s="96" t="str">
        <f t="shared" si="29"/>
        <v>SÃO PAULO</v>
      </c>
      <c r="AK541" s="193" t="s">
        <v>39</v>
      </c>
    </row>
    <row r="542" spans="1:37" ht="30" customHeight="1">
      <c r="A542" s="215" t="s">
        <v>198</v>
      </c>
      <c r="B542" s="215">
        <v>2621881562</v>
      </c>
      <c r="C542" s="215" t="s">
        <v>84</v>
      </c>
      <c r="D542" s="215" t="s">
        <v>77</v>
      </c>
      <c r="E542" s="215" t="s">
        <v>5</v>
      </c>
      <c r="F542" s="215" t="s">
        <v>1374</v>
      </c>
      <c r="G542" s="215">
        <v>57</v>
      </c>
      <c r="H542" s="215" t="s">
        <v>481</v>
      </c>
      <c r="I542" s="215" t="s">
        <v>1375</v>
      </c>
      <c r="J542" s="215" t="s">
        <v>252</v>
      </c>
      <c r="K542" s="215"/>
      <c r="L542" s="216">
        <v>46169.48541666667</v>
      </c>
      <c r="M542" s="216">
        <v>46169.489583333336</v>
      </c>
      <c r="N542" s="215" t="s">
        <v>310</v>
      </c>
      <c r="O542" s="157" t="s">
        <v>205</v>
      </c>
      <c r="P542" s="92"/>
      <c r="Q542" s="145" t="s">
        <v>205</v>
      </c>
      <c r="R542" s="92"/>
      <c r="S542" s="145" t="s">
        <v>205</v>
      </c>
      <c r="T542" s="92"/>
      <c r="U542" s="145" t="s">
        <v>205</v>
      </c>
      <c r="V542" s="92"/>
      <c r="W542" s="145" t="s">
        <v>205</v>
      </c>
      <c r="X542" s="92"/>
      <c r="Y542" s="145" t="s">
        <v>205</v>
      </c>
      <c r="Z542" s="92"/>
      <c r="AA542" s="145" t="s">
        <v>205</v>
      </c>
      <c r="AB542" s="92"/>
      <c r="AC542" s="145" t="s">
        <v>205</v>
      </c>
      <c r="AD542" s="92" t="s">
        <v>1376</v>
      </c>
      <c r="AE542" s="145"/>
      <c r="AF542" s="182" t="str">
        <f t="shared" si="27"/>
        <v>C</v>
      </c>
      <c r="AG542" s="54" t="b">
        <f t="shared" si="28"/>
        <v>0</v>
      </c>
      <c r="AH542" s="145"/>
      <c r="AI542" s="192" t="s">
        <v>6</v>
      </c>
      <c r="AJ542" s="96" t="str">
        <f t="shared" si="29"/>
        <v>SÃO PAULO</v>
      </c>
      <c r="AK542" s="193" t="s">
        <v>39</v>
      </c>
    </row>
    <row r="543" spans="1:37" ht="30" customHeight="1">
      <c r="A543" s="215" t="s">
        <v>198</v>
      </c>
      <c r="B543" s="215">
        <v>2621884927</v>
      </c>
      <c r="C543" s="215" t="s">
        <v>84</v>
      </c>
      <c r="D543" s="215" t="s">
        <v>77</v>
      </c>
      <c r="E543" s="215" t="s">
        <v>5</v>
      </c>
      <c r="F543" s="215" t="s">
        <v>1374</v>
      </c>
      <c r="G543" s="215">
        <v>57</v>
      </c>
      <c r="H543" s="215" t="s">
        <v>652</v>
      </c>
      <c r="I543" s="215" t="s">
        <v>1375</v>
      </c>
      <c r="J543" s="215" t="s">
        <v>252</v>
      </c>
      <c r="K543" s="215" t="s">
        <v>200</v>
      </c>
      <c r="L543" s="216">
        <v>46169.583333333336</v>
      </c>
      <c r="M543" s="216">
        <v>46169.587500000001</v>
      </c>
      <c r="N543" s="215" t="s">
        <v>310</v>
      </c>
      <c r="O543" s="157" t="s">
        <v>205</v>
      </c>
      <c r="P543" s="92"/>
      <c r="Q543" s="145" t="s">
        <v>205</v>
      </c>
      <c r="R543" s="92"/>
      <c r="S543" s="145" t="s">
        <v>205</v>
      </c>
      <c r="T543" s="92"/>
      <c r="U543" s="145" t="s">
        <v>205</v>
      </c>
      <c r="V543" s="92"/>
      <c r="W543" s="145" t="s">
        <v>205</v>
      </c>
      <c r="X543" s="92"/>
      <c r="Y543" s="145" t="s">
        <v>205</v>
      </c>
      <c r="Z543" s="92"/>
      <c r="AA543" s="145" t="s">
        <v>205</v>
      </c>
      <c r="AB543" s="92"/>
      <c r="AC543" s="145" t="s">
        <v>205</v>
      </c>
      <c r="AD543" s="92" t="s">
        <v>1376</v>
      </c>
      <c r="AE543" s="145"/>
      <c r="AF543" s="182" t="str">
        <f t="shared" si="27"/>
        <v>C</v>
      </c>
      <c r="AG543" s="54" t="b">
        <f t="shared" si="28"/>
        <v>0</v>
      </c>
      <c r="AH543" s="145"/>
      <c r="AI543" s="192" t="s">
        <v>6</v>
      </c>
      <c r="AJ543" s="96" t="str">
        <f t="shared" si="29"/>
        <v>SÃO PAULO</v>
      </c>
      <c r="AK543" s="193" t="s">
        <v>39</v>
      </c>
    </row>
    <row r="544" spans="1:37" ht="30" customHeight="1">
      <c r="A544" s="215" t="s">
        <v>198</v>
      </c>
      <c r="B544" s="215">
        <v>2621882213</v>
      </c>
      <c r="C544" s="215" t="s">
        <v>84</v>
      </c>
      <c r="D544" s="215" t="s">
        <v>77</v>
      </c>
      <c r="E544" s="215" t="s">
        <v>5</v>
      </c>
      <c r="F544" s="215" t="s">
        <v>1374</v>
      </c>
      <c r="G544" s="215">
        <v>57</v>
      </c>
      <c r="H544" s="215" t="s">
        <v>363</v>
      </c>
      <c r="I544" s="215" t="s">
        <v>1375</v>
      </c>
      <c r="J544" s="215" t="s">
        <v>252</v>
      </c>
      <c r="K544" s="215"/>
      <c r="L544" s="216">
        <v>46169.490277777775</v>
      </c>
      <c r="M544" s="216">
        <v>46169.497916666667</v>
      </c>
      <c r="N544" s="215" t="s">
        <v>310</v>
      </c>
      <c r="O544" s="157" t="s">
        <v>205</v>
      </c>
      <c r="P544" s="92"/>
      <c r="Q544" s="145" t="s">
        <v>205</v>
      </c>
      <c r="R544" s="92"/>
      <c r="S544" s="145" t="s">
        <v>205</v>
      </c>
      <c r="T544" s="92"/>
      <c r="U544" s="145" t="s">
        <v>205</v>
      </c>
      <c r="V544" s="92"/>
      <c r="W544" s="145" t="s">
        <v>205</v>
      </c>
      <c r="X544" s="92"/>
      <c r="Y544" s="145" t="s">
        <v>205</v>
      </c>
      <c r="Z544" s="92"/>
      <c r="AA544" s="145" t="s">
        <v>205</v>
      </c>
      <c r="AB544" s="92"/>
      <c r="AC544" s="145" t="s">
        <v>205</v>
      </c>
      <c r="AD544" s="92" t="s">
        <v>1376</v>
      </c>
      <c r="AE544" s="145"/>
      <c r="AF544" s="182" t="str">
        <f t="shared" si="27"/>
        <v>C</v>
      </c>
      <c r="AG544" s="54" t="b">
        <f t="shared" si="28"/>
        <v>0</v>
      </c>
      <c r="AH544" s="145"/>
      <c r="AI544" s="192" t="s">
        <v>6</v>
      </c>
      <c r="AJ544" s="96" t="str">
        <f t="shared" si="29"/>
        <v>SÃO PAULO</v>
      </c>
      <c r="AK544" s="193" t="s">
        <v>39</v>
      </c>
    </row>
    <row r="545" spans="1:37" ht="30" customHeight="1">
      <c r="A545" s="215" t="s">
        <v>198</v>
      </c>
      <c r="B545" s="215">
        <v>2621883720</v>
      </c>
      <c r="C545" s="215" t="s">
        <v>84</v>
      </c>
      <c r="D545" s="215" t="s">
        <v>77</v>
      </c>
      <c r="E545" s="215" t="s">
        <v>5</v>
      </c>
      <c r="F545" s="215" t="s">
        <v>1374</v>
      </c>
      <c r="G545" s="215">
        <v>57</v>
      </c>
      <c r="H545" s="215" t="s">
        <v>250</v>
      </c>
      <c r="I545" s="215" t="s">
        <v>1375</v>
      </c>
      <c r="J545" s="215" t="s">
        <v>252</v>
      </c>
      <c r="K545" s="219" t="s">
        <v>1377</v>
      </c>
      <c r="L545" s="216">
        <v>46169.59375</v>
      </c>
      <c r="M545" s="216">
        <v>46169.640277777777</v>
      </c>
      <c r="N545" s="215" t="s">
        <v>310</v>
      </c>
      <c r="O545" s="157" t="s">
        <v>205</v>
      </c>
      <c r="P545" s="92"/>
      <c r="Q545" s="145" t="s">
        <v>205</v>
      </c>
      <c r="R545" s="92"/>
      <c r="S545" s="145" t="s">
        <v>205</v>
      </c>
      <c r="T545" s="92"/>
      <c r="U545" s="145" t="s">
        <v>205</v>
      </c>
      <c r="V545" s="92"/>
      <c r="W545" s="145" t="s">
        <v>205</v>
      </c>
      <c r="X545" s="92"/>
      <c r="Y545" s="145" t="s">
        <v>205</v>
      </c>
      <c r="Z545" s="92"/>
      <c r="AA545" s="145" t="s">
        <v>205</v>
      </c>
      <c r="AB545" s="92"/>
      <c r="AC545" s="145" t="s">
        <v>205</v>
      </c>
      <c r="AD545" s="92" t="s">
        <v>1376</v>
      </c>
      <c r="AE545" s="145"/>
      <c r="AF545" s="182" t="str">
        <f t="shared" si="27"/>
        <v>C</v>
      </c>
      <c r="AG545" s="54" t="b">
        <f t="shared" si="28"/>
        <v>0</v>
      </c>
      <c r="AH545" s="145"/>
      <c r="AI545" s="192" t="s">
        <v>6</v>
      </c>
      <c r="AJ545" s="96" t="str">
        <f t="shared" si="29"/>
        <v>SÃO PAULO</v>
      </c>
      <c r="AK545" s="193" t="s">
        <v>39</v>
      </c>
    </row>
    <row r="546" spans="1:37" ht="30" customHeight="1">
      <c r="A546" s="215" t="s">
        <v>198</v>
      </c>
      <c r="B546" s="215">
        <v>2621886103</v>
      </c>
      <c r="C546" s="215" t="s">
        <v>84</v>
      </c>
      <c r="D546" s="215" t="s">
        <v>77</v>
      </c>
      <c r="E546" s="215" t="s">
        <v>5</v>
      </c>
      <c r="F546" s="215" t="s">
        <v>1374</v>
      </c>
      <c r="G546" s="215">
        <v>57</v>
      </c>
      <c r="H546" s="215" t="s">
        <v>1235</v>
      </c>
      <c r="I546" s="215" t="s">
        <v>1375</v>
      </c>
      <c r="J546" s="215" t="s">
        <v>252</v>
      </c>
      <c r="K546" s="215"/>
      <c r="L546" s="216">
        <v>46169.588888888888</v>
      </c>
      <c r="M546" s="216">
        <v>46169.593055555553</v>
      </c>
      <c r="N546" s="215" t="s">
        <v>310</v>
      </c>
      <c r="O546" s="157" t="s">
        <v>205</v>
      </c>
      <c r="P546" s="92"/>
      <c r="Q546" s="145" t="s">
        <v>205</v>
      </c>
      <c r="R546" s="92"/>
      <c r="S546" s="145" t="s">
        <v>205</v>
      </c>
      <c r="T546" s="92"/>
      <c r="U546" s="145" t="s">
        <v>205</v>
      </c>
      <c r="V546" s="92"/>
      <c r="W546" s="145" t="s">
        <v>205</v>
      </c>
      <c r="X546" s="92"/>
      <c r="Y546" s="145" t="s">
        <v>205</v>
      </c>
      <c r="Z546" s="92"/>
      <c r="AA546" s="145" t="s">
        <v>205</v>
      </c>
      <c r="AB546" s="92"/>
      <c r="AC546" s="145" t="s">
        <v>205</v>
      </c>
      <c r="AD546" s="92" t="s">
        <v>1376</v>
      </c>
      <c r="AE546" s="145"/>
      <c r="AF546" s="182" t="str">
        <f t="shared" si="27"/>
        <v>C</v>
      </c>
      <c r="AG546" s="54" t="b">
        <f t="shared" si="28"/>
        <v>0</v>
      </c>
      <c r="AH546" s="145"/>
      <c r="AI546" s="192" t="s">
        <v>6</v>
      </c>
      <c r="AJ546" s="96" t="str">
        <f t="shared" si="29"/>
        <v>SÃO PAULO</v>
      </c>
      <c r="AK546" s="193" t="s">
        <v>39</v>
      </c>
    </row>
    <row r="547" spans="1:37" ht="30" customHeight="1">
      <c r="A547" s="215" t="s">
        <v>198</v>
      </c>
      <c r="B547" s="215">
        <v>2621674720</v>
      </c>
      <c r="C547" s="215" t="s">
        <v>97</v>
      </c>
      <c r="D547" s="215" t="s">
        <v>77</v>
      </c>
      <c r="E547" s="215" t="s">
        <v>5</v>
      </c>
      <c r="F547" s="215" t="s">
        <v>1368</v>
      </c>
      <c r="G547" s="215">
        <v>234</v>
      </c>
      <c r="H547" s="215" t="s">
        <v>318</v>
      </c>
      <c r="I547" s="215" t="s">
        <v>1369</v>
      </c>
      <c r="J547" s="215" t="s">
        <v>97</v>
      </c>
      <c r="K547" s="215" t="s">
        <v>1378</v>
      </c>
      <c r="L547" s="216">
        <v>46169.363194444442</v>
      </c>
      <c r="M547" s="216">
        <v>46169.365972222222</v>
      </c>
      <c r="N547" s="215" t="s">
        <v>254</v>
      </c>
      <c r="O547" s="157" t="s">
        <v>239</v>
      </c>
      <c r="P547" s="92"/>
      <c r="Q547" s="145" t="s">
        <v>239</v>
      </c>
      <c r="R547" s="92"/>
      <c r="S547" s="145" t="s">
        <v>239</v>
      </c>
      <c r="T547" s="92"/>
      <c r="U547" s="145" t="s">
        <v>239</v>
      </c>
      <c r="V547" s="92"/>
      <c r="W547" s="145" t="s">
        <v>239</v>
      </c>
      <c r="X547" s="92"/>
      <c r="Y547" s="145" t="s">
        <v>239</v>
      </c>
      <c r="Z547" s="92"/>
      <c r="AA547" s="145" t="s">
        <v>239</v>
      </c>
      <c r="AB547" s="92"/>
      <c r="AC547" s="145" t="s">
        <v>239</v>
      </c>
      <c r="AD547" s="92" t="s">
        <v>303</v>
      </c>
      <c r="AE547" s="145" t="s">
        <v>239</v>
      </c>
      <c r="AF547" s="182" t="str">
        <f t="shared" si="27"/>
        <v>NC</v>
      </c>
      <c r="AG547" s="54" t="str">
        <f t="shared" si="28"/>
        <v>NÃO UTILIZOU O PDA</v>
      </c>
      <c r="AH547" s="145" t="s">
        <v>205</v>
      </c>
      <c r="AI547" s="192" t="s">
        <v>6</v>
      </c>
      <c r="AJ547" s="96" t="str">
        <f t="shared" si="29"/>
        <v>SÃO PAULO</v>
      </c>
      <c r="AK547" s="193" t="s">
        <v>39</v>
      </c>
    </row>
    <row r="548" spans="1:37" ht="30" customHeight="1">
      <c r="A548" s="215" t="s">
        <v>198</v>
      </c>
      <c r="B548" s="215">
        <v>2621674788</v>
      </c>
      <c r="C548" s="215" t="s">
        <v>97</v>
      </c>
      <c r="D548" s="215" t="s">
        <v>77</v>
      </c>
      <c r="E548" s="215" t="s">
        <v>5</v>
      </c>
      <c r="F548" s="215" t="s">
        <v>1368</v>
      </c>
      <c r="G548" s="215">
        <v>234</v>
      </c>
      <c r="H548" s="215" t="s">
        <v>708</v>
      </c>
      <c r="I548" s="215" t="s">
        <v>1369</v>
      </c>
      <c r="J548" s="215" t="s">
        <v>97</v>
      </c>
      <c r="K548" s="215" t="s">
        <v>1378</v>
      </c>
      <c r="L548" s="216">
        <v>46169.374305555553</v>
      </c>
      <c r="M548" s="216">
        <v>46169.376388888886</v>
      </c>
      <c r="N548" s="215" t="s">
        <v>254</v>
      </c>
      <c r="O548" s="157" t="s">
        <v>239</v>
      </c>
      <c r="P548" s="92"/>
      <c r="Q548" s="145" t="s">
        <v>239</v>
      </c>
      <c r="R548" s="92"/>
      <c r="S548" s="145" t="s">
        <v>239</v>
      </c>
      <c r="T548" s="92"/>
      <c r="U548" s="145" t="s">
        <v>239</v>
      </c>
      <c r="V548" s="92"/>
      <c r="W548" s="145" t="s">
        <v>239</v>
      </c>
      <c r="X548" s="92"/>
      <c r="Y548" s="145" t="s">
        <v>239</v>
      </c>
      <c r="Z548" s="92"/>
      <c r="AA548" s="145" t="s">
        <v>239</v>
      </c>
      <c r="AB548" s="92"/>
      <c r="AC548" s="145" t="s">
        <v>239</v>
      </c>
      <c r="AD548" s="92" t="s">
        <v>303</v>
      </c>
      <c r="AE548" s="145" t="s">
        <v>239</v>
      </c>
      <c r="AF548" s="182" t="str">
        <f t="shared" si="27"/>
        <v>NC</v>
      </c>
      <c r="AG548" s="54" t="str">
        <f t="shared" si="28"/>
        <v>NÃO UTILIZOU O PDA</v>
      </c>
      <c r="AH548" s="145" t="s">
        <v>205</v>
      </c>
      <c r="AI548" s="192" t="s">
        <v>6</v>
      </c>
      <c r="AJ548" s="96" t="str">
        <f t="shared" si="29"/>
        <v>SÃO PAULO</v>
      </c>
      <c r="AK548" s="193" t="s">
        <v>39</v>
      </c>
    </row>
    <row r="549" spans="1:37" ht="30" customHeight="1">
      <c r="A549" s="215" t="s">
        <v>198</v>
      </c>
      <c r="B549" s="215">
        <v>2621674750</v>
      </c>
      <c r="C549" s="215" t="s">
        <v>97</v>
      </c>
      <c r="D549" s="215" t="s">
        <v>77</v>
      </c>
      <c r="E549" s="215" t="s">
        <v>5</v>
      </c>
      <c r="F549" s="215" t="s">
        <v>1368</v>
      </c>
      <c r="G549" s="215">
        <v>234</v>
      </c>
      <c r="H549" s="215" t="s">
        <v>363</v>
      </c>
      <c r="I549" s="215" t="s">
        <v>1369</v>
      </c>
      <c r="J549" s="215" t="s">
        <v>97</v>
      </c>
      <c r="K549" s="215" t="s">
        <v>1378</v>
      </c>
      <c r="L549" s="216">
        <v>46169.369444444441</v>
      </c>
      <c r="M549" s="216">
        <v>46169.370833333334</v>
      </c>
      <c r="N549" s="215" t="s">
        <v>254</v>
      </c>
      <c r="O549" s="157" t="s">
        <v>239</v>
      </c>
      <c r="P549" s="92"/>
      <c r="Q549" s="145" t="s">
        <v>239</v>
      </c>
      <c r="R549" s="92"/>
      <c r="S549" s="145" t="s">
        <v>239</v>
      </c>
      <c r="T549" s="92"/>
      <c r="U549" s="145" t="s">
        <v>239</v>
      </c>
      <c r="V549" s="92"/>
      <c r="W549" s="145" t="s">
        <v>239</v>
      </c>
      <c r="X549" s="92"/>
      <c r="Y549" s="145" t="s">
        <v>239</v>
      </c>
      <c r="Z549" s="92"/>
      <c r="AA549" s="145" t="s">
        <v>239</v>
      </c>
      <c r="AB549" s="92"/>
      <c r="AC549" s="145" t="s">
        <v>239</v>
      </c>
      <c r="AD549" s="92" t="s">
        <v>303</v>
      </c>
      <c r="AE549" s="145" t="s">
        <v>239</v>
      </c>
      <c r="AF549" s="182" t="str">
        <f t="shared" si="27"/>
        <v>NC</v>
      </c>
      <c r="AG549" s="54" t="str">
        <f t="shared" si="28"/>
        <v>NÃO UTILIZOU O PDA</v>
      </c>
      <c r="AH549" s="145" t="s">
        <v>205</v>
      </c>
      <c r="AI549" s="192" t="s">
        <v>6</v>
      </c>
      <c r="AJ549" s="96" t="str">
        <f t="shared" si="29"/>
        <v>SÃO PAULO</v>
      </c>
      <c r="AK549" s="193" t="s">
        <v>39</v>
      </c>
    </row>
    <row r="550" spans="1:37" ht="30" customHeight="1">
      <c r="A550" s="215" t="s">
        <v>198</v>
      </c>
      <c r="B550" s="215">
        <v>2621674748</v>
      </c>
      <c r="C550" s="215" t="s">
        <v>97</v>
      </c>
      <c r="D550" s="215" t="s">
        <v>77</v>
      </c>
      <c r="E550" s="215" t="s">
        <v>5</v>
      </c>
      <c r="F550" s="215" t="s">
        <v>1368</v>
      </c>
      <c r="G550" s="215">
        <v>234</v>
      </c>
      <c r="H550" s="215" t="s">
        <v>481</v>
      </c>
      <c r="I550" s="215" t="s">
        <v>1369</v>
      </c>
      <c r="J550" s="215" t="s">
        <v>97</v>
      </c>
      <c r="K550" s="215" t="s">
        <v>1378</v>
      </c>
      <c r="L550" s="216">
        <v>46169.366666666669</v>
      </c>
      <c r="M550" s="216">
        <v>46169.368750000001</v>
      </c>
      <c r="N550" s="215" t="s">
        <v>254</v>
      </c>
      <c r="O550" s="157" t="s">
        <v>239</v>
      </c>
      <c r="P550" s="92"/>
      <c r="Q550" s="145" t="s">
        <v>239</v>
      </c>
      <c r="R550" s="92"/>
      <c r="S550" s="145" t="s">
        <v>239</v>
      </c>
      <c r="T550" s="92"/>
      <c r="U550" s="145" t="s">
        <v>239</v>
      </c>
      <c r="V550" s="92"/>
      <c r="W550" s="145" t="s">
        <v>239</v>
      </c>
      <c r="X550" s="92"/>
      <c r="Y550" s="145" t="s">
        <v>239</v>
      </c>
      <c r="Z550" s="92"/>
      <c r="AA550" s="145" t="s">
        <v>239</v>
      </c>
      <c r="AB550" s="92"/>
      <c r="AC550" s="145" t="s">
        <v>239</v>
      </c>
      <c r="AD550" s="92" t="s">
        <v>303</v>
      </c>
      <c r="AE550" s="145" t="s">
        <v>239</v>
      </c>
      <c r="AF550" s="182" t="str">
        <f t="shared" si="27"/>
        <v>NC</v>
      </c>
      <c r="AG550" s="54" t="str">
        <f t="shared" si="28"/>
        <v>NÃO UTILIZOU O PDA</v>
      </c>
      <c r="AH550" s="145" t="s">
        <v>205</v>
      </c>
      <c r="AI550" s="192" t="s">
        <v>6</v>
      </c>
      <c r="AJ550" s="96" t="str">
        <f t="shared" si="29"/>
        <v>SÃO PAULO</v>
      </c>
      <c r="AK550" s="193" t="s">
        <v>39</v>
      </c>
    </row>
    <row r="551" spans="1:37" ht="30" customHeight="1">
      <c r="A551" s="215" t="s">
        <v>198</v>
      </c>
      <c r="B551" s="215">
        <v>2621674751</v>
      </c>
      <c r="C551" s="215" t="s">
        <v>97</v>
      </c>
      <c r="D551" s="215" t="s">
        <v>77</v>
      </c>
      <c r="E551" s="215" t="s">
        <v>5</v>
      </c>
      <c r="F551" s="215" t="s">
        <v>1368</v>
      </c>
      <c r="G551" s="215">
        <v>234</v>
      </c>
      <c r="H551" s="215" t="s">
        <v>250</v>
      </c>
      <c r="I551" s="215" t="s">
        <v>1369</v>
      </c>
      <c r="J551" s="215" t="s">
        <v>97</v>
      </c>
      <c r="K551" s="215" t="s">
        <v>1379</v>
      </c>
      <c r="L551" s="216">
        <v>46169.370833333334</v>
      </c>
      <c r="M551" s="216">
        <v>46169.374305555553</v>
      </c>
      <c r="N551" s="215" t="s">
        <v>254</v>
      </c>
      <c r="O551" s="157" t="s">
        <v>239</v>
      </c>
      <c r="P551" s="92"/>
      <c r="Q551" s="145" t="s">
        <v>239</v>
      </c>
      <c r="R551" s="92"/>
      <c r="S551" s="145" t="s">
        <v>239</v>
      </c>
      <c r="T551" s="92"/>
      <c r="U551" s="145" t="s">
        <v>239</v>
      </c>
      <c r="V551" s="92"/>
      <c r="W551" s="145" t="s">
        <v>239</v>
      </c>
      <c r="X551" s="92"/>
      <c r="Y551" s="145" t="s">
        <v>239</v>
      </c>
      <c r="Z551" s="92"/>
      <c r="AA551" s="145" t="s">
        <v>239</v>
      </c>
      <c r="AB551" s="92"/>
      <c r="AC551" s="145" t="s">
        <v>239</v>
      </c>
      <c r="AD551" s="92" t="s">
        <v>303</v>
      </c>
      <c r="AE551" s="145" t="s">
        <v>239</v>
      </c>
      <c r="AF551" s="182" t="str">
        <f t="shared" si="27"/>
        <v>NC</v>
      </c>
      <c r="AG551" s="54" t="str">
        <f t="shared" si="28"/>
        <v>NÃO UTILIZOU O PDA</v>
      </c>
      <c r="AH551" s="145" t="s">
        <v>205</v>
      </c>
      <c r="AI551" s="192" t="s">
        <v>6</v>
      </c>
      <c r="AJ551" s="96" t="str">
        <f t="shared" si="29"/>
        <v>SÃO PAULO</v>
      </c>
      <c r="AK551" s="193" t="s">
        <v>39</v>
      </c>
    </row>
    <row r="552" spans="1:37" ht="30" customHeight="1">
      <c r="A552" s="215" t="s">
        <v>198</v>
      </c>
      <c r="B552" s="215">
        <v>2622121527</v>
      </c>
      <c r="C552" s="215" t="s">
        <v>103</v>
      </c>
      <c r="D552" s="215" t="s">
        <v>81</v>
      </c>
      <c r="E552" s="215" t="s">
        <v>5</v>
      </c>
      <c r="F552" s="215" t="s">
        <v>1380</v>
      </c>
      <c r="G552" s="215">
        <v>1549</v>
      </c>
      <c r="H552" s="215" t="s">
        <v>387</v>
      </c>
      <c r="I552" s="215" t="s">
        <v>914</v>
      </c>
      <c r="J552" s="215" t="s">
        <v>322</v>
      </c>
      <c r="K552" s="215" t="s">
        <v>1381</v>
      </c>
      <c r="L552" s="216">
        <v>46169.25</v>
      </c>
      <c r="M552" s="216">
        <v>46169.250694444447</v>
      </c>
      <c r="N552" s="215" t="s">
        <v>230</v>
      </c>
      <c r="O552" s="157" t="s">
        <v>205</v>
      </c>
      <c r="P552" s="92"/>
      <c r="Q552" s="145" t="s">
        <v>205</v>
      </c>
      <c r="R552" s="92"/>
      <c r="S552" s="145" t="s">
        <v>205</v>
      </c>
      <c r="T552" s="92"/>
      <c r="U552" s="145" t="s">
        <v>205</v>
      </c>
      <c r="V552" s="92"/>
      <c r="W552" s="145" t="s">
        <v>205</v>
      </c>
      <c r="X552" s="92"/>
      <c r="Y552" s="145" t="s">
        <v>62</v>
      </c>
      <c r="Z552" s="92"/>
      <c r="AA552" s="145" t="s">
        <v>205</v>
      </c>
      <c r="AB552" s="92"/>
      <c r="AC552" s="145" t="s">
        <v>205</v>
      </c>
      <c r="AD552" s="92"/>
      <c r="AE552" s="145" t="s">
        <v>205</v>
      </c>
      <c r="AF552" s="182" t="str">
        <f t="shared" si="27"/>
        <v>C</v>
      </c>
      <c r="AG552" s="54" t="str">
        <f t="shared" si="28"/>
        <v>UTILIZOU O PDA CORRETAMENTE</v>
      </c>
      <c r="AH552" s="145" t="s">
        <v>205</v>
      </c>
      <c r="AI552" s="192" t="s">
        <v>6</v>
      </c>
      <c r="AJ552" s="96" t="str">
        <f t="shared" si="29"/>
        <v>SÃO PAULO</v>
      </c>
      <c r="AK552" s="193" t="s">
        <v>39</v>
      </c>
    </row>
    <row r="553" spans="1:37" ht="30" customHeight="1">
      <c r="A553" s="215" t="s">
        <v>198</v>
      </c>
      <c r="B553" s="215">
        <v>2694188307</v>
      </c>
      <c r="C553" s="215" t="s">
        <v>107</v>
      </c>
      <c r="D553" s="215" t="s">
        <v>81</v>
      </c>
      <c r="E553" s="215" t="s">
        <v>5</v>
      </c>
      <c r="F553" s="215" t="s">
        <v>1382</v>
      </c>
      <c r="G553" s="215">
        <v>42</v>
      </c>
      <c r="H553" s="215" t="s">
        <v>481</v>
      </c>
      <c r="I553" s="215" t="s">
        <v>546</v>
      </c>
      <c r="J553" s="215" t="s">
        <v>322</v>
      </c>
      <c r="K553" s="215" t="s">
        <v>1383</v>
      </c>
      <c r="L553" s="216">
        <v>46169.25</v>
      </c>
      <c r="M553" s="216">
        <v>46169.250694444447</v>
      </c>
      <c r="N553" s="215" t="s">
        <v>341</v>
      </c>
      <c r="O553" s="157" t="s">
        <v>62</v>
      </c>
      <c r="P553" s="92"/>
      <c r="Q553" s="145" t="s">
        <v>62</v>
      </c>
      <c r="R553" s="92"/>
      <c r="S553" s="145" t="s">
        <v>62</v>
      </c>
      <c r="T553" s="92"/>
      <c r="U553" s="145" t="s">
        <v>62</v>
      </c>
      <c r="V553" s="92"/>
      <c r="W553" s="145" t="s">
        <v>62</v>
      </c>
      <c r="X553" s="92"/>
      <c r="Y553" s="145" t="s">
        <v>62</v>
      </c>
      <c r="Z553" s="92"/>
      <c r="AA553" s="145" t="s">
        <v>62</v>
      </c>
      <c r="AB553" s="92"/>
      <c r="AC553" s="145" t="s">
        <v>62</v>
      </c>
      <c r="AD553" s="92"/>
      <c r="AE553" s="145" t="s">
        <v>62</v>
      </c>
      <c r="AF553" s="182" t="str">
        <f t="shared" si="27"/>
        <v>NA</v>
      </c>
      <c r="AG553" s="54" t="str">
        <f t="shared" si="28"/>
        <v>NÃO AVALIADO POR FALHA DE SINCRONISMO</v>
      </c>
      <c r="AH553" s="145" t="s">
        <v>205</v>
      </c>
      <c r="AI553" s="192" t="s">
        <v>6</v>
      </c>
      <c r="AJ553" s="96" t="str">
        <f t="shared" si="29"/>
        <v>SÃO PAULO</v>
      </c>
      <c r="AK553" s="193" t="s">
        <v>39</v>
      </c>
    </row>
    <row r="554" spans="1:37" ht="30" customHeight="1">
      <c r="A554" s="215" t="s">
        <v>198</v>
      </c>
      <c r="B554" s="215">
        <v>2694197181</v>
      </c>
      <c r="C554" s="215" t="s">
        <v>103</v>
      </c>
      <c r="D554" s="215" t="s">
        <v>81</v>
      </c>
      <c r="E554" s="215" t="s">
        <v>5</v>
      </c>
      <c r="F554" s="215" t="s">
        <v>1270</v>
      </c>
      <c r="G554" s="215">
        <v>11</v>
      </c>
      <c r="H554" s="215" t="s">
        <v>214</v>
      </c>
      <c r="I554" s="215" t="s">
        <v>546</v>
      </c>
      <c r="J554" s="215" t="s">
        <v>322</v>
      </c>
      <c r="K554" s="215" t="s">
        <v>1384</v>
      </c>
      <c r="L554" s="216">
        <v>46169.25</v>
      </c>
      <c r="M554" s="216">
        <v>46169.250694444447</v>
      </c>
      <c r="N554" s="215" t="s">
        <v>341</v>
      </c>
      <c r="O554" s="157" t="s">
        <v>62</v>
      </c>
      <c r="P554" s="92"/>
      <c r="Q554" s="145" t="s">
        <v>62</v>
      </c>
      <c r="R554" s="92"/>
      <c r="S554" s="145" t="s">
        <v>62</v>
      </c>
      <c r="T554" s="92"/>
      <c r="U554" s="145" t="s">
        <v>62</v>
      </c>
      <c r="V554" s="92"/>
      <c r="W554" s="145" t="s">
        <v>62</v>
      </c>
      <c r="X554" s="92"/>
      <c r="Y554" s="145" t="s">
        <v>62</v>
      </c>
      <c r="Z554" s="92"/>
      <c r="AA554" s="145" t="s">
        <v>62</v>
      </c>
      <c r="AB554" s="92"/>
      <c r="AC554" s="145" t="s">
        <v>62</v>
      </c>
      <c r="AD554" s="92"/>
      <c r="AE554" s="145" t="s">
        <v>62</v>
      </c>
      <c r="AF554" s="182" t="str">
        <f t="shared" si="27"/>
        <v>NA</v>
      </c>
      <c r="AG554" s="54" t="str">
        <f t="shared" si="28"/>
        <v>NÃO AVALIADO POR FALHA DE SINCRONISMO</v>
      </c>
      <c r="AH554" s="145" t="s">
        <v>205</v>
      </c>
      <c r="AI554" s="192" t="s">
        <v>6</v>
      </c>
      <c r="AJ554" s="96" t="str">
        <f t="shared" si="29"/>
        <v>SÃO PAULO</v>
      </c>
      <c r="AK554" s="193" t="s">
        <v>39</v>
      </c>
    </row>
    <row r="555" spans="1:37" ht="30" customHeight="1">
      <c r="A555" s="215" t="s">
        <v>198</v>
      </c>
      <c r="B555" s="215">
        <v>2694253594</v>
      </c>
      <c r="C555" s="215" t="s">
        <v>103</v>
      </c>
      <c r="D555" s="215" t="s">
        <v>81</v>
      </c>
      <c r="E555" s="215" t="s">
        <v>5</v>
      </c>
      <c r="F555" s="215" t="s">
        <v>1385</v>
      </c>
      <c r="G555" s="215">
        <v>140</v>
      </c>
      <c r="H555" s="215" t="s">
        <v>481</v>
      </c>
      <c r="I555" s="215" t="s">
        <v>227</v>
      </c>
      <c r="J555" s="215" t="s">
        <v>268</v>
      </c>
      <c r="K555" s="215" t="s">
        <v>200</v>
      </c>
      <c r="L555" s="216">
        <v>46169.25</v>
      </c>
      <c r="M555" s="216">
        <v>46169.250694444447</v>
      </c>
      <c r="N555" s="215" t="s">
        <v>341</v>
      </c>
      <c r="O555" s="157" t="s">
        <v>62</v>
      </c>
      <c r="P555" s="92"/>
      <c r="Q555" s="145" t="s">
        <v>62</v>
      </c>
      <c r="R555" s="92"/>
      <c r="S555" s="145" t="s">
        <v>62</v>
      </c>
      <c r="T555" s="92"/>
      <c r="U555" s="145" t="s">
        <v>62</v>
      </c>
      <c r="V555" s="92"/>
      <c r="W555" s="145" t="s">
        <v>62</v>
      </c>
      <c r="X555" s="92"/>
      <c r="Y555" s="145" t="s">
        <v>62</v>
      </c>
      <c r="Z555" s="92"/>
      <c r="AA555" s="145" t="s">
        <v>62</v>
      </c>
      <c r="AB555" s="92"/>
      <c r="AC555" s="145" t="s">
        <v>62</v>
      </c>
      <c r="AD555" s="92"/>
      <c r="AE555" s="145" t="s">
        <v>62</v>
      </c>
      <c r="AF555" s="182" t="str">
        <f t="shared" si="27"/>
        <v>NA</v>
      </c>
      <c r="AG555" s="54" t="str">
        <f t="shared" si="28"/>
        <v>NÃO AVALIADO POR FALHA DE SINCRONISMO</v>
      </c>
      <c r="AH555" s="145" t="s">
        <v>205</v>
      </c>
      <c r="AI555" s="192" t="s">
        <v>6</v>
      </c>
      <c r="AJ555" s="96" t="str">
        <f t="shared" si="29"/>
        <v>SÃO PAULO</v>
      </c>
      <c r="AK555" s="193" t="s">
        <v>39</v>
      </c>
    </row>
    <row r="556" spans="1:37" ht="30" customHeight="1">
      <c r="A556" s="215" t="s">
        <v>198</v>
      </c>
      <c r="B556" s="215">
        <v>2622124430</v>
      </c>
      <c r="C556" s="215" t="s">
        <v>103</v>
      </c>
      <c r="D556" s="215" t="s">
        <v>81</v>
      </c>
      <c r="E556" s="215" t="s">
        <v>5</v>
      </c>
      <c r="F556" s="215" t="s">
        <v>1386</v>
      </c>
      <c r="G556" s="215">
        <v>120</v>
      </c>
      <c r="H556" s="215"/>
      <c r="I556" s="215" t="s">
        <v>343</v>
      </c>
      <c r="J556" s="215" t="s">
        <v>1387</v>
      </c>
      <c r="K556" s="219" t="s">
        <v>1388</v>
      </c>
      <c r="L556" s="216">
        <v>46169.25</v>
      </c>
      <c r="M556" s="216">
        <v>46169.250694444447</v>
      </c>
      <c r="N556" s="215" t="s">
        <v>235</v>
      </c>
      <c r="O556" s="157" t="s">
        <v>205</v>
      </c>
      <c r="P556" s="92"/>
      <c r="Q556" s="145" t="s">
        <v>205</v>
      </c>
      <c r="R556" s="92"/>
      <c r="S556" s="145" t="s">
        <v>205</v>
      </c>
      <c r="T556" s="92"/>
      <c r="U556" s="145" t="s">
        <v>205</v>
      </c>
      <c r="V556" s="92"/>
      <c r="W556" s="145" t="s">
        <v>205</v>
      </c>
      <c r="X556" s="92"/>
      <c r="Y556" s="145" t="s">
        <v>62</v>
      </c>
      <c r="Z556" s="92"/>
      <c r="AA556" s="145" t="s">
        <v>205</v>
      </c>
      <c r="AB556" s="92"/>
      <c r="AC556" s="145" t="s">
        <v>205</v>
      </c>
      <c r="AD556" s="92"/>
      <c r="AE556" s="145" t="s">
        <v>205</v>
      </c>
      <c r="AF556" s="182" t="str">
        <f t="shared" si="27"/>
        <v>C</v>
      </c>
      <c r="AG556" s="54" t="str">
        <f t="shared" si="28"/>
        <v>UTILIZOU O PDA CORRETAMENTE</v>
      </c>
      <c r="AH556" s="145" t="s">
        <v>205</v>
      </c>
      <c r="AI556" s="192" t="s">
        <v>6</v>
      </c>
      <c r="AJ556" s="96" t="str">
        <f t="shared" si="29"/>
        <v>SÃO PAULO</v>
      </c>
      <c r="AK556" s="193" t="s">
        <v>39</v>
      </c>
    </row>
    <row r="557" spans="1:37" ht="30" customHeight="1">
      <c r="A557" s="215" t="s">
        <v>198</v>
      </c>
      <c r="B557" s="215">
        <v>2622177051</v>
      </c>
      <c r="C557" s="215" t="s">
        <v>287</v>
      </c>
      <c r="D557" s="215" t="s">
        <v>81</v>
      </c>
      <c r="E557" s="215" t="s">
        <v>5</v>
      </c>
      <c r="F557" s="215" t="s">
        <v>1389</v>
      </c>
      <c r="G557" s="215">
        <v>174</v>
      </c>
      <c r="H557" s="215" t="s">
        <v>226</v>
      </c>
      <c r="I557" s="215" t="s">
        <v>246</v>
      </c>
      <c r="J557" s="215" t="s">
        <v>290</v>
      </c>
      <c r="K557" s="215" t="s">
        <v>200</v>
      </c>
      <c r="L557" s="216">
        <v>46169.25</v>
      </c>
      <c r="M557" s="216">
        <v>46169.250694444447</v>
      </c>
      <c r="N557" s="215" t="s">
        <v>248</v>
      </c>
      <c r="O557" s="157" t="s">
        <v>205</v>
      </c>
      <c r="P557" s="92"/>
      <c r="Q557" s="145" t="s">
        <v>205</v>
      </c>
      <c r="R557" s="92"/>
      <c r="S557" s="145" t="s">
        <v>205</v>
      </c>
      <c r="T557" s="92"/>
      <c r="U557" s="145" t="s">
        <v>205</v>
      </c>
      <c r="V557" s="92"/>
      <c r="W557" s="145" t="s">
        <v>205</v>
      </c>
      <c r="X557" s="92"/>
      <c r="Y557" s="145" t="s">
        <v>62</v>
      </c>
      <c r="Z557" s="92"/>
      <c r="AA557" s="145" t="s">
        <v>205</v>
      </c>
      <c r="AB557" s="92"/>
      <c r="AC557" s="145" t="s">
        <v>205</v>
      </c>
      <c r="AD557" s="92"/>
      <c r="AE557" s="145" t="s">
        <v>205</v>
      </c>
      <c r="AF557" s="182" t="str">
        <f t="shared" si="27"/>
        <v>C</v>
      </c>
      <c r="AG557" s="54" t="str">
        <f t="shared" si="28"/>
        <v>UTILIZOU O PDA CORRETAMENTE</v>
      </c>
      <c r="AH557" s="145" t="s">
        <v>205</v>
      </c>
      <c r="AI557" s="192" t="s">
        <v>6</v>
      </c>
      <c r="AJ557" s="96" t="str">
        <f t="shared" si="29"/>
        <v>SÃO PAULO</v>
      </c>
      <c r="AK557" s="193" t="s">
        <v>39</v>
      </c>
    </row>
    <row r="558" spans="1:37" ht="30" customHeight="1">
      <c r="A558" s="215" t="s">
        <v>198</v>
      </c>
      <c r="B558" s="215">
        <v>2622198152</v>
      </c>
      <c r="C558" s="215" t="s">
        <v>99</v>
      </c>
      <c r="D558" s="215" t="s">
        <v>81</v>
      </c>
      <c r="E558" s="215" t="s">
        <v>5</v>
      </c>
      <c r="F558" s="215" t="s">
        <v>631</v>
      </c>
      <c r="G558" s="215">
        <v>1532</v>
      </c>
      <c r="H558" s="215" t="s">
        <v>401</v>
      </c>
      <c r="I558" s="215" t="s">
        <v>397</v>
      </c>
      <c r="J558" s="215" t="s">
        <v>268</v>
      </c>
      <c r="K558" s="215" t="s">
        <v>1390</v>
      </c>
      <c r="L558" s="216">
        <v>46169.540972222225</v>
      </c>
      <c r="M558" s="216">
        <v>46169.54791666667</v>
      </c>
      <c r="N558" s="215" t="s">
        <v>221</v>
      </c>
      <c r="O558" s="157" t="s">
        <v>205</v>
      </c>
      <c r="P558" s="92"/>
      <c r="Q558" s="145" t="s">
        <v>205</v>
      </c>
      <c r="R558" s="92"/>
      <c r="S558" s="145" t="s">
        <v>205</v>
      </c>
      <c r="T558" s="92"/>
      <c r="U558" s="145" t="s">
        <v>205</v>
      </c>
      <c r="V558" s="92"/>
      <c r="W558" s="145" t="s">
        <v>205</v>
      </c>
      <c r="X558" s="92"/>
      <c r="Y558" s="145" t="s">
        <v>205</v>
      </c>
      <c r="Z558" s="92"/>
      <c r="AA558" s="145" t="s">
        <v>205</v>
      </c>
      <c r="AB558" s="92"/>
      <c r="AC558" s="145" t="s">
        <v>205</v>
      </c>
      <c r="AD558" s="92"/>
      <c r="AE558" s="145" t="s">
        <v>205</v>
      </c>
      <c r="AF558" s="182" t="str">
        <f t="shared" si="27"/>
        <v>C</v>
      </c>
      <c r="AG558" s="54" t="str">
        <f t="shared" si="28"/>
        <v>UTILIZOU O PDA CORRETAMENTE</v>
      </c>
      <c r="AH558" s="145" t="s">
        <v>205</v>
      </c>
      <c r="AI558" s="192" t="s">
        <v>6</v>
      </c>
      <c r="AJ558" s="96" t="str">
        <f t="shared" si="29"/>
        <v>SÃO PAULO</v>
      </c>
      <c r="AK558" s="193" t="s">
        <v>39</v>
      </c>
    </row>
    <row r="559" spans="1:37" ht="30" customHeight="1">
      <c r="A559" s="215" t="s">
        <v>198</v>
      </c>
      <c r="B559" s="215">
        <v>2622165606</v>
      </c>
      <c r="C559" s="215" t="s">
        <v>107</v>
      </c>
      <c r="D559" s="215" t="s">
        <v>81</v>
      </c>
      <c r="E559" s="215" t="s">
        <v>5</v>
      </c>
      <c r="F559" s="215" t="s">
        <v>1391</v>
      </c>
      <c r="G559" s="215">
        <v>97</v>
      </c>
      <c r="H559" s="215" t="s">
        <v>226</v>
      </c>
      <c r="I559" s="215" t="s">
        <v>426</v>
      </c>
      <c r="J559" s="215" t="s">
        <v>322</v>
      </c>
      <c r="K559" s="215" t="s">
        <v>200</v>
      </c>
      <c r="L559" s="216">
        <v>46169.25</v>
      </c>
      <c r="M559" s="216">
        <v>46169.250694444447</v>
      </c>
      <c r="N559" s="215" t="s">
        <v>326</v>
      </c>
      <c r="O559" s="157" t="s">
        <v>205</v>
      </c>
      <c r="P559" s="92"/>
      <c r="Q559" s="145" t="s">
        <v>205</v>
      </c>
      <c r="R559" s="92"/>
      <c r="S559" s="145" t="s">
        <v>205</v>
      </c>
      <c r="T559" s="92"/>
      <c r="U559" s="145" t="s">
        <v>205</v>
      </c>
      <c r="V559" s="92"/>
      <c r="W559" s="145" t="s">
        <v>205</v>
      </c>
      <c r="X559" s="92"/>
      <c r="Y559" s="145" t="s">
        <v>62</v>
      </c>
      <c r="Z559" s="92"/>
      <c r="AA559" s="145" t="s">
        <v>205</v>
      </c>
      <c r="AB559" s="92"/>
      <c r="AC559" s="145" t="s">
        <v>205</v>
      </c>
      <c r="AD559" s="92"/>
      <c r="AE559" s="145" t="s">
        <v>205</v>
      </c>
      <c r="AF559" s="182" t="str">
        <f t="shared" si="27"/>
        <v>C</v>
      </c>
      <c r="AG559" s="54" t="str">
        <f t="shared" si="28"/>
        <v>UTILIZOU O PDA CORRETAMENTE</v>
      </c>
      <c r="AH559" s="145" t="s">
        <v>205</v>
      </c>
      <c r="AI559" s="192" t="s">
        <v>6</v>
      </c>
      <c r="AJ559" s="96" t="str">
        <f t="shared" si="29"/>
        <v>SÃO PAULO</v>
      </c>
      <c r="AK559" s="193" t="s">
        <v>39</v>
      </c>
    </row>
    <row r="560" spans="1:37" ht="30" customHeight="1">
      <c r="A560" s="215" t="s">
        <v>198</v>
      </c>
      <c r="B560" s="215">
        <v>2622313090</v>
      </c>
      <c r="C560" s="215" t="s">
        <v>99</v>
      </c>
      <c r="D560" s="215" t="s">
        <v>81</v>
      </c>
      <c r="E560" s="215" t="s">
        <v>5</v>
      </c>
      <c r="F560" s="215" t="s">
        <v>631</v>
      </c>
      <c r="G560" s="215">
        <v>1530</v>
      </c>
      <c r="H560" s="215" t="s">
        <v>226</v>
      </c>
      <c r="I560" s="215" t="s">
        <v>397</v>
      </c>
      <c r="J560" s="215" t="s">
        <v>268</v>
      </c>
      <c r="K560" s="219" t="s">
        <v>1392</v>
      </c>
      <c r="L560" s="216">
        <v>46169.606944444444</v>
      </c>
      <c r="M560" s="216">
        <v>46169.60833333333</v>
      </c>
      <c r="N560" s="215" t="s">
        <v>221</v>
      </c>
      <c r="O560" s="157" t="s">
        <v>205</v>
      </c>
      <c r="P560" s="92"/>
      <c r="Q560" s="145" t="s">
        <v>205</v>
      </c>
      <c r="R560" s="92"/>
      <c r="S560" s="145" t="s">
        <v>205</v>
      </c>
      <c r="T560" s="92"/>
      <c r="U560" s="145" t="s">
        <v>205</v>
      </c>
      <c r="V560" s="92"/>
      <c r="W560" s="145" t="s">
        <v>205</v>
      </c>
      <c r="X560" s="92"/>
      <c r="Y560" s="145" t="s">
        <v>205</v>
      </c>
      <c r="Z560" s="92"/>
      <c r="AA560" s="145" t="s">
        <v>205</v>
      </c>
      <c r="AB560" s="92"/>
      <c r="AC560" s="145" t="s">
        <v>205</v>
      </c>
      <c r="AD560" s="92"/>
      <c r="AE560" s="145" t="s">
        <v>205</v>
      </c>
      <c r="AF560" s="182" t="str">
        <f t="shared" si="27"/>
        <v>C</v>
      </c>
      <c r="AG560" s="54" t="str">
        <f t="shared" si="28"/>
        <v>UTILIZOU O PDA CORRETAMENTE</v>
      </c>
      <c r="AH560" s="145" t="s">
        <v>205</v>
      </c>
      <c r="AI560" s="192" t="s">
        <v>6</v>
      </c>
      <c r="AJ560" s="96" t="str">
        <f t="shared" si="29"/>
        <v>SÃO PAULO</v>
      </c>
      <c r="AK560" s="193" t="s">
        <v>39</v>
      </c>
    </row>
    <row r="561" spans="1:37" ht="30" customHeight="1">
      <c r="A561" s="215" t="s">
        <v>198</v>
      </c>
      <c r="B561" s="215">
        <v>2622344221</v>
      </c>
      <c r="C561" s="215" t="s">
        <v>105</v>
      </c>
      <c r="D561" s="215" t="s">
        <v>81</v>
      </c>
      <c r="E561" s="215" t="s">
        <v>5</v>
      </c>
      <c r="F561" s="215" t="s">
        <v>1393</v>
      </c>
      <c r="G561" s="215">
        <v>47</v>
      </c>
      <c r="H561" s="215"/>
      <c r="I561" s="215" t="s">
        <v>1394</v>
      </c>
      <c r="J561" s="215" t="s">
        <v>350</v>
      </c>
      <c r="K561" s="219" t="s">
        <v>1395</v>
      </c>
      <c r="L561" s="216">
        <v>46169.649305555555</v>
      </c>
      <c r="M561" s="216">
        <v>46169.744444444441</v>
      </c>
      <c r="N561" s="215" t="s">
        <v>221</v>
      </c>
      <c r="O561" s="157" t="s">
        <v>205</v>
      </c>
      <c r="P561" s="92"/>
      <c r="Q561" s="145" t="s">
        <v>205</v>
      </c>
      <c r="R561" s="92"/>
      <c r="S561" s="145" t="s">
        <v>62</v>
      </c>
      <c r="T561" s="92"/>
      <c r="U561" s="145" t="s">
        <v>62</v>
      </c>
      <c r="V561" s="92"/>
      <c r="W561" s="145" t="s">
        <v>62</v>
      </c>
      <c r="X561" s="92"/>
      <c r="Y561" s="145" t="s">
        <v>62</v>
      </c>
      <c r="Z561" s="92"/>
      <c r="AA561" s="145" t="s">
        <v>206</v>
      </c>
      <c r="AB561" s="92"/>
      <c r="AC561" s="145" t="s">
        <v>205</v>
      </c>
      <c r="AD561" s="92"/>
      <c r="AE561" s="145" t="s">
        <v>205</v>
      </c>
      <c r="AF561" s="182" t="str">
        <f t="shared" si="27"/>
        <v>NC</v>
      </c>
      <c r="AG561" s="54" t="str">
        <f t="shared" si="28"/>
        <v>UTILIZOU O PDA CORRETAMENTE. NÃO HÁ FOTOS DE TODAS AS ETAPAS</v>
      </c>
      <c r="AH561" s="145" t="s">
        <v>205</v>
      </c>
      <c r="AI561" s="192" t="s">
        <v>6</v>
      </c>
      <c r="AJ561" s="96" t="str">
        <f t="shared" si="29"/>
        <v>SÃO PAULO</v>
      </c>
      <c r="AK561" s="193" t="s">
        <v>39</v>
      </c>
    </row>
    <row r="562" spans="1:37" ht="30" customHeight="1">
      <c r="A562" s="215" t="s">
        <v>198</v>
      </c>
      <c r="B562" s="215">
        <v>2621860113</v>
      </c>
      <c r="C562" s="215" t="s">
        <v>101</v>
      </c>
      <c r="D562" s="215" t="s">
        <v>79</v>
      </c>
      <c r="E562" s="215" t="s">
        <v>5</v>
      </c>
      <c r="F562" s="215" t="s">
        <v>1303</v>
      </c>
      <c r="G562" s="215">
        <v>1384</v>
      </c>
      <c r="H562" s="215" t="s">
        <v>200</v>
      </c>
      <c r="I562" s="215" t="s">
        <v>366</v>
      </c>
      <c r="J562" s="215" t="s">
        <v>233</v>
      </c>
      <c r="K562" s="215" t="s">
        <v>200</v>
      </c>
      <c r="L562" s="216">
        <v>46169.664583333331</v>
      </c>
      <c r="M562" s="216">
        <v>46169.73333333333</v>
      </c>
      <c r="N562" s="215" t="s">
        <v>310</v>
      </c>
      <c r="O562" s="157" t="s">
        <v>205</v>
      </c>
      <c r="P562" s="92"/>
      <c r="Q562" s="145" t="s">
        <v>205</v>
      </c>
      <c r="R562" s="92"/>
      <c r="S562" s="145" t="s">
        <v>205</v>
      </c>
      <c r="T562" s="92"/>
      <c r="U562" s="145" t="s">
        <v>205</v>
      </c>
      <c r="V562" s="92"/>
      <c r="W562" s="145" t="s">
        <v>205</v>
      </c>
      <c r="X562" s="92"/>
      <c r="Y562" s="145" t="s">
        <v>205</v>
      </c>
      <c r="Z562" s="92"/>
      <c r="AA562" s="145" t="s">
        <v>205</v>
      </c>
      <c r="AB562" s="92"/>
      <c r="AC562" s="145" t="s">
        <v>205</v>
      </c>
      <c r="AD562" s="92"/>
      <c r="AE562" s="145" t="s">
        <v>205</v>
      </c>
      <c r="AF562" s="182" t="str">
        <f t="shared" si="27"/>
        <v>C</v>
      </c>
      <c r="AG562" s="54" t="str">
        <f t="shared" si="28"/>
        <v>UTILIZOU O PDA CORRETAMENTE</v>
      </c>
      <c r="AH562" s="145" t="s">
        <v>205</v>
      </c>
      <c r="AI562" s="192" t="s">
        <v>6</v>
      </c>
      <c r="AJ562" s="96" t="str">
        <f t="shared" si="29"/>
        <v>SÃO PAULO</v>
      </c>
      <c r="AK562" s="193" t="s">
        <v>39</v>
      </c>
    </row>
    <row r="563" spans="1:37" ht="30" customHeight="1">
      <c r="A563" s="215" t="s">
        <v>198</v>
      </c>
      <c r="B563" s="215">
        <v>2622112520</v>
      </c>
      <c r="C563" s="215" t="s">
        <v>100</v>
      </c>
      <c r="D563" s="215" t="s">
        <v>81</v>
      </c>
      <c r="E563" s="215" t="s">
        <v>5</v>
      </c>
      <c r="F563" s="215" t="s">
        <v>1396</v>
      </c>
      <c r="G563" s="215">
        <v>135</v>
      </c>
      <c r="H563" s="215" t="s">
        <v>200</v>
      </c>
      <c r="I563" s="215" t="s">
        <v>497</v>
      </c>
      <c r="J563" s="215" t="s">
        <v>243</v>
      </c>
      <c r="K563" s="215" t="s">
        <v>200</v>
      </c>
      <c r="L563" s="216">
        <v>46169.729166666664</v>
      </c>
      <c r="M563" s="216">
        <v>46169.730555555558</v>
      </c>
      <c r="N563" s="215" t="s">
        <v>254</v>
      </c>
      <c r="O563" s="157" t="s">
        <v>62</v>
      </c>
      <c r="P563" s="92"/>
      <c r="Q563" s="145" t="s">
        <v>62</v>
      </c>
      <c r="R563" s="92"/>
      <c r="S563" s="145" t="s">
        <v>62</v>
      </c>
      <c r="T563" s="92"/>
      <c r="U563" s="145" t="s">
        <v>62</v>
      </c>
      <c r="V563" s="92"/>
      <c r="W563" s="145" t="s">
        <v>62</v>
      </c>
      <c r="X563" s="92"/>
      <c r="Y563" s="145" t="s">
        <v>62</v>
      </c>
      <c r="Z563" s="92"/>
      <c r="AA563" s="145" t="s">
        <v>62</v>
      </c>
      <c r="AB563" s="92"/>
      <c r="AC563" s="145" t="s">
        <v>62</v>
      </c>
      <c r="AD563" s="92"/>
      <c r="AE563" s="145" t="s">
        <v>62</v>
      </c>
      <c r="AF563" s="182" t="str">
        <f t="shared" si="27"/>
        <v>NA</v>
      </c>
      <c r="AG563" s="54" t="str">
        <f t="shared" si="28"/>
        <v>NÃO AVALIADO POR FALHA DE SINCRONISMO</v>
      </c>
      <c r="AH563" s="145" t="s">
        <v>205</v>
      </c>
      <c r="AI563" s="192" t="s">
        <v>6</v>
      </c>
      <c r="AJ563" s="96" t="str">
        <f t="shared" si="29"/>
        <v>SÃO PAULO</v>
      </c>
      <c r="AK563" s="193" t="s">
        <v>39</v>
      </c>
    </row>
    <row r="564" spans="1:37" ht="30" customHeight="1">
      <c r="A564" s="225"/>
      <c r="B564" s="225"/>
      <c r="C564" s="225"/>
      <c r="D564" s="225"/>
      <c r="E564" s="225"/>
      <c r="F564" s="225"/>
      <c r="G564" s="225"/>
      <c r="H564" s="225"/>
      <c r="I564" s="225"/>
      <c r="J564" s="225"/>
      <c r="K564" s="225"/>
      <c r="L564" s="225"/>
      <c r="M564" s="225"/>
      <c r="N564" s="262"/>
      <c r="O564" s="145"/>
      <c r="P564" s="92"/>
      <c r="Q564" s="145"/>
      <c r="R564" s="92"/>
      <c r="S564" s="145"/>
      <c r="T564" s="92"/>
      <c r="U564" s="145"/>
      <c r="V564" s="92"/>
      <c r="W564" s="145"/>
      <c r="X564" s="92"/>
      <c r="Y564" s="145"/>
      <c r="Z564" s="92"/>
      <c r="AA564" s="145"/>
      <c r="AB564" s="92"/>
      <c r="AC564" s="145"/>
      <c r="AD564" s="92"/>
      <c r="AE564" s="145"/>
      <c r="AF564" s="182" t="str">
        <f t="shared" si="27"/>
        <v/>
      </c>
      <c r="AG564" s="54" t="b">
        <f t="shared" si="28"/>
        <v>0</v>
      </c>
      <c r="AH564" s="145"/>
      <c r="AI564" s="192" t="s">
        <v>6</v>
      </c>
      <c r="AJ564" s="96">
        <f t="shared" si="29"/>
        <v>0</v>
      </c>
      <c r="AK564" s="193" t="s">
        <v>39</v>
      </c>
    </row>
    <row r="565" spans="1:37" ht="30" customHeight="1">
      <c r="A565" s="92"/>
      <c r="B565" s="92"/>
      <c r="C565" s="92"/>
      <c r="D565" s="92"/>
      <c r="E565" s="92"/>
      <c r="F565" s="92"/>
      <c r="G565" s="92"/>
      <c r="H565" s="92"/>
      <c r="I565" s="92"/>
      <c r="J565" s="92"/>
      <c r="K565" s="92"/>
      <c r="L565" s="92"/>
      <c r="M565" s="92"/>
      <c r="N565" s="155"/>
      <c r="O565" s="145"/>
      <c r="P565" s="92"/>
      <c r="Q565" s="145"/>
      <c r="R565" s="92"/>
      <c r="S565" s="145"/>
      <c r="T565" s="92"/>
      <c r="U565" s="145"/>
      <c r="V565" s="92"/>
      <c r="W565" s="145"/>
      <c r="X565" s="92"/>
      <c r="Y565" s="145"/>
      <c r="Z565" s="92"/>
      <c r="AA565" s="145"/>
      <c r="AB565" s="92"/>
      <c r="AC565" s="145"/>
      <c r="AD565" s="92"/>
      <c r="AE565" s="145"/>
      <c r="AF565" s="182" t="str">
        <f t="shared" ref="AF565:AF628" si="30">IF(AND(O565="",Q565="",S565="",U565="",W565="",Y565="",AA565="",AC565=""),"",IF(OR(AND(O565&lt;&gt;"NA",O565&lt;&gt;"C",O565&lt;&gt;"NC",O565&lt;&gt;"SF",O565&lt;&gt;""),AND(Q565&lt;&gt;"NA",Q565&lt;&gt;"C",Q565&lt;&gt;"NC",Q565&lt;&gt;"SF",Q565&lt;&gt;""),AND(S565&lt;&gt;"NA",S565&lt;&gt;"C",S565&lt;&gt;"NC",S565&lt;&gt;"SF",S565&lt;&gt;""),AND(U565&lt;&gt;"NA",U565&lt;&gt;"C",U565&lt;&gt;"NC",U565&lt;&gt;"SF",U565&lt;&gt;""),AND(W565&lt;&gt;"NA",W565&lt;&gt;"C",W565&lt;&gt;"NC",W565&lt;&gt;"SF",W565&lt;&gt;""),AND(Y565&lt;&gt;"NA",Y565&lt;&gt;"C",Y565&lt;&gt;"NC",Y565&lt;&gt;"SF",Y565&lt;&gt;""),AND(AA565&lt;&gt;"NA",AA565&lt;&gt;"C",AA565&lt;&gt;"NC",AA565&lt;&gt;"SF",AA565&lt;&gt;""),AND(AC565&lt;&gt;"NA",AC565&lt;&gt;"C",AC565&lt;&gt;"NC",AC565&lt;&gt;"SF",AC565&lt;&gt;"")),"FALSO",IF(AND(O565="NA",Q565="NA",S565="NA",U565="NA",W565="NA",Y565="NA",AA565="NA",AC565="NA"),"NA",IF(OR(O565="NC",Q565="NC",S565="NC",U565="NC",W565="NC",Y565="NC",AA565="NC",AC565="NC",O565="SF",Q565="SF",S565="SF",U565="SF",W565="SF",Y565="SF",AA565="SF",AC565="SF"),"NC",IF(OR(O565="C",Q565="C",S565="C",U565="C",W565="C",Y565="C",AA565="C",AC565="C"),"C","")))))</f>
        <v/>
      </c>
      <c r="AG565" s="54" t="b">
        <f t="shared" ref="AG565:AG628" si="31">IF(AND(AE565="C",AF565="C"),"UTILIZOU O PDA CORRETAMENTE",IF(AND(AE565="C",AF565="NC"),"UTILIZOU O PDA CORRETAMENTE. NÃO HÁ FOTOS DE TODAS AS ETAPAS",IF(AND(AE565="NC",AF565="NC"),"NÃO UTILIZOU O PDA",IF(AND(AE565="NA",AF565="NA"),"NÃO AVALIADO POR FALHA DE SINCRONISMO"))))</f>
        <v>0</v>
      </c>
      <c r="AH565" s="145"/>
      <c r="AI565" s="192" t="s">
        <v>6</v>
      </c>
      <c r="AJ565" s="96">
        <f t="shared" ref="AJ565:AJ628" si="32">E565</f>
        <v>0</v>
      </c>
      <c r="AK565" s="193" t="s">
        <v>39</v>
      </c>
    </row>
    <row r="566" spans="1:37" ht="30" customHeight="1">
      <c r="A566" s="92"/>
      <c r="B566" s="92"/>
      <c r="C566" s="92"/>
      <c r="D566" s="92"/>
      <c r="E566" s="92"/>
      <c r="F566" s="92"/>
      <c r="G566" s="92"/>
      <c r="H566" s="92"/>
      <c r="I566" s="92"/>
      <c r="J566" s="92"/>
      <c r="K566" s="92"/>
      <c r="L566" s="92"/>
      <c r="M566" s="92"/>
      <c r="N566" s="155"/>
      <c r="O566" s="145"/>
      <c r="P566" s="92"/>
      <c r="Q566" s="145"/>
      <c r="R566" s="92"/>
      <c r="S566" s="145"/>
      <c r="T566" s="92"/>
      <c r="U566" s="145"/>
      <c r="V566" s="92"/>
      <c r="W566" s="145"/>
      <c r="X566" s="92"/>
      <c r="Y566" s="145"/>
      <c r="Z566" s="92"/>
      <c r="AA566" s="145"/>
      <c r="AB566" s="92"/>
      <c r="AC566" s="145"/>
      <c r="AD566" s="92"/>
      <c r="AE566" s="145"/>
      <c r="AF566" s="182" t="str">
        <f t="shared" si="30"/>
        <v/>
      </c>
      <c r="AG566" s="54" t="b">
        <f t="shared" si="31"/>
        <v>0</v>
      </c>
      <c r="AH566" s="145"/>
      <c r="AI566" s="192" t="s">
        <v>6</v>
      </c>
      <c r="AJ566" s="96">
        <f t="shared" si="32"/>
        <v>0</v>
      </c>
      <c r="AK566" s="193" t="s">
        <v>39</v>
      </c>
    </row>
    <row r="567" spans="1:37" ht="30" customHeight="1">
      <c r="A567" s="92"/>
      <c r="B567" s="92"/>
      <c r="C567" s="92"/>
      <c r="D567" s="92"/>
      <c r="E567" s="92"/>
      <c r="F567" s="92"/>
      <c r="G567" s="92"/>
      <c r="H567" s="92"/>
      <c r="I567" s="92"/>
      <c r="J567" s="92"/>
      <c r="K567" s="92"/>
      <c r="L567" s="92"/>
      <c r="M567" s="92"/>
      <c r="N567" s="155"/>
      <c r="O567" s="145"/>
      <c r="P567" s="92"/>
      <c r="Q567" s="145"/>
      <c r="R567" s="92"/>
      <c r="S567" s="145"/>
      <c r="T567" s="92"/>
      <c r="U567" s="145"/>
      <c r="V567" s="92"/>
      <c r="W567" s="145"/>
      <c r="X567" s="92"/>
      <c r="Y567" s="145"/>
      <c r="Z567" s="92"/>
      <c r="AA567" s="145"/>
      <c r="AB567" s="92"/>
      <c r="AC567" s="145"/>
      <c r="AD567" s="92"/>
      <c r="AE567" s="145"/>
      <c r="AF567" s="182" t="str">
        <f t="shared" si="30"/>
        <v/>
      </c>
      <c r="AG567" s="54" t="b">
        <f t="shared" si="31"/>
        <v>0</v>
      </c>
      <c r="AH567" s="145"/>
      <c r="AI567" s="192" t="s">
        <v>6</v>
      </c>
      <c r="AJ567" s="96">
        <f t="shared" si="32"/>
        <v>0</v>
      </c>
      <c r="AK567" s="193" t="s">
        <v>39</v>
      </c>
    </row>
    <row r="568" spans="1:37" ht="30" customHeight="1">
      <c r="A568" s="92"/>
      <c r="B568" s="92"/>
      <c r="C568" s="92"/>
      <c r="D568" s="92"/>
      <c r="E568" s="92"/>
      <c r="F568" s="92"/>
      <c r="G568" s="92"/>
      <c r="H568" s="92"/>
      <c r="I568" s="92"/>
      <c r="J568" s="92"/>
      <c r="K568" s="92"/>
      <c r="L568" s="92"/>
      <c r="M568" s="92"/>
      <c r="N568" s="155"/>
      <c r="O568" s="145"/>
      <c r="P568" s="92"/>
      <c r="Q568" s="145"/>
      <c r="R568" s="92"/>
      <c r="S568" s="145"/>
      <c r="T568" s="92"/>
      <c r="U568" s="145"/>
      <c r="V568" s="92"/>
      <c r="W568" s="145"/>
      <c r="X568" s="92"/>
      <c r="Y568" s="145"/>
      <c r="Z568" s="92"/>
      <c r="AA568" s="145"/>
      <c r="AB568" s="92"/>
      <c r="AC568" s="145"/>
      <c r="AD568" s="92"/>
      <c r="AE568" s="145"/>
      <c r="AF568" s="182" t="str">
        <f t="shared" si="30"/>
        <v/>
      </c>
      <c r="AG568" s="54" t="b">
        <f t="shared" si="31"/>
        <v>0</v>
      </c>
      <c r="AH568" s="145"/>
      <c r="AI568" s="192" t="s">
        <v>6</v>
      </c>
      <c r="AJ568" s="96">
        <f t="shared" si="32"/>
        <v>0</v>
      </c>
      <c r="AK568" s="193" t="s">
        <v>39</v>
      </c>
    </row>
    <row r="569" spans="1:37" ht="30" customHeight="1">
      <c r="A569" s="92"/>
      <c r="B569" s="92"/>
      <c r="C569" s="92"/>
      <c r="D569" s="92"/>
      <c r="E569" s="92"/>
      <c r="F569" s="92"/>
      <c r="G569" s="92"/>
      <c r="H569" s="92"/>
      <c r="I569" s="92"/>
      <c r="J569" s="92"/>
      <c r="K569" s="92"/>
      <c r="L569" s="92"/>
      <c r="M569" s="92"/>
      <c r="N569" s="155"/>
      <c r="O569" s="145"/>
      <c r="P569" s="92"/>
      <c r="Q569" s="145"/>
      <c r="R569" s="92"/>
      <c r="S569" s="145"/>
      <c r="T569" s="92"/>
      <c r="U569" s="145"/>
      <c r="V569" s="92"/>
      <c r="W569" s="145"/>
      <c r="X569" s="92"/>
      <c r="Y569" s="145"/>
      <c r="Z569" s="92"/>
      <c r="AA569" s="145"/>
      <c r="AB569" s="92"/>
      <c r="AC569" s="145"/>
      <c r="AD569" s="92"/>
      <c r="AE569" s="145"/>
      <c r="AF569" s="182" t="str">
        <f t="shared" si="30"/>
        <v/>
      </c>
      <c r="AG569" s="54" t="b">
        <f t="shared" si="31"/>
        <v>0</v>
      </c>
      <c r="AH569" s="145"/>
      <c r="AI569" s="192" t="s">
        <v>6</v>
      </c>
      <c r="AJ569" s="96">
        <f t="shared" si="32"/>
        <v>0</v>
      </c>
      <c r="AK569" s="193" t="s">
        <v>39</v>
      </c>
    </row>
    <row r="570" spans="1:37" ht="30" customHeight="1">
      <c r="A570" s="92"/>
      <c r="B570" s="92"/>
      <c r="C570" s="92"/>
      <c r="D570" s="92"/>
      <c r="E570" s="92"/>
      <c r="F570" s="92"/>
      <c r="G570" s="92"/>
      <c r="H570" s="92"/>
      <c r="I570" s="92"/>
      <c r="J570" s="92"/>
      <c r="K570" s="92"/>
      <c r="L570" s="92"/>
      <c r="M570" s="92"/>
      <c r="N570" s="155"/>
      <c r="O570" s="145"/>
      <c r="P570" s="92"/>
      <c r="Q570" s="145"/>
      <c r="R570" s="92"/>
      <c r="S570" s="145"/>
      <c r="T570" s="92"/>
      <c r="U570" s="145"/>
      <c r="V570" s="92"/>
      <c r="W570" s="145"/>
      <c r="X570" s="92"/>
      <c r="Y570" s="145"/>
      <c r="Z570" s="92"/>
      <c r="AA570" s="145"/>
      <c r="AB570" s="92"/>
      <c r="AC570" s="145"/>
      <c r="AD570" s="92"/>
      <c r="AE570" s="145"/>
      <c r="AF570" s="182" t="str">
        <f t="shared" si="30"/>
        <v/>
      </c>
      <c r="AG570" s="54" t="b">
        <f t="shared" si="31"/>
        <v>0</v>
      </c>
      <c r="AH570" s="145"/>
      <c r="AI570" s="192" t="s">
        <v>6</v>
      </c>
      <c r="AJ570" s="96">
        <f t="shared" si="32"/>
        <v>0</v>
      </c>
      <c r="AK570" s="193" t="s">
        <v>39</v>
      </c>
    </row>
    <row r="571" spans="1:37" ht="30" customHeight="1">
      <c r="A571" s="92"/>
      <c r="B571" s="92"/>
      <c r="C571" s="92"/>
      <c r="D571" s="92"/>
      <c r="E571" s="92"/>
      <c r="F571" s="92"/>
      <c r="G571" s="92"/>
      <c r="H571" s="92"/>
      <c r="I571" s="92"/>
      <c r="J571" s="92"/>
      <c r="K571" s="92"/>
      <c r="L571" s="92"/>
      <c r="M571" s="92"/>
      <c r="N571" s="155"/>
      <c r="O571" s="145"/>
      <c r="P571" s="92"/>
      <c r="Q571" s="145"/>
      <c r="R571" s="92"/>
      <c r="S571" s="145"/>
      <c r="T571" s="92"/>
      <c r="U571" s="145"/>
      <c r="V571" s="92"/>
      <c r="W571" s="145"/>
      <c r="X571" s="92"/>
      <c r="Y571" s="145"/>
      <c r="Z571" s="92"/>
      <c r="AA571" s="145"/>
      <c r="AB571" s="92"/>
      <c r="AC571" s="145"/>
      <c r="AD571" s="92"/>
      <c r="AE571" s="145"/>
      <c r="AF571" s="182" t="str">
        <f t="shared" si="30"/>
        <v/>
      </c>
      <c r="AG571" s="54" t="b">
        <f t="shared" si="31"/>
        <v>0</v>
      </c>
      <c r="AH571" s="145"/>
      <c r="AI571" s="192" t="s">
        <v>6</v>
      </c>
      <c r="AJ571" s="96">
        <f t="shared" si="32"/>
        <v>0</v>
      </c>
      <c r="AK571" s="193" t="s">
        <v>39</v>
      </c>
    </row>
    <row r="572" spans="1:37" ht="30" customHeight="1">
      <c r="A572" s="92"/>
      <c r="B572" s="92"/>
      <c r="C572" s="92"/>
      <c r="D572" s="92"/>
      <c r="E572" s="92"/>
      <c r="F572" s="92"/>
      <c r="G572" s="92"/>
      <c r="H572" s="92"/>
      <c r="I572" s="92"/>
      <c r="J572" s="92"/>
      <c r="K572" s="92"/>
      <c r="L572" s="92"/>
      <c r="M572" s="92"/>
      <c r="N572" s="155"/>
      <c r="O572" s="145"/>
      <c r="P572" s="92"/>
      <c r="Q572" s="145"/>
      <c r="R572" s="92"/>
      <c r="S572" s="145"/>
      <c r="T572" s="92"/>
      <c r="U572" s="145"/>
      <c r="V572" s="92"/>
      <c r="W572" s="145"/>
      <c r="X572" s="92"/>
      <c r="Y572" s="145"/>
      <c r="Z572" s="92"/>
      <c r="AA572" s="145"/>
      <c r="AB572" s="92"/>
      <c r="AC572" s="145"/>
      <c r="AD572" s="92"/>
      <c r="AE572" s="145"/>
      <c r="AF572" s="182" t="str">
        <f t="shared" si="30"/>
        <v/>
      </c>
      <c r="AG572" s="54" t="b">
        <f t="shared" si="31"/>
        <v>0</v>
      </c>
      <c r="AH572" s="145"/>
      <c r="AI572" s="192" t="s">
        <v>6</v>
      </c>
      <c r="AJ572" s="96">
        <f t="shared" si="32"/>
        <v>0</v>
      </c>
      <c r="AK572" s="193" t="s">
        <v>39</v>
      </c>
    </row>
    <row r="573" spans="1:37" ht="30" customHeight="1">
      <c r="A573" s="92"/>
      <c r="B573" s="92"/>
      <c r="C573" s="92"/>
      <c r="D573" s="92"/>
      <c r="E573" s="92"/>
      <c r="F573" s="92"/>
      <c r="G573" s="92"/>
      <c r="H573" s="92"/>
      <c r="I573" s="92"/>
      <c r="J573" s="92"/>
      <c r="K573" s="92"/>
      <c r="L573" s="92"/>
      <c r="M573" s="92"/>
      <c r="N573" s="155"/>
      <c r="O573" s="145"/>
      <c r="P573" s="92"/>
      <c r="Q573" s="145"/>
      <c r="R573" s="92"/>
      <c r="S573" s="145"/>
      <c r="T573" s="92"/>
      <c r="U573" s="145"/>
      <c r="V573" s="92"/>
      <c r="W573" s="145"/>
      <c r="X573" s="92"/>
      <c r="Y573" s="145"/>
      <c r="Z573" s="92"/>
      <c r="AA573" s="145"/>
      <c r="AB573" s="92"/>
      <c r="AC573" s="145"/>
      <c r="AD573" s="92"/>
      <c r="AE573" s="145"/>
      <c r="AF573" s="182" t="str">
        <f t="shared" si="30"/>
        <v/>
      </c>
      <c r="AG573" s="54" t="b">
        <f t="shared" si="31"/>
        <v>0</v>
      </c>
      <c r="AH573" s="145"/>
      <c r="AI573" s="192" t="s">
        <v>6</v>
      </c>
      <c r="AJ573" s="96">
        <f t="shared" si="32"/>
        <v>0</v>
      </c>
      <c r="AK573" s="193" t="s">
        <v>39</v>
      </c>
    </row>
    <row r="574" spans="1:37" ht="30" customHeight="1">
      <c r="A574" s="92"/>
      <c r="B574" s="92"/>
      <c r="C574" s="92"/>
      <c r="D574" s="92"/>
      <c r="E574" s="92"/>
      <c r="F574" s="92"/>
      <c r="G574" s="92"/>
      <c r="H574" s="92"/>
      <c r="I574" s="92"/>
      <c r="J574" s="92"/>
      <c r="K574" s="92"/>
      <c r="L574" s="92"/>
      <c r="M574" s="92"/>
      <c r="N574" s="155"/>
      <c r="O574" s="145"/>
      <c r="P574" s="92"/>
      <c r="Q574" s="145"/>
      <c r="R574" s="92"/>
      <c r="S574" s="145"/>
      <c r="T574" s="92"/>
      <c r="U574" s="145"/>
      <c r="V574" s="92"/>
      <c r="W574" s="145"/>
      <c r="X574" s="92"/>
      <c r="Y574" s="145"/>
      <c r="Z574" s="92"/>
      <c r="AA574" s="145"/>
      <c r="AB574" s="92"/>
      <c r="AC574" s="145"/>
      <c r="AD574" s="92"/>
      <c r="AE574" s="145"/>
      <c r="AF574" s="182" t="str">
        <f t="shared" si="30"/>
        <v/>
      </c>
      <c r="AG574" s="54" t="b">
        <f t="shared" si="31"/>
        <v>0</v>
      </c>
      <c r="AH574" s="145"/>
      <c r="AI574" s="192" t="s">
        <v>6</v>
      </c>
      <c r="AJ574" s="96">
        <f t="shared" si="32"/>
        <v>0</v>
      </c>
      <c r="AK574" s="193" t="s">
        <v>39</v>
      </c>
    </row>
    <row r="575" spans="1:37" ht="30" customHeight="1">
      <c r="A575" s="92"/>
      <c r="B575" s="92"/>
      <c r="C575" s="92"/>
      <c r="D575" s="92"/>
      <c r="E575" s="92"/>
      <c r="F575" s="92"/>
      <c r="G575" s="92"/>
      <c r="H575" s="92"/>
      <c r="I575" s="92"/>
      <c r="J575" s="92"/>
      <c r="K575" s="92"/>
      <c r="L575" s="92"/>
      <c r="M575" s="92"/>
      <c r="N575" s="155"/>
      <c r="O575" s="145"/>
      <c r="P575" s="92"/>
      <c r="Q575" s="145"/>
      <c r="R575" s="92"/>
      <c r="S575" s="145"/>
      <c r="T575" s="92"/>
      <c r="U575" s="145"/>
      <c r="V575" s="92"/>
      <c r="W575" s="145"/>
      <c r="X575" s="92"/>
      <c r="Y575" s="145"/>
      <c r="Z575" s="92"/>
      <c r="AA575" s="145"/>
      <c r="AB575" s="92"/>
      <c r="AC575" s="145"/>
      <c r="AD575" s="92"/>
      <c r="AE575" s="145"/>
      <c r="AF575" s="182" t="str">
        <f t="shared" si="30"/>
        <v/>
      </c>
      <c r="AG575" s="54" t="b">
        <f t="shared" si="31"/>
        <v>0</v>
      </c>
      <c r="AH575" s="145"/>
      <c r="AI575" s="192" t="s">
        <v>6</v>
      </c>
      <c r="AJ575" s="96">
        <f t="shared" si="32"/>
        <v>0</v>
      </c>
      <c r="AK575" s="193" t="s">
        <v>39</v>
      </c>
    </row>
    <row r="576" spans="1:37" ht="30" customHeight="1">
      <c r="A576" s="92"/>
      <c r="B576" s="92"/>
      <c r="C576" s="92"/>
      <c r="D576" s="92"/>
      <c r="E576" s="92"/>
      <c r="F576" s="92"/>
      <c r="G576" s="92"/>
      <c r="H576" s="92"/>
      <c r="I576" s="92"/>
      <c r="J576" s="92"/>
      <c r="K576" s="92"/>
      <c r="L576" s="92"/>
      <c r="M576" s="92"/>
      <c r="N576" s="155"/>
      <c r="O576" s="145"/>
      <c r="P576" s="92"/>
      <c r="Q576" s="145"/>
      <c r="R576" s="92"/>
      <c r="S576" s="145"/>
      <c r="T576" s="92"/>
      <c r="U576" s="145"/>
      <c r="V576" s="92"/>
      <c r="W576" s="145"/>
      <c r="X576" s="92"/>
      <c r="Y576" s="145"/>
      <c r="Z576" s="92"/>
      <c r="AA576" s="145"/>
      <c r="AB576" s="92"/>
      <c r="AC576" s="145"/>
      <c r="AD576" s="92"/>
      <c r="AE576" s="145"/>
      <c r="AF576" s="182" t="str">
        <f t="shared" si="30"/>
        <v/>
      </c>
      <c r="AG576" s="54" t="b">
        <f t="shared" si="31"/>
        <v>0</v>
      </c>
      <c r="AH576" s="145"/>
      <c r="AI576" s="192" t="s">
        <v>6</v>
      </c>
      <c r="AJ576" s="96">
        <f t="shared" si="32"/>
        <v>0</v>
      </c>
      <c r="AK576" s="193" t="s">
        <v>39</v>
      </c>
    </row>
    <row r="577" spans="1:37" ht="30" customHeight="1">
      <c r="A577" s="92"/>
      <c r="B577" s="92"/>
      <c r="C577" s="92"/>
      <c r="D577" s="92"/>
      <c r="E577" s="92"/>
      <c r="F577" s="92"/>
      <c r="G577" s="92"/>
      <c r="H577" s="92"/>
      <c r="I577" s="92"/>
      <c r="J577" s="92"/>
      <c r="K577" s="92"/>
      <c r="L577" s="92"/>
      <c r="M577" s="92"/>
      <c r="N577" s="155"/>
      <c r="O577" s="145"/>
      <c r="P577" s="92"/>
      <c r="Q577" s="145"/>
      <c r="R577" s="92"/>
      <c r="S577" s="145"/>
      <c r="T577" s="92"/>
      <c r="U577" s="145"/>
      <c r="V577" s="92"/>
      <c r="W577" s="145"/>
      <c r="X577" s="92"/>
      <c r="Y577" s="145"/>
      <c r="Z577" s="92"/>
      <c r="AA577" s="145"/>
      <c r="AB577" s="92"/>
      <c r="AC577" s="145"/>
      <c r="AD577" s="92"/>
      <c r="AE577" s="145"/>
      <c r="AF577" s="182" t="str">
        <f t="shared" si="30"/>
        <v/>
      </c>
      <c r="AG577" s="54" t="b">
        <f t="shared" si="31"/>
        <v>0</v>
      </c>
      <c r="AH577" s="145"/>
      <c r="AI577" s="192" t="s">
        <v>6</v>
      </c>
      <c r="AJ577" s="96">
        <f t="shared" si="32"/>
        <v>0</v>
      </c>
      <c r="AK577" s="193" t="s">
        <v>39</v>
      </c>
    </row>
    <row r="578" spans="1:37" ht="30" customHeight="1">
      <c r="A578" s="92"/>
      <c r="B578" s="92"/>
      <c r="C578" s="92"/>
      <c r="D578" s="92"/>
      <c r="E578" s="92"/>
      <c r="F578" s="92"/>
      <c r="G578" s="92"/>
      <c r="H578" s="92"/>
      <c r="I578" s="92"/>
      <c r="J578" s="92"/>
      <c r="K578" s="92"/>
      <c r="L578" s="92"/>
      <c r="M578" s="92"/>
      <c r="N578" s="155"/>
      <c r="O578" s="145"/>
      <c r="P578" s="92"/>
      <c r="Q578" s="145"/>
      <c r="R578" s="92"/>
      <c r="S578" s="145"/>
      <c r="T578" s="92"/>
      <c r="U578" s="145"/>
      <c r="V578" s="92"/>
      <c r="W578" s="145"/>
      <c r="X578" s="92"/>
      <c r="Y578" s="145"/>
      <c r="Z578" s="92"/>
      <c r="AA578" s="145"/>
      <c r="AB578" s="92"/>
      <c r="AC578" s="145"/>
      <c r="AD578" s="92"/>
      <c r="AE578" s="145"/>
      <c r="AF578" s="182" t="str">
        <f t="shared" si="30"/>
        <v/>
      </c>
      <c r="AG578" s="54" t="b">
        <f t="shared" si="31"/>
        <v>0</v>
      </c>
      <c r="AH578" s="145"/>
      <c r="AI578" s="192" t="s">
        <v>6</v>
      </c>
      <c r="AJ578" s="96">
        <f t="shared" si="32"/>
        <v>0</v>
      </c>
      <c r="AK578" s="193" t="s">
        <v>39</v>
      </c>
    </row>
    <row r="579" spans="1:37" ht="30" customHeight="1">
      <c r="A579" s="92"/>
      <c r="B579" s="92"/>
      <c r="C579" s="92"/>
      <c r="D579" s="92"/>
      <c r="E579" s="92"/>
      <c r="F579" s="92"/>
      <c r="G579" s="92"/>
      <c r="H579" s="92"/>
      <c r="I579" s="92"/>
      <c r="J579" s="92"/>
      <c r="K579" s="92"/>
      <c r="L579" s="92"/>
      <c r="M579" s="92"/>
      <c r="N579" s="155"/>
      <c r="O579" s="145"/>
      <c r="P579" s="92"/>
      <c r="Q579" s="145"/>
      <c r="R579" s="92"/>
      <c r="S579" s="145"/>
      <c r="T579" s="92"/>
      <c r="U579" s="145"/>
      <c r="V579" s="92"/>
      <c r="W579" s="145"/>
      <c r="X579" s="92"/>
      <c r="Y579" s="145"/>
      <c r="Z579" s="92"/>
      <c r="AA579" s="145"/>
      <c r="AB579" s="92"/>
      <c r="AC579" s="145"/>
      <c r="AD579" s="92"/>
      <c r="AE579" s="145"/>
      <c r="AF579" s="182" t="str">
        <f t="shared" si="30"/>
        <v/>
      </c>
      <c r="AG579" s="54" t="b">
        <f t="shared" si="31"/>
        <v>0</v>
      </c>
      <c r="AH579" s="145"/>
      <c r="AI579" s="192" t="s">
        <v>6</v>
      </c>
      <c r="AJ579" s="96">
        <f t="shared" si="32"/>
        <v>0</v>
      </c>
      <c r="AK579" s="193" t="s">
        <v>39</v>
      </c>
    </row>
    <row r="580" spans="1:37" ht="30" customHeight="1">
      <c r="A580" s="92"/>
      <c r="B580" s="92"/>
      <c r="C580" s="92"/>
      <c r="D580" s="92"/>
      <c r="E580" s="92"/>
      <c r="F580" s="92"/>
      <c r="G580" s="92"/>
      <c r="H580" s="92"/>
      <c r="I580" s="92"/>
      <c r="J580" s="92"/>
      <c r="K580" s="92"/>
      <c r="L580" s="92"/>
      <c r="M580" s="92"/>
      <c r="N580" s="155"/>
      <c r="O580" s="145"/>
      <c r="P580" s="92"/>
      <c r="Q580" s="145"/>
      <c r="R580" s="92"/>
      <c r="S580" s="145"/>
      <c r="T580" s="92"/>
      <c r="U580" s="145"/>
      <c r="V580" s="92"/>
      <c r="W580" s="145"/>
      <c r="X580" s="92"/>
      <c r="Y580" s="145"/>
      <c r="Z580" s="92"/>
      <c r="AA580" s="145"/>
      <c r="AB580" s="92"/>
      <c r="AC580" s="145"/>
      <c r="AD580" s="92"/>
      <c r="AE580" s="145"/>
      <c r="AF580" s="182" t="str">
        <f t="shared" si="30"/>
        <v/>
      </c>
      <c r="AG580" s="54" t="b">
        <f t="shared" si="31"/>
        <v>0</v>
      </c>
      <c r="AH580" s="145"/>
      <c r="AI580" s="192" t="s">
        <v>6</v>
      </c>
      <c r="AJ580" s="96">
        <f t="shared" si="32"/>
        <v>0</v>
      </c>
      <c r="AK580" s="193" t="s">
        <v>39</v>
      </c>
    </row>
    <row r="581" spans="1:37" ht="30" customHeight="1">
      <c r="A581" s="92"/>
      <c r="B581" s="92"/>
      <c r="C581" s="92"/>
      <c r="D581" s="92"/>
      <c r="E581" s="92"/>
      <c r="F581" s="92"/>
      <c r="G581" s="92"/>
      <c r="H581" s="92"/>
      <c r="I581" s="92"/>
      <c r="J581" s="92"/>
      <c r="K581" s="92"/>
      <c r="L581" s="92"/>
      <c r="M581" s="92"/>
      <c r="N581" s="155"/>
      <c r="O581" s="145"/>
      <c r="P581" s="92"/>
      <c r="Q581" s="145"/>
      <c r="R581" s="92"/>
      <c r="S581" s="145"/>
      <c r="T581" s="92"/>
      <c r="U581" s="145"/>
      <c r="V581" s="92"/>
      <c r="W581" s="145"/>
      <c r="X581" s="92"/>
      <c r="Y581" s="145"/>
      <c r="Z581" s="92"/>
      <c r="AA581" s="145"/>
      <c r="AB581" s="92"/>
      <c r="AC581" s="145"/>
      <c r="AD581" s="92"/>
      <c r="AE581" s="145"/>
      <c r="AF581" s="182" t="str">
        <f t="shared" si="30"/>
        <v/>
      </c>
      <c r="AG581" s="54" t="b">
        <f t="shared" si="31"/>
        <v>0</v>
      </c>
      <c r="AH581" s="145"/>
      <c r="AI581" s="192" t="s">
        <v>6</v>
      </c>
      <c r="AJ581" s="96">
        <f t="shared" si="32"/>
        <v>0</v>
      </c>
      <c r="AK581" s="193" t="s">
        <v>39</v>
      </c>
    </row>
    <row r="582" spans="1:37" ht="30" customHeight="1">
      <c r="A582" s="92"/>
      <c r="B582" s="92"/>
      <c r="C582" s="92"/>
      <c r="D582" s="92"/>
      <c r="E582" s="92"/>
      <c r="F582" s="92"/>
      <c r="G582" s="92"/>
      <c r="H582" s="92"/>
      <c r="I582" s="92"/>
      <c r="J582" s="92"/>
      <c r="K582" s="92"/>
      <c r="L582" s="92"/>
      <c r="M582" s="92"/>
      <c r="N582" s="155"/>
      <c r="O582" s="145"/>
      <c r="P582" s="92"/>
      <c r="Q582" s="145"/>
      <c r="R582" s="92"/>
      <c r="S582" s="145"/>
      <c r="T582" s="92"/>
      <c r="U582" s="145"/>
      <c r="V582" s="92"/>
      <c r="W582" s="145"/>
      <c r="X582" s="92"/>
      <c r="Y582" s="145"/>
      <c r="Z582" s="92"/>
      <c r="AA582" s="145"/>
      <c r="AB582" s="92"/>
      <c r="AC582" s="145"/>
      <c r="AD582" s="92"/>
      <c r="AE582" s="145"/>
      <c r="AF582" s="182" t="str">
        <f t="shared" si="30"/>
        <v/>
      </c>
      <c r="AG582" s="54" t="b">
        <f t="shared" si="31"/>
        <v>0</v>
      </c>
      <c r="AH582" s="145"/>
      <c r="AI582" s="192" t="s">
        <v>6</v>
      </c>
      <c r="AJ582" s="96">
        <f t="shared" si="32"/>
        <v>0</v>
      </c>
      <c r="AK582" s="193" t="s">
        <v>39</v>
      </c>
    </row>
    <row r="583" spans="1:37" ht="30" customHeight="1">
      <c r="A583" s="92"/>
      <c r="B583" s="92"/>
      <c r="C583" s="92"/>
      <c r="D583" s="92"/>
      <c r="E583" s="92"/>
      <c r="F583" s="92"/>
      <c r="G583" s="92"/>
      <c r="H583" s="92"/>
      <c r="I583" s="92"/>
      <c r="J583" s="92"/>
      <c r="K583" s="92"/>
      <c r="L583" s="92"/>
      <c r="M583" s="92"/>
      <c r="N583" s="155"/>
      <c r="O583" s="145"/>
      <c r="P583" s="92"/>
      <c r="Q583" s="145"/>
      <c r="R583" s="92"/>
      <c r="S583" s="145"/>
      <c r="T583" s="92"/>
      <c r="U583" s="145"/>
      <c r="V583" s="92"/>
      <c r="W583" s="145"/>
      <c r="X583" s="92"/>
      <c r="Y583" s="145"/>
      <c r="Z583" s="92"/>
      <c r="AA583" s="145"/>
      <c r="AB583" s="92"/>
      <c r="AC583" s="145"/>
      <c r="AD583" s="92"/>
      <c r="AE583" s="145"/>
      <c r="AF583" s="182" t="str">
        <f t="shared" si="30"/>
        <v/>
      </c>
      <c r="AG583" s="54" t="b">
        <f t="shared" si="31"/>
        <v>0</v>
      </c>
      <c r="AH583" s="145"/>
      <c r="AI583" s="192" t="s">
        <v>6</v>
      </c>
      <c r="AJ583" s="96">
        <f t="shared" si="32"/>
        <v>0</v>
      </c>
      <c r="AK583" s="193" t="s">
        <v>39</v>
      </c>
    </row>
    <row r="584" spans="1:37" ht="30" customHeight="1">
      <c r="A584" s="92"/>
      <c r="B584" s="92"/>
      <c r="C584" s="92"/>
      <c r="D584" s="92"/>
      <c r="E584" s="92"/>
      <c r="F584" s="92"/>
      <c r="G584" s="92"/>
      <c r="H584" s="92"/>
      <c r="I584" s="92"/>
      <c r="J584" s="92"/>
      <c r="K584" s="92"/>
      <c r="L584" s="92"/>
      <c r="M584" s="92"/>
      <c r="N584" s="155"/>
      <c r="O584" s="145"/>
      <c r="P584" s="92"/>
      <c r="Q584" s="145"/>
      <c r="R584" s="92"/>
      <c r="S584" s="145"/>
      <c r="T584" s="92"/>
      <c r="U584" s="145"/>
      <c r="V584" s="92"/>
      <c r="W584" s="145"/>
      <c r="X584" s="92"/>
      <c r="Y584" s="145"/>
      <c r="Z584" s="92"/>
      <c r="AA584" s="145"/>
      <c r="AB584" s="92"/>
      <c r="AC584" s="145"/>
      <c r="AD584" s="92"/>
      <c r="AE584" s="145"/>
      <c r="AF584" s="182" t="str">
        <f t="shared" si="30"/>
        <v/>
      </c>
      <c r="AG584" s="54" t="b">
        <f t="shared" si="31"/>
        <v>0</v>
      </c>
      <c r="AH584" s="145"/>
      <c r="AI584" s="192" t="s">
        <v>6</v>
      </c>
      <c r="AJ584" s="96">
        <f t="shared" si="32"/>
        <v>0</v>
      </c>
      <c r="AK584" s="193" t="s">
        <v>39</v>
      </c>
    </row>
    <row r="585" spans="1:37" ht="30" customHeight="1">
      <c r="A585" s="92"/>
      <c r="B585" s="92"/>
      <c r="C585" s="92"/>
      <c r="D585" s="92"/>
      <c r="E585" s="92"/>
      <c r="F585" s="92"/>
      <c r="G585" s="92"/>
      <c r="H585" s="92"/>
      <c r="I585" s="92"/>
      <c r="J585" s="92"/>
      <c r="K585" s="92"/>
      <c r="L585" s="92"/>
      <c r="M585" s="92"/>
      <c r="N585" s="155"/>
      <c r="O585" s="145"/>
      <c r="P585" s="92"/>
      <c r="Q585" s="145"/>
      <c r="R585" s="92"/>
      <c r="S585" s="145"/>
      <c r="T585" s="92"/>
      <c r="U585" s="145"/>
      <c r="V585" s="92"/>
      <c r="W585" s="145"/>
      <c r="X585" s="92"/>
      <c r="Y585" s="145"/>
      <c r="Z585" s="92"/>
      <c r="AA585" s="145"/>
      <c r="AB585" s="92"/>
      <c r="AC585" s="145"/>
      <c r="AD585" s="92"/>
      <c r="AE585" s="145"/>
      <c r="AF585" s="182" t="str">
        <f t="shared" si="30"/>
        <v/>
      </c>
      <c r="AG585" s="54" t="b">
        <f t="shared" si="31"/>
        <v>0</v>
      </c>
      <c r="AH585" s="145"/>
      <c r="AI585" s="192" t="s">
        <v>6</v>
      </c>
      <c r="AJ585" s="96">
        <f t="shared" si="32"/>
        <v>0</v>
      </c>
      <c r="AK585" s="193" t="s">
        <v>39</v>
      </c>
    </row>
    <row r="586" spans="1:37" ht="30" customHeight="1">
      <c r="A586" s="92"/>
      <c r="B586" s="92"/>
      <c r="C586" s="92"/>
      <c r="D586" s="92"/>
      <c r="E586" s="92"/>
      <c r="F586" s="92"/>
      <c r="G586" s="92"/>
      <c r="H586" s="92"/>
      <c r="I586" s="92"/>
      <c r="J586" s="92"/>
      <c r="K586" s="92"/>
      <c r="L586" s="92"/>
      <c r="M586" s="92"/>
      <c r="N586" s="155"/>
      <c r="O586" s="145"/>
      <c r="P586" s="92"/>
      <c r="Q586" s="145"/>
      <c r="R586" s="92"/>
      <c r="S586" s="145"/>
      <c r="T586" s="92"/>
      <c r="U586" s="145"/>
      <c r="V586" s="92"/>
      <c r="W586" s="145"/>
      <c r="X586" s="92"/>
      <c r="Y586" s="145"/>
      <c r="Z586" s="92"/>
      <c r="AA586" s="145"/>
      <c r="AB586" s="92"/>
      <c r="AC586" s="145"/>
      <c r="AD586" s="92"/>
      <c r="AE586" s="145"/>
      <c r="AF586" s="182" t="str">
        <f t="shared" si="30"/>
        <v/>
      </c>
      <c r="AG586" s="54" t="b">
        <f t="shared" si="31"/>
        <v>0</v>
      </c>
      <c r="AH586" s="145"/>
      <c r="AI586" s="192" t="s">
        <v>6</v>
      </c>
      <c r="AJ586" s="96">
        <f t="shared" si="32"/>
        <v>0</v>
      </c>
      <c r="AK586" s="193" t="s">
        <v>39</v>
      </c>
    </row>
    <row r="587" spans="1:37" ht="30" customHeight="1">
      <c r="A587" s="92"/>
      <c r="B587" s="92"/>
      <c r="C587" s="92"/>
      <c r="D587" s="92"/>
      <c r="E587" s="92"/>
      <c r="F587" s="92"/>
      <c r="G587" s="92"/>
      <c r="H587" s="92"/>
      <c r="I587" s="92"/>
      <c r="J587" s="92"/>
      <c r="K587" s="92"/>
      <c r="L587" s="92"/>
      <c r="M587" s="92"/>
      <c r="N587" s="155"/>
      <c r="O587" s="145"/>
      <c r="P587" s="92"/>
      <c r="Q587" s="145"/>
      <c r="R587" s="92"/>
      <c r="S587" s="145"/>
      <c r="T587" s="92"/>
      <c r="U587" s="145"/>
      <c r="V587" s="92"/>
      <c r="W587" s="145"/>
      <c r="X587" s="92"/>
      <c r="Y587" s="145"/>
      <c r="Z587" s="92"/>
      <c r="AA587" s="145"/>
      <c r="AB587" s="92"/>
      <c r="AC587" s="145"/>
      <c r="AD587" s="92"/>
      <c r="AE587" s="145"/>
      <c r="AF587" s="182" t="str">
        <f t="shared" si="30"/>
        <v/>
      </c>
      <c r="AG587" s="54" t="b">
        <f t="shared" si="31"/>
        <v>0</v>
      </c>
      <c r="AH587" s="145"/>
      <c r="AI587" s="192" t="s">
        <v>6</v>
      </c>
      <c r="AJ587" s="96">
        <f t="shared" si="32"/>
        <v>0</v>
      </c>
      <c r="AK587" s="193" t="s">
        <v>39</v>
      </c>
    </row>
    <row r="588" spans="1:37" ht="30" customHeight="1">
      <c r="A588" s="92"/>
      <c r="B588" s="92"/>
      <c r="C588" s="92"/>
      <c r="D588" s="92"/>
      <c r="E588" s="92"/>
      <c r="F588" s="92"/>
      <c r="G588" s="92"/>
      <c r="H588" s="92"/>
      <c r="I588" s="92"/>
      <c r="J588" s="92"/>
      <c r="K588" s="92"/>
      <c r="L588" s="92"/>
      <c r="M588" s="92"/>
      <c r="N588" s="155"/>
      <c r="O588" s="145"/>
      <c r="P588" s="92"/>
      <c r="Q588" s="145"/>
      <c r="R588" s="92"/>
      <c r="S588" s="145"/>
      <c r="T588" s="92"/>
      <c r="U588" s="145"/>
      <c r="V588" s="92"/>
      <c r="W588" s="145"/>
      <c r="X588" s="92"/>
      <c r="Y588" s="145"/>
      <c r="Z588" s="92"/>
      <c r="AA588" s="145"/>
      <c r="AB588" s="92"/>
      <c r="AC588" s="145"/>
      <c r="AD588" s="92"/>
      <c r="AE588" s="145"/>
      <c r="AF588" s="182" t="str">
        <f t="shared" si="30"/>
        <v/>
      </c>
      <c r="AG588" s="54" t="b">
        <f t="shared" si="31"/>
        <v>0</v>
      </c>
      <c r="AH588" s="145"/>
      <c r="AI588" s="192" t="s">
        <v>6</v>
      </c>
      <c r="AJ588" s="96">
        <f t="shared" si="32"/>
        <v>0</v>
      </c>
      <c r="AK588" s="193" t="s">
        <v>39</v>
      </c>
    </row>
    <row r="589" spans="1:37" ht="30" customHeight="1">
      <c r="A589" s="92"/>
      <c r="B589" s="92"/>
      <c r="C589" s="92"/>
      <c r="D589" s="92"/>
      <c r="E589" s="92"/>
      <c r="F589" s="92"/>
      <c r="G589" s="92"/>
      <c r="H589" s="92"/>
      <c r="I589" s="92"/>
      <c r="J589" s="92"/>
      <c r="K589" s="92"/>
      <c r="L589" s="92"/>
      <c r="M589" s="92"/>
      <c r="N589" s="155"/>
      <c r="O589" s="145"/>
      <c r="P589" s="92"/>
      <c r="Q589" s="145"/>
      <c r="R589" s="92"/>
      <c r="S589" s="145"/>
      <c r="T589" s="92"/>
      <c r="U589" s="145"/>
      <c r="V589" s="92"/>
      <c r="W589" s="145"/>
      <c r="X589" s="92"/>
      <c r="Y589" s="145"/>
      <c r="Z589" s="92"/>
      <c r="AA589" s="145"/>
      <c r="AB589" s="92"/>
      <c r="AC589" s="145"/>
      <c r="AD589" s="92"/>
      <c r="AE589" s="145"/>
      <c r="AF589" s="182" t="str">
        <f t="shared" si="30"/>
        <v/>
      </c>
      <c r="AG589" s="54" t="b">
        <f t="shared" si="31"/>
        <v>0</v>
      </c>
      <c r="AH589" s="145"/>
      <c r="AI589" s="192" t="s">
        <v>6</v>
      </c>
      <c r="AJ589" s="96">
        <f t="shared" si="32"/>
        <v>0</v>
      </c>
      <c r="AK589" s="193" t="s">
        <v>39</v>
      </c>
    </row>
    <row r="590" spans="1:37" ht="30" customHeight="1">
      <c r="A590" s="92"/>
      <c r="B590" s="92"/>
      <c r="C590" s="92"/>
      <c r="D590" s="92"/>
      <c r="E590" s="92"/>
      <c r="F590" s="92"/>
      <c r="G590" s="92"/>
      <c r="H590" s="92"/>
      <c r="I590" s="92"/>
      <c r="J590" s="92"/>
      <c r="K590" s="92"/>
      <c r="L590" s="92"/>
      <c r="M590" s="92"/>
      <c r="N590" s="155"/>
      <c r="O590" s="145"/>
      <c r="P590" s="92"/>
      <c r="Q590" s="145"/>
      <c r="R590" s="92"/>
      <c r="S590" s="145"/>
      <c r="T590" s="92"/>
      <c r="U590" s="145"/>
      <c r="V590" s="92"/>
      <c r="W590" s="145"/>
      <c r="X590" s="92"/>
      <c r="Y590" s="145"/>
      <c r="Z590" s="92"/>
      <c r="AA590" s="145"/>
      <c r="AB590" s="92"/>
      <c r="AC590" s="145"/>
      <c r="AD590" s="92"/>
      <c r="AE590" s="145"/>
      <c r="AF590" s="182" t="str">
        <f t="shared" si="30"/>
        <v/>
      </c>
      <c r="AG590" s="54" t="b">
        <f t="shared" si="31"/>
        <v>0</v>
      </c>
      <c r="AH590" s="145"/>
      <c r="AI590" s="192" t="s">
        <v>6</v>
      </c>
      <c r="AJ590" s="96">
        <f t="shared" si="32"/>
        <v>0</v>
      </c>
      <c r="AK590" s="193" t="s">
        <v>39</v>
      </c>
    </row>
    <row r="591" spans="1:37" ht="30" customHeight="1">
      <c r="A591" s="92"/>
      <c r="B591" s="92"/>
      <c r="C591" s="92"/>
      <c r="D591" s="92"/>
      <c r="E591" s="92"/>
      <c r="F591" s="92"/>
      <c r="G591" s="92"/>
      <c r="H591" s="92"/>
      <c r="I591" s="92"/>
      <c r="J591" s="92"/>
      <c r="K591" s="92"/>
      <c r="L591" s="92"/>
      <c r="M591" s="92"/>
      <c r="N591" s="155"/>
      <c r="O591" s="145"/>
      <c r="P591" s="92"/>
      <c r="Q591" s="145"/>
      <c r="R591" s="92"/>
      <c r="S591" s="145"/>
      <c r="T591" s="92"/>
      <c r="U591" s="145"/>
      <c r="V591" s="92"/>
      <c r="W591" s="145"/>
      <c r="X591" s="92"/>
      <c r="Y591" s="145"/>
      <c r="Z591" s="92"/>
      <c r="AA591" s="145"/>
      <c r="AB591" s="92"/>
      <c r="AC591" s="145"/>
      <c r="AD591" s="92"/>
      <c r="AE591" s="145"/>
      <c r="AF591" s="182" t="str">
        <f t="shared" si="30"/>
        <v/>
      </c>
      <c r="AG591" s="54" t="b">
        <f t="shared" si="31"/>
        <v>0</v>
      </c>
      <c r="AH591" s="145"/>
      <c r="AI591" s="192" t="s">
        <v>6</v>
      </c>
      <c r="AJ591" s="96">
        <f t="shared" si="32"/>
        <v>0</v>
      </c>
      <c r="AK591" s="193" t="s">
        <v>39</v>
      </c>
    </row>
    <row r="592" spans="1:37" ht="30" customHeight="1">
      <c r="A592" s="92"/>
      <c r="B592" s="92"/>
      <c r="C592" s="92"/>
      <c r="D592" s="92"/>
      <c r="E592" s="92"/>
      <c r="F592" s="92"/>
      <c r="G592" s="92"/>
      <c r="H592" s="92"/>
      <c r="I592" s="92"/>
      <c r="J592" s="92"/>
      <c r="K592" s="92"/>
      <c r="L592" s="92"/>
      <c r="M592" s="92"/>
      <c r="N592" s="155"/>
      <c r="O592" s="145"/>
      <c r="P592" s="92"/>
      <c r="Q592" s="145"/>
      <c r="R592" s="92"/>
      <c r="S592" s="145"/>
      <c r="T592" s="92"/>
      <c r="U592" s="145"/>
      <c r="V592" s="92"/>
      <c r="W592" s="145"/>
      <c r="X592" s="92"/>
      <c r="Y592" s="145"/>
      <c r="Z592" s="92"/>
      <c r="AA592" s="145"/>
      <c r="AB592" s="92"/>
      <c r="AC592" s="145"/>
      <c r="AD592" s="92"/>
      <c r="AE592" s="145"/>
      <c r="AF592" s="182" t="str">
        <f t="shared" si="30"/>
        <v/>
      </c>
      <c r="AG592" s="54" t="b">
        <f t="shared" si="31"/>
        <v>0</v>
      </c>
      <c r="AH592" s="145"/>
      <c r="AI592" s="192" t="s">
        <v>6</v>
      </c>
      <c r="AJ592" s="96">
        <f t="shared" si="32"/>
        <v>0</v>
      </c>
      <c r="AK592" s="193" t="s">
        <v>39</v>
      </c>
    </row>
    <row r="593" spans="1:37" ht="30" customHeight="1">
      <c r="A593" s="92"/>
      <c r="B593" s="92"/>
      <c r="C593" s="92"/>
      <c r="D593" s="92"/>
      <c r="E593" s="92"/>
      <c r="F593" s="92"/>
      <c r="G593" s="92"/>
      <c r="H593" s="92"/>
      <c r="I593" s="92"/>
      <c r="J593" s="92"/>
      <c r="K593" s="92"/>
      <c r="L593" s="92"/>
      <c r="M593" s="92"/>
      <c r="N593" s="155"/>
      <c r="O593" s="145"/>
      <c r="P593" s="92"/>
      <c r="Q593" s="145"/>
      <c r="R593" s="92"/>
      <c r="S593" s="145"/>
      <c r="T593" s="92"/>
      <c r="U593" s="145"/>
      <c r="V593" s="92"/>
      <c r="W593" s="145"/>
      <c r="X593" s="92"/>
      <c r="Y593" s="145"/>
      <c r="Z593" s="92"/>
      <c r="AA593" s="145"/>
      <c r="AB593" s="92"/>
      <c r="AC593" s="145"/>
      <c r="AD593" s="92"/>
      <c r="AE593" s="145"/>
      <c r="AF593" s="182" t="str">
        <f t="shared" si="30"/>
        <v/>
      </c>
      <c r="AG593" s="54" t="b">
        <f t="shared" si="31"/>
        <v>0</v>
      </c>
      <c r="AH593" s="145"/>
      <c r="AI593" s="192" t="s">
        <v>6</v>
      </c>
      <c r="AJ593" s="96">
        <f t="shared" si="32"/>
        <v>0</v>
      </c>
      <c r="AK593" s="193" t="s">
        <v>39</v>
      </c>
    </row>
    <row r="594" spans="1:37" ht="30" customHeight="1">
      <c r="A594" s="92"/>
      <c r="B594" s="92"/>
      <c r="C594" s="92"/>
      <c r="D594" s="92"/>
      <c r="E594" s="92"/>
      <c r="F594" s="92"/>
      <c r="G594" s="92"/>
      <c r="H594" s="92"/>
      <c r="I594" s="92"/>
      <c r="J594" s="92"/>
      <c r="K594" s="92"/>
      <c r="L594" s="92"/>
      <c r="M594" s="92"/>
      <c r="N594" s="155"/>
      <c r="O594" s="145"/>
      <c r="P594" s="92"/>
      <c r="Q594" s="145"/>
      <c r="R594" s="92"/>
      <c r="S594" s="145"/>
      <c r="T594" s="92"/>
      <c r="U594" s="145"/>
      <c r="V594" s="92"/>
      <c r="W594" s="145"/>
      <c r="X594" s="92"/>
      <c r="Y594" s="145"/>
      <c r="Z594" s="92"/>
      <c r="AA594" s="145"/>
      <c r="AB594" s="92"/>
      <c r="AC594" s="145"/>
      <c r="AD594" s="92"/>
      <c r="AE594" s="145"/>
      <c r="AF594" s="182" t="str">
        <f t="shared" si="30"/>
        <v/>
      </c>
      <c r="AG594" s="54" t="b">
        <f t="shared" si="31"/>
        <v>0</v>
      </c>
      <c r="AH594" s="145"/>
      <c r="AI594" s="192" t="s">
        <v>6</v>
      </c>
      <c r="AJ594" s="96">
        <f t="shared" si="32"/>
        <v>0</v>
      </c>
      <c r="AK594" s="193" t="s">
        <v>39</v>
      </c>
    </row>
    <row r="595" spans="1:37" ht="30" customHeight="1">
      <c r="A595" s="92"/>
      <c r="B595" s="92"/>
      <c r="C595" s="92"/>
      <c r="D595" s="92"/>
      <c r="E595" s="92"/>
      <c r="F595" s="92"/>
      <c r="G595" s="92"/>
      <c r="H595" s="92"/>
      <c r="I595" s="92"/>
      <c r="J595" s="92"/>
      <c r="K595" s="92"/>
      <c r="L595" s="92"/>
      <c r="M595" s="92"/>
      <c r="N595" s="155"/>
      <c r="O595" s="145"/>
      <c r="P595" s="92"/>
      <c r="Q595" s="145"/>
      <c r="R595" s="92"/>
      <c r="S595" s="145"/>
      <c r="T595" s="92"/>
      <c r="U595" s="145"/>
      <c r="V595" s="92"/>
      <c r="W595" s="145"/>
      <c r="X595" s="92"/>
      <c r="Y595" s="145"/>
      <c r="Z595" s="92"/>
      <c r="AA595" s="145"/>
      <c r="AB595" s="92"/>
      <c r="AC595" s="145"/>
      <c r="AD595" s="92"/>
      <c r="AE595" s="145"/>
      <c r="AF595" s="182" t="str">
        <f t="shared" si="30"/>
        <v/>
      </c>
      <c r="AG595" s="54" t="b">
        <f t="shared" si="31"/>
        <v>0</v>
      </c>
      <c r="AH595" s="145"/>
      <c r="AI595" s="192" t="s">
        <v>6</v>
      </c>
      <c r="AJ595" s="96">
        <f t="shared" si="32"/>
        <v>0</v>
      </c>
      <c r="AK595" s="193" t="s">
        <v>39</v>
      </c>
    </row>
    <row r="596" spans="1:37" ht="30" customHeight="1">
      <c r="A596" s="92"/>
      <c r="B596" s="92"/>
      <c r="C596" s="92"/>
      <c r="D596" s="92"/>
      <c r="E596" s="92"/>
      <c r="F596" s="92"/>
      <c r="G596" s="92"/>
      <c r="H596" s="92"/>
      <c r="I596" s="92"/>
      <c r="J596" s="92"/>
      <c r="K596" s="92"/>
      <c r="L596" s="92"/>
      <c r="M596" s="92"/>
      <c r="N596" s="155"/>
      <c r="O596" s="145"/>
      <c r="P596" s="92"/>
      <c r="Q596" s="145"/>
      <c r="R596" s="92"/>
      <c r="S596" s="145"/>
      <c r="T596" s="92"/>
      <c r="U596" s="145"/>
      <c r="V596" s="92"/>
      <c r="W596" s="145"/>
      <c r="X596" s="92"/>
      <c r="Y596" s="145"/>
      <c r="Z596" s="92"/>
      <c r="AA596" s="145"/>
      <c r="AB596" s="92"/>
      <c r="AC596" s="145"/>
      <c r="AD596" s="92"/>
      <c r="AE596" s="145"/>
      <c r="AF596" s="182" t="str">
        <f t="shared" si="30"/>
        <v/>
      </c>
      <c r="AG596" s="54" t="b">
        <f t="shared" si="31"/>
        <v>0</v>
      </c>
      <c r="AH596" s="145"/>
      <c r="AI596" s="192" t="s">
        <v>6</v>
      </c>
      <c r="AJ596" s="96">
        <f t="shared" si="32"/>
        <v>0</v>
      </c>
      <c r="AK596" s="193" t="s">
        <v>39</v>
      </c>
    </row>
    <row r="597" spans="1:37" ht="30" customHeight="1">
      <c r="A597" s="92"/>
      <c r="B597" s="92"/>
      <c r="C597" s="92"/>
      <c r="D597" s="92"/>
      <c r="E597" s="92"/>
      <c r="F597" s="92"/>
      <c r="G597" s="92"/>
      <c r="H597" s="92"/>
      <c r="I597" s="92"/>
      <c r="J597" s="92"/>
      <c r="K597" s="92"/>
      <c r="L597" s="92"/>
      <c r="M597" s="92"/>
      <c r="N597" s="155"/>
      <c r="O597" s="145"/>
      <c r="P597" s="92"/>
      <c r="Q597" s="145"/>
      <c r="R597" s="92"/>
      <c r="S597" s="145"/>
      <c r="T597" s="92"/>
      <c r="U597" s="145"/>
      <c r="V597" s="92"/>
      <c r="W597" s="145"/>
      <c r="X597" s="92"/>
      <c r="Y597" s="145"/>
      <c r="Z597" s="92"/>
      <c r="AA597" s="145"/>
      <c r="AB597" s="92"/>
      <c r="AC597" s="145"/>
      <c r="AD597" s="92"/>
      <c r="AE597" s="145"/>
      <c r="AF597" s="182" t="str">
        <f t="shared" si="30"/>
        <v/>
      </c>
      <c r="AG597" s="54" t="b">
        <f t="shared" si="31"/>
        <v>0</v>
      </c>
      <c r="AH597" s="145"/>
      <c r="AI597" s="192" t="s">
        <v>6</v>
      </c>
      <c r="AJ597" s="96">
        <f t="shared" si="32"/>
        <v>0</v>
      </c>
      <c r="AK597" s="193" t="s">
        <v>39</v>
      </c>
    </row>
    <row r="598" spans="1:37" ht="30" customHeight="1">
      <c r="A598" s="92"/>
      <c r="B598" s="92"/>
      <c r="C598" s="92"/>
      <c r="D598" s="92"/>
      <c r="E598" s="92"/>
      <c r="F598" s="92"/>
      <c r="G598" s="92"/>
      <c r="H598" s="92"/>
      <c r="I598" s="92"/>
      <c r="J598" s="92"/>
      <c r="K598" s="92"/>
      <c r="L598" s="92"/>
      <c r="M598" s="92"/>
      <c r="N598" s="155"/>
      <c r="O598" s="145"/>
      <c r="P598" s="92"/>
      <c r="Q598" s="145"/>
      <c r="R598" s="92"/>
      <c r="S598" s="145"/>
      <c r="T598" s="92"/>
      <c r="U598" s="145"/>
      <c r="V598" s="92"/>
      <c r="W598" s="145"/>
      <c r="X598" s="92"/>
      <c r="Y598" s="145"/>
      <c r="Z598" s="92"/>
      <c r="AA598" s="145"/>
      <c r="AB598" s="92"/>
      <c r="AC598" s="145"/>
      <c r="AD598" s="92"/>
      <c r="AE598" s="145"/>
      <c r="AF598" s="182" t="str">
        <f t="shared" si="30"/>
        <v/>
      </c>
      <c r="AG598" s="54" t="b">
        <f t="shared" si="31"/>
        <v>0</v>
      </c>
      <c r="AH598" s="145"/>
      <c r="AI598" s="192" t="s">
        <v>6</v>
      </c>
      <c r="AJ598" s="96">
        <f t="shared" si="32"/>
        <v>0</v>
      </c>
      <c r="AK598" s="193" t="s">
        <v>39</v>
      </c>
    </row>
    <row r="599" spans="1:37" ht="30" customHeight="1">
      <c r="A599" s="92"/>
      <c r="B599" s="92"/>
      <c r="C599" s="92"/>
      <c r="D599" s="92"/>
      <c r="E599" s="92"/>
      <c r="F599" s="92"/>
      <c r="G599" s="92"/>
      <c r="H599" s="92"/>
      <c r="I599" s="92"/>
      <c r="J599" s="92"/>
      <c r="K599" s="92"/>
      <c r="L599" s="92"/>
      <c r="M599" s="92"/>
      <c r="N599" s="155"/>
      <c r="O599" s="145"/>
      <c r="P599" s="92"/>
      <c r="Q599" s="145"/>
      <c r="R599" s="92"/>
      <c r="S599" s="145"/>
      <c r="T599" s="92"/>
      <c r="U599" s="145"/>
      <c r="V599" s="92"/>
      <c r="W599" s="145"/>
      <c r="X599" s="92"/>
      <c r="Y599" s="145"/>
      <c r="Z599" s="92"/>
      <c r="AA599" s="145"/>
      <c r="AB599" s="92"/>
      <c r="AC599" s="145"/>
      <c r="AD599" s="92"/>
      <c r="AE599" s="145"/>
      <c r="AF599" s="182" t="str">
        <f t="shared" si="30"/>
        <v/>
      </c>
      <c r="AG599" s="54" t="b">
        <f t="shared" si="31"/>
        <v>0</v>
      </c>
      <c r="AH599" s="145"/>
      <c r="AI599" s="192" t="s">
        <v>6</v>
      </c>
      <c r="AJ599" s="96">
        <f t="shared" si="32"/>
        <v>0</v>
      </c>
      <c r="AK599" s="193" t="s">
        <v>39</v>
      </c>
    </row>
    <row r="600" spans="1:37" ht="30" customHeight="1">
      <c r="A600" s="92"/>
      <c r="B600" s="92"/>
      <c r="C600" s="92"/>
      <c r="D600" s="92"/>
      <c r="E600" s="92"/>
      <c r="F600" s="92"/>
      <c r="G600" s="92"/>
      <c r="H600" s="92"/>
      <c r="I600" s="92"/>
      <c r="J600" s="92"/>
      <c r="K600" s="92"/>
      <c r="L600" s="92"/>
      <c r="M600" s="92"/>
      <c r="N600" s="155"/>
      <c r="O600" s="145"/>
      <c r="P600" s="92"/>
      <c r="Q600" s="145"/>
      <c r="R600" s="92"/>
      <c r="S600" s="145"/>
      <c r="T600" s="92"/>
      <c r="U600" s="145"/>
      <c r="V600" s="92"/>
      <c r="W600" s="145"/>
      <c r="X600" s="92"/>
      <c r="Y600" s="145"/>
      <c r="Z600" s="92"/>
      <c r="AA600" s="145"/>
      <c r="AB600" s="92"/>
      <c r="AC600" s="145"/>
      <c r="AD600" s="92"/>
      <c r="AE600" s="145"/>
      <c r="AF600" s="182" t="str">
        <f t="shared" si="30"/>
        <v/>
      </c>
      <c r="AG600" s="54" t="b">
        <f t="shared" si="31"/>
        <v>0</v>
      </c>
      <c r="AH600" s="145"/>
      <c r="AI600" s="192" t="s">
        <v>6</v>
      </c>
      <c r="AJ600" s="96">
        <f t="shared" si="32"/>
        <v>0</v>
      </c>
      <c r="AK600" s="193" t="s">
        <v>39</v>
      </c>
    </row>
    <row r="601" spans="1:37" ht="30" customHeight="1">
      <c r="A601" s="92"/>
      <c r="B601" s="92"/>
      <c r="C601" s="92"/>
      <c r="D601" s="92"/>
      <c r="E601" s="92"/>
      <c r="F601" s="92"/>
      <c r="G601" s="92"/>
      <c r="H601" s="92"/>
      <c r="I601" s="92"/>
      <c r="J601" s="92"/>
      <c r="K601" s="92"/>
      <c r="L601" s="92"/>
      <c r="M601" s="92"/>
      <c r="N601" s="155"/>
      <c r="O601" s="145"/>
      <c r="P601" s="92"/>
      <c r="Q601" s="145"/>
      <c r="R601" s="92"/>
      <c r="S601" s="145"/>
      <c r="T601" s="92"/>
      <c r="U601" s="145"/>
      <c r="V601" s="92"/>
      <c r="W601" s="145"/>
      <c r="X601" s="92"/>
      <c r="Y601" s="145"/>
      <c r="Z601" s="92"/>
      <c r="AA601" s="145"/>
      <c r="AB601" s="92"/>
      <c r="AC601" s="145"/>
      <c r="AD601" s="92"/>
      <c r="AE601" s="145"/>
      <c r="AF601" s="182" t="str">
        <f t="shared" si="30"/>
        <v/>
      </c>
      <c r="AG601" s="54" t="b">
        <f t="shared" si="31"/>
        <v>0</v>
      </c>
      <c r="AH601" s="145"/>
      <c r="AI601" s="192" t="s">
        <v>6</v>
      </c>
      <c r="AJ601" s="96">
        <f t="shared" si="32"/>
        <v>0</v>
      </c>
      <c r="AK601" s="193" t="s">
        <v>39</v>
      </c>
    </row>
    <row r="602" spans="1:37" ht="30" customHeight="1">
      <c r="A602" s="92"/>
      <c r="B602" s="92"/>
      <c r="C602" s="92"/>
      <c r="D602" s="92"/>
      <c r="E602" s="92"/>
      <c r="F602" s="92"/>
      <c r="G602" s="92"/>
      <c r="H602" s="92"/>
      <c r="I602" s="92"/>
      <c r="J602" s="92"/>
      <c r="K602" s="92"/>
      <c r="L602" s="92"/>
      <c r="M602" s="92"/>
      <c r="N602" s="155"/>
      <c r="O602" s="145"/>
      <c r="P602" s="92"/>
      <c r="Q602" s="145"/>
      <c r="R602" s="92"/>
      <c r="S602" s="145"/>
      <c r="T602" s="92"/>
      <c r="U602" s="145"/>
      <c r="V602" s="92"/>
      <c r="W602" s="145"/>
      <c r="X602" s="92"/>
      <c r="Y602" s="145"/>
      <c r="Z602" s="92"/>
      <c r="AA602" s="145"/>
      <c r="AB602" s="92"/>
      <c r="AC602" s="145"/>
      <c r="AD602" s="92"/>
      <c r="AE602" s="145"/>
      <c r="AF602" s="182" t="str">
        <f t="shared" si="30"/>
        <v/>
      </c>
      <c r="AG602" s="54" t="b">
        <f t="shared" si="31"/>
        <v>0</v>
      </c>
      <c r="AH602" s="145"/>
      <c r="AI602" s="192" t="s">
        <v>6</v>
      </c>
      <c r="AJ602" s="96">
        <f t="shared" si="32"/>
        <v>0</v>
      </c>
      <c r="AK602" s="193" t="s">
        <v>39</v>
      </c>
    </row>
    <row r="603" spans="1:37" ht="30" customHeight="1">
      <c r="A603" s="92"/>
      <c r="B603" s="92"/>
      <c r="C603" s="92"/>
      <c r="D603" s="92"/>
      <c r="E603" s="92"/>
      <c r="F603" s="92"/>
      <c r="G603" s="92"/>
      <c r="H603" s="92"/>
      <c r="I603" s="92"/>
      <c r="J603" s="92"/>
      <c r="K603" s="92"/>
      <c r="L603" s="92"/>
      <c r="M603" s="92"/>
      <c r="N603" s="155"/>
      <c r="O603" s="145"/>
      <c r="P603" s="92"/>
      <c r="Q603" s="145"/>
      <c r="R603" s="92"/>
      <c r="S603" s="145"/>
      <c r="T603" s="92"/>
      <c r="U603" s="145"/>
      <c r="V603" s="92"/>
      <c r="W603" s="145"/>
      <c r="X603" s="92"/>
      <c r="Y603" s="145"/>
      <c r="Z603" s="92"/>
      <c r="AA603" s="145"/>
      <c r="AB603" s="92"/>
      <c r="AC603" s="145"/>
      <c r="AD603" s="92"/>
      <c r="AE603" s="145"/>
      <c r="AF603" s="182" t="str">
        <f t="shared" si="30"/>
        <v/>
      </c>
      <c r="AG603" s="54" t="b">
        <f t="shared" si="31"/>
        <v>0</v>
      </c>
      <c r="AH603" s="145"/>
      <c r="AI603" s="192" t="s">
        <v>6</v>
      </c>
      <c r="AJ603" s="96">
        <f t="shared" si="32"/>
        <v>0</v>
      </c>
      <c r="AK603" s="193" t="s">
        <v>39</v>
      </c>
    </row>
    <row r="604" spans="1:37" ht="30" customHeight="1">
      <c r="A604" s="92"/>
      <c r="B604" s="92"/>
      <c r="C604" s="92"/>
      <c r="D604" s="92"/>
      <c r="E604" s="92"/>
      <c r="F604" s="92"/>
      <c r="G604" s="92"/>
      <c r="H604" s="92"/>
      <c r="I604" s="92"/>
      <c r="J604" s="92"/>
      <c r="K604" s="92"/>
      <c r="L604" s="92"/>
      <c r="M604" s="92"/>
      <c r="N604" s="155"/>
      <c r="O604" s="145"/>
      <c r="P604" s="92"/>
      <c r="Q604" s="145"/>
      <c r="R604" s="92"/>
      <c r="S604" s="145"/>
      <c r="T604" s="92"/>
      <c r="U604" s="145"/>
      <c r="V604" s="92"/>
      <c r="W604" s="145"/>
      <c r="X604" s="92"/>
      <c r="Y604" s="145"/>
      <c r="Z604" s="92"/>
      <c r="AA604" s="145"/>
      <c r="AB604" s="92"/>
      <c r="AC604" s="145"/>
      <c r="AD604" s="92"/>
      <c r="AE604" s="145"/>
      <c r="AF604" s="182" t="str">
        <f t="shared" si="30"/>
        <v/>
      </c>
      <c r="AG604" s="54" t="b">
        <f t="shared" si="31"/>
        <v>0</v>
      </c>
      <c r="AH604" s="145"/>
      <c r="AI604" s="192" t="s">
        <v>6</v>
      </c>
      <c r="AJ604" s="96">
        <f t="shared" si="32"/>
        <v>0</v>
      </c>
      <c r="AK604" s="193" t="s">
        <v>39</v>
      </c>
    </row>
    <row r="605" spans="1:37" ht="30" customHeight="1">
      <c r="A605" s="92"/>
      <c r="B605" s="92"/>
      <c r="C605" s="92"/>
      <c r="D605" s="92"/>
      <c r="E605" s="92"/>
      <c r="F605" s="92"/>
      <c r="G605" s="92"/>
      <c r="H605" s="92"/>
      <c r="I605" s="92"/>
      <c r="J605" s="92"/>
      <c r="K605" s="92"/>
      <c r="L605" s="92"/>
      <c r="M605" s="92"/>
      <c r="N605" s="155"/>
      <c r="O605" s="145"/>
      <c r="P605" s="92"/>
      <c r="Q605" s="145"/>
      <c r="R605" s="92"/>
      <c r="S605" s="145"/>
      <c r="T605" s="92"/>
      <c r="U605" s="145"/>
      <c r="V605" s="92"/>
      <c r="W605" s="145"/>
      <c r="X605" s="92"/>
      <c r="Y605" s="145"/>
      <c r="Z605" s="92"/>
      <c r="AA605" s="145"/>
      <c r="AB605" s="92"/>
      <c r="AC605" s="145"/>
      <c r="AD605" s="92"/>
      <c r="AE605" s="145"/>
      <c r="AF605" s="182" t="str">
        <f t="shared" si="30"/>
        <v/>
      </c>
      <c r="AG605" s="54" t="b">
        <f t="shared" si="31"/>
        <v>0</v>
      </c>
      <c r="AH605" s="145"/>
      <c r="AI605" s="192" t="s">
        <v>6</v>
      </c>
      <c r="AJ605" s="96">
        <f t="shared" si="32"/>
        <v>0</v>
      </c>
      <c r="AK605" s="193" t="s">
        <v>39</v>
      </c>
    </row>
    <row r="606" spans="1:37" ht="30" customHeight="1">
      <c r="A606" s="92"/>
      <c r="B606" s="92"/>
      <c r="C606" s="92"/>
      <c r="D606" s="92"/>
      <c r="E606" s="92"/>
      <c r="F606" s="92"/>
      <c r="G606" s="92"/>
      <c r="H606" s="92"/>
      <c r="I606" s="92"/>
      <c r="J606" s="92"/>
      <c r="K606" s="92"/>
      <c r="L606" s="92"/>
      <c r="M606" s="92"/>
      <c r="N606" s="155"/>
      <c r="O606" s="145"/>
      <c r="P606" s="92"/>
      <c r="Q606" s="145"/>
      <c r="R606" s="92"/>
      <c r="S606" s="145"/>
      <c r="T606" s="92"/>
      <c r="U606" s="145"/>
      <c r="V606" s="92"/>
      <c r="W606" s="145"/>
      <c r="X606" s="92"/>
      <c r="Y606" s="145"/>
      <c r="Z606" s="92"/>
      <c r="AA606" s="145"/>
      <c r="AB606" s="92"/>
      <c r="AC606" s="145"/>
      <c r="AD606" s="92"/>
      <c r="AE606" s="145"/>
      <c r="AF606" s="182" t="str">
        <f t="shared" si="30"/>
        <v/>
      </c>
      <c r="AG606" s="54" t="b">
        <f t="shared" si="31"/>
        <v>0</v>
      </c>
      <c r="AH606" s="145"/>
      <c r="AI606" s="192" t="s">
        <v>6</v>
      </c>
      <c r="AJ606" s="96">
        <f t="shared" si="32"/>
        <v>0</v>
      </c>
      <c r="AK606" s="193" t="s">
        <v>39</v>
      </c>
    </row>
    <row r="607" spans="1:37" ht="30" customHeight="1">
      <c r="A607" s="92"/>
      <c r="B607" s="92"/>
      <c r="C607" s="92"/>
      <c r="D607" s="92"/>
      <c r="E607" s="92"/>
      <c r="F607" s="92"/>
      <c r="G607" s="92"/>
      <c r="H607" s="92"/>
      <c r="I607" s="92"/>
      <c r="J607" s="92"/>
      <c r="K607" s="92"/>
      <c r="L607" s="92"/>
      <c r="M607" s="92"/>
      <c r="N607" s="155"/>
      <c r="O607" s="145"/>
      <c r="P607" s="92"/>
      <c r="Q607" s="145"/>
      <c r="R607" s="92"/>
      <c r="S607" s="145"/>
      <c r="T607" s="92"/>
      <c r="U607" s="145"/>
      <c r="V607" s="92"/>
      <c r="W607" s="145"/>
      <c r="X607" s="92"/>
      <c r="Y607" s="145"/>
      <c r="Z607" s="92"/>
      <c r="AA607" s="145"/>
      <c r="AB607" s="92"/>
      <c r="AC607" s="145"/>
      <c r="AD607" s="92"/>
      <c r="AE607" s="145"/>
      <c r="AF607" s="182" t="str">
        <f t="shared" si="30"/>
        <v/>
      </c>
      <c r="AG607" s="54" t="b">
        <f t="shared" si="31"/>
        <v>0</v>
      </c>
      <c r="AH607" s="145"/>
      <c r="AI607" s="192" t="s">
        <v>6</v>
      </c>
      <c r="AJ607" s="96">
        <f t="shared" si="32"/>
        <v>0</v>
      </c>
      <c r="AK607" s="193" t="s">
        <v>39</v>
      </c>
    </row>
    <row r="608" spans="1:37" ht="30" customHeight="1">
      <c r="A608" s="92"/>
      <c r="B608" s="92"/>
      <c r="C608" s="92"/>
      <c r="D608" s="92"/>
      <c r="E608" s="92"/>
      <c r="F608" s="92"/>
      <c r="G608" s="92"/>
      <c r="H608" s="92"/>
      <c r="I608" s="92"/>
      <c r="J608" s="92"/>
      <c r="K608" s="92"/>
      <c r="L608" s="92"/>
      <c r="M608" s="92"/>
      <c r="N608" s="155"/>
      <c r="O608" s="145"/>
      <c r="P608" s="92"/>
      <c r="Q608" s="145"/>
      <c r="R608" s="92"/>
      <c r="S608" s="145"/>
      <c r="T608" s="92"/>
      <c r="U608" s="145"/>
      <c r="V608" s="92"/>
      <c r="W608" s="145"/>
      <c r="X608" s="92"/>
      <c r="Y608" s="145"/>
      <c r="Z608" s="92"/>
      <c r="AA608" s="145"/>
      <c r="AB608" s="92"/>
      <c r="AC608" s="145"/>
      <c r="AD608" s="92"/>
      <c r="AE608" s="145"/>
      <c r="AF608" s="182" t="str">
        <f t="shared" si="30"/>
        <v/>
      </c>
      <c r="AG608" s="54" t="b">
        <f t="shared" si="31"/>
        <v>0</v>
      </c>
      <c r="AH608" s="145"/>
      <c r="AI608" s="192" t="s">
        <v>6</v>
      </c>
      <c r="AJ608" s="96">
        <f t="shared" si="32"/>
        <v>0</v>
      </c>
      <c r="AK608" s="193" t="s">
        <v>39</v>
      </c>
    </row>
    <row r="609" spans="1:37" ht="30" customHeight="1">
      <c r="A609" s="92"/>
      <c r="B609" s="92"/>
      <c r="C609" s="92"/>
      <c r="D609" s="92"/>
      <c r="E609" s="92"/>
      <c r="F609" s="92"/>
      <c r="G609" s="92"/>
      <c r="H609" s="92"/>
      <c r="I609" s="92"/>
      <c r="J609" s="92"/>
      <c r="K609" s="92"/>
      <c r="L609" s="92"/>
      <c r="M609" s="92"/>
      <c r="N609" s="155"/>
      <c r="O609" s="145"/>
      <c r="P609" s="92"/>
      <c r="Q609" s="145"/>
      <c r="R609" s="92"/>
      <c r="S609" s="145"/>
      <c r="T609" s="92"/>
      <c r="U609" s="145"/>
      <c r="V609" s="92"/>
      <c r="W609" s="145"/>
      <c r="X609" s="92"/>
      <c r="Y609" s="145"/>
      <c r="Z609" s="92"/>
      <c r="AA609" s="145"/>
      <c r="AB609" s="92"/>
      <c r="AC609" s="145"/>
      <c r="AD609" s="92"/>
      <c r="AE609" s="145"/>
      <c r="AF609" s="182" t="str">
        <f t="shared" si="30"/>
        <v/>
      </c>
      <c r="AG609" s="54" t="b">
        <f t="shared" si="31"/>
        <v>0</v>
      </c>
      <c r="AH609" s="145"/>
      <c r="AI609" s="192" t="s">
        <v>6</v>
      </c>
      <c r="AJ609" s="96">
        <f t="shared" si="32"/>
        <v>0</v>
      </c>
      <c r="AK609" s="193" t="s">
        <v>39</v>
      </c>
    </row>
    <row r="610" spans="1:37" ht="30" customHeight="1">
      <c r="A610" s="92"/>
      <c r="B610" s="92"/>
      <c r="C610" s="92"/>
      <c r="D610" s="92"/>
      <c r="E610" s="92"/>
      <c r="F610" s="92"/>
      <c r="G610" s="92"/>
      <c r="H610" s="92"/>
      <c r="I610" s="92"/>
      <c r="J610" s="92"/>
      <c r="K610" s="92"/>
      <c r="L610" s="92"/>
      <c r="M610" s="92"/>
      <c r="N610" s="155"/>
      <c r="O610" s="145"/>
      <c r="P610" s="92"/>
      <c r="Q610" s="145"/>
      <c r="R610" s="92"/>
      <c r="S610" s="145"/>
      <c r="T610" s="92"/>
      <c r="U610" s="145"/>
      <c r="V610" s="92"/>
      <c r="W610" s="145"/>
      <c r="X610" s="92"/>
      <c r="Y610" s="145"/>
      <c r="Z610" s="92"/>
      <c r="AA610" s="145"/>
      <c r="AB610" s="92"/>
      <c r="AC610" s="145"/>
      <c r="AD610" s="92"/>
      <c r="AE610" s="145"/>
      <c r="AF610" s="182" t="str">
        <f t="shared" si="30"/>
        <v/>
      </c>
      <c r="AG610" s="54" t="b">
        <f t="shared" si="31"/>
        <v>0</v>
      </c>
      <c r="AH610" s="145"/>
      <c r="AI610" s="192" t="s">
        <v>6</v>
      </c>
      <c r="AJ610" s="96">
        <f t="shared" si="32"/>
        <v>0</v>
      </c>
      <c r="AK610" s="193" t="s">
        <v>39</v>
      </c>
    </row>
    <row r="611" spans="1:37" ht="30" customHeight="1">
      <c r="A611" s="92"/>
      <c r="B611" s="92"/>
      <c r="C611" s="92"/>
      <c r="D611" s="92"/>
      <c r="E611" s="92"/>
      <c r="F611" s="92"/>
      <c r="G611" s="92"/>
      <c r="H611" s="92"/>
      <c r="I611" s="92"/>
      <c r="J611" s="92"/>
      <c r="K611" s="92"/>
      <c r="L611" s="92"/>
      <c r="M611" s="92"/>
      <c r="N611" s="155"/>
      <c r="O611" s="145"/>
      <c r="P611" s="92"/>
      <c r="Q611" s="145"/>
      <c r="R611" s="92"/>
      <c r="S611" s="145"/>
      <c r="T611" s="92"/>
      <c r="U611" s="145"/>
      <c r="V611" s="92"/>
      <c r="W611" s="145"/>
      <c r="X611" s="92"/>
      <c r="Y611" s="145"/>
      <c r="Z611" s="92"/>
      <c r="AA611" s="145"/>
      <c r="AB611" s="92"/>
      <c r="AC611" s="145"/>
      <c r="AD611" s="92"/>
      <c r="AE611" s="145"/>
      <c r="AF611" s="182" t="str">
        <f t="shared" si="30"/>
        <v/>
      </c>
      <c r="AG611" s="54" t="b">
        <f t="shared" si="31"/>
        <v>0</v>
      </c>
      <c r="AH611" s="145"/>
      <c r="AI611" s="192" t="s">
        <v>6</v>
      </c>
      <c r="AJ611" s="96">
        <f t="shared" si="32"/>
        <v>0</v>
      </c>
      <c r="AK611" s="193" t="s">
        <v>39</v>
      </c>
    </row>
    <row r="612" spans="1:37" ht="30" customHeight="1">
      <c r="A612" s="92"/>
      <c r="B612" s="92"/>
      <c r="C612" s="92"/>
      <c r="D612" s="92"/>
      <c r="E612" s="92"/>
      <c r="F612" s="92"/>
      <c r="G612" s="92"/>
      <c r="H612" s="92"/>
      <c r="I612" s="92"/>
      <c r="J612" s="92"/>
      <c r="K612" s="92"/>
      <c r="L612" s="92"/>
      <c r="M612" s="92"/>
      <c r="N612" s="155"/>
      <c r="O612" s="145"/>
      <c r="P612" s="92"/>
      <c r="Q612" s="145"/>
      <c r="R612" s="92"/>
      <c r="S612" s="145"/>
      <c r="T612" s="92"/>
      <c r="U612" s="145"/>
      <c r="V612" s="92"/>
      <c r="W612" s="145"/>
      <c r="X612" s="92"/>
      <c r="Y612" s="145"/>
      <c r="Z612" s="92"/>
      <c r="AA612" s="145"/>
      <c r="AB612" s="92"/>
      <c r="AC612" s="145"/>
      <c r="AD612" s="92"/>
      <c r="AE612" s="145"/>
      <c r="AF612" s="182" t="str">
        <f t="shared" si="30"/>
        <v/>
      </c>
      <c r="AG612" s="54" t="b">
        <f t="shared" si="31"/>
        <v>0</v>
      </c>
      <c r="AH612" s="145"/>
      <c r="AI612" s="192" t="s">
        <v>6</v>
      </c>
      <c r="AJ612" s="96">
        <f t="shared" si="32"/>
        <v>0</v>
      </c>
      <c r="AK612" s="193" t="s">
        <v>39</v>
      </c>
    </row>
    <row r="613" spans="1:37" ht="30" customHeight="1">
      <c r="A613" s="92"/>
      <c r="B613" s="92"/>
      <c r="C613" s="92"/>
      <c r="D613" s="92"/>
      <c r="E613" s="92"/>
      <c r="F613" s="92"/>
      <c r="G613" s="92"/>
      <c r="H613" s="92"/>
      <c r="I613" s="92"/>
      <c r="J613" s="92"/>
      <c r="K613" s="92"/>
      <c r="L613" s="92"/>
      <c r="M613" s="92"/>
      <c r="N613" s="155"/>
      <c r="O613" s="145"/>
      <c r="P613" s="92"/>
      <c r="Q613" s="145"/>
      <c r="R613" s="92"/>
      <c r="S613" s="145"/>
      <c r="T613" s="92"/>
      <c r="U613" s="145"/>
      <c r="V613" s="92"/>
      <c r="W613" s="145"/>
      <c r="X613" s="92"/>
      <c r="Y613" s="145"/>
      <c r="Z613" s="92"/>
      <c r="AA613" s="145"/>
      <c r="AB613" s="92"/>
      <c r="AC613" s="145"/>
      <c r="AD613" s="92"/>
      <c r="AE613" s="145"/>
      <c r="AF613" s="182" t="str">
        <f t="shared" si="30"/>
        <v/>
      </c>
      <c r="AG613" s="54" t="b">
        <f t="shared" si="31"/>
        <v>0</v>
      </c>
      <c r="AH613" s="145"/>
      <c r="AI613" s="192" t="s">
        <v>6</v>
      </c>
      <c r="AJ613" s="96">
        <f t="shared" si="32"/>
        <v>0</v>
      </c>
      <c r="AK613" s="193" t="s">
        <v>39</v>
      </c>
    </row>
    <row r="614" spans="1:37" ht="30" customHeight="1">
      <c r="A614" s="92"/>
      <c r="B614" s="92"/>
      <c r="C614" s="92"/>
      <c r="D614" s="92"/>
      <c r="E614" s="92"/>
      <c r="F614" s="92"/>
      <c r="G614" s="92"/>
      <c r="H614" s="92"/>
      <c r="I614" s="92"/>
      <c r="J614" s="92"/>
      <c r="K614" s="92"/>
      <c r="L614" s="92"/>
      <c r="M614" s="92"/>
      <c r="N614" s="155"/>
      <c r="O614" s="145"/>
      <c r="P614" s="92"/>
      <c r="Q614" s="145"/>
      <c r="R614" s="92"/>
      <c r="S614" s="145"/>
      <c r="T614" s="92"/>
      <c r="U614" s="145"/>
      <c r="V614" s="92"/>
      <c r="W614" s="145"/>
      <c r="X614" s="92"/>
      <c r="Y614" s="145"/>
      <c r="Z614" s="92"/>
      <c r="AA614" s="145"/>
      <c r="AB614" s="92"/>
      <c r="AC614" s="145"/>
      <c r="AD614" s="92"/>
      <c r="AE614" s="145"/>
      <c r="AF614" s="182" t="str">
        <f t="shared" si="30"/>
        <v/>
      </c>
      <c r="AG614" s="54" t="b">
        <f t="shared" si="31"/>
        <v>0</v>
      </c>
      <c r="AH614" s="145"/>
      <c r="AI614" s="192" t="s">
        <v>6</v>
      </c>
      <c r="AJ614" s="96">
        <f t="shared" si="32"/>
        <v>0</v>
      </c>
      <c r="AK614" s="193" t="s">
        <v>39</v>
      </c>
    </row>
    <row r="615" spans="1:37" ht="30" customHeight="1">
      <c r="A615" s="92"/>
      <c r="B615" s="92"/>
      <c r="C615" s="92"/>
      <c r="D615" s="92"/>
      <c r="E615" s="92"/>
      <c r="F615" s="92"/>
      <c r="G615" s="92"/>
      <c r="H615" s="92"/>
      <c r="I615" s="92"/>
      <c r="J615" s="92"/>
      <c r="K615" s="92"/>
      <c r="L615" s="92"/>
      <c r="M615" s="92"/>
      <c r="N615" s="155"/>
      <c r="O615" s="145"/>
      <c r="P615" s="92"/>
      <c r="Q615" s="145"/>
      <c r="R615" s="92"/>
      <c r="S615" s="145"/>
      <c r="T615" s="92"/>
      <c r="U615" s="145"/>
      <c r="V615" s="92"/>
      <c r="W615" s="145"/>
      <c r="X615" s="92"/>
      <c r="Y615" s="145"/>
      <c r="Z615" s="92"/>
      <c r="AA615" s="145"/>
      <c r="AB615" s="92"/>
      <c r="AC615" s="145"/>
      <c r="AD615" s="92"/>
      <c r="AE615" s="145"/>
      <c r="AF615" s="182" t="str">
        <f t="shared" si="30"/>
        <v/>
      </c>
      <c r="AG615" s="54" t="b">
        <f t="shared" si="31"/>
        <v>0</v>
      </c>
      <c r="AH615" s="145"/>
      <c r="AI615" s="192" t="s">
        <v>6</v>
      </c>
      <c r="AJ615" s="96">
        <f t="shared" si="32"/>
        <v>0</v>
      </c>
      <c r="AK615" s="193" t="s">
        <v>39</v>
      </c>
    </row>
    <row r="616" spans="1:37" ht="30" customHeight="1">
      <c r="A616" s="92"/>
      <c r="B616" s="92"/>
      <c r="C616" s="92"/>
      <c r="D616" s="92"/>
      <c r="E616" s="92"/>
      <c r="F616" s="92"/>
      <c r="G616" s="92"/>
      <c r="H616" s="92"/>
      <c r="I616" s="92"/>
      <c r="J616" s="92"/>
      <c r="K616" s="92"/>
      <c r="L616" s="92"/>
      <c r="M616" s="92"/>
      <c r="N616" s="155"/>
      <c r="O616" s="145"/>
      <c r="P616" s="92"/>
      <c r="Q616" s="145"/>
      <c r="R616" s="92"/>
      <c r="S616" s="145"/>
      <c r="T616" s="92"/>
      <c r="U616" s="145"/>
      <c r="V616" s="92"/>
      <c r="W616" s="145"/>
      <c r="X616" s="92"/>
      <c r="Y616" s="145"/>
      <c r="Z616" s="92"/>
      <c r="AA616" s="145"/>
      <c r="AB616" s="92"/>
      <c r="AC616" s="145"/>
      <c r="AD616" s="92"/>
      <c r="AE616" s="145"/>
      <c r="AF616" s="182" t="str">
        <f t="shared" si="30"/>
        <v/>
      </c>
      <c r="AG616" s="54" t="b">
        <f t="shared" si="31"/>
        <v>0</v>
      </c>
      <c r="AH616" s="145"/>
      <c r="AI616" s="192" t="s">
        <v>6</v>
      </c>
      <c r="AJ616" s="96">
        <f t="shared" si="32"/>
        <v>0</v>
      </c>
      <c r="AK616" s="193" t="s">
        <v>39</v>
      </c>
    </row>
    <row r="617" spans="1:37" ht="30" customHeight="1">
      <c r="A617" s="92"/>
      <c r="B617" s="92"/>
      <c r="C617" s="92"/>
      <c r="D617" s="92"/>
      <c r="E617" s="92"/>
      <c r="F617" s="92"/>
      <c r="G617" s="92"/>
      <c r="H617" s="92"/>
      <c r="I617" s="92"/>
      <c r="J617" s="92"/>
      <c r="K617" s="92"/>
      <c r="L617" s="92"/>
      <c r="M617" s="92"/>
      <c r="N617" s="155"/>
      <c r="O617" s="145"/>
      <c r="P617" s="92"/>
      <c r="Q617" s="145"/>
      <c r="R617" s="92"/>
      <c r="S617" s="145"/>
      <c r="T617" s="92"/>
      <c r="U617" s="145"/>
      <c r="V617" s="92"/>
      <c r="W617" s="145"/>
      <c r="X617" s="92"/>
      <c r="Y617" s="145"/>
      <c r="Z617" s="92"/>
      <c r="AA617" s="145"/>
      <c r="AB617" s="92"/>
      <c r="AC617" s="145"/>
      <c r="AD617" s="92"/>
      <c r="AE617" s="145"/>
      <c r="AF617" s="182" t="str">
        <f t="shared" si="30"/>
        <v/>
      </c>
      <c r="AG617" s="54" t="b">
        <f t="shared" si="31"/>
        <v>0</v>
      </c>
      <c r="AH617" s="145"/>
      <c r="AI617" s="192" t="s">
        <v>6</v>
      </c>
      <c r="AJ617" s="96">
        <f t="shared" si="32"/>
        <v>0</v>
      </c>
      <c r="AK617" s="193" t="s">
        <v>39</v>
      </c>
    </row>
    <row r="618" spans="1:37" ht="30" customHeight="1">
      <c r="A618" s="92"/>
      <c r="B618" s="92"/>
      <c r="C618" s="92"/>
      <c r="D618" s="92"/>
      <c r="E618" s="92"/>
      <c r="F618" s="92"/>
      <c r="G618" s="92"/>
      <c r="H618" s="92"/>
      <c r="I618" s="92"/>
      <c r="J618" s="92"/>
      <c r="K618" s="92"/>
      <c r="L618" s="92"/>
      <c r="M618" s="92"/>
      <c r="N618" s="155"/>
      <c r="O618" s="145"/>
      <c r="P618" s="92"/>
      <c r="Q618" s="145"/>
      <c r="R618" s="92"/>
      <c r="S618" s="145"/>
      <c r="T618" s="92"/>
      <c r="U618" s="145"/>
      <c r="V618" s="92"/>
      <c r="W618" s="145"/>
      <c r="X618" s="92"/>
      <c r="Y618" s="145"/>
      <c r="Z618" s="92"/>
      <c r="AA618" s="145"/>
      <c r="AB618" s="92"/>
      <c r="AC618" s="145"/>
      <c r="AD618" s="92"/>
      <c r="AE618" s="145"/>
      <c r="AF618" s="182" t="str">
        <f t="shared" si="30"/>
        <v/>
      </c>
      <c r="AG618" s="54" t="b">
        <f t="shared" si="31"/>
        <v>0</v>
      </c>
      <c r="AH618" s="145"/>
      <c r="AI618" s="192" t="s">
        <v>6</v>
      </c>
      <c r="AJ618" s="96">
        <f t="shared" si="32"/>
        <v>0</v>
      </c>
      <c r="AK618" s="193" t="s">
        <v>39</v>
      </c>
    </row>
    <row r="619" spans="1:37" ht="30" customHeight="1">
      <c r="A619" s="92"/>
      <c r="B619" s="92"/>
      <c r="C619" s="92"/>
      <c r="D619" s="92"/>
      <c r="E619" s="92"/>
      <c r="F619" s="92"/>
      <c r="G619" s="92"/>
      <c r="H619" s="92"/>
      <c r="I619" s="92"/>
      <c r="J619" s="92"/>
      <c r="K619" s="92"/>
      <c r="L619" s="92"/>
      <c r="M619" s="92"/>
      <c r="N619" s="155"/>
      <c r="O619" s="145"/>
      <c r="P619" s="92"/>
      <c r="Q619" s="145"/>
      <c r="R619" s="92"/>
      <c r="S619" s="145"/>
      <c r="T619" s="92"/>
      <c r="U619" s="145"/>
      <c r="V619" s="92"/>
      <c r="W619" s="145"/>
      <c r="X619" s="92"/>
      <c r="Y619" s="145"/>
      <c r="Z619" s="92"/>
      <c r="AA619" s="145"/>
      <c r="AB619" s="92"/>
      <c r="AC619" s="145"/>
      <c r="AD619" s="92"/>
      <c r="AE619" s="145"/>
      <c r="AF619" s="182" t="str">
        <f t="shared" si="30"/>
        <v/>
      </c>
      <c r="AG619" s="54" t="b">
        <f t="shared" si="31"/>
        <v>0</v>
      </c>
      <c r="AH619" s="145"/>
      <c r="AI619" s="192" t="s">
        <v>6</v>
      </c>
      <c r="AJ619" s="96">
        <f t="shared" si="32"/>
        <v>0</v>
      </c>
      <c r="AK619" s="193" t="s">
        <v>39</v>
      </c>
    </row>
    <row r="620" spans="1:37" ht="30" customHeight="1">
      <c r="A620" s="92"/>
      <c r="B620" s="92"/>
      <c r="C620" s="92"/>
      <c r="D620" s="92"/>
      <c r="E620" s="92"/>
      <c r="F620" s="92"/>
      <c r="G620" s="92"/>
      <c r="H620" s="92"/>
      <c r="I620" s="92"/>
      <c r="J620" s="92"/>
      <c r="K620" s="92"/>
      <c r="L620" s="92"/>
      <c r="M620" s="92"/>
      <c r="N620" s="155"/>
      <c r="O620" s="145"/>
      <c r="P620" s="92"/>
      <c r="Q620" s="145"/>
      <c r="R620" s="92"/>
      <c r="S620" s="145"/>
      <c r="T620" s="92"/>
      <c r="U620" s="145"/>
      <c r="V620" s="92"/>
      <c r="W620" s="145"/>
      <c r="X620" s="92"/>
      <c r="Y620" s="145"/>
      <c r="Z620" s="92"/>
      <c r="AA620" s="145"/>
      <c r="AB620" s="92"/>
      <c r="AC620" s="145"/>
      <c r="AD620" s="92"/>
      <c r="AE620" s="145"/>
      <c r="AF620" s="182" t="str">
        <f t="shared" si="30"/>
        <v/>
      </c>
      <c r="AG620" s="54" t="b">
        <f t="shared" si="31"/>
        <v>0</v>
      </c>
      <c r="AH620" s="145"/>
      <c r="AI620" s="192" t="s">
        <v>6</v>
      </c>
      <c r="AJ620" s="96">
        <f t="shared" si="32"/>
        <v>0</v>
      </c>
      <c r="AK620" s="193" t="s">
        <v>39</v>
      </c>
    </row>
    <row r="621" spans="1:37" ht="30" customHeight="1">
      <c r="A621" s="92"/>
      <c r="B621" s="92"/>
      <c r="C621" s="92"/>
      <c r="D621" s="92"/>
      <c r="E621" s="92"/>
      <c r="F621" s="92"/>
      <c r="G621" s="92"/>
      <c r="H621" s="92"/>
      <c r="I621" s="92"/>
      <c r="J621" s="92"/>
      <c r="K621" s="92"/>
      <c r="L621" s="92"/>
      <c r="M621" s="92"/>
      <c r="N621" s="155"/>
      <c r="O621" s="145"/>
      <c r="P621" s="92"/>
      <c r="Q621" s="145"/>
      <c r="R621" s="92"/>
      <c r="S621" s="145"/>
      <c r="T621" s="92"/>
      <c r="U621" s="145"/>
      <c r="V621" s="92"/>
      <c r="W621" s="145"/>
      <c r="X621" s="92"/>
      <c r="Y621" s="145"/>
      <c r="Z621" s="92"/>
      <c r="AA621" s="145"/>
      <c r="AB621" s="92"/>
      <c r="AC621" s="145"/>
      <c r="AD621" s="92"/>
      <c r="AE621" s="145"/>
      <c r="AF621" s="182" t="str">
        <f t="shared" si="30"/>
        <v/>
      </c>
      <c r="AG621" s="54" t="b">
        <f t="shared" si="31"/>
        <v>0</v>
      </c>
      <c r="AH621" s="145"/>
      <c r="AI621" s="192" t="s">
        <v>6</v>
      </c>
      <c r="AJ621" s="96">
        <f t="shared" si="32"/>
        <v>0</v>
      </c>
      <c r="AK621" s="193" t="s">
        <v>39</v>
      </c>
    </row>
    <row r="622" spans="1:37" ht="30" customHeight="1">
      <c r="A622" s="92"/>
      <c r="B622" s="92"/>
      <c r="C622" s="92"/>
      <c r="D622" s="92"/>
      <c r="E622" s="92"/>
      <c r="F622" s="92"/>
      <c r="G622" s="92"/>
      <c r="H622" s="92"/>
      <c r="I622" s="92"/>
      <c r="J622" s="92"/>
      <c r="K622" s="92"/>
      <c r="L622" s="92"/>
      <c r="M622" s="92"/>
      <c r="N622" s="155"/>
      <c r="O622" s="145"/>
      <c r="P622" s="92"/>
      <c r="Q622" s="145"/>
      <c r="R622" s="92"/>
      <c r="S622" s="145"/>
      <c r="T622" s="92"/>
      <c r="U622" s="145"/>
      <c r="V622" s="92"/>
      <c r="W622" s="145"/>
      <c r="X622" s="92"/>
      <c r="Y622" s="145"/>
      <c r="Z622" s="92"/>
      <c r="AA622" s="145"/>
      <c r="AB622" s="92"/>
      <c r="AC622" s="145"/>
      <c r="AD622" s="92"/>
      <c r="AE622" s="145"/>
      <c r="AF622" s="182" t="str">
        <f t="shared" si="30"/>
        <v/>
      </c>
      <c r="AG622" s="54" t="b">
        <f t="shared" si="31"/>
        <v>0</v>
      </c>
      <c r="AH622" s="145"/>
      <c r="AI622" s="192" t="s">
        <v>6</v>
      </c>
      <c r="AJ622" s="96">
        <f t="shared" si="32"/>
        <v>0</v>
      </c>
      <c r="AK622" s="193" t="s">
        <v>39</v>
      </c>
    </row>
    <row r="623" spans="1:37" ht="30" customHeight="1">
      <c r="A623" s="92"/>
      <c r="B623" s="92"/>
      <c r="C623" s="92"/>
      <c r="D623" s="92"/>
      <c r="E623" s="92"/>
      <c r="F623" s="92"/>
      <c r="G623" s="92"/>
      <c r="H623" s="92"/>
      <c r="I623" s="92"/>
      <c r="J623" s="92"/>
      <c r="K623" s="92"/>
      <c r="L623" s="92"/>
      <c r="M623" s="92"/>
      <c r="N623" s="155"/>
      <c r="O623" s="145"/>
      <c r="P623" s="92"/>
      <c r="Q623" s="145"/>
      <c r="R623" s="92"/>
      <c r="S623" s="145"/>
      <c r="T623" s="92"/>
      <c r="U623" s="145"/>
      <c r="V623" s="92"/>
      <c r="W623" s="145"/>
      <c r="X623" s="92"/>
      <c r="Y623" s="145"/>
      <c r="Z623" s="92"/>
      <c r="AA623" s="145"/>
      <c r="AB623" s="92"/>
      <c r="AC623" s="145"/>
      <c r="AD623" s="92"/>
      <c r="AE623" s="145"/>
      <c r="AF623" s="182" t="str">
        <f t="shared" si="30"/>
        <v/>
      </c>
      <c r="AG623" s="54" t="b">
        <f t="shared" si="31"/>
        <v>0</v>
      </c>
      <c r="AH623" s="145"/>
      <c r="AI623" s="192" t="s">
        <v>6</v>
      </c>
      <c r="AJ623" s="96">
        <f t="shared" si="32"/>
        <v>0</v>
      </c>
      <c r="AK623" s="193" t="s">
        <v>39</v>
      </c>
    </row>
    <row r="624" spans="1:37" ht="30" customHeight="1">
      <c r="A624" s="92"/>
      <c r="B624" s="92"/>
      <c r="C624" s="92"/>
      <c r="D624" s="92"/>
      <c r="E624" s="92"/>
      <c r="F624" s="92"/>
      <c r="G624" s="92"/>
      <c r="H624" s="92"/>
      <c r="I624" s="92"/>
      <c r="J624" s="92"/>
      <c r="K624" s="92"/>
      <c r="L624" s="92"/>
      <c r="M624" s="92"/>
      <c r="N624" s="155"/>
      <c r="O624" s="145"/>
      <c r="P624" s="92"/>
      <c r="Q624" s="145"/>
      <c r="R624" s="92"/>
      <c r="S624" s="145"/>
      <c r="T624" s="92"/>
      <c r="U624" s="145"/>
      <c r="V624" s="92"/>
      <c r="W624" s="145"/>
      <c r="X624" s="92"/>
      <c r="Y624" s="145"/>
      <c r="Z624" s="92"/>
      <c r="AA624" s="145"/>
      <c r="AB624" s="92"/>
      <c r="AC624" s="145"/>
      <c r="AD624" s="92"/>
      <c r="AE624" s="145"/>
      <c r="AF624" s="182" t="str">
        <f t="shared" si="30"/>
        <v/>
      </c>
      <c r="AG624" s="54" t="b">
        <f t="shared" si="31"/>
        <v>0</v>
      </c>
      <c r="AH624" s="145"/>
      <c r="AI624" s="192" t="s">
        <v>6</v>
      </c>
      <c r="AJ624" s="96">
        <f t="shared" si="32"/>
        <v>0</v>
      </c>
      <c r="AK624" s="193" t="s">
        <v>39</v>
      </c>
    </row>
    <row r="625" spans="1:37" ht="30" customHeight="1">
      <c r="A625" s="92"/>
      <c r="B625" s="92"/>
      <c r="C625" s="92"/>
      <c r="D625" s="92"/>
      <c r="E625" s="92"/>
      <c r="F625" s="92"/>
      <c r="G625" s="92"/>
      <c r="H625" s="92"/>
      <c r="I625" s="92"/>
      <c r="J625" s="92"/>
      <c r="K625" s="92"/>
      <c r="L625" s="92"/>
      <c r="M625" s="92"/>
      <c r="N625" s="155"/>
      <c r="O625" s="145"/>
      <c r="P625" s="92"/>
      <c r="Q625" s="145"/>
      <c r="R625" s="92"/>
      <c r="S625" s="145"/>
      <c r="T625" s="92"/>
      <c r="U625" s="145"/>
      <c r="V625" s="92"/>
      <c r="W625" s="145"/>
      <c r="X625" s="92"/>
      <c r="Y625" s="145"/>
      <c r="Z625" s="92"/>
      <c r="AA625" s="145"/>
      <c r="AB625" s="92"/>
      <c r="AC625" s="145"/>
      <c r="AD625" s="92"/>
      <c r="AE625" s="145"/>
      <c r="AF625" s="182" t="str">
        <f t="shared" si="30"/>
        <v/>
      </c>
      <c r="AG625" s="54" t="b">
        <f t="shared" si="31"/>
        <v>0</v>
      </c>
      <c r="AH625" s="145"/>
      <c r="AI625" s="192" t="s">
        <v>6</v>
      </c>
      <c r="AJ625" s="96">
        <f t="shared" si="32"/>
        <v>0</v>
      </c>
      <c r="AK625" s="193" t="s">
        <v>39</v>
      </c>
    </row>
    <row r="626" spans="1:37" ht="30" customHeight="1">
      <c r="A626" s="92"/>
      <c r="B626" s="92"/>
      <c r="C626" s="92"/>
      <c r="D626" s="92"/>
      <c r="E626" s="92"/>
      <c r="F626" s="92"/>
      <c r="G626" s="92"/>
      <c r="H626" s="92"/>
      <c r="I626" s="92"/>
      <c r="J626" s="92"/>
      <c r="K626" s="92"/>
      <c r="L626" s="92"/>
      <c r="M626" s="92"/>
      <c r="N626" s="155"/>
      <c r="O626" s="145"/>
      <c r="P626" s="92"/>
      <c r="Q626" s="145"/>
      <c r="R626" s="92"/>
      <c r="S626" s="145"/>
      <c r="T626" s="92"/>
      <c r="U626" s="145"/>
      <c r="V626" s="92"/>
      <c r="W626" s="145"/>
      <c r="X626" s="92"/>
      <c r="Y626" s="145"/>
      <c r="Z626" s="92"/>
      <c r="AA626" s="145"/>
      <c r="AB626" s="92"/>
      <c r="AC626" s="145"/>
      <c r="AD626" s="92"/>
      <c r="AE626" s="145"/>
      <c r="AF626" s="182" t="str">
        <f t="shared" si="30"/>
        <v/>
      </c>
      <c r="AG626" s="54" t="b">
        <f t="shared" si="31"/>
        <v>0</v>
      </c>
      <c r="AH626" s="145"/>
      <c r="AI626" s="192" t="s">
        <v>6</v>
      </c>
      <c r="AJ626" s="96">
        <f t="shared" si="32"/>
        <v>0</v>
      </c>
      <c r="AK626" s="193" t="s">
        <v>39</v>
      </c>
    </row>
    <row r="627" spans="1:37" ht="30" customHeight="1">
      <c r="A627" s="92"/>
      <c r="B627" s="92"/>
      <c r="C627" s="92"/>
      <c r="D627" s="92"/>
      <c r="E627" s="92"/>
      <c r="F627" s="92"/>
      <c r="G627" s="92"/>
      <c r="H627" s="92"/>
      <c r="I627" s="92"/>
      <c r="J627" s="92"/>
      <c r="K627" s="92"/>
      <c r="L627" s="92"/>
      <c r="M627" s="92"/>
      <c r="N627" s="155"/>
      <c r="O627" s="145"/>
      <c r="P627" s="92"/>
      <c r="Q627" s="145"/>
      <c r="R627" s="92"/>
      <c r="S627" s="145"/>
      <c r="T627" s="92"/>
      <c r="U627" s="145"/>
      <c r="V627" s="92"/>
      <c r="W627" s="145"/>
      <c r="X627" s="92"/>
      <c r="Y627" s="145"/>
      <c r="Z627" s="92"/>
      <c r="AA627" s="145"/>
      <c r="AB627" s="92"/>
      <c r="AC627" s="145"/>
      <c r="AD627" s="92"/>
      <c r="AE627" s="145"/>
      <c r="AF627" s="182" t="str">
        <f t="shared" si="30"/>
        <v/>
      </c>
      <c r="AG627" s="54" t="b">
        <f t="shared" si="31"/>
        <v>0</v>
      </c>
      <c r="AH627" s="145"/>
      <c r="AI627" s="192" t="s">
        <v>6</v>
      </c>
      <c r="AJ627" s="96">
        <f t="shared" si="32"/>
        <v>0</v>
      </c>
      <c r="AK627" s="193" t="s">
        <v>39</v>
      </c>
    </row>
    <row r="628" spans="1:37" ht="30" customHeight="1">
      <c r="A628" s="92"/>
      <c r="B628" s="92"/>
      <c r="C628" s="92"/>
      <c r="D628" s="92"/>
      <c r="E628" s="92"/>
      <c r="F628" s="92"/>
      <c r="G628" s="92"/>
      <c r="H628" s="92"/>
      <c r="I628" s="92"/>
      <c r="J628" s="92"/>
      <c r="K628" s="92"/>
      <c r="L628" s="92"/>
      <c r="M628" s="92"/>
      <c r="N628" s="155"/>
      <c r="O628" s="145"/>
      <c r="P628" s="92"/>
      <c r="Q628" s="145"/>
      <c r="R628" s="92"/>
      <c r="S628" s="145"/>
      <c r="T628" s="92"/>
      <c r="U628" s="145"/>
      <c r="V628" s="92"/>
      <c r="W628" s="145"/>
      <c r="X628" s="92"/>
      <c r="Y628" s="145"/>
      <c r="Z628" s="92"/>
      <c r="AA628" s="145"/>
      <c r="AB628" s="92"/>
      <c r="AC628" s="145"/>
      <c r="AD628" s="92"/>
      <c r="AE628" s="145"/>
      <c r="AF628" s="182" t="str">
        <f t="shared" si="30"/>
        <v/>
      </c>
      <c r="AG628" s="54" t="b">
        <f t="shared" si="31"/>
        <v>0</v>
      </c>
      <c r="AH628" s="145"/>
      <c r="AI628" s="192" t="s">
        <v>6</v>
      </c>
      <c r="AJ628" s="96">
        <f t="shared" si="32"/>
        <v>0</v>
      </c>
      <c r="AK628" s="193" t="s">
        <v>39</v>
      </c>
    </row>
    <row r="629" spans="1:37" ht="30" customHeight="1">
      <c r="A629" s="92"/>
      <c r="B629" s="92"/>
      <c r="C629" s="92"/>
      <c r="D629" s="92"/>
      <c r="E629" s="92"/>
      <c r="F629" s="92"/>
      <c r="G629" s="92"/>
      <c r="H629" s="92"/>
      <c r="I629" s="92"/>
      <c r="J629" s="92"/>
      <c r="K629" s="92"/>
      <c r="L629" s="92"/>
      <c r="M629" s="92"/>
      <c r="N629" s="155"/>
      <c r="O629" s="145"/>
      <c r="P629" s="92"/>
      <c r="Q629" s="145"/>
      <c r="R629" s="92"/>
      <c r="S629" s="145"/>
      <c r="T629" s="92"/>
      <c r="U629" s="145"/>
      <c r="V629" s="92"/>
      <c r="W629" s="145"/>
      <c r="X629" s="92"/>
      <c r="Y629" s="145"/>
      <c r="Z629" s="92"/>
      <c r="AA629" s="145"/>
      <c r="AB629" s="92"/>
      <c r="AC629" s="145"/>
      <c r="AD629" s="92"/>
      <c r="AE629" s="145"/>
      <c r="AF629" s="182" t="str">
        <f t="shared" ref="AF629:AF692" si="33">IF(AND(O629="",Q629="",S629="",U629="",W629="",Y629="",AA629="",AC629=""),"",IF(OR(AND(O629&lt;&gt;"NA",O629&lt;&gt;"C",O629&lt;&gt;"NC",O629&lt;&gt;"SF",O629&lt;&gt;""),AND(Q629&lt;&gt;"NA",Q629&lt;&gt;"C",Q629&lt;&gt;"NC",Q629&lt;&gt;"SF",Q629&lt;&gt;""),AND(S629&lt;&gt;"NA",S629&lt;&gt;"C",S629&lt;&gt;"NC",S629&lt;&gt;"SF",S629&lt;&gt;""),AND(U629&lt;&gt;"NA",U629&lt;&gt;"C",U629&lt;&gt;"NC",U629&lt;&gt;"SF",U629&lt;&gt;""),AND(W629&lt;&gt;"NA",W629&lt;&gt;"C",W629&lt;&gt;"NC",W629&lt;&gt;"SF",W629&lt;&gt;""),AND(Y629&lt;&gt;"NA",Y629&lt;&gt;"C",Y629&lt;&gt;"NC",Y629&lt;&gt;"SF",Y629&lt;&gt;""),AND(AA629&lt;&gt;"NA",AA629&lt;&gt;"C",AA629&lt;&gt;"NC",AA629&lt;&gt;"SF",AA629&lt;&gt;""),AND(AC629&lt;&gt;"NA",AC629&lt;&gt;"C",AC629&lt;&gt;"NC",AC629&lt;&gt;"SF",AC629&lt;&gt;"")),"FALSO",IF(AND(O629="NA",Q629="NA",S629="NA",U629="NA",W629="NA",Y629="NA",AA629="NA",AC629="NA"),"NA",IF(OR(O629="NC",Q629="NC",S629="NC",U629="NC",W629="NC",Y629="NC",AA629="NC",AC629="NC",O629="SF",Q629="SF",S629="SF",U629="SF",W629="SF",Y629="SF",AA629="SF",AC629="SF"),"NC",IF(OR(O629="C",Q629="C",S629="C",U629="C",W629="C",Y629="C",AA629="C",AC629="C"),"C","")))))</f>
        <v/>
      </c>
      <c r="AG629" s="54" t="b">
        <f t="shared" ref="AG629:AG692" si="34">IF(AND(AE629="C",AF629="C"),"UTILIZOU O PDA CORRETAMENTE",IF(AND(AE629="C",AF629="NC"),"UTILIZOU O PDA CORRETAMENTE. NÃO HÁ FOTOS DE TODAS AS ETAPAS",IF(AND(AE629="NC",AF629="NC"),"NÃO UTILIZOU O PDA",IF(AND(AE629="NA",AF629="NA"),"NÃO AVALIADO POR FALHA DE SINCRONISMO"))))</f>
        <v>0</v>
      </c>
      <c r="AH629" s="145"/>
      <c r="AI629" s="192" t="s">
        <v>6</v>
      </c>
      <c r="AJ629" s="96">
        <f t="shared" ref="AJ629:AJ692" si="35">E629</f>
        <v>0</v>
      </c>
      <c r="AK629" s="193" t="s">
        <v>39</v>
      </c>
    </row>
    <row r="630" spans="1:37" ht="30" customHeight="1">
      <c r="A630" s="92"/>
      <c r="B630" s="92"/>
      <c r="C630" s="92"/>
      <c r="D630" s="92"/>
      <c r="E630" s="92"/>
      <c r="F630" s="92"/>
      <c r="G630" s="92"/>
      <c r="H630" s="92"/>
      <c r="I630" s="92"/>
      <c r="J630" s="92"/>
      <c r="K630" s="92"/>
      <c r="L630" s="92"/>
      <c r="M630" s="92"/>
      <c r="N630" s="155"/>
      <c r="O630" s="145"/>
      <c r="P630" s="92"/>
      <c r="Q630" s="145"/>
      <c r="R630" s="92"/>
      <c r="S630" s="145"/>
      <c r="T630" s="92"/>
      <c r="U630" s="145"/>
      <c r="V630" s="92"/>
      <c r="W630" s="145"/>
      <c r="X630" s="92"/>
      <c r="Y630" s="145"/>
      <c r="Z630" s="92"/>
      <c r="AA630" s="145"/>
      <c r="AB630" s="92"/>
      <c r="AC630" s="145"/>
      <c r="AD630" s="92"/>
      <c r="AE630" s="145"/>
      <c r="AF630" s="182" t="str">
        <f t="shared" si="33"/>
        <v/>
      </c>
      <c r="AG630" s="54" t="b">
        <f t="shared" si="34"/>
        <v>0</v>
      </c>
      <c r="AH630" s="145"/>
      <c r="AI630" s="192" t="s">
        <v>6</v>
      </c>
      <c r="AJ630" s="96">
        <f t="shared" si="35"/>
        <v>0</v>
      </c>
      <c r="AK630" s="193" t="s">
        <v>39</v>
      </c>
    </row>
    <row r="631" spans="1:37" ht="30" customHeight="1">
      <c r="A631" s="92"/>
      <c r="B631" s="92"/>
      <c r="C631" s="92"/>
      <c r="D631" s="92"/>
      <c r="E631" s="92"/>
      <c r="F631" s="92"/>
      <c r="G631" s="92"/>
      <c r="H631" s="92"/>
      <c r="I631" s="92"/>
      <c r="J631" s="92"/>
      <c r="K631" s="92"/>
      <c r="L631" s="92"/>
      <c r="M631" s="92"/>
      <c r="N631" s="155"/>
      <c r="O631" s="145"/>
      <c r="P631" s="92"/>
      <c r="Q631" s="145"/>
      <c r="R631" s="92"/>
      <c r="S631" s="145"/>
      <c r="T631" s="92"/>
      <c r="U631" s="145"/>
      <c r="V631" s="92"/>
      <c r="W631" s="145"/>
      <c r="X631" s="92"/>
      <c r="Y631" s="145"/>
      <c r="Z631" s="92"/>
      <c r="AA631" s="145"/>
      <c r="AB631" s="92"/>
      <c r="AC631" s="145"/>
      <c r="AD631" s="92"/>
      <c r="AE631" s="145"/>
      <c r="AF631" s="182" t="str">
        <f t="shared" si="33"/>
        <v/>
      </c>
      <c r="AG631" s="54" t="b">
        <f t="shared" si="34"/>
        <v>0</v>
      </c>
      <c r="AH631" s="145"/>
      <c r="AI631" s="192" t="s">
        <v>6</v>
      </c>
      <c r="AJ631" s="96">
        <f t="shared" si="35"/>
        <v>0</v>
      </c>
      <c r="AK631" s="193" t="s">
        <v>39</v>
      </c>
    </row>
    <row r="632" spans="1:37" ht="30" customHeight="1">
      <c r="A632" s="92"/>
      <c r="B632" s="92"/>
      <c r="C632" s="92"/>
      <c r="D632" s="92"/>
      <c r="E632" s="92"/>
      <c r="F632" s="92"/>
      <c r="G632" s="92"/>
      <c r="H632" s="92"/>
      <c r="I632" s="92"/>
      <c r="J632" s="92"/>
      <c r="K632" s="92"/>
      <c r="L632" s="92"/>
      <c r="M632" s="92"/>
      <c r="N632" s="155"/>
      <c r="O632" s="145"/>
      <c r="P632" s="92"/>
      <c r="Q632" s="145"/>
      <c r="R632" s="92"/>
      <c r="S632" s="145"/>
      <c r="T632" s="92"/>
      <c r="U632" s="145"/>
      <c r="V632" s="92"/>
      <c r="W632" s="145"/>
      <c r="X632" s="92"/>
      <c r="Y632" s="145"/>
      <c r="Z632" s="92"/>
      <c r="AA632" s="145"/>
      <c r="AB632" s="92"/>
      <c r="AC632" s="145"/>
      <c r="AD632" s="92"/>
      <c r="AE632" s="145"/>
      <c r="AF632" s="182" t="str">
        <f t="shared" si="33"/>
        <v/>
      </c>
      <c r="AG632" s="54" t="b">
        <f t="shared" si="34"/>
        <v>0</v>
      </c>
      <c r="AH632" s="145"/>
      <c r="AI632" s="192" t="s">
        <v>6</v>
      </c>
      <c r="AJ632" s="96">
        <f t="shared" si="35"/>
        <v>0</v>
      </c>
      <c r="AK632" s="193" t="s">
        <v>39</v>
      </c>
    </row>
    <row r="633" spans="1:37" ht="30" customHeight="1">
      <c r="A633" s="92"/>
      <c r="B633" s="92"/>
      <c r="C633" s="92"/>
      <c r="D633" s="92"/>
      <c r="E633" s="92"/>
      <c r="F633" s="92"/>
      <c r="G633" s="92"/>
      <c r="H633" s="92"/>
      <c r="I633" s="92"/>
      <c r="J633" s="92"/>
      <c r="K633" s="92"/>
      <c r="L633" s="92"/>
      <c r="M633" s="92"/>
      <c r="N633" s="155"/>
      <c r="O633" s="145"/>
      <c r="P633" s="92"/>
      <c r="Q633" s="145"/>
      <c r="R633" s="92"/>
      <c r="S633" s="145"/>
      <c r="T633" s="92"/>
      <c r="U633" s="145"/>
      <c r="V633" s="92"/>
      <c r="W633" s="145"/>
      <c r="X633" s="92"/>
      <c r="Y633" s="145"/>
      <c r="Z633" s="92"/>
      <c r="AA633" s="145"/>
      <c r="AB633" s="92"/>
      <c r="AC633" s="145"/>
      <c r="AD633" s="92"/>
      <c r="AE633" s="145"/>
      <c r="AF633" s="182" t="str">
        <f t="shared" si="33"/>
        <v/>
      </c>
      <c r="AG633" s="54" t="b">
        <f t="shared" si="34"/>
        <v>0</v>
      </c>
      <c r="AH633" s="145"/>
      <c r="AI633" s="192" t="s">
        <v>6</v>
      </c>
      <c r="AJ633" s="96">
        <f t="shared" si="35"/>
        <v>0</v>
      </c>
      <c r="AK633" s="193" t="s">
        <v>39</v>
      </c>
    </row>
    <row r="634" spans="1:37" ht="30" customHeight="1">
      <c r="A634" s="92"/>
      <c r="B634" s="92"/>
      <c r="C634" s="92"/>
      <c r="D634" s="92"/>
      <c r="E634" s="92"/>
      <c r="F634" s="92"/>
      <c r="G634" s="92"/>
      <c r="H634" s="92"/>
      <c r="I634" s="92"/>
      <c r="J634" s="92"/>
      <c r="K634" s="92"/>
      <c r="L634" s="92"/>
      <c r="M634" s="92"/>
      <c r="N634" s="155"/>
      <c r="O634" s="145"/>
      <c r="P634" s="92"/>
      <c r="Q634" s="145"/>
      <c r="R634" s="92"/>
      <c r="S634" s="145"/>
      <c r="T634" s="92"/>
      <c r="U634" s="145"/>
      <c r="V634" s="92"/>
      <c r="W634" s="145"/>
      <c r="X634" s="92"/>
      <c r="Y634" s="145"/>
      <c r="Z634" s="92"/>
      <c r="AA634" s="145"/>
      <c r="AB634" s="92"/>
      <c r="AC634" s="145"/>
      <c r="AD634" s="92"/>
      <c r="AE634" s="145"/>
      <c r="AF634" s="182" t="str">
        <f t="shared" si="33"/>
        <v/>
      </c>
      <c r="AG634" s="54" t="b">
        <f t="shared" si="34"/>
        <v>0</v>
      </c>
      <c r="AH634" s="145"/>
      <c r="AI634" s="192" t="s">
        <v>6</v>
      </c>
      <c r="AJ634" s="96">
        <f t="shared" si="35"/>
        <v>0</v>
      </c>
      <c r="AK634" s="193" t="s">
        <v>39</v>
      </c>
    </row>
    <row r="635" spans="1:37" ht="30" customHeight="1">
      <c r="A635" s="92"/>
      <c r="B635" s="92"/>
      <c r="C635" s="92"/>
      <c r="D635" s="92"/>
      <c r="E635" s="92"/>
      <c r="F635" s="92"/>
      <c r="G635" s="92"/>
      <c r="H635" s="92"/>
      <c r="I635" s="92"/>
      <c r="J635" s="92"/>
      <c r="K635" s="92"/>
      <c r="L635" s="92"/>
      <c r="M635" s="92"/>
      <c r="N635" s="155"/>
      <c r="O635" s="145"/>
      <c r="P635" s="92"/>
      <c r="Q635" s="145"/>
      <c r="R635" s="92"/>
      <c r="S635" s="145"/>
      <c r="T635" s="92"/>
      <c r="U635" s="145"/>
      <c r="V635" s="92"/>
      <c r="W635" s="145"/>
      <c r="X635" s="92"/>
      <c r="Y635" s="145"/>
      <c r="Z635" s="92"/>
      <c r="AA635" s="145"/>
      <c r="AB635" s="92"/>
      <c r="AC635" s="145"/>
      <c r="AD635" s="92"/>
      <c r="AE635" s="145"/>
      <c r="AF635" s="182" t="str">
        <f t="shared" si="33"/>
        <v/>
      </c>
      <c r="AG635" s="54" t="b">
        <f t="shared" si="34"/>
        <v>0</v>
      </c>
      <c r="AH635" s="145"/>
      <c r="AI635" s="192" t="s">
        <v>6</v>
      </c>
      <c r="AJ635" s="96">
        <f t="shared" si="35"/>
        <v>0</v>
      </c>
      <c r="AK635" s="193" t="s">
        <v>39</v>
      </c>
    </row>
    <row r="636" spans="1:37" ht="30" customHeight="1">
      <c r="A636" s="92"/>
      <c r="B636" s="92"/>
      <c r="C636" s="92"/>
      <c r="D636" s="92"/>
      <c r="E636" s="92"/>
      <c r="F636" s="92"/>
      <c r="G636" s="92"/>
      <c r="H636" s="92"/>
      <c r="I636" s="92"/>
      <c r="J636" s="92"/>
      <c r="K636" s="92"/>
      <c r="L636" s="92"/>
      <c r="M636" s="92"/>
      <c r="N636" s="155"/>
      <c r="O636" s="145"/>
      <c r="P636" s="92"/>
      <c r="Q636" s="145"/>
      <c r="R636" s="92"/>
      <c r="S636" s="145"/>
      <c r="T636" s="92"/>
      <c r="U636" s="145"/>
      <c r="V636" s="92"/>
      <c r="W636" s="145"/>
      <c r="X636" s="92"/>
      <c r="Y636" s="145"/>
      <c r="Z636" s="92"/>
      <c r="AA636" s="145"/>
      <c r="AB636" s="92"/>
      <c r="AC636" s="145"/>
      <c r="AD636" s="92"/>
      <c r="AE636" s="145"/>
      <c r="AF636" s="182" t="str">
        <f t="shared" si="33"/>
        <v/>
      </c>
      <c r="AG636" s="54" t="b">
        <f t="shared" si="34"/>
        <v>0</v>
      </c>
      <c r="AH636" s="145"/>
      <c r="AI636" s="192" t="s">
        <v>6</v>
      </c>
      <c r="AJ636" s="96">
        <f t="shared" si="35"/>
        <v>0</v>
      </c>
      <c r="AK636" s="193" t="s">
        <v>39</v>
      </c>
    </row>
    <row r="637" spans="1:37" ht="30" customHeight="1">
      <c r="A637" s="92"/>
      <c r="B637" s="92"/>
      <c r="C637" s="92"/>
      <c r="D637" s="92"/>
      <c r="E637" s="92"/>
      <c r="F637" s="92"/>
      <c r="G637" s="92"/>
      <c r="H637" s="92"/>
      <c r="I637" s="92"/>
      <c r="J637" s="92"/>
      <c r="K637" s="92"/>
      <c r="L637" s="92"/>
      <c r="M637" s="92"/>
      <c r="N637" s="155"/>
      <c r="O637" s="145"/>
      <c r="P637" s="92"/>
      <c r="Q637" s="145"/>
      <c r="R637" s="92"/>
      <c r="S637" s="145"/>
      <c r="T637" s="92"/>
      <c r="U637" s="145"/>
      <c r="V637" s="92"/>
      <c r="W637" s="145"/>
      <c r="X637" s="92"/>
      <c r="Y637" s="145"/>
      <c r="Z637" s="92"/>
      <c r="AA637" s="145"/>
      <c r="AB637" s="92"/>
      <c r="AC637" s="145"/>
      <c r="AD637" s="92"/>
      <c r="AE637" s="145"/>
      <c r="AF637" s="182" t="str">
        <f t="shared" si="33"/>
        <v/>
      </c>
      <c r="AG637" s="54" t="b">
        <f t="shared" si="34"/>
        <v>0</v>
      </c>
      <c r="AH637" s="145"/>
      <c r="AI637" s="192" t="s">
        <v>6</v>
      </c>
      <c r="AJ637" s="96">
        <f t="shared" si="35"/>
        <v>0</v>
      </c>
      <c r="AK637" s="193" t="s">
        <v>39</v>
      </c>
    </row>
    <row r="638" spans="1:37" ht="30" customHeight="1">
      <c r="A638" s="92"/>
      <c r="B638" s="92"/>
      <c r="C638" s="92"/>
      <c r="D638" s="92"/>
      <c r="E638" s="92"/>
      <c r="F638" s="92"/>
      <c r="G638" s="92"/>
      <c r="H638" s="92"/>
      <c r="I638" s="92"/>
      <c r="J638" s="92"/>
      <c r="K638" s="92"/>
      <c r="L638" s="92"/>
      <c r="M638" s="92"/>
      <c r="N638" s="155"/>
      <c r="O638" s="145"/>
      <c r="P638" s="92"/>
      <c r="Q638" s="145"/>
      <c r="R638" s="92"/>
      <c r="S638" s="145"/>
      <c r="T638" s="92"/>
      <c r="U638" s="145"/>
      <c r="V638" s="92"/>
      <c r="W638" s="145"/>
      <c r="X638" s="92"/>
      <c r="Y638" s="145"/>
      <c r="Z638" s="92"/>
      <c r="AA638" s="145"/>
      <c r="AB638" s="92"/>
      <c r="AC638" s="145"/>
      <c r="AD638" s="92"/>
      <c r="AE638" s="145"/>
      <c r="AF638" s="182" t="str">
        <f t="shared" si="33"/>
        <v/>
      </c>
      <c r="AG638" s="54" t="b">
        <f t="shared" si="34"/>
        <v>0</v>
      </c>
      <c r="AH638" s="145"/>
      <c r="AI638" s="192" t="s">
        <v>6</v>
      </c>
      <c r="AJ638" s="96">
        <f t="shared" si="35"/>
        <v>0</v>
      </c>
      <c r="AK638" s="193" t="s">
        <v>39</v>
      </c>
    </row>
    <row r="639" spans="1:37" ht="30" customHeight="1">
      <c r="A639" s="92"/>
      <c r="B639" s="92"/>
      <c r="C639" s="92"/>
      <c r="D639" s="92"/>
      <c r="E639" s="92"/>
      <c r="F639" s="92"/>
      <c r="G639" s="92"/>
      <c r="H639" s="92"/>
      <c r="I639" s="92"/>
      <c r="J639" s="92"/>
      <c r="K639" s="92"/>
      <c r="L639" s="92"/>
      <c r="M639" s="92"/>
      <c r="N639" s="155"/>
      <c r="O639" s="145"/>
      <c r="P639" s="92"/>
      <c r="Q639" s="145"/>
      <c r="R639" s="92"/>
      <c r="S639" s="145"/>
      <c r="T639" s="92"/>
      <c r="U639" s="145"/>
      <c r="V639" s="92"/>
      <c r="W639" s="145"/>
      <c r="X639" s="92"/>
      <c r="Y639" s="145"/>
      <c r="Z639" s="92"/>
      <c r="AA639" s="145"/>
      <c r="AB639" s="92"/>
      <c r="AC639" s="145"/>
      <c r="AD639" s="92"/>
      <c r="AE639" s="145"/>
      <c r="AF639" s="182" t="str">
        <f t="shared" si="33"/>
        <v/>
      </c>
      <c r="AG639" s="54" t="b">
        <f t="shared" si="34"/>
        <v>0</v>
      </c>
      <c r="AH639" s="145"/>
      <c r="AI639" s="192" t="s">
        <v>6</v>
      </c>
      <c r="AJ639" s="96">
        <f t="shared" si="35"/>
        <v>0</v>
      </c>
      <c r="AK639" s="193" t="s">
        <v>39</v>
      </c>
    </row>
    <row r="640" spans="1:37" ht="30" customHeight="1">
      <c r="A640" s="92"/>
      <c r="B640" s="92"/>
      <c r="C640" s="92"/>
      <c r="D640" s="92"/>
      <c r="E640" s="92"/>
      <c r="F640" s="92"/>
      <c r="G640" s="92"/>
      <c r="H640" s="92"/>
      <c r="I640" s="92"/>
      <c r="J640" s="92"/>
      <c r="K640" s="92"/>
      <c r="L640" s="92"/>
      <c r="M640" s="92"/>
      <c r="N640" s="155"/>
      <c r="O640" s="145"/>
      <c r="P640" s="92"/>
      <c r="Q640" s="145"/>
      <c r="R640" s="92"/>
      <c r="S640" s="145"/>
      <c r="T640" s="92"/>
      <c r="U640" s="145"/>
      <c r="V640" s="92"/>
      <c r="W640" s="145"/>
      <c r="X640" s="92"/>
      <c r="Y640" s="145"/>
      <c r="Z640" s="92"/>
      <c r="AA640" s="145"/>
      <c r="AB640" s="92"/>
      <c r="AC640" s="145"/>
      <c r="AD640" s="92"/>
      <c r="AE640" s="145"/>
      <c r="AF640" s="182" t="str">
        <f t="shared" si="33"/>
        <v/>
      </c>
      <c r="AG640" s="54" t="b">
        <f t="shared" si="34"/>
        <v>0</v>
      </c>
      <c r="AH640" s="145"/>
      <c r="AI640" s="192" t="s">
        <v>6</v>
      </c>
      <c r="AJ640" s="96">
        <f t="shared" si="35"/>
        <v>0</v>
      </c>
      <c r="AK640" s="193" t="s">
        <v>39</v>
      </c>
    </row>
    <row r="641" spans="1:37" ht="30" customHeight="1">
      <c r="A641" s="92"/>
      <c r="B641" s="92"/>
      <c r="C641" s="92"/>
      <c r="D641" s="92"/>
      <c r="E641" s="92"/>
      <c r="F641" s="92"/>
      <c r="G641" s="92"/>
      <c r="H641" s="92"/>
      <c r="I641" s="92"/>
      <c r="J641" s="92"/>
      <c r="K641" s="92"/>
      <c r="L641" s="92"/>
      <c r="M641" s="92"/>
      <c r="N641" s="155"/>
      <c r="O641" s="145"/>
      <c r="P641" s="92"/>
      <c r="Q641" s="145"/>
      <c r="R641" s="92"/>
      <c r="S641" s="145"/>
      <c r="T641" s="92"/>
      <c r="U641" s="145"/>
      <c r="V641" s="92"/>
      <c r="W641" s="145"/>
      <c r="X641" s="92"/>
      <c r="Y641" s="145"/>
      <c r="Z641" s="92"/>
      <c r="AA641" s="145"/>
      <c r="AB641" s="92"/>
      <c r="AC641" s="145"/>
      <c r="AD641" s="92"/>
      <c r="AE641" s="145"/>
      <c r="AF641" s="182" t="str">
        <f t="shared" si="33"/>
        <v/>
      </c>
      <c r="AG641" s="54" t="b">
        <f t="shared" si="34"/>
        <v>0</v>
      </c>
      <c r="AH641" s="145"/>
      <c r="AI641" s="192" t="s">
        <v>6</v>
      </c>
      <c r="AJ641" s="96">
        <f t="shared" si="35"/>
        <v>0</v>
      </c>
      <c r="AK641" s="193" t="s">
        <v>39</v>
      </c>
    </row>
    <row r="642" spans="1:37" ht="30" customHeight="1">
      <c r="A642" s="92"/>
      <c r="B642" s="92"/>
      <c r="C642" s="92"/>
      <c r="D642" s="92"/>
      <c r="E642" s="92"/>
      <c r="F642" s="92"/>
      <c r="G642" s="92"/>
      <c r="H642" s="92"/>
      <c r="I642" s="92"/>
      <c r="J642" s="92"/>
      <c r="K642" s="92"/>
      <c r="L642" s="92"/>
      <c r="M642" s="92"/>
      <c r="N642" s="155"/>
      <c r="O642" s="145"/>
      <c r="P642" s="92"/>
      <c r="Q642" s="145"/>
      <c r="R642" s="92"/>
      <c r="S642" s="145"/>
      <c r="T642" s="92"/>
      <c r="U642" s="145"/>
      <c r="V642" s="92"/>
      <c r="W642" s="145"/>
      <c r="X642" s="92"/>
      <c r="Y642" s="145"/>
      <c r="Z642" s="92"/>
      <c r="AA642" s="145"/>
      <c r="AB642" s="92"/>
      <c r="AC642" s="145"/>
      <c r="AD642" s="92"/>
      <c r="AE642" s="145"/>
      <c r="AF642" s="182" t="str">
        <f t="shared" si="33"/>
        <v/>
      </c>
      <c r="AG642" s="54" t="b">
        <f t="shared" si="34"/>
        <v>0</v>
      </c>
      <c r="AH642" s="145"/>
      <c r="AI642" s="192" t="s">
        <v>6</v>
      </c>
      <c r="AJ642" s="96">
        <f t="shared" si="35"/>
        <v>0</v>
      </c>
      <c r="AK642" s="193" t="s">
        <v>39</v>
      </c>
    </row>
    <row r="643" spans="1:37" ht="30" customHeight="1">
      <c r="A643" s="92"/>
      <c r="B643" s="92"/>
      <c r="C643" s="92"/>
      <c r="D643" s="92"/>
      <c r="E643" s="92"/>
      <c r="F643" s="92"/>
      <c r="G643" s="92"/>
      <c r="H643" s="92"/>
      <c r="I643" s="92"/>
      <c r="J643" s="92"/>
      <c r="K643" s="92"/>
      <c r="L643" s="92"/>
      <c r="M643" s="92"/>
      <c r="N643" s="155"/>
      <c r="O643" s="145"/>
      <c r="P643" s="92"/>
      <c r="Q643" s="145"/>
      <c r="R643" s="92"/>
      <c r="S643" s="145"/>
      <c r="T643" s="92"/>
      <c r="U643" s="145"/>
      <c r="V643" s="92"/>
      <c r="W643" s="145"/>
      <c r="X643" s="92"/>
      <c r="Y643" s="145"/>
      <c r="Z643" s="92"/>
      <c r="AA643" s="145"/>
      <c r="AB643" s="92"/>
      <c r="AC643" s="145"/>
      <c r="AD643" s="92"/>
      <c r="AE643" s="145"/>
      <c r="AF643" s="182" t="str">
        <f t="shared" si="33"/>
        <v/>
      </c>
      <c r="AG643" s="54" t="b">
        <f t="shared" si="34"/>
        <v>0</v>
      </c>
      <c r="AH643" s="145"/>
      <c r="AI643" s="192" t="s">
        <v>6</v>
      </c>
      <c r="AJ643" s="96">
        <f t="shared" si="35"/>
        <v>0</v>
      </c>
      <c r="AK643" s="193" t="s">
        <v>39</v>
      </c>
    </row>
    <row r="644" spans="1:37" ht="30" customHeight="1">
      <c r="A644" s="92"/>
      <c r="B644" s="92"/>
      <c r="C644" s="92"/>
      <c r="D644" s="92"/>
      <c r="E644" s="92"/>
      <c r="F644" s="92"/>
      <c r="G644" s="92"/>
      <c r="H644" s="92"/>
      <c r="I644" s="92"/>
      <c r="J644" s="92"/>
      <c r="K644" s="92"/>
      <c r="L644" s="92"/>
      <c r="M644" s="92"/>
      <c r="N644" s="155"/>
      <c r="O644" s="145"/>
      <c r="P644" s="92"/>
      <c r="Q644" s="145"/>
      <c r="R644" s="92"/>
      <c r="S644" s="145"/>
      <c r="T644" s="92"/>
      <c r="U644" s="145"/>
      <c r="V644" s="92"/>
      <c r="W644" s="145"/>
      <c r="X644" s="92"/>
      <c r="Y644" s="145"/>
      <c r="Z644" s="92"/>
      <c r="AA644" s="145"/>
      <c r="AB644" s="92"/>
      <c r="AC644" s="145"/>
      <c r="AD644" s="92"/>
      <c r="AE644" s="145"/>
      <c r="AF644" s="182" t="str">
        <f t="shared" si="33"/>
        <v/>
      </c>
      <c r="AG644" s="54" t="b">
        <f t="shared" si="34"/>
        <v>0</v>
      </c>
      <c r="AH644" s="145"/>
      <c r="AI644" s="192" t="s">
        <v>6</v>
      </c>
      <c r="AJ644" s="96">
        <f t="shared" si="35"/>
        <v>0</v>
      </c>
      <c r="AK644" s="193" t="s">
        <v>39</v>
      </c>
    </row>
    <row r="645" spans="1:37" ht="30" customHeight="1">
      <c r="A645" s="92"/>
      <c r="B645" s="92"/>
      <c r="C645" s="92"/>
      <c r="D645" s="92"/>
      <c r="E645" s="92"/>
      <c r="F645" s="92"/>
      <c r="G645" s="92"/>
      <c r="H645" s="92"/>
      <c r="I645" s="92"/>
      <c r="J645" s="92"/>
      <c r="K645" s="92"/>
      <c r="L645" s="92"/>
      <c r="M645" s="92"/>
      <c r="N645" s="155"/>
      <c r="O645" s="145"/>
      <c r="P645" s="92"/>
      <c r="Q645" s="145"/>
      <c r="R645" s="92"/>
      <c r="S645" s="145"/>
      <c r="T645" s="92"/>
      <c r="U645" s="145"/>
      <c r="V645" s="92"/>
      <c r="W645" s="145"/>
      <c r="X645" s="92"/>
      <c r="Y645" s="145"/>
      <c r="Z645" s="92"/>
      <c r="AA645" s="145"/>
      <c r="AB645" s="92"/>
      <c r="AC645" s="145"/>
      <c r="AD645" s="92"/>
      <c r="AE645" s="145"/>
      <c r="AF645" s="182" t="str">
        <f t="shared" si="33"/>
        <v/>
      </c>
      <c r="AG645" s="54" t="b">
        <f t="shared" si="34"/>
        <v>0</v>
      </c>
      <c r="AH645" s="145"/>
      <c r="AI645" s="192" t="s">
        <v>6</v>
      </c>
      <c r="AJ645" s="96">
        <f t="shared" si="35"/>
        <v>0</v>
      </c>
      <c r="AK645" s="193" t="s">
        <v>39</v>
      </c>
    </row>
    <row r="646" spans="1:37" ht="30" customHeight="1">
      <c r="A646" s="92"/>
      <c r="B646" s="92"/>
      <c r="C646" s="92"/>
      <c r="D646" s="92"/>
      <c r="E646" s="92"/>
      <c r="F646" s="92"/>
      <c r="G646" s="92"/>
      <c r="H646" s="92"/>
      <c r="I646" s="92"/>
      <c r="J646" s="92"/>
      <c r="K646" s="92"/>
      <c r="L646" s="92"/>
      <c r="M646" s="92"/>
      <c r="N646" s="155"/>
      <c r="O646" s="145"/>
      <c r="P646" s="92"/>
      <c r="Q646" s="145"/>
      <c r="R646" s="92"/>
      <c r="S646" s="145"/>
      <c r="T646" s="92"/>
      <c r="U646" s="145"/>
      <c r="V646" s="92"/>
      <c r="W646" s="145"/>
      <c r="X646" s="92"/>
      <c r="Y646" s="145"/>
      <c r="Z646" s="92"/>
      <c r="AA646" s="145"/>
      <c r="AB646" s="92"/>
      <c r="AC646" s="145"/>
      <c r="AD646" s="92"/>
      <c r="AE646" s="145"/>
      <c r="AF646" s="182" t="str">
        <f t="shared" si="33"/>
        <v/>
      </c>
      <c r="AG646" s="54" t="b">
        <f t="shared" si="34"/>
        <v>0</v>
      </c>
      <c r="AH646" s="145"/>
      <c r="AI646" s="192" t="s">
        <v>6</v>
      </c>
      <c r="AJ646" s="96">
        <f t="shared" si="35"/>
        <v>0</v>
      </c>
      <c r="AK646" s="193" t="s">
        <v>39</v>
      </c>
    </row>
    <row r="647" spans="1:37" ht="30" customHeight="1">
      <c r="A647" s="92"/>
      <c r="B647" s="92"/>
      <c r="C647" s="92"/>
      <c r="D647" s="92"/>
      <c r="E647" s="92"/>
      <c r="F647" s="92"/>
      <c r="G647" s="92"/>
      <c r="H647" s="92"/>
      <c r="I647" s="92"/>
      <c r="J647" s="92"/>
      <c r="K647" s="92"/>
      <c r="L647" s="92"/>
      <c r="M647" s="92"/>
      <c r="N647" s="155"/>
      <c r="O647" s="145"/>
      <c r="P647" s="92"/>
      <c r="Q647" s="145"/>
      <c r="R647" s="92"/>
      <c r="S647" s="145"/>
      <c r="T647" s="92"/>
      <c r="U647" s="145"/>
      <c r="V647" s="92"/>
      <c r="W647" s="145"/>
      <c r="X647" s="92"/>
      <c r="Y647" s="145"/>
      <c r="Z647" s="92"/>
      <c r="AA647" s="145"/>
      <c r="AB647" s="92"/>
      <c r="AC647" s="145"/>
      <c r="AD647" s="92"/>
      <c r="AE647" s="145"/>
      <c r="AF647" s="182" t="str">
        <f t="shared" si="33"/>
        <v/>
      </c>
      <c r="AG647" s="54" t="b">
        <f t="shared" si="34"/>
        <v>0</v>
      </c>
      <c r="AH647" s="145"/>
      <c r="AI647" s="192" t="s">
        <v>6</v>
      </c>
      <c r="AJ647" s="96">
        <f t="shared" si="35"/>
        <v>0</v>
      </c>
      <c r="AK647" s="193" t="s">
        <v>39</v>
      </c>
    </row>
    <row r="648" spans="1:37" ht="30" customHeight="1">
      <c r="A648" s="92"/>
      <c r="B648" s="92"/>
      <c r="C648" s="92"/>
      <c r="D648" s="92"/>
      <c r="E648" s="92"/>
      <c r="F648" s="92"/>
      <c r="G648" s="92"/>
      <c r="H648" s="92"/>
      <c r="I648" s="92"/>
      <c r="J648" s="92"/>
      <c r="K648" s="92"/>
      <c r="L648" s="92"/>
      <c r="M648" s="92"/>
      <c r="N648" s="155"/>
      <c r="O648" s="145"/>
      <c r="P648" s="92"/>
      <c r="Q648" s="145"/>
      <c r="R648" s="92"/>
      <c r="S648" s="145"/>
      <c r="T648" s="92"/>
      <c r="U648" s="145"/>
      <c r="V648" s="92"/>
      <c r="W648" s="145"/>
      <c r="X648" s="92"/>
      <c r="Y648" s="145"/>
      <c r="Z648" s="92"/>
      <c r="AA648" s="145"/>
      <c r="AB648" s="92"/>
      <c r="AC648" s="145"/>
      <c r="AD648" s="92"/>
      <c r="AE648" s="145"/>
      <c r="AF648" s="182" t="str">
        <f t="shared" si="33"/>
        <v/>
      </c>
      <c r="AG648" s="54" t="b">
        <f t="shared" si="34"/>
        <v>0</v>
      </c>
      <c r="AH648" s="145"/>
      <c r="AI648" s="192" t="s">
        <v>6</v>
      </c>
      <c r="AJ648" s="96">
        <f t="shared" si="35"/>
        <v>0</v>
      </c>
      <c r="AK648" s="193" t="s">
        <v>39</v>
      </c>
    </row>
    <row r="649" spans="1:37" ht="30" customHeight="1">
      <c r="A649" s="92"/>
      <c r="B649" s="92"/>
      <c r="C649" s="92"/>
      <c r="D649" s="92"/>
      <c r="E649" s="92"/>
      <c r="F649" s="92"/>
      <c r="G649" s="92"/>
      <c r="H649" s="92"/>
      <c r="I649" s="92"/>
      <c r="J649" s="92"/>
      <c r="K649" s="92"/>
      <c r="L649" s="92"/>
      <c r="M649" s="92"/>
      <c r="N649" s="155"/>
      <c r="O649" s="145"/>
      <c r="P649" s="92"/>
      <c r="Q649" s="145"/>
      <c r="R649" s="92"/>
      <c r="S649" s="145"/>
      <c r="T649" s="92"/>
      <c r="U649" s="145"/>
      <c r="V649" s="92"/>
      <c r="W649" s="145"/>
      <c r="X649" s="92"/>
      <c r="Y649" s="145"/>
      <c r="Z649" s="92"/>
      <c r="AA649" s="145"/>
      <c r="AB649" s="92"/>
      <c r="AC649" s="145"/>
      <c r="AD649" s="92"/>
      <c r="AE649" s="145"/>
      <c r="AF649" s="182" t="str">
        <f t="shared" si="33"/>
        <v/>
      </c>
      <c r="AG649" s="54" t="b">
        <f t="shared" si="34"/>
        <v>0</v>
      </c>
      <c r="AH649" s="145"/>
      <c r="AI649" s="192" t="s">
        <v>6</v>
      </c>
      <c r="AJ649" s="96">
        <f t="shared" si="35"/>
        <v>0</v>
      </c>
      <c r="AK649" s="193" t="s">
        <v>39</v>
      </c>
    </row>
    <row r="650" spans="1:37" ht="30" customHeight="1">
      <c r="A650" s="92"/>
      <c r="B650" s="92"/>
      <c r="C650" s="92"/>
      <c r="D650" s="92"/>
      <c r="E650" s="92"/>
      <c r="F650" s="92"/>
      <c r="G650" s="92"/>
      <c r="H650" s="92"/>
      <c r="I650" s="92"/>
      <c r="J650" s="92"/>
      <c r="K650" s="92"/>
      <c r="L650" s="92"/>
      <c r="M650" s="92"/>
      <c r="N650" s="155"/>
      <c r="O650" s="145"/>
      <c r="P650" s="92"/>
      <c r="Q650" s="145"/>
      <c r="R650" s="92"/>
      <c r="S650" s="145"/>
      <c r="T650" s="92"/>
      <c r="U650" s="145"/>
      <c r="V650" s="92"/>
      <c r="W650" s="145"/>
      <c r="X650" s="92"/>
      <c r="Y650" s="145"/>
      <c r="Z650" s="92"/>
      <c r="AA650" s="145"/>
      <c r="AB650" s="92"/>
      <c r="AC650" s="145"/>
      <c r="AD650" s="92"/>
      <c r="AE650" s="145"/>
      <c r="AF650" s="182" t="str">
        <f t="shared" si="33"/>
        <v/>
      </c>
      <c r="AG650" s="54" t="b">
        <f t="shared" si="34"/>
        <v>0</v>
      </c>
      <c r="AH650" s="145"/>
      <c r="AI650" s="192" t="s">
        <v>6</v>
      </c>
      <c r="AJ650" s="96">
        <f t="shared" si="35"/>
        <v>0</v>
      </c>
      <c r="AK650" s="193" t="s">
        <v>39</v>
      </c>
    </row>
    <row r="651" spans="1:37" ht="30" customHeight="1">
      <c r="A651" s="92"/>
      <c r="B651" s="92"/>
      <c r="C651" s="92"/>
      <c r="D651" s="92"/>
      <c r="E651" s="92"/>
      <c r="F651" s="92"/>
      <c r="G651" s="92"/>
      <c r="H651" s="92"/>
      <c r="I651" s="92"/>
      <c r="J651" s="92"/>
      <c r="K651" s="92"/>
      <c r="L651" s="92"/>
      <c r="M651" s="92"/>
      <c r="N651" s="155"/>
      <c r="O651" s="145"/>
      <c r="P651" s="92"/>
      <c r="Q651" s="145"/>
      <c r="R651" s="92"/>
      <c r="S651" s="145"/>
      <c r="T651" s="92"/>
      <c r="U651" s="145"/>
      <c r="V651" s="92"/>
      <c r="W651" s="145"/>
      <c r="X651" s="92"/>
      <c r="Y651" s="145"/>
      <c r="Z651" s="92"/>
      <c r="AA651" s="145"/>
      <c r="AB651" s="92"/>
      <c r="AC651" s="145"/>
      <c r="AD651" s="92"/>
      <c r="AE651" s="145"/>
      <c r="AF651" s="182" t="str">
        <f t="shared" si="33"/>
        <v/>
      </c>
      <c r="AG651" s="54" t="b">
        <f t="shared" si="34"/>
        <v>0</v>
      </c>
      <c r="AH651" s="145"/>
      <c r="AI651" s="192" t="s">
        <v>6</v>
      </c>
      <c r="AJ651" s="96">
        <f t="shared" si="35"/>
        <v>0</v>
      </c>
      <c r="AK651" s="193" t="s">
        <v>39</v>
      </c>
    </row>
    <row r="652" spans="1:37" ht="30" customHeight="1">
      <c r="A652" s="92"/>
      <c r="B652" s="92"/>
      <c r="C652" s="92"/>
      <c r="D652" s="92"/>
      <c r="E652" s="92"/>
      <c r="F652" s="92"/>
      <c r="G652" s="92"/>
      <c r="H652" s="92"/>
      <c r="I652" s="92"/>
      <c r="J652" s="92"/>
      <c r="K652" s="92"/>
      <c r="L652" s="92"/>
      <c r="M652" s="92"/>
      <c r="N652" s="155"/>
      <c r="O652" s="145"/>
      <c r="P652" s="92"/>
      <c r="Q652" s="145"/>
      <c r="R652" s="92"/>
      <c r="S652" s="145"/>
      <c r="T652" s="92"/>
      <c r="U652" s="145"/>
      <c r="V652" s="92"/>
      <c r="W652" s="145"/>
      <c r="X652" s="92"/>
      <c r="Y652" s="145"/>
      <c r="Z652" s="92"/>
      <c r="AA652" s="145"/>
      <c r="AB652" s="92"/>
      <c r="AC652" s="145"/>
      <c r="AD652" s="92"/>
      <c r="AE652" s="145"/>
      <c r="AF652" s="182" t="str">
        <f t="shared" si="33"/>
        <v/>
      </c>
      <c r="AG652" s="54" t="b">
        <f t="shared" si="34"/>
        <v>0</v>
      </c>
      <c r="AH652" s="145"/>
      <c r="AI652" s="192" t="s">
        <v>6</v>
      </c>
      <c r="AJ652" s="96">
        <f t="shared" si="35"/>
        <v>0</v>
      </c>
      <c r="AK652" s="193" t="s">
        <v>39</v>
      </c>
    </row>
    <row r="653" spans="1:37" ht="30" customHeight="1">
      <c r="A653" s="92"/>
      <c r="B653" s="92"/>
      <c r="C653" s="92"/>
      <c r="D653" s="92"/>
      <c r="E653" s="92"/>
      <c r="F653" s="92"/>
      <c r="G653" s="92"/>
      <c r="H653" s="92"/>
      <c r="I653" s="92"/>
      <c r="J653" s="92"/>
      <c r="K653" s="92"/>
      <c r="L653" s="92"/>
      <c r="M653" s="92"/>
      <c r="N653" s="155"/>
      <c r="O653" s="145"/>
      <c r="P653" s="92"/>
      <c r="Q653" s="145"/>
      <c r="R653" s="92"/>
      <c r="S653" s="145"/>
      <c r="T653" s="92"/>
      <c r="U653" s="145"/>
      <c r="V653" s="92"/>
      <c r="W653" s="145"/>
      <c r="X653" s="92"/>
      <c r="Y653" s="145"/>
      <c r="Z653" s="92"/>
      <c r="AA653" s="145"/>
      <c r="AB653" s="92"/>
      <c r="AC653" s="145"/>
      <c r="AD653" s="92"/>
      <c r="AE653" s="145"/>
      <c r="AF653" s="182" t="str">
        <f t="shared" si="33"/>
        <v/>
      </c>
      <c r="AG653" s="54" t="b">
        <f t="shared" si="34"/>
        <v>0</v>
      </c>
      <c r="AH653" s="145"/>
      <c r="AI653" s="192" t="s">
        <v>6</v>
      </c>
      <c r="AJ653" s="96">
        <f t="shared" si="35"/>
        <v>0</v>
      </c>
      <c r="AK653" s="193" t="s">
        <v>39</v>
      </c>
    </row>
    <row r="654" spans="1:37" ht="30" customHeight="1">
      <c r="A654" s="92"/>
      <c r="B654" s="92"/>
      <c r="C654" s="92"/>
      <c r="D654" s="92"/>
      <c r="E654" s="92"/>
      <c r="F654" s="92"/>
      <c r="G654" s="92"/>
      <c r="H654" s="92"/>
      <c r="I654" s="92"/>
      <c r="J654" s="92"/>
      <c r="K654" s="92"/>
      <c r="L654" s="92"/>
      <c r="M654" s="92"/>
      <c r="N654" s="155"/>
      <c r="O654" s="145"/>
      <c r="P654" s="92"/>
      <c r="Q654" s="145"/>
      <c r="R654" s="92"/>
      <c r="S654" s="145"/>
      <c r="T654" s="92"/>
      <c r="U654" s="145"/>
      <c r="V654" s="92"/>
      <c r="W654" s="145"/>
      <c r="X654" s="92"/>
      <c r="Y654" s="145"/>
      <c r="Z654" s="92"/>
      <c r="AA654" s="145"/>
      <c r="AB654" s="92"/>
      <c r="AC654" s="145"/>
      <c r="AD654" s="92"/>
      <c r="AE654" s="145"/>
      <c r="AF654" s="182" t="str">
        <f t="shared" si="33"/>
        <v/>
      </c>
      <c r="AG654" s="54" t="b">
        <f t="shared" si="34"/>
        <v>0</v>
      </c>
      <c r="AH654" s="145"/>
      <c r="AI654" s="192" t="s">
        <v>6</v>
      </c>
      <c r="AJ654" s="96">
        <f t="shared" si="35"/>
        <v>0</v>
      </c>
      <c r="AK654" s="193" t="s">
        <v>39</v>
      </c>
    </row>
    <row r="655" spans="1:37" ht="30" customHeight="1">
      <c r="A655" s="92"/>
      <c r="B655" s="92"/>
      <c r="C655" s="92"/>
      <c r="D655" s="92"/>
      <c r="E655" s="92"/>
      <c r="F655" s="92"/>
      <c r="G655" s="92"/>
      <c r="H655" s="92"/>
      <c r="I655" s="92"/>
      <c r="J655" s="92"/>
      <c r="K655" s="92"/>
      <c r="L655" s="92"/>
      <c r="M655" s="92"/>
      <c r="N655" s="155"/>
      <c r="O655" s="145"/>
      <c r="P655" s="92"/>
      <c r="Q655" s="145"/>
      <c r="R655" s="92"/>
      <c r="S655" s="145"/>
      <c r="T655" s="92"/>
      <c r="U655" s="145"/>
      <c r="V655" s="92"/>
      <c r="W655" s="145"/>
      <c r="X655" s="92"/>
      <c r="Y655" s="145"/>
      <c r="Z655" s="92"/>
      <c r="AA655" s="145"/>
      <c r="AB655" s="92"/>
      <c r="AC655" s="145"/>
      <c r="AD655" s="92"/>
      <c r="AE655" s="145"/>
      <c r="AF655" s="182" t="str">
        <f t="shared" si="33"/>
        <v/>
      </c>
      <c r="AG655" s="54" t="b">
        <f t="shared" si="34"/>
        <v>0</v>
      </c>
      <c r="AH655" s="145"/>
      <c r="AI655" s="192" t="s">
        <v>6</v>
      </c>
      <c r="AJ655" s="96">
        <f t="shared" si="35"/>
        <v>0</v>
      </c>
      <c r="AK655" s="193" t="s">
        <v>39</v>
      </c>
    </row>
    <row r="656" spans="1:37" ht="30" customHeight="1">
      <c r="A656" s="92"/>
      <c r="B656" s="92"/>
      <c r="C656" s="92"/>
      <c r="D656" s="92"/>
      <c r="E656" s="92"/>
      <c r="F656" s="92"/>
      <c r="G656" s="92"/>
      <c r="H656" s="92"/>
      <c r="I656" s="92"/>
      <c r="J656" s="92"/>
      <c r="K656" s="92"/>
      <c r="L656" s="92"/>
      <c r="M656" s="92"/>
      <c r="N656" s="155"/>
      <c r="O656" s="145"/>
      <c r="P656" s="92"/>
      <c r="Q656" s="145"/>
      <c r="R656" s="92"/>
      <c r="S656" s="145"/>
      <c r="T656" s="92"/>
      <c r="U656" s="145"/>
      <c r="V656" s="92"/>
      <c r="W656" s="145"/>
      <c r="X656" s="92"/>
      <c r="Y656" s="145"/>
      <c r="Z656" s="92"/>
      <c r="AA656" s="145"/>
      <c r="AB656" s="92"/>
      <c r="AC656" s="145"/>
      <c r="AD656" s="92"/>
      <c r="AE656" s="145"/>
      <c r="AF656" s="182" t="str">
        <f t="shared" si="33"/>
        <v/>
      </c>
      <c r="AG656" s="54" t="b">
        <f t="shared" si="34"/>
        <v>0</v>
      </c>
      <c r="AH656" s="145"/>
      <c r="AI656" s="192" t="s">
        <v>6</v>
      </c>
      <c r="AJ656" s="96">
        <f t="shared" si="35"/>
        <v>0</v>
      </c>
      <c r="AK656" s="193" t="s">
        <v>39</v>
      </c>
    </row>
    <row r="657" spans="1:37" ht="30" customHeight="1">
      <c r="A657" s="92"/>
      <c r="B657" s="92"/>
      <c r="C657" s="92"/>
      <c r="D657" s="92"/>
      <c r="E657" s="92"/>
      <c r="F657" s="92"/>
      <c r="G657" s="92"/>
      <c r="H657" s="92"/>
      <c r="I657" s="92"/>
      <c r="J657" s="92"/>
      <c r="K657" s="92"/>
      <c r="L657" s="92"/>
      <c r="M657" s="92"/>
      <c r="N657" s="155"/>
      <c r="O657" s="145"/>
      <c r="P657" s="92"/>
      <c r="Q657" s="145"/>
      <c r="R657" s="92"/>
      <c r="S657" s="145"/>
      <c r="T657" s="92"/>
      <c r="U657" s="145"/>
      <c r="V657" s="92"/>
      <c r="W657" s="145"/>
      <c r="X657" s="92"/>
      <c r="Y657" s="145"/>
      <c r="Z657" s="92"/>
      <c r="AA657" s="145"/>
      <c r="AB657" s="92"/>
      <c r="AC657" s="145"/>
      <c r="AD657" s="92"/>
      <c r="AE657" s="145"/>
      <c r="AF657" s="182" t="str">
        <f t="shared" si="33"/>
        <v/>
      </c>
      <c r="AG657" s="54" t="b">
        <f t="shared" si="34"/>
        <v>0</v>
      </c>
      <c r="AH657" s="145"/>
      <c r="AI657" s="192" t="s">
        <v>6</v>
      </c>
      <c r="AJ657" s="96">
        <f t="shared" si="35"/>
        <v>0</v>
      </c>
      <c r="AK657" s="193" t="s">
        <v>39</v>
      </c>
    </row>
    <row r="658" spans="1:37" ht="30" customHeight="1">
      <c r="A658" s="92"/>
      <c r="B658" s="92"/>
      <c r="C658" s="92"/>
      <c r="D658" s="92"/>
      <c r="E658" s="92"/>
      <c r="F658" s="92"/>
      <c r="G658" s="92"/>
      <c r="H658" s="92"/>
      <c r="I658" s="92"/>
      <c r="J658" s="92"/>
      <c r="K658" s="92"/>
      <c r="L658" s="92"/>
      <c r="M658" s="92"/>
      <c r="N658" s="155"/>
      <c r="O658" s="145"/>
      <c r="P658" s="92"/>
      <c r="Q658" s="145"/>
      <c r="R658" s="92"/>
      <c r="S658" s="145"/>
      <c r="T658" s="92"/>
      <c r="U658" s="145"/>
      <c r="V658" s="92"/>
      <c r="W658" s="145"/>
      <c r="X658" s="92"/>
      <c r="Y658" s="145"/>
      <c r="Z658" s="92"/>
      <c r="AA658" s="145"/>
      <c r="AB658" s="92"/>
      <c r="AC658" s="145"/>
      <c r="AD658" s="92"/>
      <c r="AE658" s="145"/>
      <c r="AF658" s="182" t="str">
        <f t="shared" si="33"/>
        <v/>
      </c>
      <c r="AG658" s="54" t="b">
        <f t="shared" si="34"/>
        <v>0</v>
      </c>
      <c r="AH658" s="145"/>
      <c r="AI658" s="192" t="s">
        <v>6</v>
      </c>
      <c r="AJ658" s="96">
        <f t="shared" si="35"/>
        <v>0</v>
      </c>
      <c r="AK658" s="193" t="s">
        <v>39</v>
      </c>
    </row>
    <row r="659" spans="1:37" ht="30" customHeight="1">
      <c r="A659" s="92"/>
      <c r="B659" s="92"/>
      <c r="C659" s="92"/>
      <c r="D659" s="92"/>
      <c r="E659" s="92"/>
      <c r="F659" s="92"/>
      <c r="G659" s="92"/>
      <c r="H659" s="92"/>
      <c r="I659" s="92"/>
      <c r="J659" s="92"/>
      <c r="K659" s="92"/>
      <c r="L659" s="92"/>
      <c r="M659" s="92"/>
      <c r="N659" s="155"/>
      <c r="O659" s="145"/>
      <c r="P659" s="92"/>
      <c r="Q659" s="145"/>
      <c r="R659" s="92"/>
      <c r="S659" s="145"/>
      <c r="T659" s="92"/>
      <c r="U659" s="145"/>
      <c r="V659" s="92"/>
      <c r="W659" s="145"/>
      <c r="X659" s="92"/>
      <c r="Y659" s="145"/>
      <c r="Z659" s="92"/>
      <c r="AA659" s="145"/>
      <c r="AB659" s="92"/>
      <c r="AC659" s="145"/>
      <c r="AD659" s="92"/>
      <c r="AE659" s="145"/>
      <c r="AF659" s="182" t="str">
        <f t="shared" si="33"/>
        <v/>
      </c>
      <c r="AG659" s="54" t="b">
        <f t="shared" si="34"/>
        <v>0</v>
      </c>
      <c r="AH659" s="145"/>
      <c r="AI659" s="192" t="s">
        <v>6</v>
      </c>
      <c r="AJ659" s="96">
        <f t="shared" si="35"/>
        <v>0</v>
      </c>
      <c r="AK659" s="193" t="s">
        <v>39</v>
      </c>
    </row>
    <row r="660" spans="1:37" ht="30" customHeight="1">
      <c r="A660" s="92"/>
      <c r="B660" s="92"/>
      <c r="C660" s="92"/>
      <c r="D660" s="92"/>
      <c r="E660" s="92"/>
      <c r="F660" s="92"/>
      <c r="G660" s="92"/>
      <c r="H660" s="92"/>
      <c r="I660" s="92"/>
      <c r="J660" s="92"/>
      <c r="K660" s="92"/>
      <c r="L660" s="92"/>
      <c r="M660" s="92"/>
      <c r="N660" s="155"/>
      <c r="O660" s="145"/>
      <c r="P660" s="92"/>
      <c r="Q660" s="145"/>
      <c r="R660" s="92"/>
      <c r="S660" s="145"/>
      <c r="T660" s="92"/>
      <c r="U660" s="145"/>
      <c r="V660" s="92"/>
      <c r="W660" s="145"/>
      <c r="X660" s="92"/>
      <c r="Y660" s="145"/>
      <c r="Z660" s="92"/>
      <c r="AA660" s="145"/>
      <c r="AB660" s="92"/>
      <c r="AC660" s="145"/>
      <c r="AD660" s="92"/>
      <c r="AE660" s="145"/>
      <c r="AF660" s="182" t="str">
        <f t="shared" si="33"/>
        <v/>
      </c>
      <c r="AG660" s="54" t="b">
        <f t="shared" si="34"/>
        <v>0</v>
      </c>
      <c r="AH660" s="145"/>
      <c r="AI660" s="192" t="s">
        <v>6</v>
      </c>
      <c r="AJ660" s="96">
        <f t="shared" si="35"/>
        <v>0</v>
      </c>
      <c r="AK660" s="193" t="s">
        <v>39</v>
      </c>
    </row>
    <row r="661" spans="1:37" ht="30" customHeight="1">
      <c r="A661" s="92"/>
      <c r="B661" s="92"/>
      <c r="C661" s="92"/>
      <c r="D661" s="92"/>
      <c r="E661" s="92"/>
      <c r="F661" s="92"/>
      <c r="G661" s="92"/>
      <c r="H661" s="92"/>
      <c r="I661" s="92"/>
      <c r="J661" s="92"/>
      <c r="K661" s="92"/>
      <c r="L661" s="92"/>
      <c r="M661" s="92"/>
      <c r="N661" s="155"/>
      <c r="O661" s="145"/>
      <c r="P661" s="92"/>
      <c r="Q661" s="145"/>
      <c r="R661" s="92"/>
      <c r="S661" s="145"/>
      <c r="T661" s="92"/>
      <c r="U661" s="145"/>
      <c r="V661" s="92"/>
      <c r="W661" s="145"/>
      <c r="X661" s="92"/>
      <c r="Y661" s="145"/>
      <c r="Z661" s="92"/>
      <c r="AA661" s="145"/>
      <c r="AB661" s="92"/>
      <c r="AC661" s="145"/>
      <c r="AD661" s="92"/>
      <c r="AE661" s="145"/>
      <c r="AF661" s="182" t="str">
        <f t="shared" si="33"/>
        <v/>
      </c>
      <c r="AG661" s="54" t="b">
        <f t="shared" si="34"/>
        <v>0</v>
      </c>
      <c r="AH661" s="145"/>
      <c r="AI661" s="192" t="s">
        <v>6</v>
      </c>
      <c r="AJ661" s="96">
        <f t="shared" si="35"/>
        <v>0</v>
      </c>
      <c r="AK661" s="193" t="s">
        <v>39</v>
      </c>
    </row>
    <row r="662" spans="1:37" ht="30" customHeight="1">
      <c r="A662" s="92"/>
      <c r="B662" s="92"/>
      <c r="C662" s="92"/>
      <c r="D662" s="92"/>
      <c r="E662" s="92"/>
      <c r="F662" s="92"/>
      <c r="G662" s="92"/>
      <c r="H662" s="92"/>
      <c r="I662" s="92"/>
      <c r="J662" s="92"/>
      <c r="K662" s="92"/>
      <c r="L662" s="92"/>
      <c r="M662" s="92"/>
      <c r="N662" s="155"/>
      <c r="O662" s="145"/>
      <c r="P662" s="92"/>
      <c r="Q662" s="145"/>
      <c r="R662" s="92"/>
      <c r="S662" s="145"/>
      <c r="T662" s="92"/>
      <c r="U662" s="145"/>
      <c r="V662" s="92"/>
      <c r="W662" s="145"/>
      <c r="X662" s="92"/>
      <c r="Y662" s="145"/>
      <c r="Z662" s="92"/>
      <c r="AA662" s="145"/>
      <c r="AB662" s="92"/>
      <c r="AC662" s="145"/>
      <c r="AD662" s="92"/>
      <c r="AE662" s="145"/>
      <c r="AF662" s="182" t="str">
        <f t="shared" si="33"/>
        <v/>
      </c>
      <c r="AG662" s="54" t="b">
        <f t="shared" si="34"/>
        <v>0</v>
      </c>
      <c r="AH662" s="145"/>
      <c r="AI662" s="192" t="s">
        <v>6</v>
      </c>
      <c r="AJ662" s="96">
        <f t="shared" si="35"/>
        <v>0</v>
      </c>
      <c r="AK662" s="193" t="s">
        <v>39</v>
      </c>
    </row>
    <row r="663" spans="1:37" ht="30" customHeight="1">
      <c r="A663" s="92"/>
      <c r="B663" s="92"/>
      <c r="C663" s="92"/>
      <c r="D663" s="92"/>
      <c r="E663" s="92"/>
      <c r="F663" s="92"/>
      <c r="G663" s="92"/>
      <c r="H663" s="92"/>
      <c r="I663" s="92"/>
      <c r="J663" s="92"/>
      <c r="K663" s="92"/>
      <c r="L663" s="92"/>
      <c r="M663" s="92"/>
      <c r="N663" s="155"/>
      <c r="O663" s="145"/>
      <c r="P663" s="92"/>
      <c r="Q663" s="145"/>
      <c r="R663" s="92"/>
      <c r="S663" s="145"/>
      <c r="T663" s="92"/>
      <c r="U663" s="145"/>
      <c r="V663" s="92"/>
      <c r="W663" s="145"/>
      <c r="X663" s="92"/>
      <c r="Y663" s="145"/>
      <c r="Z663" s="92"/>
      <c r="AA663" s="145"/>
      <c r="AB663" s="92"/>
      <c r="AC663" s="145"/>
      <c r="AD663" s="92"/>
      <c r="AE663" s="145"/>
      <c r="AF663" s="182" t="str">
        <f t="shared" si="33"/>
        <v/>
      </c>
      <c r="AG663" s="54" t="b">
        <f t="shared" si="34"/>
        <v>0</v>
      </c>
      <c r="AH663" s="145"/>
      <c r="AI663" s="192" t="s">
        <v>6</v>
      </c>
      <c r="AJ663" s="96">
        <f t="shared" si="35"/>
        <v>0</v>
      </c>
      <c r="AK663" s="193" t="s">
        <v>39</v>
      </c>
    </row>
    <row r="664" spans="1:37" ht="30" customHeight="1">
      <c r="A664" s="92"/>
      <c r="B664" s="92"/>
      <c r="C664" s="92"/>
      <c r="D664" s="92"/>
      <c r="E664" s="92"/>
      <c r="F664" s="92"/>
      <c r="G664" s="92"/>
      <c r="H664" s="92"/>
      <c r="I664" s="92"/>
      <c r="J664" s="92"/>
      <c r="K664" s="92"/>
      <c r="L664" s="92"/>
      <c r="M664" s="92"/>
      <c r="N664" s="155"/>
      <c r="O664" s="145"/>
      <c r="P664" s="92"/>
      <c r="Q664" s="145"/>
      <c r="R664" s="92"/>
      <c r="S664" s="145"/>
      <c r="T664" s="92"/>
      <c r="U664" s="145"/>
      <c r="V664" s="92"/>
      <c r="W664" s="145"/>
      <c r="X664" s="92"/>
      <c r="Y664" s="145"/>
      <c r="Z664" s="92"/>
      <c r="AA664" s="145"/>
      <c r="AB664" s="92"/>
      <c r="AC664" s="145"/>
      <c r="AD664" s="92"/>
      <c r="AE664" s="145"/>
      <c r="AF664" s="182" t="str">
        <f t="shared" si="33"/>
        <v/>
      </c>
      <c r="AG664" s="54" t="b">
        <f t="shared" si="34"/>
        <v>0</v>
      </c>
      <c r="AH664" s="145"/>
      <c r="AI664" s="192" t="s">
        <v>6</v>
      </c>
      <c r="AJ664" s="96">
        <f t="shared" si="35"/>
        <v>0</v>
      </c>
      <c r="AK664" s="193" t="s">
        <v>39</v>
      </c>
    </row>
    <row r="665" spans="1:37" ht="30" customHeight="1">
      <c r="A665" s="92"/>
      <c r="B665" s="92"/>
      <c r="C665" s="92"/>
      <c r="D665" s="92"/>
      <c r="E665" s="92"/>
      <c r="F665" s="92"/>
      <c r="G665" s="92"/>
      <c r="H665" s="92"/>
      <c r="I665" s="92"/>
      <c r="J665" s="92"/>
      <c r="K665" s="92"/>
      <c r="L665" s="92"/>
      <c r="M665" s="92"/>
      <c r="N665" s="155"/>
      <c r="O665" s="145"/>
      <c r="P665" s="92"/>
      <c r="Q665" s="145"/>
      <c r="R665" s="92"/>
      <c r="S665" s="145"/>
      <c r="T665" s="92"/>
      <c r="U665" s="145"/>
      <c r="V665" s="92"/>
      <c r="W665" s="145"/>
      <c r="X665" s="92"/>
      <c r="Y665" s="145"/>
      <c r="Z665" s="92"/>
      <c r="AA665" s="145"/>
      <c r="AB665" s="92"/>
      <c r="AC665" s="145"/>
      <c r="AD665" s="92"/>
      <c r="AE665" s="145"/>
      <c r="AF665" s="182" t="str">
        <f t="shared" si="33"/>
        <v/>
      </c>
      <c r="AG665" s="54" t="b">
        <f t="shared" si="34"/>
        <v>0</v>
      </c>
      <c r="AH665" s="145"/>
      <c r="AI665" s="192" t="s">
        <v>6</v>
      </c>
      <c r="AJ665" s="96">
        <f t="shared" si="35"/>
        <v>0</v>
      </c>
      <c r="AK665" s="193" t="s">
        <v>39</v>
      </c>
    </row>
    <row r="666" spans="1:37" ht="30" customHeight="1">
      <c r="A666" s="92"/>
      <c r="B666" s="92"/>
      <c r="C666" s="92"/>
      <c r="D666" s="92"/>
      <c r="E666" s="92"/>
      <c r="F666" s="92"/>
      <c r="G666" s="92"/>
      <c r="H666" s="92"/>
      <c r="I666" s="92"/>
      <c r="J666" s="92"/>
      <c r="K666" s="92"/>
      <c r="L666" s="92"/>
      <c r="M666" s="92"/>
      <c r="N666" s="155"/>
      <c r="O666" s="145"/>
      <c r="P666" s="92"/>
      <c r="Q666" s="145"/>
      <c r="R666" s="92"/>
      <c r="S666" s="145"/>
      <c r="T666" s="92"/>
      <c r="U666" s="145"/>
      <c r="V666" s="92"/>
      <c r="W666" s="145"/>
      <c r="X666" s="92"/>
      <c r="Y666" s="145"/>
      <c r="Z666" s="92"/>
      <c r="AA666" s="145"/>
      <c r="AB666" s="92"/>
      <c r="AC666" s="145"/>
      <c r="AD666" s="92"/>
      <c r="AE666" s="145"/>
      <c r="AF666" s="182" t="str">
        <f t="shared" si="33"/>
        <v/>
      </c>
      <c r="AG666" s="54" t="b">
        <f t="shared" si="34"/>
        <v>0</v>
      </c>
      <c r="AH666" s="145"/>
      <c r="AI666" s="192" t="s">
        <v>6</v>
      </c>
      <c r="AJ666" s="96">
        <f t="shared" si="35"/>
        <v>0</v>
      </c>
      <c r="AK666" s="193" t="s">
        <v>39</v>
      </c>
    </row>
    <row r="667" spans="1:37" ht="30" customHeight="1">
      <c r="A667" s="92"/>
      <c r="B667" s="92"/>
      <c r="C667" s="92"/>
      <c r="D667" s="92"/>
      <c r="E667" s="92"/>
      <c r="F667" s="92"/>
      <c r="G667" s="92"/>
      <c r="H667" s="92"/>
      <c r="I667" s="92"/>
      <c r="J667" s="92"/>
      <c r="K667" s="92"/>
      <c r="L667" s="92"/>
      <c r="M667" s="92"/>
      <c r="N667" s="155"/>
      <c r="O667" s="145"/>
      <c r="P667" s="92"/>
      <c r="Q667" s="145"/>
      <c r="R667" s="92"/>
      <c r="S667" s="145"/>
      <c r="T667" s="92"/>
      <c r="U667" s="145"/>
      <c r="V667" s="92"/>
      <c r="W667" s="145"/>
      <c r="X667" s="92"/>
      <c r="Y667" s="145"/>
      <c r="Z667" s="92"/>
      <c r="AA667" s="145"/>
      <c r="AB667" s="92"/>
      <c r="AC667" s="145"/>
      <c r="AD667" s="92"/>
      <c r="AE667" s="145"/>
      <c r="AF667" s="182" t="str">
        <f t="shared" si="33"/>
        <v/>
      </c>
      <c r="AG667" s="54" t="b">
        <f t="shared" si="34"/>
        <v>0</v>
      </c>
      <c r="AH667" s="145"/>
      <c r="AI667" s="192" t="s">
        <v>6</v>
      </c>
      <c r="AJ667" s="96">
        <f t="shared" si="35"/>
        <v>0</v>
      </c>
      <c r="AK667" s="193" t="s">
        <v>39</v>
      </c>
    </row>
    <row r="668" spans="1:37" ht="30" customHeight="1">
      <c r="A668" s="92"/>
      <c r="B668" s="92"/>
      <c r="C668" s="92"/>
      <c r="D668" s="92"/>
      <c r="E668" s="92"/>
      <c r="F668" s="92"/>
      <c r="G668" s="92"/>
      <c r="H668" s="92"/>
      <c r="I668" s="92"/>
      <c r="J668" s="92"/>
      <c r="K668" s="92"/>
      <c r="L668" s="92"/>
      <c r="M668" s="92"/>
      <c r="N668" s="155"/>
      <c r="O668" s="145"/>
      <c r="P668" s="92"/>
      <c r="Q668" s="145"/>
      <c r="R668" s="92"/>
      <c r="S668" s="145"/>
      <c r="T668" s="92"/>
      <c r="U668" s="145"/>
      <c r="V668" s="92"/>
      <c r="W668" s="145"/>
      <c r="X668" s="92"/>
      <c r="Y668" s="145"/>
      <c r="Z668" s="92"/>
      <c r="AA668" s="145"/>
      <c r="AB668" s="92"/>
      <c r="AC668" s="145"/>
      <c r="AD668" s="92"/>
      <c r="AE668" s="145"/>
      <c r="AF668" s="182" t="str">
        <f t="shared" si="33"/>
        <v/>
      </c>
      <c r="AG668" s="54" t="b">
        <f t="shared" si="34"/>
        <v>0</v>
      </c>
      <c r="AH668" s="145"/>
      <c r="AI668" s="192" t="s">
        <v>6</v>
      </c>
      <c r="AJ668" s="96">
        <f t="shared" si="35"/>
        <v>0</v>
      </c>
      <c r="AK668" s="193" t="s">
        <v>39</v>
      </c>
    </row>
    <row r="669" spans="1:37" ht="30" customHeight="1">
      <c r="A669" s="92"/>
      <c r="B669" s="92"/>
      <c r="C669" s="92"/>
      <c r="D669" s="92"/>
      <c r="E669" s="92"/>
      <c r="F669" s="92"/>
      <c r="G669" s="92"/>
      <c r="H669" s="92"/>
      <c r="I669" s="92"/>
      <c r="J669" s="92"/>
      <c r="K669" s="92"/>
      <c r="L669" s="92"/>
      <c r="M669" s="92"/>
      <c r="N669" s="155"/>
      <c r="O669" s="145"/>
      <c r="P669" s="92"/>
      <c r="Q669" s="145"/>
      <c r="R669" s="92"/>
      <c r="S669" s="145"/>
      <c r="T669" s="92"/>
      <c r="U669" s="145"/>
      <c r="V669" s="92"/>
      <c r="W669" s="145"/>
      <c r="X669" s="92"/>
      <c r="Y669" s="145"/>
      <c r="Z669" s="92"/>
      <c r="AA669" s="145"/>
      <c r="AB669" s="92"/>
      <c r="AC669" s="145"/>
      <c r="AD669" s="92"/>
      <c r="AE669" s="145"/>
      <c r="AF669" s="182" t="str">
        <f t="shared" si="33"/>
        <v/>
      </c>
      <c r="AG669" s="54" t="b">
        <f t="shared" si="34"/>
        <v>0</v>
      </c>
      <c r="AH669" s="145"/>
      <c r="AI669" s="192" t="s">
        <v>6</v>
      </c>
      <c r="AJ669" s="96">
        <f t="shared" si="35"/>
        <v>0</v>
      </c>
      <c r="AK669" s="193" t="s">
        <v>39</v>
      </c>
    </row>
    <row r="670" spans="1:37" ht="30" customHeight="1">
      <c r="A670" s="92"/>
      <c r="B670" s="92"/>
      <c r="C670" s="92"/>
      <c r="D670" s="92"/>
      <c r="E670" s="92"/>
      <c r="F670" s="92"/>
      <c r="G670" s="92"/>
      <c r="H670" s="92"/>
      <c r="I670" s="92"/>
      <c r="J670" s="92"/>
      <c r="K670" s="92"/>
      <c r="L670" s="92"/>
      <c r="M670" s="92"/>
      <c r="N670" s="155"/>
      <c r="O670" s="145"/>
      <c r="P670" s="92"/>
      <c r="Q670" s="145"/>
      <c r="R670" s="92"/>
      <c r="S670" s="145"/>
      <c r="T670" s="92"/>
      <c r="U670" s="145"/>
      <c r="V670" s="92"/>
      <c r="W670" s="145"/>
      <c r="X670" s="92"/>
      <c r="Y670" s="145"/>
      <c r="Z670" s="92"/>
      <c r="AA670" s="145"/>
      <c r="AB670" s="92"/>
      <c r="AC670" s="145"/>
      <c r="AD670" s="92"/>
      <c r="AE670" s="145"/>
      <c r="AF670" s="182" t="str">
        <f t="shared" si="33"/>
        <v/>
      </c>
      <c r="AG670" s="54" t="b">
        <f t="shared" si="34"/>
        <v>0</v>
      </c>
      <c r="AH670" s="145"/>
      <c r="AI670" s="192" t="s">
        <v>6</v>
      </c>
      <c r="AJ670" s="96">
        <f t="shared" si="35"/>
        <v>0</v>
      </c>
      <c r="AK670" s="193" t="s">
        <v>39</v>
      </c>
    </row>
    <row r="671" spans="1:37" ht="30" customHeight="1">
      <c r="A671" s="92"/>
      <c r="B671" s="92"/>
      <c r="C671" s="92"/>
      <c r="D671" s="92"/>
      <c r="E671" s="92"/>
      <c r="F671" s="92"/>
      <c r="G671" s="92"/>
      <c r="H671" s="92"/>
      <c r="I671" s="92"/>
      <c r="J671" s="92"/>
      <c r="K671" s="92"/>
      <c r="L671" s="92"/>
      <c r="M671" s="92"/>
      <c r="N671" s="155"/>
      <c r="O671" s="145"/>
      <c r="P671" s="92"/>
      <c r="Q671" s="145"/>
      <c r="R671" s="92"/>
      <c r="S671" s="145"/>
      <c r="T671" s="92"/>
      <c r="U671" s="145"/>
      <c r="V671" s="92"/>
      <c r="W671" s="145"/>
      <c r="X671" s="92"/>
      <c r="Y671" s="145"/>
      <c r="Z671" s="92"/>
      <c r="AA671" s="145"/>
      <c r="AB671" s="92"/>
      <c r="AC671" s="145"/>
      <c r="AD671" s="92"/>
      <c r="AE671" s="145"/>
      <c r="AF671" s="182" t="str">
        <f t="shared" si="33"/>
        <v/>
      </c>
      <c r="AG671" s="54" t="b">
        <f t="shared" si="34"/>
        <v>0</v>
      </c>
      <c r="AH671" s="145"/>
      <c r="AI671" s="192" t="s">
        <v>6</v>
      </c>
      <c r="AJ671" s="96">
        <f t="shared" si="35"/>
        <v>0</v>
      </c>
      <c r="AK671" s="193" t="s">
        <v>39</v>
      </c>
    </row>
    <row r="672" spans="1:37" ht="30" customHeight="1">
      <c r="A672" s="92"/>
      <c r="B672" s="92"/>
      <c r="C672" s="92"/>
      <c r="D672" s="92"/>
      <c r="E672" s="92"/>
      <c r="F672" s="92"/>
      <c r="G672" s="92"/>
      <c r="H672" s="92"/>
      <c r="I672" s="92"/>
      <c r="J672" s="92"/>
      <c r="K672" s="92"/>
      <c r="L672" s="92"/>
      <c r="M672" s="92"/>
      <c r="N672" s="155"/>
      <c r="O672" s="145"/>
      <c r="P672" s="92"/>
      <c r="Q672" s="145"/>
      <c r="R672" s="92"/>
      <c r="S672" s="145"/>
      <c r="T672" s="92"/>
      <c r="U672" s="145"/>
      <c r="V672" s="92"/>
      <c r="W672" s="145"/>
      <c r="X672" s="92"/>
      <c r="Y672" s="145"/>
      <c r="Z672" s="92"/>
      <c r="AA672" s="145"/>
      <c r="AB672" s="92"/>
      <c r="AC672" s="145"/>
      <c r="AD672" s="92"/>
      <c r="AE672" s="145"/>
      <c r="AF672" s="182" t="str">
        <f t="shared" si="33"/>
        <v/>
      </c>
      <c r="AG672" s="54" t="b">
        <f t="shared" si="34"/>
        <v>0</v>
      </c>
      <c r="AH672" s="145"/>
      <c r="AI672" s="192" t="s">
        <v>6</v>
      </c>
      <c r="AJ672" s="96">
        <f t="shared" si="35"/>
        <v>0</v>
      </c>
      <c r="AK672" s="193" t="s">
        <v>39</v>
      </c>
    </row>
    <row r="673" spans="1:37" ht="30" customHeight="1">
      <c r="A673" s="92"/>
      <c r="B673" s="92"/>
      <c r="C673" s="92"/>
      <c r="D673" s="92"/>
      <c r="E673" s="92"/>
      <c r="F673" s="92"/>
      <c r="G673" s="92"/>
      <c r="H673" s="92"/>
      <c r="I673" s="92"/>
      <c r="J673" s="92"/>
      <c r="K673" s="92"/>
      <c r="L673" s="92"/>
      <c r="M673" s="92"/>
      <c r="N673" s="155"/>
      <c r="O673" s="145"/>
      <c r="P673" s="92"/>
      <c r="Q673" s="145"/>
      <c r="R673" s="92"/>
      <c r="S673" s="145"/>
      <c r="T673" s="92"/>
      <c r="U673" s="145"/>
      <c r="V673" s="92"/>
      <c r="W673" s="145"/>
      <c r="X673" s="92"/>
      <c r="Y673" s="145"/>
      <c r="Z673" s="92"/>
      <c r="AA673" s="145"/>
      <c r="AB673" s="92"/>
      <c r="AC673" s="145"/>
      <c r="AD673" s="92"/>
      <c r="AE673" s="145"/>
      <c r="AF673" s="182" t="str">
        <f t="shared" si="33"/>
        <v/>
      </c>
      <c r="AG673" s="54" t="b">
        <f t="shared" si="34"/>
        <v>0</v>
      </c>
      <c r="AH673" s="145"/>
      <c r="AI673" s="192" t="s">
        <v>6</v>
      </c>
      <c r="AJ673" s="96">
        <f t="shared" si="35"/>
        <v>0</v>
      </c>
      <c r="AK673" s="193" t="s">
        <v>39</v>
      </c>
    </row>
    <row r="674" spans="1:37" ht="30" customHeight="1">
      <c r="A674" s="92"/>
      <c r="B674" s="92"/>
      <c r="C674" s="92"/>
      <c r="D674" s="92"/>
      <c r="E674" s="92"/>
      <c r="F674" s="92"/>
      <c r="G674" s="92"/>
      <c r="H674" s="92"/>
      <c r="I674" s="92"/>
      <c r="J674" s="92"/>
      <c r="K674" s="92"/>
      <c r="L674" s="92"/>
      <c r="M674" s="92"/>
      <c r="N674" s="155"/>
      <c r="O674" s="145"/>
      <c r="P674" s="92"/>
      <c r="Q674" s="145"/>
      <c r="R674" s="92"/>
      <c r="S674" s="145"/>
      <c r="T674" s="92"/>
      <c r="U674" s="145"/>
      <c r="V674" s="92"/>
      <c r="W674" s="145"/>
      <c r="X674" s="92"/>
      <c r="Y674" s="145"/>
      <c r="Z674" s="92"/>
      <c r="AA674" s="145"/>
      <c r="AB674" s="92"/>
      <c r="AC674" s="145"/>
      <c r="AD674" s="92"/>
      <c r="AE674" s="145"/>
      <c r="AF674" s="182" t="str">
        <f t="shared" si="33"/>
        <v/>
      </c>
      <c r="AG674" s="54" t="b">
        <f t="shared" si="34"/>
        <v>0</v>
      </c>
      <c r="AH674" s="145"/>
      <c r="AI674" s="192" t="s">
        <v>6</v>
      </c>
      <c r="AJ674" s="96">
        <f t="shared" si="35"/>
        <v>0</v>
      </c>
      <c r="AK674" s="193" t="s">
        <v>39</v>
      </c>
    </row>
    <row r="675" spans="1:37" ht="30" customHeight="1">
      <c r="A675" s="92"/>
      <c r="B675" s="92"/>
      <c r="C675" s="92"/>
      <c r="D675" s="92"/>
      <c r="E675" s="92"/>
      <c r="F675" s="92"/>
      <c r="G675" s="92"/>
      <c r="H675" s="92"/>
      <c r="I675" s="92"/>
      <c r="J675" s="92"/>
      <c r="K675" s="92"/>
      <c r="L675" s="92"/>
      <c r="M675" s="92"/>
      <c r="N675" s="155"/>
      <c r="O675" s="145"/>
      <c r="P675" s="92"/>
      <c r="Q675" s="145"/>
      <c r="R675" s="92"/>
      <c r="S675" s="145"/>
      <c r="T675" s="92"/>
      <c r="U675" s="145"/>
      <c r="V675" s="92"/>
      <c r="W675" s="145"/>
      <c r="X675" s="92"/>
      <c r="Y675" s="145"/>
      <c r="Z675" s="92"/>
      <c r="AA675" s="145"/>
      <c r="AB675" s="92"/>
      <c r="AC675" s="145"/>
      <c r="AD675" s="92"/>
      <c r="AE675" s="145"/>
      <c r="AF675" s="182" t="str">
        <f t="shared" si="33"/>
        <v/>
      </c>
      <c r="AG675" s="54" t="b">
        <f t="shared" si="34"/>
        <v>0</v>
      </c>
      <c r="AH675" s="145"/>
      <c r="AI675" s="192" t="s">
        <v>6</v>
      </c>
      <c r="AJ675" s="96">
        <f t="shared" si="35"/>
        <v>0</v>
      </c>
      <c r="AK675" s="193" t="s">
        <v>39</v>
      </c>
    </row>
    <row r="676" spans="1:37" ht="30" customHeight="1">
      <c r="A676" s="92"/>
      <c r="B676" s="92"/>
      <c r="C676" s="92"/>
      <c r="D676" s="92"/>
      <c r="E676" s="92"/>
      <c r="F676" s="92"/>
      <c r="G676" s="92"/>
      <c r="H676" s="92"/>
      <c r="I676" s="92"/>
      <c r="J676" s="92"/>
      <c r="K676" s="92"/>
      <c r="L676" s="92"/>
      <c r="M676" s="92"/>
      <c r="N676" s="155"/>
      <c r="O676" s="145"/>
      <c r="P676" s="92"/>
      <c r="Q676" s="145"/>
      <c r="R676" s="92"/>
      <c r="S676" s="145"/>
      <c r="T676" s="92"/>
      <c r="U676" s="145"/>
      <c r="V676" s="92"/>
      <c r="W676" s="145"/>
      <c r="X676" s="92"/>
      <c r="Y676" s="145"/>
      <c r="Z676" s="92"/>
      <c r="AA676" s="145"/>
      <c r="AB676" s="92"/>
      <c r="AC676" s="145"/>
      <c r="AD676" s="92"/>
      <c r="AE676" s="145"/>
      <c r="AF676" s="182" t="str">
        <f t="shared" si="33"/>
        <v/>
      </c>
      <c r="AG676" s="54" t="b">
        <f t="shared" si="34"/>
        <v>0</v>
      </c>
      <c r="AH676" s="145"/>
      <c r="AI676" s="192" t="s">
        <v>6</v>
      </c>
      <c r="AJ676" s="96">
        <f t="shared" si="35"/>
        <v>0</v>
      </c>
      <c r="AK676" s="193" t="s">
        <v>39</v>
      </c>
    </row>
    <row r="677" spans="1:37" ht="30" customHeight="1">
      <c r="A677" s="92"/>
      <c r="B677" s="92"/>
      <c r="C677" s="92"/>
      <c r="D677" s="92"/>
      <c r="E677" s="92"/>
      <c r="F677" s="92"/>
      <c r="G677" s="92"/>
      <c r="H677" s="92"/>
      <c r="I677" s="92"/>
      <c r="J677" s="92"/>
      <c r="K677" s="92"/>
      <c r="L677" s="92"/>
      <c r="M677" s="92"/>
      <c r="N677" s="155"/>
      <c r="O677" s="145"/>
      <c r="P677" s="92"/>
      <c r="Q677" s="145"/>
      <c r="R677" s="92"/>
      <c r="S677" s="145"/>
      <c r="T677" s="92"/>
      <c r="U677" s="145"/>
      <c r="V677" s="92"/>
      <c r="W677" s="145"/>
      <c r="X677" s="92"/>
      <c r="Y677" s="145"/>
      <c r="Z677" s="92"/>
      <c r="AA677" s="145"/>
      <c r="AB677" s="92"/>
      <c r="AC677" s="145"/>
      <c r="AD677" s="92"/>
      <c r="AE677" s="145"/>
      <c r="AF677" s="182" t="str">
        <f t="shared" si="33"/>
        <v/>
      </c>
      <c r="AG677" s="54" t="b">
        <f t="shared" si="34"/>
        <v>0</v>
      </c>
      <c r="AH677" s="145"/>
      <c r="AI677" s="192" t="s">
        <v>6</v>
      </c>
      <c r="AJ677" s="96">
        <f t="shared" si="35"/>
        <v>0</v>
      </c>
      <c r="AK677" s="193" t="s">
        <v>39</v>
      </c>
    </row>
    <row r="678" spans="1:37" ht="30" customHeight="1">
      <c r="A678" s="92"/>
      <c r="B678" s="92"/>
      <c r="C678" s="92"/>
      <c r="D678" s="92"/>
      <c r="E678" s="92"/>
      <c r="F678" s="92"/>
      <c r="G678" s="92"/>
      <c r="H678" s="92"/>
      <c r="I678" s="92"/>
      <c r="J678" s="92"/>
      <c r="K678" s="92"/>
      <c r="L678" s="92"/>
      <c r="M678" s="92"/>
      <c r="N678" s="155"/>
      <c r="O678" s="145"/>
      <c r="P678" s="92"/>
      <c r="Q678" s="145"/>
      <c r="R678" s="92"/>
      <c r="S678" s="145"/>
      <c r="T678" s="92"/>
      <c r="U678" s="145"/>
      <c r="V678" s="92"/>
      <c r="W678" s="145"/>
      <c r="X678" s="92"/>
      <c r="Y678" s="145"/>
      <c r="Z678" s="92"/>
      <c r="AA678" s="145"/>
      <c r="AB678" s="92"/>
      <c r="AC678" s="145"/>
      <c r="AD678" s="92"/>
      <c r="AE678" s="145"/>
      <c r="AF678" s="182" t="str">
        <f t="shared" si="33"/>
        <v/>
      </c>
      <c r="AG678" s="54" t="b">
        <f t="shared" si="34"/>
        <v>0</v>
      </c>
      <c r="AH678" s="145"/>
      <c r="AI678" s="192" t="s">
        <v>6</v>
      </c>
      <c r="AJ678" s="96">
        <f t="shared" si="35"/>
        <v>0</v>
      </c>
      <c r="AK678" s="193" t="s">
        <v>39</v>
      </c>
    </row>
    <row r="679" spans="1:37" ht="30" customHeight="1">
      <c r="A679" s="92"/>
      <c r="B679" s="92"/>
      <c r="C679" s="92"/>
      <c r="D679" s="92"/>
      <c r="E679" s="92"/>
      <c r="F679" s="92"/>
      <c r="G679" s="92"/>
      <c r="H679" s="92"/>
      <c r="I679" s="92"/>
      <c r="J679" s="92"/>
      <c r="K679" s="92"/>
      <c r="L679" s="92"/>
      <c r="M679" s="92"/>
      <c r="N679" s="155"/>
      <c r="O679" s="145"/>
      <c r="P679" s="92"/>
      <c r="Q679" s="145"/>
      <c r="R679" s="92"/>
      <c r="S679" s="145"/>
      <c r="T679" s="92"/>
      <c r="U679" s="145"/>
      <c r="V679" s="92"/>
      <c r="W679" s="145"/>
      <c r="X679" s="92"/>
      <c r="Y679" s="145"/>
      <c r="Z679" s="92"/>
      <c r="AA679" s="145"/>
      <c r="AB679" s="92"/>
      <c r="AC679" s="145"/>
      <c r="AD679" s="92"/>
      <c r="AE679" s="145"/>
      <c r="AF679" s="182" t="str">
        <f t="shared" si="33"/>
        <v/>
      </c>
      <c r="AG679" s="54" t="b">
        <f t="shared" si="34"/>
        <v>0</v>
      </c>
      <c r="AH679" s="145"/>
      <c r="AI679" s="192" t="s">
        <v>6</v>
      </c>
      <c r="AJ679" s="96">
        <f t="shared" si="35"/>
        <v>0</v>
      </c>
      <c r="AK679" s="193" t="s">
        <v>39</v>
      </c>
    </row>
    <row r="680" spans="1:37" ht="30" customHeight="1">
      <c r="A680" s="92"/>
      <c r="B680" s="92"/>
      <c r="C680" s="92"/>
      <c r="D680" s="92"/>
      <c r="E680" s="92"/>
      <c r="F680" s="92"/>
      <c r="G680" s="92"/>
      <c r="H680" s="92"/>
      <c r="I680" s="92"/>
      <c r="J680" s="92"/>
      <c r="K680" s="92"/>
      <c r="L680" s="92"/>
      <c r="M680" s="92"/>
      <c r="N680" s="155"/>
      <c r="O680" s="145"/>
      <c r="P680" s="92"/>
      <c r="Q680" s="145"/>
      <c r="R680" s="92"/>
      <c r="S680" s="145"/>
      <c r="T680" s="92"/>
      <c r="U680" s="145"/>
      <c r="V680" s="92"/>
      <c r="W680" s="145"/>
      <c r="X680" s="92"/>
      <c r="Y680" s="145"/>
      <c r="Z680" s="92"/>
      <c r="AA680" s="145"/>
      <c r="AB680" s="92"/>
      <c r="AC680" s="145"/>
      <c r="AD680" s="92"/>
      <c r="AE680" s="145"/>
      <c r="AF680" s="182" t="str">
        <f t="shared" si="33"/>
        <v/>
      </c>
      <c r="AG680" s="54" t="b">
        <f t="shared" si="34"/>
        <v>0</v>
      </c>
      <c r="AH680" s="145"/>
      <c r="AI680" s="192" t="s">
        <v>6</v>
      </c>
      <c r="AJ680" s="96">
        <f t="shared" si="35"/>
        <v>0</v>
      </c>
      <c r="AK680" s="193" t="s">
        <v>39</v>
      </c>
    </row>
    <row r="681" spans="1:37" ht="30" customHeight="1">
      <c r="A681" s="92"/>
      <c r="B681" s="92"/>
      <c r="C681" s="92"/>
      <c r="D681" s="92"/>
      <c r="E681" s="92"/>
      <c r="F681" s="92"/>
      <c r="G681" s="92"/>
      <c r="H681" s="92"/>
      <c r="I681" s="92"/>
      <c r="J681" s="92"/>
      <c r="K681" s="92"/>
      <c r="L681" s="92"/>
      <c r="M681" s="92"/>
      <c r="N681" s="155"/>
      <c r="O681" s="145"/>
      <c r="P681" s="92"/>
      <c r="Q681" s="145"/>
      <c r="R681" s="92"/>
      <c r="S681" s="145"/>
      <c r="T681" s="92"/>
      <c r="U681" s="145"/>
      <c r="V681" s="92"/>
      <c r="W681" s="145"/>
      <c r="X681" s="92"/>
      <c r="Y681" s="145"/>
      <c r="Z681" s="92"/>
      <c r="AA681" s="145"/>
      <c r="AB681" s="92"/>
      <c r="AC681" s="145"/>
      <c r="AD681" s="92"/>
      <c r="AE681" s="145"/>
      <c r="AF681" s="182" t="str">
        <f t="shared" si="33"/>
        <v/>
      </c>
      <c r="AG681" s="54" t="b">
        <f t="shared" si="34"/>
        <v>0</v>
      </c>
      <c r="AH681" s="145"/>
      <c r="AI681" s="192" t="s">
        <v>6</v>
      </c>
      <c r="AJ681" s="96">
        <f t="shared" si="35"/>
        <v>0</v>
      </c>
      <c r="AK681" s="193" t="s">
        <v>39</v>
      </c>
    </row>
    <row r="682" spans="1:37" ht="30" customHeight="1">
      <c r="A682" s="92"/>
      <c r="B682" s="92"/>
      <c r="C682" s="92"/>
      <c r="D682" s="92"/>
      <c r="E682" s="92"/>
      <c r="F682" s="92"/>
      <c r="G682" s="92"/>
      <c r="H682" s="92"/>
      <c r="I682" s="92"/>
      <c r="J682" s="92"/>
      <c r="K682" s="92"/>
      <c r="L682" s="92"/>
      <c r="M682" s="92"/>
      <c r="N682" s="155"/>
      <c r="O682" s="145"/>
      <c r="P682" s="92"/>
      <c r="Q682" s="145"/>
      <c r="R682" s="92"/>
      <c r="S682" s="145"/>
      <c r="T682" s="92"/>
      <c r="U682" s="145"/>
      <c r="V682" s="92"/>
      <c r="W682" s="145"/>
      <c r="X682" s="92"/>
      <c r="Y682" s="145"/>
      <c r="Z682" s="92"/>
      <c r="AA682" s="145"/>
      <c r="AB682" s="92"/>
      <c r="AC682" s="145"/>
      <c r="AD682" s="92"/>
      <c r="AE682" s="145"/>
      <c r="AF682" s="182" t="str">
        <f t="shared" si="33"/>
        <v/>
      </c>
      <c r="AG682" s="54" t="b">
        <f t="shared" si="34"/>
        <v>0</v>
      </c>
      <c r="AH682" s="145"/>
      <c r="AI682" s="192" t="s">
        <v>6</v>
      </c>
      <c r="AJ682" s="96">
        <f t="shared" si="35"/>
        <v>0</v>
      </c>
      <c r="AK682" s="193" t="s">
        <v>39</v>
      </c>
    </row>
    <row r="683" spans="1:37" ht="30" customHeight="1">
      <c r="A683" s="92"/>
      <c r="B683" s="92"/>
      <c r="C683" s="92"/>
      <c r="D683" s="92"/>
      <c r="E683" s="92"/>
      <c r="F683" s="92"/>
      <c r="G683" s="92"/>
      <c r="H683" s="92"/>
      <c r="I683" s="92"/>
      <c r="J683" s="92"/>
      <c r="K683" s="92"/>
      <c r="L683" s="92"/>
      <c r="M683" s="92"/>
      <c r="N683" s="155"/>
      <c r="O683" s="145"/>
      <c r="P683" s="92"/>
      <c r="Q683" s="145"/>
      <c r="R683" s="92"/>
      <c r="S683" s="145"/>
      <c r="T683" s="92"/>
      <c r="U683" s="145"/>
      <c r="V683" s="92"/>
      <c r="W683" s="145"/>
      <c r="X683" s="92"/>
      <c r="Y683" s="145"/>
      <c r="Z683" s="92"/>
      <c r="AA683" s="145"/>
      <c r="AB683" s="92"/>
      <c r="AC683" s="145"/>
      <c r="AD683" s="92"/>
      <c r="AE683" s="145"/>
      <c r="AF683" s="182" t="str">
        <f t="shared" si="33"/>
        <v/>
      </c>
      <c r="AG683" s="54" t="b">
        <f t="shared" si="34"/>
        <v>0</v>
      </c>
      <c r="AH683" s="145"/>
      <c r="AI683" s="192" t="s">
        <v>6</v>
      </c>
      <c r="AJ683" s="96">
        <f t="shared" si="35"/>
        <v>0</v>
      </c>
      <c r="AK683" s="193" t="s">
        <v>39</v>
      </c>
    </row>
    <row r="684" spans="1:37" ht="30" customHeight="1">
      <c r="A684" s="92"/>
      <c r="B684" s="92"/>
      <c r="C684" s="92"/>
      <c r="D684" s="92"/>
      <c r="E684" s="92"/>
      <c r="F684" s="92"/>
      <c r="G684" s="92"/>
      <c r="H684" s="92"/>
      <c r="I684" s="92"/>
      <c r="J684" s="92"/>
      <c r="K684" s="92"/>
      <c r="L684" s="92"/>
      <c r="M684" s="92"/>
      <c r="N684" s="155"/>
      <c r="O684" s="145"/>
      <c r="P684" s="92"/>
      <c r="Q684" s="145"/>
      <c r="R684" s="92"/>
      <c r="S684" s="145"/>
      <c r="T684" s="92"/>
      <c r="U684" s="145"/>
      <c r="V684" s="92"/>
      <c r="W684" s="145"/>
      <c r="X684" s="92"/>
      <c r="Y684" s="145"/>
      <c r="Z684" s="92"/>
      <c r="AA684" s="145"/>
      <c r="AB684" s="92"/>
      <c r="AC684" s="145"/>
      <c r="AD684" s="92"/>
      <c r="AE684" s="145"/>
      <c r="AF684" s="182" t="str">
        <f t="shared" si="33"/>
        <v/>
      </c>
      <c r="AG684" s="54" t="b">
        <f t="shared" si="34"/>
        <v>0</v>
      </c>
      <c r="AH684" s="145"/>
      <c r="AI684" s="192" t="s">
        <v>6</v>
      </c>
      <c r="AJ684" s="96">
        <f t="shared" si="35"/>
        <v>0</v>
      </c>
      <c r="AK684" s="193" t="s">
        <v>39</v>
      </c>
    </row>
    <row r="685" spans="1:37" ht="30" customHeight="1">
      <c r="A685" s="92"/>
      <c r="B685" s="92"/>
      <c r="C685" s="92"/>
      <c r="D685" s="92"/>
      <c r="E685" s="92"/>
      <c r="F685" s="92"/>
      <c r="G685" s="92"/>
      <c r="H685" s="92"/>
      <c r="I685" s="92"/>
      <c r="J685" s="92"/>
      <c r="K685" s="92"/>
      <c r="L685" s="92"/>
      <c r="M685" s="92"/>
      <c r="N685" s="155"/>
      <c r="O685" s="145"/>
      <c r="P685" s="92"/>
      <c r="Q685" s="145"/>
      <c r="R685" s="92"/>
      <c r="S685" s="145"/>
      <c r="T685" s="92"/>
      <c r="U685" s="145"/>
      <c r="V685" s="92"/>
      <c r="W685" s="145"/>
      <c r="X685" s="92"/>
      <c r="Y685" s="145"/>
      <c r="Z685" s="92"/>
      <c r="AA685" s="145"/>
      <c r="AB685" s="92"/>
      <c r="AC685" s="145"/>
      <c r="AD685" s="92"/>
      <c r="AE685" s="145"/>
      <c r="AF685" s="182" t="str">
        <f t="shared" si="33"/>
        <v/>
      </c>
      <c r="AG685" s="54" t="b">
        <f t="shared" si="34"/>
        <v>0</v>
      </c>
      <c r="AH685" s="145"/>
      <c r="AI685" s="192" t="s">
        <v>6</v>
      </c>
      <c r="AJ685" s="96">
        <f t="shared" si="35"/>
        <v>0</v>
      </c>
      <c r="AK685" s="193" t="s">
        <v>39</v>
      </c>
    </row>
    <row r="686" spans="1:37" ht="30" customHeight="1">
      <c r="A686" s="92"/>
      <c r="B686" s="92"/>
      <c r="C686" s="92"/>
      <c r="D686" s="92"/>
      <c r="E686" s="92"/>
      <c r="F686" s="92"/>
      <c r="G686" s="92"/>
      <c r="H686" s="92"/>
      <c r="I686" s="92"/>
      <c r="J686" s="92"/>
      <c r="K686" s="92"/>
      <c r="L686" s="92"/>
      <c r="M686" s="92"/>
      <c r="N686" s="155"/>
      <c r="O686" s="145"/>
      <c r="P686" s="92"/>
      <c r="Q686" s="145"/>
      <c r="R686" s="92"/>
      <c r="S686" s="145"/>
      <c r="T686" s="92"/>
      <c r="U686" s="145"/>
      <c r="V686" s="92"/>
      <c r="W686" s="145"/>
      <c r="X686" s="92"/>
      <c r="Y686" s="145"/>
      <c r="Z686" s="92"/>
      <c r="AA686" s="145"/>
      <c r="AB686" s="92"/>
      <c r="AC686" s="145"/>
      <c r="AD686" s="92"/>
      <c r="AE686" s="145"/>
      <c r="AF686" s="182" t="str">
        <f t="shared" si="33"/>
        <v/>
      </c>
      <c r="AG686" s="54" t="b">
        <f t="shared" si="34"/>
        <v>0</v>
      </c>
      <c r="AH686" s="145"/>
      <c r="AI686" s="192" t="s">
        <v>6</v>
      </c>
      <c r="AJ686" s="96">
        <f t="shared" si="35"/>
        <v>0</v>
      </c>
      <c r="AK686" s="193" t="s">
        <v>39</v>
      </c>
    </row>
    <row r="687" spans="1:37" ht="30" customHeight="1">
      <c r="A687" s="92"/>
      <c r="B687" s="92"/>
      <c r="C687" s="92"/>
      <c r="D687" s="92"/>
      <c r="E687" s="92"/>
      <c r="F687" s="92"/>
      <c r="G687" s="92"/>
      <c r="H687" s="92"/>
      <c r="I687" s="92"/>
      <c r="J687" s="92"/>
      <c r="K687" s="92"/>
      <c r="L687" s="92"/>
      <c r="M687" s="92"/>
      <c r="N687" s="155"/>
      <c r="O687" s="145"/>
      <c r="P687" s="92"/>
      <c r="Q687" s="145"/>
      <c r="R687" s="92"/>
      <c r="S687" s="145"/>
      <c r="T687" s="92"/>
      <c r="U687" s="145"/>
      <c r="V687" s="92"/>
      <c r="W687" s="145"/>
      <c r="X687" s="92"/>
      <c r="Y687" s="145"/>
      <c r="Z687" s="92"/>
      <c r="AA687" s="145"/>
      <c r="AB687" s="92"/>
      <c r="AC687" s="145"/>
      <c r="AD687" s="92"/>
      <c r="AE687" s="145"/>
      <c r="AF687" s="182" t="str">
        <f t="shared" si="33"/>
        <v/>
      </c>
      <c r="AG687" s="54" t="b">
        <f t="shared" si="34"/>
        <v>0</v>
      </c>
      <c r="AH687" s="145"/>
      <c r="AI687" s="192" t="s">
        <v>6</v>
      </c>
      <c r="AJ687" s="96">
        <f t="shared" si="35"/>
        <v>0</v>
      </c>
      <c r="AK687" s="193" t="s">
        <v>39</v>
      </c>
    </row>
    <row r="688" spans="1:37" ht="30" customHeight="1">
      <c r="A688" s="92"/>
      <c r="B688" s="92"/>
      <c r="C688" s="92"/>
      <c r="D688" s="92"/>
      <c r="E688" s="92"/>
      <c r="F688" s="92"/>
      <c r="G688" s="92"/>
      <c r="H688" s="92"/>
      <c r="I688" s="92"/>
      <c r="J688" s="92"/>
      <c r="K688" s="92"/>
      <c r="L688" s="92"/>
      <c r="M688" s="92"/>
      <c r="N688" s="155"/>
      <c r="O688" s="145"/>
      <c r="P688" s="92"/>
      <c r="Q688" s="145"/>
      <c r="R688" s="92"/>
      <c r="S688" s="145"/>
      <c r="T688" s="92"/>
      <c r="U688" s="145"/>
      <c r="V688" s="92"/>
      <c r="W688" s="145"/>
      <c r="X688" s="92"/>
      <c r="Y688" s="145"/>
      <c r="Z688" s="92"/>
      <c r="AA688" s="145"/>
      <c r="AB688" s="92"/>
      <c r="AC688" s="145"/>
      <c r="AD688" s="92"/>
      <c r="AE688" s="145"/>
      <c r="AF688" s="182" t="str">
        <f t="shared" si="33"/>
        <v/>
      </c>
      <c r="AG688" s="54" t="b">
        <f t="shared" si="34"/>
        <v>0</v>
      </c>
      <c r="AH688" s="145"/>
      <c r="AI688" s="192" t="s">
        <v>6</v>
      </c>
      <c r="AJ688" s="96">
        <f t="shared" si="35"/>
        <v>0</v>
      </c>
      <c r="AK688" s="193" t="s">
        <v>39</v>
      </c>
    </row>
    <row r="689" spans="1:37" ht="30" customHeight="1">
      <c r="A689" s="92"/>
      <c r="B689" s="92"/>
      <c r="C689" s="92"/>
      <c r="D689" s="92"/>
      <c r="E689" s="92"/>
      <c r="F689" s="92"/>
      <c r="G689" s="92"/>
      <c r="H689" s="92"/>
      <c r="I689" s="92"/>
      <c r="J689" s="92"/>
      <c r="K689" s="92"/>
      <c r="L689" s="92"/>
      <c r="M689" s="92"/>
      <c r="N689" s="155"/>
      <c r="O689" s="145"/>
      <c r="P689" s="92"/>
      <c r="Q689" s="145"/>
      <c r="R689" s="92"/>
      <c r="S689" s="145"/>
      <c r="T689" s="92"/>
      <c r="U689" s="145"/>
      <c r="V689" s="92"/>
      <c r="W689" s="145"/>
      <c r="X689" s="92"/>
      <c r="Y689" s="145"/>
      <c r="Z689" s="92"/>
      <c r="AA689" s="145"/>
      <c r="AB689" s="92"/>
      <c r="AC689" s="145"/>
      <c r="AD689" s="92"/>
      <c r="AE689" s="145"/>
      <c r="AF689" s="182" t="str">
        <f t="shared" si="33"/>
        <v/>
      </c>
      <c r="AG689" s="54" t="b">
        <f t="shared" si="34"/>
        <v>0</v>
      </c>
      <c r="AH689" s="145"/>
      <c r="AI689" s="192" t="s">
        <v>6</v>
      </c>
      <c r="AJ689" s="96">
        <f t="shared" si="35"/>
        <v>0</v>
      </c>
      <c r="AK689" s="193" t="s">
        <v>39</v>
      </c>
    </row>
    <row r="690" spans="1:37" ht="30" customHeight="1">
      <c r="A690" s="92"/>
      <c r="B690" s="92"/>
      <c r="C690" s="92"/>
      <c r="D690" s="92"/>
      <c r="E690" s="92"/>
      <c r="F690" s="92"/>
      <c r="G690" s="92"/>
      <c r="H690" s="92"/>
      <c r="I690" s="92"/>
      <c r="J690" s="92"/>
      <c r="K690" s="92"/>
      <c r="L690" s="92"/>
      <c r="M690" s="92"/>
      <c r="N690" s="155"/>
      <c r="O690" s="145"/>
      <c r="P690" s="92"/>
      <c r="Q690" s="145"/>
      <c r="R690" s="92"/>
      <c r="S690" s="145"/>
      <c r="T690" s="92"/>
      <c r="U690" s="145"/>
      <c r="V690" s="92"/>
      <c r="W690" s="145"/>
      <c r="X690" s="92"/>
      <c r="Y690" s="145"/>
      <c r="Z690" s="92"/>
      <c r="AA690" s="145"/>
      <c r="AB690" s="92"/>
      <c r="AC690" s="145"/>
      <c r="AD690" s="92"/>
      <c r="AE690" s="145"/>
      <c r="AF690" s="182" t="str">
        <f t="shared" si="33"/>
        <v/>
      </c>
      <c r="AG690" s="54" t="b">
        <f t="shared" si="34"/>
        <v>0</v>
      </c>
      <c r="AH690" s="145"/>
      <c r="AI690" s="192" t="s">
        <v>6</v>
      </c>
      <c r="AJ690" s="96">
        <f t="shared" si="35"/>
        <v>0</v>
      </c>
      <c r="AK690" s="193" t="s">
        <v>39</v>
      </c>
    </row>
    <row r="691" spans="1:37" ht="30" customHeight="1">
      <c r="A691" s="92"/>
      <c r="B691" s="92"/>
      <c r="C691" s="92"/>
      <c r="D691" s="92"/>
      <c r="E691" s="92"/>
      <c r="F691" s="92"/>
      <c r="G691" s="92"/>
      <c r="H691" s="92"/>
      <c r="I691" s="92"/>
      <c r="J691" s="92"/>
      <c r="K691" s="92"/>
      <c r="L691" s="92"/>
      <c r="M691" s="92"/>
      <c r="N691" s="155"/>
      <c r="O691" s="145"/>
      <c r="P691" s="92"/>
      <c r="Q691" s="145"/>
      <c r="R691" s="92"/>
      <c r="S691" s="145"/>
      <c r="T691" s="92"/>
      <c r="U691" s="145"/>
      <c r="V691" s="92"/>
      <c r="W691" s="145"/>
      <c r="X691" s="92"/>
      <c r="Y691" s="145"/>
      <c r="Z691" s="92"/>
      <c r="AA691" s="145"/>
      <c r="AB691" s="92"/>
      <c r="AC691" s="145"/>
      <c r="AD691" s="92"/>
      <c r="AE691" s="145"/>
      <c r="AF691" s="182" t="str">
        <f t="shared" si="33"/>
        <v/>
      </c>
      <c r="AG691" s="54" t="b">
        <f t="shared" si="34"/>
        <v>0</v>
      </c>
      <c r="AH691" s="145"/>
      <c r="AI691" s="192" t="s">
        <v>6</v>
      </c>
      <c r="AJ691" s="96">
        <f t="shared" si="35"/>
        <v>0</v>
      </c>
      <c r="AK691" s="193" t="s">
        <v>39</v>
      </c>
    </row>
    <row r="692" spans="1:37" ht="30" customHeight="1">
      <c r="A692" s="92"/>
      <c r="B692" s="92"/>
      <c r="C692" s="92"/>
      <c r="D692" s="92"/>
      <c r="E692" s="92"/>
      <c r="F692" s="92"/>
      <c r="G692" s="92"/>
      <c r="H692" s="92"/>
      <c r="I692" s="92"/>
      <c r="J692" s="92"/>
      <c r="K692" s="92"/>
      <c r="L692" s="92"/>
      <c r="M692" s="92"/>
      <c r="N692" s="155"/>
      <c r="O692" s="145"/>
      <c r="P692" s="92"/>
      <c r="Q692" s="145"/>
      <c r="R692" s="92"/>
      <c r="S692" s="145"/>
      <c r="T692" s="92"/>
      <c r="U692" s="145"/>
      <c r="V692" s="92"/>
      <c r="W692" s="145"/>
      <c r="X692" s="92"/>
      <c r="Y692" s="145"/>
      <c r="Z692" s="92"/>
      <c r="AA692" s="145"/>
      <c r="AB692" s="92"/>
      <c r="AC692" s="145"/>
      <c r="AD692" s="92"/>
      <c r="AE692" s="145"/>
      <c r="AF692" s="182" t="str">
        <f t="shared" si="33"/>
        <v/>
      </c>
      <c r="AG692" s="54" t="b">
        <f t="shared" si="34"/>
        <v>0</v>
      </c>
      <c r="AH692" s="145"/>
      <c r="AI692" s="192" t="s">
        <v>6</v>
      </c>
      <c r="AJ692" s="96">
        <f t="shared" si="35"/>
        <v>0</v>
      </c>
      <c r="AK692" s="193" t="s">
        <v>39</v>
      </c>
    </row>
    <row r="693" spans="1:37" ht="30" customHeight="1">
      <c r="A693" s="92"/>
      <c r="B693" s="92"/>
      <c r="C693" s="92"/>
      <c r="D693" s="92"/>
      <c r="E693" s="92"/>
      <c r="F693" s="92"/>
      <c r="G693" s="92"/>
      <c r="H693" s="92"/>
      <c r="I693" s="92"/>
      <c r="J693" s="92"/>
      <c r="K693" s="92"/>
      <c r="L693" s="92"/>
      <c r="M693" s="92"/>
      <c r="N693" s="155"/>
      <c r="O693" s="145"/>
      <c r="P693" s="92"/>
      <c r="Q693" s="145"/>
      <c r="R693" s="92"/>
      <c r="S693" s="145"/>
      <c r="T693" s="92"/>
      <c r="U693" s="145"/>
      <c r="V693" s="92"/>
      <c r="W693" s="145"/>
      <c r="X693" s="92"/>
      <c r="Y693" s="145"/>
      <c r="Z693" s="92"/>
      <c r="AA693" s="145"/>
      <c r="AB693" s="92"/>
      <c r="AC693" s="145"/>
      <c r="AD693" s="92"/>
      <c r="AE693" s="145"/>
      <c r="AF693" s="182" t="str">
        <f t="shared" ref="AF693:AF756" si="36">IF(AND(O693="",Q693="",S693="",U693="",W693="",Y693="",AA693="",AC693=""),"",IF(OR(AND(O693&lt;&gt;"NA",O693&lt;&gt;"C",O693&lt;&gt;"NC",O693&lt;&gt;"SF",O693&lt;&gt;""),AND(Q693&lt;&gt;"NA",Q693&lt;&gt;"C",Q693&lt;&gt;"NC",Q693&lt;&gt;"SF",Q693&lt;&gt;""),AND(S693&lt;&gt;"NA",S693&lt;&gt;"C",S693&lt;&gt;"NC",S693&lt;&gt;"SF",S693&lt;&gt;""),AND(U693&lt;&gt;"NA",U693&lt;&gt;"C",U693&lt;&gt;"NC",U693&lt;&gt;"SF",U693&lt;&gt;""),AND(W693&lt;&gt;"NA",W693&lt;&gt;"C",W693&lt;&gt;"NC",W693&lt;&gt;"SF",W693&lt;&gt;""),AND(Y693&lt;&gt;"NA",Y693&lt;&gt;"C",Y693&lt;&gt;"NC",Y693&lt;&gt;"SF",Y693&lt;&gt;""),AND(AA693&lt;&gt;"NA",AA693&lt;&gt;"C",AA693&lt;&gt;"NC",AA693&lt;&gt;"SF",AA693&lt;&gt;""),AND(AC693&lt;&gt;"NA",AC693&lt;&gt;"C",AC693&lt;&gt;"NC",AC693&lt;&gt;"SF",AC693&lt;&gt;"")),"FALSO",IF(AND(O693="NA",Q693="NA",S693="NA",U693="NA",W693="NA",Y693="NA",AA693="NA",AC693="NA"),"NA",IF(OR(O693="NC",Q693="NC",S693="NC",U693="NC",W693="NC",Y693="NC",AA693="NC",AC693="NC",O693="SF",Q693="SF",S693="SF",U693="SF",W693="SF",Y693="SF",AA693="SF",AC693="SF"),"NC",IF(OR(O693="C",Q693="C",S693="C",U693="C",W693="C",Y693="C",AA693="C",AC693="C"),"C","")))))</f>
        <v/>
      </c>
      <c r="AG693" s="54" t="b">
        <f t="shared" ref="AG693:AG756" si="37">IF(AND(AE693="C",AF693="C"),"UTILIZOU O PDA CORRETAMENTE",IF(AND(AE693="C",AF693="NC"),"UTILIZOU O PDA CORRETAMENTE. NÃO HÁ FOTOS DE TODAS AS ETAPAS",IF(AND(AE693="NC",AF693="NC"),"NÃO UTILIZOU O PDA",IF(AND(AE693="NA",AF693="NA"),"NÃO AVALIADO POR FALHA DE SINCRONISMO"))))</f>
        <v>0</v>
      </c>
      <c r="AH693" s="145"/>
      <c r="AI693" s="192" t="s">
        <v>6</v>
      </c>
      <c r="AJ693" s="96">
        <f t="shared" ref="AJ693:AJ756" si="38">E693</f>
        <v>0</v>
      </c>
      <c r="AK693" s="193" t="s">
        <v>39</v>
      </c>
    </row>
    <row r="694" spans="1:37" ht="30" customHeight="1">
      <c r="A694" s="92"/>
      <c r="B694" s="92"/>
      <c r="C694" s="92"/>
      <c r="D694" s="92"/>
      <c r="E694" s="92"/>
      <c r="F694" s="92"/>
      <c r="G694" s="92"/>
      <c r="H694" s="92"/>
      <c r="I694" s="92"/>
      <c r="J694" s="92"/>
      <c r="K694" s="92"/>
      <c r="L694" s="92"/>
      <c r="M694" s="92"/>
      <c r="N694" s="155"/>
      <c r="O694" s="145"/>
      <c r="P694" s="92"/>
      <c r="Q694" s="145"/>
      <c r="R694" s="92"/>
      <c r="S694" s="145"/>
      <c r="T694" s="92"/>
      <c r="U694" s="145"/>
      <c r="V694" s="92"/>
      <c r="W694" s="145"/>
      <c r="X694" s="92"/>
      <c r="Y694" s="145"/>
      <c r="Z694" s="92"/>
      <c r="AA694" s="145"/>
      <c r="AB694" s="92"/>
      <c r="AC694" s="145"/>
      <c r="AD694" s="92"/>
      <c r="AE694" s="145"/>
      <c r="AF694" s="182" t="str">
        <f t="shared" si="36"/>
        <v/>
      </c>
      <c r="AG694" s="54" t="b">
        <f t="shared" si="37"/>
        <v>0</v>
      </c>
      <c r="AH694" s="145"/>
      <c r="AI694" s="192" t="s">
        <v>6</v>
      </c>
      <c r="AJ694" s="96">
        <f t="shared" si="38"/>
        <v>0</v>
      </c>
      <c r="AK694" s="193" t="s">
        <v>39</v>
      </c>
    </row>
    <row r="695" spans="1:37" ht="30" customHeight="1">
      <c r="A695" s="92"/>
      <c r="B695" s="92"/>
      <c r="C695" s="92"/>
      <c r="D695" s="92"/>
      <c r="E695" s="92"/>
      <c r="F695" s="92"/>
      <c r="G695" s="92"/>
      <c r="H695" s="92"/>
      <c r="I695" s="92"/>
      <c r="J695" s="92"/>
      <c r="K695" s="92"/>
      <c r="L695" s="92"/>
      <c r="M695" s="92"/>
      <c r="N695" s="155"/>
      <c r="O695" s="145"/>
      <c r="P695" s="92"/>
      <c r="Q695" s="145"/>
      <c r="R695" s="92"/>
      <c r="S695" s="145"/>
      <c r="T695" s="92"/>
      <c r="U695" s="145"/>
      <c r="V695" s="92"/>
      <c r="W695" s="145"/>
      <c r="X695" s="92"/>
      <c r="Y695" s="145"/>
      <c r="Z695" s="92"/>
      <c r="AA695" s="145"/>
      <c r="AB695" s="92"/>
      <c r="AC695" s="145"/>
      <c r="AD695" s="92"/>
      <c r="AE695" s="145"/>
      <c r="AF695" s="182" t="str">
        <f t="shared" si="36"/>
        <v/>
      </c>
      <c r="AG695" s="54" t="b">
        <f t="shared" si="37"/>
        <v>0</v>
      </c>
      <c r="AH695" s="145"/>
      <c r="AI695" s="192" t="s">
        <v>6</v>
      </c>
      <c r="AJ695" s="96">
        <f t="shared" si="38"/>
        <v>0</v>
      </c>
      <c r="AK695" s="193" t="s">
        <v>39</v>
      </c>
    </row>
    <row r="696" spans="1:37" ht="30" customHeight="1">
      <c r="A696" s="92"/>
      <c r="B696" s="92"/>
      <c r="C696" s="92"/>
      <c r="D696" s="92"/>
      <c r="E696" s="92"/>
      <c r="F696" s="92"/>
      <c r="G696" s="92"/>
      <c r="H696" s="92"/>
      <c r="I696" s="92"/>
      <c r="J696" s="92"/>
      <c r="K696" s="92"/>
      <c r="L696" s="92"/>
      <c r="M696" s="92"/>
      <c r="N696" s="155"/>
      <c r="O696" s="145"/>
      <c r="P696" s="92"/>
      <c r="Q696" s="145"/>
      <c r="R696" s="92"/>
      <c r="S696" s="145"/>
      <c r="T696" s="92"/>
      <c r="U696" s="145"/>
      <c r="V696" s="92"/>
      <c r="W696" s="145"/>
      <c r="X696" s="92"/>
      <c r="Y696" s="145"/>
      <c r="Z696" s="92"/>
      <c r="AA696" s="145"/>
      <c r="AB696" s="92"/>
      <c r="AC696" s="145"/>
      <c r="AD696" s="92"/>
      <c r="AE696" s="145"/>
      <c r="AF696" s="182" t="str">
        <f t="shared" si="36"/>
        <v/>
      </c>
      <c r="AG696" s="54" t="b">
        <f t="shared" si="37"/>
        <v>0</v>
      </c>
      <c r="AH696" s="145"/>
      <c r="AI696" s="192" t="s">
        <v>6</v>
      </c>
      <c r="AJ696" s="96">
        <f t="shared" si="38"/>
        <v>0</v>
      </c>
      <c r="AK696" s="193" t="s">
        <v>39</v>
      </c>
    </row>
    <row r="697" spans="1:37" ht="30" customHeight="1">
      <c r="A697" s="92"/>
      <c r="B697" s="92"/>
      <c r="C697" s="92"/>
      <c r="D697" s="92"/>
      <c r="E697" s="92"/>
      <c r="F697" s="92"/>
      <c r="G697" s="92"/>
      <c r="H697" s="92"/>
      <c r="I697" s="92"/>
      <c r="J697" s="92"/>
      <c r="K697" s="92"/>
      <c r="L697" s="92"/>
      <c r="M697" s="92"/>
      <c r="N697" s="155"/>
      <c r="O697" s="145"/>
      <c r="P697" s="92"/>
      <c r="Q697" s="145"/>
      <c r="R697" s="92"/>
      <c r="S697" s="145"/>
      <c r="T697" s="92"/>
      <c r="U697" s="145"/>
      <c r="V697" s="92"/>
      <c r="W697" s="145"/>
      <c r="X697" s="92"/>
      <c r="Y697" s="145"/>
      <c r="Z697" s="92"/>
      <c r="AA697" s="145"/>
      <c r="AB697" s="92"/>
      <c r="AC697" s="145"/>
      <c r="AD697" s="92"/>
      <c r="AE697" s="145"/>
      <c r="AF697" s="182" t="str">
        <f t="shared" si="36"/>
        <v/>
      </c>
      <c r="AG697" s="54" t="b">
        <f t="shared" si="37"/>
        <v>0</v>
      </c>
      <c r="AH697" s="145"/>
      <c r="AI697" s="192" t="s">
        <v>6</v>
      </c>
      <c r="AJ697" s="96">
        <f t="shared" si="38"/>
        <v>0</v>
      </c>
      <c r="AK697" s="193" t="s">
        <v>39</v>
      </c>
    </row>
    <row r="698" spans="1:37" ht="30" customHeight="1">
      <c r="A698" s="92"/>
      <c r="B698" s="92"/>
      <c r="C698" s="92"/>
      <c r="D698" s="92"/>
      <c r="E698" s="92"/>
      <c r="F698" s="92"/>
      <c r="G698" s="92"/>
      <c r="H698" s="92"/>
      <c r="I698" s="92"/>
      <c r="J698" s="92"/>
      <c r="K698" s="92"/>
      <c r="L698" s="92"/>
      <c r="M698" s="92"/>
      <c r="N698" s="155"/>
      <c r="O698" s="145"/>
      <c r="P698" s="92"/>
      <c r="Q698" s="145"/>
      <c r="R698" s="92"/>
      <c r="S698" s="145"/>
      <c r="T698" s="92"/>
      <c r="U698" s="145"/>
      <c r="V698" s="92"/>
      <c r="W698" s="145"/>
      <c r="X698" s="92"/>
      <c r="Y698" s="145"/>
      <c r="Z698" s="92"/>
      <c r="AA698" s="145"/>
      <c r="AB698" s="92"/>
      <c r="AC698" s="145"/>
      <c r="AD698" s="92"/>
      <c r="AE698" s="145"/>
      <c r="AF698" s="182" t="str">
        <f t="shared" si="36"/>
        <v/>
      </c>
      <c r="AG698" s="54" t="b">
        <f t="shared" si="37"/>
        <v>0</v>
      </c>
      <c r="AH698" s="145"/>
      <c r="AI698" s="192" t="s">
        <v>6</v>
      </c>
      <c r="AJ698" s="96">
        <f t="shared" si="38"/>
        <v>0</v>
      </c>
      <c r="AK698" s="193" t="s">
        <v>39</v>
      </c>
    </row>
    <row r="699" spans="1:37" ht="30" customHeight="1">
      <c r="A699" s="92"/>
      <c r="B699" s="92"/>
      <c r="C699" s="92"/>
      <c r="D699" s="92"/>
      <c r="E699" s="92"/>
      <c r="F699" s="92"/>
      <c r="G699" s="92"/>
      <c r="H699" s="92"/>
      <c r="I699" s="92"/>
      <c r="J699" s="92"/>
      <c r="K699" s="92"/>
      <c r="L699" s="92"/>
      <c r="M699" s="92"/>
      <c r="N699" s="155"/>
      <c r="O699" s="145"/>
      <c r="P699" s="92"/>
      <c r="Q699" s="145"/>
      <c r="R699" s="92"/>
      <c r="S699" s="145"/>
      <c r="T699" s="92"/>
      <c r="U699" s="145"/>
      <c r="V699" s="92"/>
      <c r="W699" s="145"/>
      <c r="X699" s="92"/>
      <c r="Y699" s="145"/>
      <c r="Z699" s="92"/>
      <c r="AA699" s="145"/>
      <c r="AB699" s="92"/>
      <c r="AC699" s="145"/>
      <c r="AD699" s="92"/>
      <c r="AE699" s="145"/>
      <c r="AF699" s="182" t="str">
        <f t="shared" si="36"/>
        <v/>
      </c>
      <c r="AG699" s="54" t="b">
        <f t="shared" si="37"/>
        <v>0</v>
      </c>
      <c r="AH699" s="145"/>
      <c r="AI699" s="192" t="s">
        <v>6</v>
      </c>
      <c r="AJ699" s="96">
        <f t="shared" si="38"/>
        <v>0</v>
      </c>
      <c r="AK699" s="193" t="s">
        <v>39</v>
      </c>
    </row>
    <row r="700" spans="1:37" ht="30" customHeight="1">
      <c r="A700" s="92"/>
      <c r="B700" s="92"/>
      <c r="C700" s="92"/>
      <c r="D700" s="92"/>
      <c r="E700" s="92"/>
      <c r="F700" s="92"/>
      <c r="G700" s="92"/>
      <c r="H700" s="92"/>
      <c r="I700" s="92"/>
      <c r="J700" s="92"/>
      <c r="K700" s="92"/>
      <c r="L700" s="92"/>
      <c r="M700" s="92"/>
      <c r="N700" s="155"/>
      <c r="O700" s="145"/>
      <c r="P700" s="92"/>
      <c r="Q700" s="145"/>
      <c r="R700" s="92"/>
      <c r="S700" s="145"/>
      <c r="T700" s="92"/>
      <c r="U700" s="145"/>
      <c r="V700" s="92"/>
      <c r="W700" s="145"/>
      <c r="X700" s="92"/>
      <c r="Y700" s="145"/>
      <c r="Z700" s="92"/>
      <c r="AA700" s="145"/>
      <c r="AB700" s="92"/>
      <c r="AC700" s="145"/>
      <c r="AD700" s="92"/>
      <c r="AE700" s="145"/>
      <c r="AF700" s="182" t="str">
        <f t="shared" si="36"/>
        <v/>
      </c>
      <c r="AG700" s="54" t="b">
        <f t="shared" si="37"/>
        <v>0</v>
      </c>
      <c r="AH700" s="145"/>
      <c r="AI700" s="192" t="s">
        <v>6</v>
      </c>
      <c r="AJ700" s="96">
        <f t="shared" si="38"/>
        <v>0</v>
      </c>
      <c r="AK700" s="193" t="s">
        <v>39</v>
      </c>
    </row>
    <row r="701" spans="1:37" ht="30" customHeight="1">
      <c r="A701" s="92"/>
      <c r="B701" s="92"/>
      <c r="C701" s="92"/>
      <c r="D701" s="92"/>
      <c r="E701" s="92"/>
      <c r="F701" s="92"/>
      <c r="G701" s="92"/>
      <c r="H701" s="92"/>
      <c r="I701" s="92"/>
      <c r="J701" s="92"/>
      <c r="K701" s="92"/>
      <c r="L701" s="92"/>
      <c r="M701" s="92"/>
      <c r="N701" s="155"/>
      <c r="O701" s="145"/>
      <c r="P701" s="92"/>
      <c r="Q701" s="145"/>
      <c r="R701" s="92"/>
      <c r="S701" s="145"/>
      <c r="T701" s="92"/>
      <c r="U701" s="145"/>
      <c r="V701" s="92"/>
      <c r="W701" s="145"/>
      <c r="X701" s="92"/>
      <c r="Y701" s="145"/>
      <c r="Z701" s="92"/>
      <c r="AA701" s="145"/>
      <c r="AB701" s="92"/>
      <c r="AC701" s="145"/>
      <c r="AD701" s="92"/>
      <c r="AE701" s="145"/>
      <c r="AF701" s="182" t="str">
        <f t="shared" si="36"/>
        <v/>
      </c>
      <c r="AG701" s="54" t="b">
        <f t="shared" si="37"/>
        <v>0</v>
      </c>
      <c r="AH701" s="145"/>
      <c r="AI701" s="192" t="s">
        <v>6</v>
      </c>
      <c r="AJ701" s="96">
        <f t="shared" si="38"/>
        <v>0</v>
      </c>
      <c r="AK701" s="193" t="s">
        <v>39</v>
      </c>
    </row>
    <row r="702" spans="1:37" ht="30" customHeight="1">
      <c r="A702" s="92"/>
      <c r="B702" s="92"/>
      <c r="C702" s="92"/>
      <c r="D702" s="92"/>
      <c r="E702" s="92"/>
      <c r="F702" s="92"/>
      <c r="G702" s="92"/>
      <c r="H702" s="92"/>
      <c r="I702" s="92"/>
      <c r="J702" s="92"/>
      <c r="K702" s="92"/>
      <c r="L702" s="92"/>
      <c r="M702" s="92"/>
      <c r="N702" s="155"/>
      <c r="O702" s="145"/>
      <c r="P702" s="92"/>
      <c r="Q702" s="145"/>
      <c r="R702" s="92"/>
      <c r="S702" s="145"/>
      <c r="T702" s="92"/>
      <c r="U702" s="145"/>
      <c r="V702" s="92"/>
      <c r="W702" s="145"/>
      <c r="X702" s="92"/>
      <c r="Y702" s="145"/>
      <c r="Z702" s="92"/>
      <c r="AA702" s="145"/>
      <c r="AB702" s="92"/>
      <c r="AC702" s="145"/>
      <c r="AD702" s="92"/>
      <c r="AE702" s="145"/>
      <c r="AF702" s="182" t="str">
        <f t="shared" si="36"/>
        <v/>
      </c>
      <c r="AG702" s="54" t="b">
        <f t="shared" si="37"/>
        <v>0</v>
      </c>
      <c r="AH702" s="145"/>
      <c r="AI702" s="192" t="s">
        <v>6</v>
      </c>
      <c r="AJ702" s="96">
        <f t="shared" si="38"/>
        <v>0</v>
      </c>
      <c r="AK702" s="193" t="s">
        <v>39</v>
      </c>
    </row>
    <row r="703" spans="1:37" ht="30" customHeight="1">
      <c r="A703" s="92"/>
      <c r="B703" s="92"/>
      <c r="C703" s="92"/>
      <c r="D703" s="92"/>
      <c r="E703" s="92"/>
      <c r="F703" s="92"/>
      <c r="G703" s="92"/>
      <c r="H703" s="92"/>
      <c r="I703" s="92"/>
      <c r="J703" s="92"/>
      <c r="K703" s="92"/>
      <c r="L703" s="92"/>
      <c r="M703" s="92"/>
      <c r="N703" s="155"/>
      <c r="O703" s="145"/>
      <c r="P703" s="92"/>
      <c r="Q703" s="145"/>
      <c r="R703" s="92"/>
      <c r="S703" s="145"/>
      <c r="T703" s="92"/>
      <c r="U703" s="145"/>
      <c r="V703" s="92"/>
      <c r="W703" s="145"/>
      <c r="X703" s="92"/>
      <c r="Y703" s="145"/>
      <c r="Z703" s="92"/>
      <c r="AA703" s="145"/>
      <c r="AB703" s="92"/>
      <c r="AC703" s="145"/>
      <c r="AD703" s="92"/>
      <c r="AE703" s="145"/>
      <c r="AF703" s="182" t="str">
        <f t="shared" si="36"/>
        <v/>
      </c>
      <c r="AG703" s="54" t="b">
        <f t="shared" si="37"/>
        <v>0</v>
      </c>
      <c r="AH703" s="145"/>
      <c r="AI703" s="192" t="s">
        <v>6</v>
      </c>
      <c r="AJ703" s="96">
        <f t="shared" si="38"/>
        <v>0</v>
      </c>
      <c r="AK703" s="193" t="s">
        <v>39</v>
      </c>
    </row>
    <row r="704" spans="1:37" ht="30" customHeight="1">
      <c r="A704" s="92"/>
      <c r="B704" s="92"/>
      <c r="C704" s="92"/>
      <c r="D704" s="92"/>
      <c r="E704" s="92"/>
      <c r="F704" s="92"/>
      <c r="G704" s="92"/>
      <c r="H704" s="92"/>
      <c r="I704" s="92"/>
      <c r="J704" s="92"/>
      <c r="K704" s="92"/>
      <c r="L704" s="92"/>
      <c r="M704" s="92"/>
      <c r="N704" s="155"/>
      <c r="O704" s="145"/>
      <c r="P704" s="92"/>
      <c r="Q704" s="145"/>
      <c r="R704" s="92"/>
      <c r="S704" s="145"/>
      <c r="T704" s="92"/>
      <c r="U704" s="145"/>
      <c r="V704" s="92"/>
      <c r="W704" s="145"/>
      <c r="X704" s="92"/>
      <c r="Y704" s="145"/>
      <c r="Z704" s="92"/>
      <c r="AA704" s="145"/>
      <c r="AB704" s="92"/>
      <c r="AC704" s="145"/>
      <c r="AD704" s="92"/>
      <c r="AE704" s="145"/>
      <c r="AF704" s="182" t="str">
        <f t="shared" si="36"/>
        <v/>
      </c>
      <c r="AG704" s="54" t="b">
        <f t="shared" si="37"/>
        <v>0</v>
      </c>
      <c r="AH704" s="145"/>
      <c r="AI704" s="192" t="s">
        <v>6</v>
      </c>
      <c r="AJ704" s="96">
        <f t="shared" si="38"/>
        <v>0</v>
      </c>
      <c r="AK704" s="193" t="s">
        <v>39</v>
      </c>
    </row>
    <row r="705" spans="1:37" ht="30" customHeight="1">
      <c r="A705" s="92"/>
      <c r="B705" s="92"/>
      <c r="C705" s="92"/>
      <c r="D705" s="92"/>
      <c r="E705" s="92"/>
      <c r="F705" s="92"/>
      <c r="G705" s="92"/>
      <c r="H705" s="92"/>
      <c r="I705" s="92"/>
      <c r="J705" s="92"/>
      <c r="K705" s="92"/>
      <c r="L705" s="92"/>
      <c r="M705" s="92"/>
      <c r="N705" s="155"/>
      <c r="O705" s="145"/>
      <c r="P705" s="92"/>
      <c r="Q705" s="145"/>
      <c r="R705" s="92"/>
      <c r="S705" s="145"/>
      <c r="T705" s="92"/>
      <c r="U705" s="145"/>
      <c r="V705" s="92"/>
      <c r="W705" s="145"/>
      <c r="X705" s="92"/>
      <c r="Y705" s="145"/>
      <c r="Z705" s="92"/>
      <c r="AA705" s="145"/>
      <c r="AB705" s="92"/>
      <c r="AC705" s="145"/>
      <c r="AD705" s="92"/>
      <c r="AE705" s="145"/>
      <c r="AF705" s="182" t="str">
        <f t="shared" si="36"/>
        <v/>
      </c>
      <c r="AG705" s="54" t="b">
        <f t="shared" si="37"/>
        <v>0</v>
      </c>
      <c r="AH705" s="145"/>
      <c r="AI705" s="192" t="s">
        <v>6</v>
      </c>
      <c r="AJ705" s="96">
        <f t="shared" si="38"/>
        <v>0</v>
      </c>
      <c r="AK705" s="193" t="s">
        <v>39</v>
      </c>
    </row>
    <row r="706" spans="1:37" ht="30" customHeight="1">
      <c r="A706" s="92"/>
      <c r="B706" s="92"/>
      <c r="C706" s="92"/>
      <c r="D706" s="92"/>
      <c r="E706" s="92"/>
      <c r="F706" s="92"/>
      <c r="G706" s="92"/>
      <c r="H706" s="92"/>
      <c r="I706" s="92"/>
      <c r="J706" s="92"/>
      <c r="K706" s="92"/>
      <c r="L706" s="92"/>
      <c r="M706" s="92"/>
      <c r="N706" s="155"/>
      <c r="O706" s="145"/>
      <c r="P706" s="92"/>
      <c r="Q706" s="145"/>
      <c r="R706" s="92"/>
      <c r="S706" s="145"/>
      <c r="T706" s="92"/>
      <c r="U706" s="145"/>
      <c r="V706" s="92"/>
      <c r="W706" s="145"/>
      <c r="X706" s="92"/>
      <c r="Y706" s="145"/>
      <c r="Z706" s="92"/>
      <c r="AA706" s="145"/>
      <c r="AB706" s="92"/>
      <c r="AC706" s="145"/>
      <c r="AD706" s="92"/>
      <c r="AE706" s="145"/>
      <c r="AF706" s="182" t="str">
        <f t="shared" si="36"/>
        <v/>
      </c>
      <c r="AG706" s="54" t="b">
        <f t="shared" si="37"/>
        <v>0</v>
      </c>
      <c r="AH706" s="145"/>
      <c r="AI706" s="192" t="s">
        <v>6</v>
      </c>
      <c r="AJ706" s="96">
        <f t="shared" si="38"/>
        <v>0</v>
      </c>
      <c r="AK706" s="193" t="s">
        <v>39</v>
      </c>
    </row>
    <row r="707" spans="1:37" ht="30" customHeight="1">
      <c r="A707" s="92"/>
      <c r="B707" s="92"/>
      <c r="C707" s="92"/>
      <c r="D707" s="92"/>
      <c r="E707" s="92"/>
      <c r="F707" s="92"/>
      <c r="G707" s="92"/>
      <c r="H707" s="92"/>
      <c r="I707" s="92"/>
      <c r="J707" s="92"/>
      <c r="K707" s="92"/>
      <c r="L707" s="92"/>
      <c r="M707" s="92"/>
      <c r="N707" s="155"/>
      <c r="O707" s="145"/>
      <c r="P707" s="92"/>
      <c r="Q707" s="145"/>
      <c r="R707" s="92"/>
      <c r="S707" s="145"/>
      <c r="T707" s="92"/>
      <c r="U707" s="145"/>
      <c r="V707" s="92"/>
      <c r="W707" s="145"/>
      <c r="X707" s="92"/>
      <c r="Y707" s="145"/>
      <c r="Z707" s="92"/>
      <c r="AA707" s="145"/>
      <c r="AB707" s="92"/>
      <c r="AC707" s="145"/>
      <c r="AD707" s="92"/>
      <c r="AE707" s="145"/>
      <c r="AF707" s="182" t="str">
        <f t="shared" si="36"/>
        <v/>
      </c>
      <c r="AG707" s="54" t="b">
        <f t="shared" si="37"/>
        <v>0</v>
      </c>
      <c r="AH707" s="145"/>
      <c r="AI707" s="192" t="s">
        <v>6</v>
      </c>
      <c r="AJ707" s="96">
        <f t="shared" si="38"/>
        <v>0</v>
      </c>
      <c r="AK707" s="193" t="s">
        <v>39</v>
      </c>
    </row>
    <row r="708" spans="1:37" ht="30" customHeight="1">
      <c r="A708" s="92"/>
      <c r="B708" s="92"/>
      <c r="C708" s="92"/>
      <c r="D708" s="92"/>
      <c r="E708" s="92"/>
      <c r="F708" s="92"/>
      <c r="G708" s="92"/>
      <c r="H708" s="92"/>
      <c r="I708" s="92"/>
      <c r="J708" s="92"/>
      <c r="K708" s="92"/>
      <c r="L708" s="92"/>
      <c r="M708" s="92"/>
      <c r="N708" s="155"/>
      <c r="O708" s="145"/>
      <c r="P708" s="92"/>
      <c r="Q708" s="145"/>
      <c r="R708" s="92"/>
      <c r="S708" s="145"/>
      <c r="T708" s="92"/>
      <c r="U708" s="145"/>
      <c r="V708" s="92"/>
      <c r="W708" s="145"/>
      <c r="X708" s="92"/>
      <c r="Y708" s="145"/>
      <c r="Z708" s="92"/>
      <c r="AA708" s="145"/>
      <c r="AB708" s="92"/>
      <c r="AC708" s="145"/>
      <c r="AD708" s="92"/>
      <c r="AE708" s="145"/>
      <c r="AF708" s="182" t="str">
        <f t="shared" si="36"/>
        <v/>
      </c>
      <c r="AG708" s="54" t="b">
        <f t="shared" si="37"/>
        <v>0</v>
      </c>
      <c r="AH708" s="145"/>
      <c r="AI708" s="192" t="s">
        <v>6</v>
      </c>
      <c r="AJ708" s="96">
        <f t="shared" si="38"/>
        <v>0</v>
      </c>
      <c r="AK708" s="193" t="s">
        <v>39</v>
      </c>
    </row>
    <row r="709" spans="1:37" ht="30" customHeight="1">
      <c r="A709" s="92"/>
      <c r="B709" s="92"/>
      <c r="C709" s="92"/>
      <c r="D709" s="92"/>
      <c r="E709" s="92"/>
      <c r="F709" s="92"/>
      <c r="G709" s="92"/>
      <c r="H709" s="92"/>
      <c r="I709" s="92"/>
      <c r="J709" s="92"/>
      <c r="K709" s="92"/>
      <c r="L709" s="92"/>
      <c r="M709" s="92"/>
      <c r="N709" s="155"/>
      <c r="O709" s="145"/>
      <c r="P709" s="92"/>
      <c r="Q709" s="145"/>
      <c r="R709" s="92"/>
      <c r="S709" s="145"/>
      <c r="T709" s="92"/>
      <c r="U709" s="145"/>
      <c r="V709" s="92"/>
      <c r="W709" s="145"/>
      <c r="X709" s="92"/>
      <c r="Y709" s="145"/>
      <c r="Z709" s="92"/>
      <c r="AA709" s="145"/>
      <c r="AB709" s="92"/>
      <c r="AC709" s="145"/>
      <c r="AD709" s="92"/>
      <c r="AE709" s="145"/>
      <c r="AF709" s="182" t="str">
        <f t="shared" si="36"/>
        <v/>
      </c>
      <c r="AG709" s="54" t="b">
        <f t="shared" si="37"/>
        <v>0</v>
      </c>
      <c r="AH709" s="145"/>
      <c r="AI709" s="192" t="s">
        <v>6</v>
      </c>
      <c r="AJ709" s="96">
        <f t="shared" si="38"/>
        <v>0</v>
      </c>
      <c r="AK709" s="193" t="s">
        <v>39</v>
      </c>
    </row>
    <row r="710" spans="1:37" ht="30" customHeight="1">
      <c r="A710" s="92"/>
      <c r="B710" s="92"/>
      <c r="C710" s="92"/>
      <c r="D710" s="92"/>
      <c r="E710" s="92"/>
      <c r="F710" s="92"/>
      <c r="G710" s="92"/>
      <c r="H710" s="92"/>
      <c r="I710" s="92"/>
      <c r="J710" s="92"/>
      <c r="K710" s="92"/>
      <c r="L710" s="92"/>
      <c r="M710" s="92"/>
      <c r="N710" s="155"/>
      <c r="O710" s="145"/>
      <c r="P710" s="92"/>
      <c r="Q710" s="145"/>
      <c r="R710" s="92"/>
      <c r="S710" s="145"/>
      <c r="T710" s="92"/>
      <c r="U710" s="145"/>
      <c r="V710" s="92"/>
      <c r="W710" s="145"/>
      <c r="X710" s="92"/>
      <c r="Y710" s="145"/>
      <c r="Z710" s="92"/>
      <c r="AA710" s="145"/>
      <c r="AB710" s="92"/>
      <c r="AC710" s="145"/>
      <c r="AD710" s="92"/>
      <c r="AE710" s="145"/>
      <c r="AF710" s="182" t="str">
        <f t="shared" si="36"/>
        <v/>
      </c>
      <c r="AG710" s="54" t="b">
        <f t="shared" si="37"/>
        <v>0</v>
      </c>
      <c r="AH710" s="145"/>
      <c r="AI710" s="192" t="s">
        <v>6</v>
      </c>
      <c r="AJ710" s="96">
        <f t="shared" si="38"/>
        <v>0</v>
      </c>
      <c r="AK710" s="193" t="s">
        <v>39</v>
      </c>
    </row>
    <row r="711" spans="1:37" ht="30" customHeight="1">
      <c r="A711" s="92"/>
      <c r="B711" s="92"/>
      <c r="C711" s="92"/>
      <c r="D711" s="92"/>
      <c r="E711" s="92"/>
      <c r="F711" s="92"/>
      <c r="G711" s="92"/>
      <c r="H711" s="92"/>
      <c r="I711" s="92"/>
      <c r="J711" s="92"/>
      <c r="K711" s="92"/>
      <c r="L711" s="92"/>
      <c r="M711" s="92"/>
      <c r="N711" s="155"/>
      <c r="O711" s="145"/>
      <c r="P711" s="92"/>
      <c r="Q711" s="145"/>
      <c r="R711" s="92"/>
      <c r="S711" s="145"/>
      <c r="T711" s="92"/>
      <c r="U711" s="145"/>
      <c r="V711" s="92"/>
      <c r="W711" s="145"/>
      <c r="X711" s="92"/>
      <c r="Y711" s="145"/>
      <c r="Z711" s="92"/>
      <c r="AA711" s="145"/>
      <c r="AB711" s="92"/>
      <c r="AC711" s="145"/>
      <c r="AD711" s="92"/>
      <c r="AE711" s="145"/>
      <c r="AF711" s="182" t="str">
        <f t="shared" si="36"/>
        <v/>
      </c>
      <c r="AG711" s="54" t="b">
        <f t="shared" si="37"/>
        <v>0</v>
      </c>
      <c r="AH711" s="145"/>
      <c r="AI711" s="192" t="s">
        <v>6</v>
      </c>
      <c r="AJ711" s="96">
        <f t="shared" si="38"/>
        <v>0</v>
      </c>
      <c r="AK711" s="193" t="s">
        <v>39</v>
      </c>
    </row>
    <row r="712" spans="1:37" ht="30" customHeight="1">
      <c r="A712" s="92"/>
      <c r="B712" s="92"/>
      <c r="C712" s="92"/>
      <c r="D712" s="92"/>
      <c r="E712" s="92"/>
      <c r="F712" s="92"/>
      <c r="G712" s="92"/>
      <c r="H712" s="92"/>
      <c r="I712" s="92"/>
      <c r="J712" s="92"/>
      <c r="K712" s="92"/>
      <c r="L712" s="92"/>
      <c r="M712" s="92"/>
      <c r="N712" s="155"/>
      <c r="O712" s="145"/>
      <c r="P712" s="92"/>
      <c r="Q712" s="145"/>
      <c r="R712" s="92"/>
      <c r="S712" s="145"/>
      <c r="T712" s="92"/>
      <c r="U712" s="145"/>
      <c r="V712" s="92"/>
      <c r="W712" s="145"/>
      <c r="X712" s="92"/>
      <c r="Y712" s="145"/>
      <c r="Z712" s="92"/>
      <c r="AA712" s="145"/>
      <c r="AB712" s="92"/>
      <c r="AC712" s="145"/>
      <c r="AD712" s="92"/>
      <c r="AE712" s="145"/>
      <c r="AF712" s="182" t="str">
        <f t="shared" si="36"/>
        <v/>
      </c>
      <c r="AG712" s="54" t="b">
        <f t="shared" si="37"/>
        <v>0</v>
      </c>
      <c r="AH712" s="145"/>
      <c r="AI712" s="192" t="s">
        <v>6</v>
      </c>
      <c r="AJ712" s="96">
        <f t="shared" si="38"/>
        <v>0</v>
      </c>
      <c r="AK712" s="193" t="s">
        <v>39</v>
      </c>
    </row>
    <row r="713" spans="1:37" ht="30" customHeight="1">
      <c r="A713" s="92"/>
      <c r="B713" s="92"/>
      <c r="C713" s="92"/>
      <c r="D713" s="92"/>
      <c r="E713" s="92"/>
      <c r="F713" s="92"/>
      <c r="G713" s="92"/>
      <c r="H713" s="92"/>
      <c r="I713" s="92"/>
      <c r="J713" s="92"/>
      <c r="K713" s="92"/>
      <c r="L713" s="92"/>
      <c r="M713" s="92"/>
      <c r="N713" s="155"/>
      <c r="O713" s="145"/>
      <c r="P713" s="92"/>
      <c r="Q713" s="145"/>
      <c r="R713" s="92"/>
      <c r="S713" s="145"/>
      <c r="T713" s="92"/>
      <c r="U713" s="145"/>
      <c r="V713" s="92"/>
      <c r="W713" s="145"/>
      <c r="X713" s="92"/>
      <c r="Y713" s="145"/>
      <c r="Z713" s="92"/>
      <c r="AA713" s="145"/>
      <c r="AB713" s="92"/>
      <c r="AC713" s="145"/>
      <c r="AD713" s="92"/>
      <c r="AE713" s="145"/>
      <c r="AF713" s="182" t="str">
        <f t="shared" si="36"/>
        <v/>
      </c>
      <c r="AG713" s="54" t="b">
        <f t="shared" si="37"/>
        <v>0</v>
      </c>
      <c r="AH713" s="145"/>
      <c r="AI713" s="192" t="s">
        <v>6</v>
      </c>
      <c r="AJ713" s="96">
        <f t="shared" si="38"/>
        <v>0</v>
      </c>
      <c r="AK713" s="193" t="s">
        <v>39</v>
      </c>
    </row>
    <row r="714" spans="1:37" ht="30" customHeight="1">
      <c r="A714" s="92"/>
      <c r="B714" s="92"/>
      <c r="C714" s="92"/>
      <c r="D714" s="92"/>
      <c r="E714" s="92"/>
      <c r="F714" s="92"/>
      <c r="G714" s="92"/>
      <c r="H714" s="92"/>
      <c r="I714" s="92"/>
      <c r="J714" s="92"/>
      <c r="K714" s="92"/>
      <c r="L714" s="92"/>
      <c r="M714" s="92"/>
      <c r="N714" s="155"/>
      <c r="O714" s="145"/>
      <c r="P714" s="92"/>
      <c r="Q714" s="145"/>
      <c r="R714" s="92"/>
      <c r="S714" s="145"/>
      <c r="T714" s="92"/>
      <c r="U714" s="145"/>
      <c r="V714" s="92"/>
      <c r="W714" s="145"/>
      <c r="X714" s="92"/>
      <c r="Y714" s="145"/>
      <c r="Z714" s="92"/>
      <c r="AA714" s="145"/>
      <c r="AB714" s="92"/>
      <c r="AC714" s="145"/>
      <c r="AD714" s="92"/>
      <c r="AE714" s="145"/>
      <c r="AF714" s="182" t="str">
        <f t="shared" si="36"/>
        <v/>
      </c>
      <c r="AG714" s="54" t="b">
        <f t="shared" si="37"/>
        <v>0</v>
      </c>
      <c r="AH714" s="145"/>
      <c r="AI714" s="192" t="s">
        <v>6</v>
      </c>
      <c r="AJ714" s="96">
        <f t="shared" si="38"/>
        <v>0</v>
      </c>
      <c r="AK714" s="193" t="s">
        <v>39</v>
      </c>
    </row>
    <row r="715" spans="1:37" ht="30" customHeight="1">
      <c r="A715" s="92"/>
      <c r="B715" s="92"/>
      <c r="C715" s="92"/>
      <c r="D715" s="92"/>
      <c r="E715" s="92"/>
      <c r="F715" s="92"/>
      <c r="G715" s="92"/>
      <c r="H715" s="92"/>
      <c r="I715" s="92"/>
      <c r="J715" s="92"/>
      <c r="K715" s="92"/>
      <c r="L715" s="92"/>
      <c r="M715" s="92"/>
      <c r="N715" s="155"/>
      <c r="O715" s="145"/>
      <c r="P715" s="92"/>
      <c r="Q715" s="145"/>
      <c r="R715" s="92"/>
      <c r="S715" s="145"/>
      <c r="T715" s="92"/>
      <c r="U715" s="145"/>
      <c r="V715" s="92"/>
      <c r="W715" s="145"/>
      <c r="X715" s="92"/>
      <c r="Y715" s="145"/>
      <c r="Z715" s="92"/>
      <c r="AA715" s="145"/>
      <c r="AB715" s="92"/>
      <c r="AC715" s="145"/>
      <c r="AD715" s="92"/>
      <c r="AE715" s="145"/>
      <c r="AF715" s="182" t="str">
        <f t="shared" si="36"/>
        <v/>
      </c>
      <c r="AG715" s="54" t="b">
        <f t="shared" si="37"/>
        <v>0</v>
      </c>
      <c r="AH715" s="145"/>
      <c r="AI715" s="192" t="s">
        <v>6</v>
      </c>
      <c r="AJ715" s="96">
        <f t="shared" si="38"/>
        <v>0</v>
      </c>
      <c r="AK715" s="193" t="s">
        <v>39</v>
      </c>
    </row>
    <row r="716" spans="1:37" ht="30" customHeight="1">
      <c r="A716" s="92"/>
      <c r="B716" s="92"/>
      <c r="C716" s="92"/>
      <c r="D716" s="92"/>
      <c r="E716" s="92"/>
      <c r="F716" s="92"/>
      <c r="G716" s="92"/>
      <c r="H716" s="92"/>
      <c r="I716" s="92"/>
      <c r="J716" s="92"/>
      <c r="K716" s="92"/>
      <c r="L716" s="92"/>
      <c r="M716" s="92"/>
      <c r="N716" s="155"/>
      <c r="O716" s="145"/>
      <c r="P716" s="92"/>
      <c r="Q716" s="145"/>
      <c r="R716" s="92"/>
      <c r="S716" s="145"/>
      <c r="T716" s="92"/>
      <c r="U716" s="145"/>
      <c r="V716" s="92"/>
      <c r="W716" s="145"/>
      <c r="X716" s="92"/>
      <c r="Y716" s="145"/>
      <c r="Z716" s="92"/>
      <c r="AA716" s="145"/>
      <c r="AB716" s="92"/>
      <c r="AC716" s="145"/>
      <c r="AD716" s="92"/>
      <c r="AE716" s="145"/>
      <c r="AF716" s="182" t="str">
        <f t="shared" si="36"/>
        <v/>
      </c>
      <c r="AG716" s="54" t="b">
        <f t="shared" si="37"/>
        <v>0</v>
      </c>
      <c r="AH716" s="145"/>
      <c r="AI716" s="192" t="s">
        <v>6</v>
      </c>
      <c r="AJ716" s="96">
        <f t="shared" si="38"/>
        <v>0</v>
      </c>
      <c r="AK716" s="193" t="s">
        <v>39</v>
      </c>
    </row>
    <row r="717" spans="1:37" ht="30" customHeight="1">
      <c r="A717" s="92"/>
      <c r="B717" s="92"/>
      <c r="C717" s="92"/>
      <c r="D717" s="92"/>
      <c r="E717" s="92"/>
      <c r="F717" s="92"/>
      <c r="G717" s="92"/>
      <c r="H717" s="92"/>
      <c r="I717" s="92"/>
      <c r="J717" s="92"/>
      <c r="K717" s="92"/>
      <c r="L717" s="92"/>
      <c r="M717" s="92"/>
      <c r="N717" s="155"/>
      <c r="O717" s="145"/>
      <c r="P717" s="92"/>
      <c r="Q717" s="145"/>
      <c r="R717" s="92"/>
      <c r="S717" s="145"/>
      <c r="T717" s="92"/>
      <c r="U717" s="145"/>
      <c r="V717" s="92"/>
      <c r="W717" s="145"/>
      <c r="X717" s="92"/>
      <c r="Y717" s="145"/>
      <c r="Z717" s="92"/>
      <c r="AA717" s="145"/>
      <c r="AB717" s="92"/>
      <c r="AC717" s="145"/>
      <c r="AD717" s="92"/>
      <c r="AE717" s="145"/>
      <c r="AF717" s="182" t="str">
        <f t="shared" si="36"/>
        <v/>
      </c>
      <c r="AG717" s="54" t="b">
        <f t="shared" si="37"/>
        <v>0</v>
      </c>
      <c r="AH717" s="145"/>
      <c r="AI717" s="192" t="s">
        <v>6</v>
      </c>
      <c r="AJ717" s="96">
        <f t="shared" si="38"/>
        <v>0</v>
      </c>
      <c r="AK717" s="193" t="s">
        <v>39</v>
      </c>
    </row>
    <row r="718" spans="1:37" ht="30" customHeight="1">
      <c r="A718" s="92"/>
      <c r="B718" s="92"/>
      <c r="C718" s="92"/>
      <c r="D718" s="92"/>
      <c r="E718" s="92"/>
      <c r="F718" s="92"/>
      <c r="G718" s="92"/>
      <c r="H718" s="92"/>
      <c r="I718" s="92"/>
      <c r="J718" s="92"/>
      <c r="K718" s="92"/>
      <c r="L718" s="92"/>
      <c r="M718" s="92"/>
      <c r="N718" s="155"/>
      <c r="O718" s="145"/>
      <c r="P718" s="92"/>
      <c r="Q718" s="145"/>
      <c r="R718" s="92"/>
      <c r="S718" s="145"/>
      <c r="T718" s="92"/>
      <c r="U718" s="145"/>
      <c r="V718" s="92"/>
      <c r="W718" s="145"/>
      <c r="X718" s="92"/>
      <c r="Y718" s="145"/>
      <c r="Z718" s="92"/>
      <c r="AA718" s="145"/>
      <c r="AB718" s="92"/>
      <c r="AC718" s="145"/>
      <c r="AD718" s="92"/>
      <c r="AE718" s="145"/>
      <c r="AF718" s="182" t="str">
        <f t="shared" si="36"/>
        <v/>
      </c>
      <c r="AG718" s="54" t="b">
        <f t="shared" si="37"/>
        <v>0</v>
      </c>
      <c r="AH718" s="145"/>
      <c r="AI718" s="192" t="s">
        <v>6</v>
      </c>
      <c r="AJ718" s="96">
        <f t="shared" si="38"/>
        <v>0</v>
      </c>
      <c r="AK718" s="193" t="s">
        <v>39</v>
      </c>
    </row>
    <row r="719" spans="1:37" ht="30" customHeight="1">
      <c r="A719" s="92"/>
      <c r="B719" s="92"/>
      <c r="C719" s="92"/>
      <c r="D719" s="92"/>
      <c r="E719" s="92"/>
      <c r="F719" s="92"/>
      <c r="G719" s="92"/>
      <c r="H719" s="92"/>
      <c r="I719" s="92"/>
      <c r="J719" s="92"/>
      <c r="K719" s="92"/>
      <c r="L719" s="92"/>
      <c r="M719" s="92"/>
      <c r="N719" s="155"/>
      <c r="O719" s="145"/>
      <c r="P719" s="92"/>
      <c r="Q719" s="145"/>
      <c r="R719" s="92"/>
      <c r="S719" s="145"/>
      <c r="T719" s="92"/>
      <c r="U719" s="145"/>
      <c r="V719" s="92"/>
      <c r="W719" s="145"/>
      <c r="X719" s="92"/>
      <c r="Y719" s="145"/>
      <c r="Z719" s="92"/>
      <c r="AA719" s="145"/>
      <c r="AB719" s="92"/>
      <c r="AC719" s="145"/>
      <c r="AD719" s="92"/>
      <c r="AE719" s="145"/>
      <c r="AF719" s="182" t="str">
        <f t="shared" si="36"/>
        <v/>
      </c>
      <c r="AG719" s="54" t="b">
        <f t="shared" si="37"/>
        <v>0</v>
      </c>
      <c r="AH719" s="145"/>
      <c r="AI719" s="192" t="s">
        <v>6</v>
      </c>
      <c r="AJ719" s="96">
        <f t="shared" si="38"/>
        <v>0</v>
      </c>
      <c r="AK719" s="193" t="s">
        <v>39</v>
      </c>
    </row>
    <row r="720" spans="1:37" ht="30" customHeight="1">
      <c r="A720" s="92"/>
      <c r="B720" s="92"/>
      <c r="C720" s="92"/>
      <c r="D720" s="92"/>
      <c r="E720" s="92"/>
      <c r="F720" s="92"/>
      <c r="G720" s="92"/>
      <c r="H720" s="92"/>
      <c r="I720" s="92"/>
      <c r="J720" s="92"/>
      <c r="K720" s="92"/>
      <c r="L720" s="92"/>
      <c r="M720" s="92"/>
      <c r="N720" s="155"/>
      <c r="O720" s="145"/>
      <c r="P720" s="92"/>
      <c r="Q720" s="145"/>
      <c r="R720" s="92"/>
      <c r="S720" s="145"/>
      <c r="T720" s="92"/>
      <c r="U720" s="145"/>
      <c r="V720" s="92"/>
      <c r="W720" s="145"/>
      <c r="X720" s="92"/>
      <c r="Y720" s="145"/>
      <c r="Z720" s="92"/>
      <c r="AA720" s="145"/>
      <c r="AB720" s="92"/>
      <c r="AC720" s="145"/>
      <c r="AD720" s="92"/>
      <c r="AE720" s="145"/>
      <c r="AF720" s="182" t="str">
        <f t="shared" si="36"/>
        <v/>
      </c>
      <c r="AG720" s="54" t="b">
        <f t="shared" si="37"/>
        <v>0</v>
      </c>
      <c r="AH720" s="145"/>
      <c r="AI720" s="192" t="s">
        <v>6</v>
      </c>
      <c r="AJ720" s="96">
        <f t="shared" si="38"/>
        <v>0</v>
      </c>
      <c r="AK720" s="193" t="s">
        <v>39</v>
      </c>
    </row>
    <row r="721" spans="1:37" ht="30" customHeight="1">
      <c r="A721" s="92"/>
      <c r="B721" s="92"/>
      <c r="C721" s="92"/>
      <c r="D721" s="92"/>
      <c r="E721" s="92"/>
      <c r="F721" s="92"/>
      <c r="G721" s="92"/>
      <c r="H721" s="92"/>
      <c r="I721" s="92"/>
      <c r="J721" s="92"/>
      <c r="K721" s="92"/>
      <c r="L721" s="92"/>
      <c r="M721" s="92"/>
      <c r="N721" s="155"/>
      <c r="O721" s="145"/>
      <c r="P721" s="92"/>
      <c r="Q721" s="145"/>
      <c r="R721" s="92"/>
      <c r="S721" s="145"/>
      <c r="T721" s="92"/>
      <c r="U721" s="145"/>
      <c r="V721" s="92"/>
      <c r="W721" s="145"/>
      <c r="X721" s="92"/>
      <c r="Y721" s="145"/>
      <c r="Z721" s="92"/>
      <c r="AA721" s="145"/>
      <c r="AB721" s="92"/>
      <c r="AC721" s="145"/>
      <c r="AD721" s="92"/>
      <c r="AE721" s="145"/>
      <c r="AF721" s="182" t="str">
        <f t="shared" si="36"/>
        <v/>
      </c>
      <c r="AG721" s="54" t="b">
        <f t="shared" si="37"/>
        <v>0</v>
      </c>
      <c r="AH721" s="145"/>
      <c r="AI721" s="192" t="s">
        <v>6</v>
      </c>
      <c r="AJ721" s="96">
        <f t="shared" si="38"/>
        <v>0</v>
      </c>
      <c r="AK721" s="193" t="s">
        <v>39</v>
      </c>
    </row>
    <row r="722" spans="1:37" ht="30" customHeight="1">
      <c r="A722" s="92"/>
      <c r="B722" s="92"/>
      <c r="C722" s="92"/>
      <c r="D722" s="92"/>
      <c r="E722" s="92"/>
      <c r="F722" s="92"/>
      <c r="G722" s="92"/>
      <c r="H722" s="92"/>
      <c r="I722" s="92"/>
      <c r="J722" s="92"/>
      <c r="K722" s="92"/>
      <c r="L722" s="92"/>
      <c r="M722" s="92"/>
      <c r="N722" s="155"/>
      <c r="O722" s="145"/>
      <c r="P722" s="92"/>
      <c r="Q722" s="145"/>
      <c r="R722" s="92"/>
      <c r="S722" s="145"/>
      <c r="T722" s="92"/>
      <c r="U722" s="145"/>
      <c r="V722" s="92"/>
      <c r="W722" s="145"/>
      <c r="X722" s="92"/>
      <c r="Y722" s="145"/>
      <c r="Z722" s="92"/>
      <c r="AA722" s="145"/>
      <c r="AB722" s="92"/>
      <c r="AC722" s="145"/>
      <c r="AD722" s="92"/>
      <c r="AE722" s="145"/>
      <c r="AF722" s="182" t="str">
        <f t="shared" si="36"/>
        <v/>
      </c>
      <c r="AG722" s="54" t="b">
        <f t="shared" si="37"/>
        <v>0</v>
      </c>
      <c r="AH722" s="145"/>
      <c r="AI722" s="192" t="s">
        <v>6</v>
      </c>
      <c r="AJ722" s="96">
        <f t="shared" si="38"/>
        <v>0</v>
      </c>
      <c r="AK722" s="193" t="s">
        <v>39</v>
      </c>
    </row>
    <row r="723" spans="1:37" ht="30" customHeight="1">
      <c r="A723" s="92"/>
      <c r="B723" s="92"/>
      <c r="C723" s="92"/>
      <c r="D723" s="92"/>
      <c r="E723" s="92"/>
      <c r="F723" s="92"/>
      <c r="G723" s="92"/>
      <c r="H723" s="92"/>
      <c r="I723" s="92"/>
      <c r="J723" s="92"/>
      <c r="K723" s="92"/>
      <c r="L723" s="92"/>
      <c r="M723" s="92"/>
      <c r="N723" s="155"/>
      <c r="O723" s="145"/>
      <c r="P723" s="92"/>
      <c r="Q723" s="145"/>
      <c r="R723" s="92"/>
      <c r="S723" s="145"/>
      <c r="T723" s="92"/>
      <c r="U723" s="145"/>
      <c r="V723" s="92"/>
      <c r="W723" s="145"/>
      <c r="X723" s="92"/>
      <c r="Y723" s="145"/>
      <c r="Z723" s="92"/>
      <c r="AA723" s="145"/>
      <c r="AB723" s="92"/>
      <c r="AC723" s="145"/>
      <c r="AD723" s="92"/>
      <c r="AE723" s="145"/>
      <c r="AF723" s="182" t="str">
        <f t="shared" si="36"/>
        <v/>
      </c>
      <c r="AG723" s="54" t="b">
        <f t="shared" si="37"/>
        <v>0</v>
      </c>
      <c r="AH723" s="145"/>
      <c r="AI723" s="192" t="s">
        <v>6</v>
      </c>
      <c r="AJ723" s="96">
        <f t="shared" si="38"/>
        <v>0</v>
      </c>
      <c r="AK723" s="193" t="s">
        <v>39</v>
      </c>
    </row>
    <row r="724" spans="1:37" ht="30" customHeight="1">
      <c r="A724" s="92"/>
      <c r="B724" s="92"/>
      <c r="C724" s="92"/>
      <c r="D724" s="92"/>
      <c r="E724" s="92"/>
      <c r="F724" s="92"/>
      <c r="G724" s="92"/>
      <c r="H724" s="92"/>
      <c r="I724" s="92"/>
      <c r="J724" s="92"/>
      <c r="K724" s="92"/>
      <c r="L724" s="92"/>
      <c r="M724" s="92"/>
      <c r="N724" s="155"/>
      <c r="O724" s="145"/>
      <c r="P724" s="92"/>
      <c r="Q724" s="145"/>
      <c r="R724" s="92"/>
      <c r="S724" s="145"/>
      <c r="T724" s="92"/>
      <c r="U724" s="145"/>
      <c r="V724" s="92"/>
      <c r="W724" s="145"/>
      <c r="X724" s="92"/>
      <c r="Y724" s="145"/>
      <c r="Z724" s="92"/>
      <c r="AA724" s="145"/>
      <c r="AB724" s="92"/>
      <c r="AC724" s="145"/>
      <c r="AD724" s="92"/>
      <c r="AE724" s="145"/>
      <c r="AF724" s="182" t="str">
        <f t="shared" si="36"/>
        <v/>
      </c>
      <c r="AG724" s="54" t="b">
        <f t="shared" si="37"/>
        <v>0</v>
      </c>
      <c r="AH724" s="145"/>
      <c r="AI724" s="192" t="s">
        <v>6</v>
      </c>
      <c r="AJ724" s="96">
        <f t="shared" si="38"/>
        <v>0</v>
      </c>
      <c r="AK724" s="193" t="s">
        <v>39</v>
      </c>
    </row>
    <row r="725" spans="1:37" ht="30" customHeight="1">
      <c r="A725" s="92"/>
      <c r="B725" s="92"/>
      <c r="C725" s="92"/>
      <c r="D725" s="92"/>
      <c r="E725" s="92"/>
      <c r="F725" s="92"/>
      <c r="G725" s="92"/>
      <c r="H725" s="92"/>
      <c r="I725" s="92"/>
      <c r="J725" s="92"/>
      <c r="K725" s="92"/>
      <c r="L725" s="92"/>
      <c r="M725" s="92"/>
      <c r="N725" s="155"/>
      <c r="O725" s="145"/>
      <c r="P725" s="92"/>
      <c r="Q725" s="145"/>
      <c r="R725" s="92"/>
      <c r="S725" s="145"/>
      <c r="T725" s="92"/>
      <c r="U725" s="145"/>
      <c r="V725" s="92"/>
      <c r="W725" s="145"/>
      <c r="X725" s="92"/>
      <c r="Y725" s="145"/>
      <c r="Z725" s="92"/>
      <c r="AA725" s="145"/>
      <c r="AB725" s="92"/>
      <c r="AC725" s="145"/>
      <c r="AD725" s="92"/>
      <c r="AE725" s="145"/>
      <c r="AF725" s="182" t="str">
        <f t="shared" si="36"/>
        <v/>
      </c>
      <c r="AG725" s="54" t="b">
        <f t="shared" si="37"/>
        <v>0</v>
      </c>
      <c r="AH725" s="145"/>
      <c r="AI725" s="192" t="s">
        <v>6</v>
      </c>
      <c r="AJ725" s="96">
        <f t="shared" si="38"/>
        <v>0</v>
      </c>
      <c r="AK725" s="193" t="s">
        <v>39</v>
      </c>
    </row>
    <row r="726" spans="1:37" ht="30" customHeight="1">
      <c r="A726" s="92"/>
      <c r="B726" s="92"/>
      <c r="C726" s="92"/>
      <c r="D726" s="92"/>
      <c r="E726" s="92"/>
      <c r="F726" s="92"/>
      <c r="G726" s="92"/>
      <c r="H726" s="92"/>
      <c r="I726" s="92"/>
      <c r="J726" s="92"/>
      <c r="K726" s="92"/>
      <c r="L726" s="92"/>
      <c r="M726" s="92"/>
      <c r="N726" s="155"/>
      <c r="O726" s="145"/>
      <c r="P726" s="92"/>
      <c r="Q726" s="145"/>
      <c r="R726" s="92"/>
      <c r="S726" s="145"/>
      <c r="T726" s="92"/>
      <c r="U726" s="145"/>
      <c r="V726" s="92"/>
      <c r="W726" s="145"/>
      <c r="X726" s="92"/>
      <c r="Y726" s="145"/>
      <c r="Z726" s="92"/>
      <c r="AA726" s="145"/>
      <c r="AB726" s="92"/>
      <c r="AC726" s="145"/>
      <c r="AD726" s="92"/>
      <c r="AE726" s="145"/>
      <c r="AF726" s="182" t="str">
        <f t="shared" si="36"/>
        <v/>
      </c>
      <c r="AG726" s="54" t="b">
        <f t="shared" si="37"/>
        <v>0</v>
      </c>
      <c r="AH726" s="145"/>
      <c r="AI726" s="192" t="s">
        <v>6</v>
      </c>
      <c r="AJ726" s="96">
        <f t="shared" si="38"/>
        <v>0</v>
      </c>
      <c r="AK726" s="193" t="s">
        <v>39</v>
      </c>
    </row>
    <row r="727" spans="1:37" ht="30" customHeight="1">
      <c r="A727" s="92"/>
      <c r="B727" s="92"/>
      <c r="C727" s="92"/>
      <c r="D727" s="92"/>
      <c r="E727" s="92"/>
      <c r="F727" s="92"/>
      <c r="G727" s="92"/>
      <c r="H727" s="92"/>
      <c r="I727" s="92"/>
      <c r="J727" s="92"/>
      <c r="K727" s="92"/>
      <c r="L727" s="92"/>
      <c r="M727" s="92"/>
      <c r="N727" s="155"/>
      <c r="O727" s="145"/>
      <c r="P727" s="92"/>
      <c r="Q727" s="145"/>
      <c r="R727" s="92"/>
      <c r="S727" s="145"/>
      <c r="T727" s="92"/>
      <c r="U727" s="145"/>
      <c r="V727" s="92"/>
      <c r="W727" s="145"/>
      <c r="X727" s="92"/>
      <c r="Y727" s="145"/>
      <c r="Z727" s="92"/>
      <c r="AA727" s="145"/>
      <c r="AB727" s="92"/>
      <c r="AC727" s="145"/>
      <c r="AD727" s="92"/>
      <c r="AE727" s="145"/>
      <c r="AF727" s="182" t="str">
        <f t="shared" si="36"/>
        <v/>
      </c>
      <c r="AG727" s="54" t="b">
        <f t="shared" si="37"/>
        <v>0</v>
      </c>
      <c r="AH727" s="145"/>
      <c r="AI727" s="192" t="s">
        <v>6</v>
      </c>
      <c r="AJ727" s="96">
        <f t="shared" si="38"/>
        <v>0</v>
      </c>
      <c r="AK727" s="193" t="s">
        <v>39</v>
      </c>
    </row>
    <row r="728" spans="1:37" ht="30" customHeight="1">
      <c r="A728" s="92"/>
      <c r="B728" s="92"/>
      <c r="C728" s="92"/>
      <c r="D728" s="92"/>
      <c r="E728" s="92"/>
      <c r="F728" s="92"/>
      <c r="G728" s="92"/>
      <c r="H728" s="92"/>
      <c r="I728" s="92"/>
      <c r="J728" s="92"/>
      <c r="K728" s="92"/>
      <c r="L728" s="92"/>
      <c r="M728" s="92"/>
      <c r="N728" s="155"/>
      <c r="O728" s="145"/>
      <c r="P728" s="92"/>
      <c r="Q728" s="145"/>
      <c r="R728" s="92"/>
      <c r="S728" s="145"/>
      <c r="T728" s="92"/>
      <c r="U728" s="145"/>
      <c r="V728" s="92"/>
      <c r="W728" s="145"/>
      <c r="X728" s="92"/>
      <c r="Y728" s="145"/>
      <c r="Z728" s="92"/>
      <c r="AA728" s="145"/>
      <c r="AB728" s="92"/>
      <c r="AC728" s="145"/>
      <c r="AD728" s="92"/>
      <c r="AE728" s="145"/>
      <c r="AF728" s="182" t="str">
        <f t="shared" si="36"/>
        <v/>
      </c>
      <c r="AG728" s="54" t="b">
        <f t="shared" si="37"/>
        <v>0</v>
      </c>
      <c r="AH728" s="145"/>
      <c r="AI728" s="192" t="s">
        <v>6</v>
      </c>
      <c r="AJ728" s="96">
        <f t="shared" si="38"/>
        <v>0</v>
      </c>
      <c r="AK728" s="193" t="s">
        <v>39</v>
      </c>
    </row>
    <row r="729" spans="1:37" ht="30" customHeight="1">
      <c r="A729" s="92"/>
      <c r="B729" s="92"/>
      <c r="C729" s="92"/>
      <c r="D729" s="92"/>
      <c r="E729" s="92"/>
      <c r="F729" s="92"/>
      <c r="G729" s="92"/>
      <c r="H729" s="92"/>
      <c r="I729" s="92"/>
      <c r="J729" s="92"/>
      <c r="K729" s="92"/>
      <c r="L729" s="92"/>
      <c r="M729" s="92"/>
      <c r="N729" s="155"/>
      <c r="O729" s="145"/>
      <c r="P729" s="92"/>
      <c r="Q729" s="145"/>
      <c r="R729" s="92"/>
      <c r="S729" s="145"/>
      <c r="T729" s="92"/>
      <c r="U729" s="145"/>
      <c r="V729" s="92"/>
      <c r="W729" s="145"/>
      <c r="X729" s="92"/>
      <c r="Y729" s="145"/>
      <c r="Z729" s="92"/>
      <c r="AA729" s="145"/>
      <c r="AB729" s="92"/>
      <c r="AC729" s="145"/>
      <c r="AD729" s="92"/>
      <c r="AE729" s="145"/>
      <c r="AF729" s="182" t="str">
        <f t="shared" si="36"/>
        <v/>
      </c>
      <c r="AG729" s="54" t="b">
        <f t="shared" si="37"/>
        <v>0</v>
      </c>
      <c r="AH729" s="145"/>
      <c r="AI729" s="192" t="s">
        <v>6</v>
      </c>
      <c r="AJ729" s="96">
        <f t="shared" si="38"/>
        <v>0</v>
      </c>
      <c r="AK729" s="193" t="s">
        <v>39</v>
      </c>
    </row>
    <row r="730" spans="1:37" ht="30" customHeight="1">
      <c r="A730" s="92"/>
      <c r="B730" s="92"/>
      <c r="C730" s="92"/>
      <c r="D730" s="92"/>
      <c r="E730" s="92"/>
      <c r="F730" s="92"/>
      <c r="G730" s="92"/>
      <c r="H730" s="92"/>
      <c r="I730" s="92"/>
      <c r="J730" s="92"/>
      <c r="K730" s="92"/>
      <c r="L730" s="92"/>
      <c r="M730" s="92"/>
      <c r="N730" s="155"/>
      <c r="O730" s="145"/>
      <c r="P730" s="92"/>
      <c r="Q730" s="145"/>
      <c r="R730" s="92"/>
      <c r="S730" s="145"/>
      <c r="T730" s="92"/>
      <c r="U730" s="145"/>
      <c r="V730" s="92"/>
      <c r="W730" s="145"/>
      <c r="X730" s="92"/>
      <c r="Y730" s="145"/>
      <c r="Z730" s="92"/>
      <c r="AA730" s="145"/>
      <c r="AB730" s="92"/>
      <c r="AC730" s="145"/>
      <c r="AD730" s="92"/>
      <c r="AE730" s="145"/>
      <c r="AF730" s="182" t="str">
        <f t="shared" si="36"/>
        <v/>
      </c>
      <c r="AG730" s="54" t="b">
        <f t="shared" si="37"/>
        <v>0</v>
      </c>
      <c r="AH730" s="145"/>
      <c r="AI730" s="192" t="s">
        <v>6</v>
      </c>
      <c r="AJ730" s="96">
        <f t="shared" si="38"/>
        <v>0</v>
      </c>
      <c r="AK730" s="193" t="s">
        <v>39</v>
      </c>
    </row>
    <row r="731" spans="1:37" ht="30" customHeight="1">
      <c r="A731" s="92"/>
      <c r="B731" s="92"/>
      <c r="C731" s="92"/>
      <c r="D731" s="92"/>
      <c r="E731" s="92"/>
      <c r="F731" s="92"/>
      <c r="G731" s="92"/>
      <c r="H731" s="92"/>
      <c r="I731" s="92"/>
      <c r="J731" s="92"/>
      <c r="K731" s="92"/>
      <c r="L731" s="92"/>
      <c r="M731" s="92"/>
      <c r="N731" s="155"/>
      <c r="O731" s="145"/>
      <c r="P731" s="92"/>
      <c r="Q731" s="145"/>
      <c r="R731" s="92"/>
      <c r="S731" s="145"/>
      <c r="T731" s="92"/>
      <c r="U731" s="145"/>
      <c r="V731" s="92"/>
      <c r="W731" s="145"/>
      <c r="X731" s="92"/>
      <c r="Y731" s="145"/>
      <c r="Z731" s="92"/>
      <c r="AA731" s="145"/>
      <c r="AB731" s="92"/>
      <c r="AC731" s="145"/>
      <c r="AD731" s="92"/>
      <c r="AE731" s="145"/>
      <c r="AF731" s="182" t="str">
        <f t="shared" si="36"/>
        <v/>
      </c>
      <c r="AG731" s="54" t="b">
        <f t="shared" si="37"/>
        <v>0</v>
      </c>
      <c r="AH731" s="145"/>
      <c r="AI731" s="192" t="s">
        <v>6</v>
      </c>
      <c r="AJ731" s="96">
        <f t="shared" si="38"/>
        <v>0</v>
      </c>
      <c r="AK731" s="193" t="s">
        <v>39</v>
      </c>
    </row>
    <row r="732" spans="1:37" ht="30" customHeight="1">
      <c r="A732" s="92"/>
      <c r="B732" s="92"/>
      <c r="C732" s="92"/>
      <c r="D732" s="92"/>
      <c r="E732" s="92"/>
      <c r="F732" s="92"/>
      <c r="G732" s="92"/>
      <c r="H732" s="92"/>
      <c r="I732" s="92"/>
      <c r="J732" s="92"/>
      <c r="K732" s="92"/>
      <c r="L732" s="92"/>
      <c r="M732" s="92"/>
      <c r="N732" s="155"/>
      <c r="O732" s="145"/>
      <c r="P732" s="92"/>
      <c r="Q732" s="145"/>
      <c r="R732" s="92"/>
      <c r="S732" s="145"/>
      <c r="T732" s="92"/>
      <c r="U732" s="145"/>
      <c r="V732" s="92"/>
      <c r="W732" s="145"/>
      <c r="X732" s="92"/>
      <c r="Y732" s="145"/>
      <c r="Z732" s="92"/>
      <c r="AA732" s="145"/>
      <c r="AB732" s="92"/>
      <c r="AC732" s="145"/>
      <c r="AD732" s="92"/>
      <c r="AE732" s="145"/>
      <c r="AF732" s="182" t="str">
        <f t="shared" si="36"/>
        <v/>
      </c>
      <c r="AG732" s="54" t="b">
        <f t="shared" si="37"/>
        <v>0</v>
      </c>
      <c r="AH732" s="145"/>
      <c r="AI732" s="192" t="s">
        <v>6</v>
      </c>
      <c r="AJ732" s="96">
        <f t="shared" si="38"/>
        <v>0</v>
      </c>
      <c r="AK732" s="193" t="s">
        <v>39</v>
      </c>
    </row>
    <row r="733" spans="1:37" ht="30" customHeight="1">
      <c r="A733" s="92"/>
      <c r="B733" s="92"/>
      <c r="C733" s="92"/>
      <c r="D733" s="92"/>
      <c r="E733" s="92"/>
      <c r="F733" s="92"/>
      <c r="G733" s="92"/>
      <c r="H733" s="92"/>
      <c r="I733" s="92"/>
      <c r="J733" s="92"/>
      <c r="K733" s="92"/>
      <c r="L733" s="92"/>
      <c r="M733" s="92"/>
      <c r="N733" s="155"/>
      <c r="O733" s="145"/>
      <c r="P733" s="92"/>
      <c r="Q733" s="145"/>
      <c r="R733" s="92"/>
      <c r="S733" s="145"/>
      <c r="T733" s="92"/>
      <c r="U733" s="145"/>
      <c r="V733" s="92"/>
      <c r="W733" s="145"/>
      <c r="X733" s="92"/>
      <c r="Y733" s="145"/>
      <c r="Z733" s="92"/>
      <c r="AA733" s="145"/>
      <c r="AB733" s="92"/>
      <c r="AC733" s="145"/>
      <c r="AD733" s="92"/>
      <c r="AE733" s="145"/>
      <c r="AF733" s="182" t="str">
        <f t="shared" si="36"/>
        <v/>
      </c>
      <c r="AG733" s="54" t="b">
        <f t="shared" si="37"/>
        <v>0</v>
      </c>
      <c r="AH733" s="145"/>
      <c r="AI733" s="192" t="s">
        <v>6</v>
      </c>
      <c r="AJ733" s="96">
        <f t="shared" si="38"/>
        <v>0</v>
      </c>
      <c r="AK733" s="193" t="s">
        <v>39</v>
      </c>
    </row>
    <row r="734" spans="1:37" ht="30" customHeight="1">
      <c r="A734" s="92"/>
      <c r="B734" s="92"/>
      <c r="C734" s="92"/>
      <c r="D734" s="92"/>
      <c r="E734" s="92"/>
      <c r="F734" s="92"/>
      <c r="G734" s="92"/>
      <c r="H734" s="92"/>
      <c r="I734" s="92"/>
      <c r="J734" s="92"/>
      <c r="K734" s="92"/>
      <c r="L734" s="92"/>
      <c r="M734" s="92"/>
      <c r="N734" s="155"/>
      <c r="O734" s="145"/>
      <c r="P734" s="92"/>
      <c r="Q734" s="145"/>
      <c r="R734" s="92"/>
      <c r="S734" s="145"/>
      <c r="T734" s="92"/>
      <c r="U734" s="145"/>
      <c r="V734" s="92"/>
      <c r="W734" s="145"/>
      <c r="X734" s="92"/>
      <c r="Y734" s="145"/>
      <c r="Z734" s="92"/>
      <c r="AA734" s="145"/>
      <c r="AB734" s="92"/>
      <c r="AC734" s="145"/>
      <c r="AD734" s="92"/>
      <c r="AE734" s="145"/>
      <c r="AF734" s="182" t="str">
        <f t="shared" si="36"/>
        <v/>
      </c>
      <c r="AG734" s="54" t="b">
        <f t="shared" si="37"/>
        <v>0</v>
      </c>
      <c r="AH734" s="145"/>
      <c r="AI734" s="192" t="s">
        <v>6</v>
      </c>
      <c r="AJ734" s="96">
        <f t="shared" si="38"/>
        <v>0</v>
      </c>
      <c r="AK734" s="193" t="s">
        <v>39</v>
      </c>
    </row>
    <row r="735" spans="1:37" ht="30" customHeight="1">
      <c r="A735" s="92"/>
      <c r="B735" s="92"/>
      <c r="C735" s="92"/>
      <c r="D735" s="92"/>
      <c r="E735" s="92"/>
      <c r="F735" s="92"/>
      <c r="G735" s="92"/>
      <c r="H735" s="92"/>
      <c r="I735" s="92"/>
      <c r="J735" s="92"/>
      <c r="K735" s="92"/>
      <c r="L735" s="92"/>
      <c r="M735" s="92"/>
      <c r="N735" s="155"/>
      <c r="O735" s="145"/>
      <c r="P735" s="92"/>
      <c r="Q735" s="145"/>
      <c r="R735" s="92"/>
      <c r="S735" s="145"/>
      <c r="T735" s="92"/>
      <c r="U735" s="145"/>
      <c r="V735" s="92"/>
      <c r="W735" s="145"/>
      <c r="X735" s="92"/>
      <c r="Y735" s="145"/>
      <c r="Z735" s="92"/>
      <c r="AA735" s="145"/>
      <c r="AB735" s="92"/>
      <c r="AC735" s="145"/>
      <c r="AD735" s="92"/>
      <c r="AE735" s="145"/>
      <c r="AF735" s="182" t="str">
        <f t="shared" si="36"/>
        <v/>
      </c>
      <c r="AG735" s="54" t="b">
        <f t="shared" si="37"/>
        <v>0</v>
      </c>
      <c r="AH735" s="145"/>
      <c r="AI735" s="192" t="s">
        <v>6</v>
      </c>
      <c r="AJ735" s="96">
        <f t="shared" si="38"/>
        <v>0</v>
      </c>
      <c r="AK735" s="193" t="s">
        <v>39</v>
      </c>
    </row>
    <row r="736" spans="1:37" ht="30" customHeight="1">
      <c r="A736" s="92"/>
      <c r="B736" s="92"/>
      <c r="C736" s="92"/>
      <c r="D736" s="92"/>
      <c r="E736" s="92"/>
      <c r="F736" s="92"/>
      <c r="G736" s="92"/>
      <c r="H736" s="92"/>
      <c r="I736" s="92"/>
      <c r="J736" s="92"/>
      <c r="K736" s="92"/>
      <c r="L736" s="92"/>
      <c r="M736" s="92"/>
      <c r="N736" s="155"/>
      <c r="O736" s="145"/>
      <c r="P736" s="92"/>
      <c r="Q736" s="145"/>
      <c r="R736" s="92"/>
      <c r="S736" s="145"/>
      <c r="T736" s="92"/>
      <c r="U736" s="145"/>
      <c r="V736" s="92"/>
      <c r="W736" s="145"/>
      <c r="X736" s="92"/>
      <c r="Y736" s="145"/>
      <c r="Z736" s="92"/>
      <c r="AA736" s="145"/>
      <c r="AB736" s="92"/>
      <c r="AC736" s="145"/>
      <c r="AD736" s="92"/>
      <c r="AE736" s="145"/>
      <c r="AF736" s="182" t="str">
        <f t="shared" si="36"/>
        <v/>
      </c>
      <c r="AG736" s="54" t="b">
        <f t="shared" si="37"/>
        <v>0</v>
      </c>
      <c r="AH736" s="145"/>
      <c r="AI736" s="192" t="s">
        <v>6</v>
      </c>
      <c r="AJ736" s="96">
        <f t="shared" si="38"/>
        <v>0</v>
      </c>
      <c r="AK736" s="193" t="s">
        <v>39</v>
      </c>
    </row>
    <row r="737" spans="1:37" ht="30" customHeight="1">
      <c r="A737" s="92"/>
      <c r="B737" s="92"/>
      <c r="C737" s="92"/>
      <c r="D737" s="92"/>
      <c r="E737" s="92"/>
      <c r="F737" s="92"/>
      <c r="G737" s="92"/>
      <c r="H737" s="92"/>
      <c r="I737" s="92"/>
      <c r="J737" s="92"/>
      <c r="K737" s="92"/>
      <c r="L737" s="92"/>
      <c r="M737" s="92"/>
      <c r="N737" s="155"/>
      <c r="O737" s="145"/>
      <c r="P737" s="92"/>
      <c r="Q737" s="145"/>
      <c r="R737" s="92"/>
      <c r="S737" s="145"/>
      <c r="T737" s="92"/>
      <c r="U737" s="145"/>
      <c r="V737" s="92"/>
      <c r="W737" s="145"/>
      <c r="X737" s="92"/>
      <c r="Y737" s="145"/>
      <c r="Z737" s="92"/>
      <c r="AA737" s="145"/>
      <c r="AB737" s="92"/>
      <c r="AC737" s="145"/>
      <c r="AD737" s="92"/>
      <c r="AE737" s="145"/>
      <c r="AF737" s="182" t="str">
        <f t="shared" si="36"/>
        <v/>
      </c>
      <c r="AG737" s="54" t="b">
        <f t="shared" si="37"/>
        <v>0</v>
      </c>
      <c r="AH737" s="145"/>
      <c r="AI737" s="192" t="s">
        <v>6</v>
      </c>
      <c r="AJ737" s="96">
        <f t="shared" si="38"/>
        <v>0</v>
      </c>
      <c r="AK737" s="193" t="s">
        <v>39</v>
      </c>
    </row>
    <row r="738" spans="1:37" ht="30" customHeight="1">
      <c r="A738" s="92"/>
      <c r="B738" s="92"/>
      <c r="C738" s="92"/>
      <c r="D738" s="92"/>
      <c r="E738" s="92"/>
      <c r="F738" s="92"/>
      <c r="G738" s="92"/>
      <c r="H738" s="92"/>
      <c r="I738" s="92"/>
      <c r="J738" s="92"/>
      <c r="K738" s="92"/>
      <c r="L738" s="92"/>
      <c r="M738" s="92"/>
      <c r="N738" s="155"/>
      <c r="O738" s="145"/>
      <c r="P738" s="92"/>
      <c r="Q738" s="145"/>
      <c r="R738" s="92"/>
      <c r="S738" s="145"/>
      <c r="T738" s="92"/>
      <c r="U738" s="145"/>
      <c r="V738" s="92"/>
      <c r="W738" s="145"/>
      <c r="X738" s="92"/>
      <c r="Y738" s="145"/>
      <c r="Z738" s="92"/>
      <c r="AA738" s="145"/>
      <c r="AB738" s="92"/>
      <c r="AC738" s="145"/>
      <c r="AD738" s="92"/>
      <c r="AE738" s="145"/>
      <c r="AF738" s="182" t="str">
        <f t="shared" si="36"/>
        <v/>
      </c>
      <c r="AG738" s="54" t="b">
        <f t="shared" si="37"/>
        <v>0</v>
      </c>
      <c r="AH738" s="145"/>
      <c r="AI738" s="192" t="s">
        <v>6</v>
      </c>
      <c r="AJ738" s="96">
        <f t="shared" si="38"/>
        <v>0</v>
      </c>
      <c r="AK738" s="193" t="s">
        <v>39</v>
      </c>
    </row>
    <row r="739" spans="1:37" ht="30" customHeight="1">
      <c r="A739" s="92"/>
      <c r="B739" s="92"/>
      <c r="C739" s="92"/>
      <c r="D739" s="92"/>
      <c r="E739" s="92"/>
      <c r="F739" s="92"/>
      <c r="G739" s="92"/>
      <c r="H739" s="92"/>
      <c r="I739" s="92"/>
      <c r="J739" s="92"/>
      <c r="K739" s="92"/>
      <c r="L739" s="92"/>
      <c r="M739" s="92"/>
      <c r="N739" s="155"/>
      <c r="O739" s="145"/>
      <c r="P739" s="92"/>
      <c r="Q739" s="145"/>
      <c r="R739" s="92"/>
      <c r="S739" s="145"/>
      <c r="T739" s="92"/>
      <c r="U739" s="145"/>
      <c r="V739" s="92"/>
      <c r="W739" s="145"/>
      <c r="X739" s="92"/>
      <c r="Y739" s="145"/>
      <c r="Z739" s="92"/>
      <c r="AA739" s="145"/>
      <c r="AB739" s="92"/>
      <c r="AC739" s="145"/>
      <c r="AD739" s="92"/>
      <c r="AE739" s="145"/>
      <c r="AF739" s="182" t="str">
        <f t="shared" si="36"/>
        <v/>
      </c>
      <c r="AG739" s="54" t="b">
        <f t="shared" si="37"/>
        <v>0</v>
      </c>
      <c r="AH739" s="145"/>
      <c r="AI739" s="192" t="s">
        <v>6</v>
      </c>
      <c r="AJ739" s="96">
        <f t="shared" si="38"/>
        <v>0</v>
      </c>
      <c r="AK739" s="193" t="s">
        <v>39</v>
      </c>
    </row>
    <row r="740" spans="1:37" ht="30" customHeight="1">
      <c r="A740" s="92"/>
      <c r="B740" s="92"/>
      <c r="C740" s="92"/>
      <c r="D740" s="92"/>
      <c r="E740" s="92"/>
      <c r="F740" s="92"/>
      <c r="G740" s="92"/>
      <c r="H740" s="92"/>
      <c r="I740" s="92"/>
      <c r="J740" s="92"/>
      <c r="K740" s="92"/>
      <c r="L740" s="92"/>
      <c r="M740" s="92"/>
      <c r="N740" s="155"/>
      <c r="O740" s="145"/>
      <c r="P740" s="92"/>
      <c r="Q740" s="145"/>
      <c r="R740" s="92"/>
      <c r="S740" s="145"/>
      <c r="T740" s="92"/>
      <c r="U740" s="145"/>
      <c r="V740" s="92"/>
      <c r="W740" s="145"/>
      <c r="X740" s="92"/>
      <c r="Y740" s="145"/>
      <c r="Z740" s="92"/>
      <c r="AA740" s="145"/>
      <c r="AB740" s="92"/>
      <c r="AC740" s="145"/>
      <c r="AD740" s="92"/>
      <c r="AE740" s="145"/>
      <c r="AF740" s="182" t="str">
        <f t="shared" si="36"/>
        <v/>
      </c>
      <c r="AG740" s="54" t="b">
        <f t="shared" si="37"/>
        <v>0</v>
      </c>
      <c r="AH740" s="145"/>
      <c r="AI740" s="192" t="s">
        <v>6</v>
      </c>
      <c r="AJ740" s="96">
        <f t="shared" si="38"/>
        <v>0</v>
      </c>
      <c r="AK740" s="193" t="s">
        <v>39</v>
      </c>
    </row>
    <row r="741" spans="1:37" ht="30" customHeight="1">
      <c r="A741" s="92"/>
      <c r="B741" s="92"/>
      <c r="C741" s="92"/>
      <c r="D741" s="92"/>
      <c r="E741" s="92"/>
      <c r="F741" s="92"/>
      <c r="G741" s="92"/>
      <c r="H741" s="92"/>
      <c r="I741" s="92"/>
      <c r="J741" s="92"/>
      <c r="K741" s="92"/>
      <c r="L741" s="92"/>
      <c r="M741" s="92"/>
      <c r="N741" s="155"/>
      <c r="O741" s="145"/>
      <c r="P741" s="92"/>
      <c r="Q741" s="145"/>
      <c r="R741" s="92"/>
      <c r="S741" s="145"/>
      <c r="T741" s="92"/>
      <c r="U741" s="145"/>
      <c r="V741" s="92"/>
      <c r="W741" s="145"/>
      <c r="X741" s="92"/>
      <c r="Y741" s="145"/>
      <c r="Z741" s="92"/>
      <c r="AA741" s="145"/>
      <c r="AB741" s="92"/>
      <c r="AC741" s="145"/>
      <c r="AD741" s="92"/>
      <c r="AE741" s="145"/>
      <c r="AF741" s="182" t="str">
        <f t="shared" si="36"/>
        <v/>
      </c>
      <c r="AG741" s="54" t="b">
        <f t="shared" si="37"/>
        <v>0</v>
      </c>
      <c r="AH741" s="145"/>
      <c r="AI741" s="192" t="s">
        <v>6</v>
      </c>
      <c r="AJ741" s="96">
        <f t="shared" si="38"/>
        <v>0</v>
      </c>
      <c r="AK741" s="193" t="s">
        <v>39</v>
      </c>
    </row>
    <row r="742" spans="1:37" ht="30" customHeight="1">
      <c r="A742" s="92"/>
      <c r="B742" s="92"/>
      <c r="C742" s="92"/>
      <c r="D742" s="92"/>
      <c r="E742" s="92"/>
      <c r="F742" s="92"/>
      <c r="G742" s="92"/>
      <c r="H742" s="92"/>
      <c r="I742" s="92"/>
      <c r="J742" s="92"/>
      <c r="K742" s="92"/>
      <c r="L742" s="92"/>
      <c r="M742" s="92"/>
      <c r="N742" s="155"/>
      <c r="O742" s="145"/>
      <c r="P742" s="92"/>
      <c r="Q742" s="145"/>
      <c r="R742" s="92"/>
      <c r="S742" s="145"/>
      <c r="T742" s="92"/>
      <c r="U742" s="145"/>
      <c r="V742" s="92"/>
      <c r="W742" s="145"/>
      <c r="X742" s="92"/>
      <c r="Y742" s="145"/>
      <c r="Z742" s="92"/>
      <c r="AA742" s="145"/>
      <c r="AB742" s="92"/>
      <c r="AC742" s="145"/>
      <c r="AD742" s="92"/>
      <c r="AE742" s="145"/>
      <c r="AF742" s="182" t="str">
        <f t="shared" si="36"/>
        <v/>
      </c>
      <c r="AG742" s="54" t="b">
        <f t="shared" si="37"/>
        <v>0</v>
      </c>
      <c r="AH742" s="145"/>
      <c r="AI742" s="192" t="s">
        <v>6</v>
      </c>
      <c r="AJ742" s="96">
        <f t="shared" si="38"/>
        <v>0</v>
      </c>
      <c r="AK742" s="193" t="s">
        <v>39</v>
      </c>
    </row>
    <row r="743" spans="1:37" ht="30" customHeight="1">
      <c r="A743" s="92"/>
      <c r="B743" s="92"/>
      <c r="C743" s="92"/>
      <c r="D743" s="92"/>
      <c r="E743" s="92"/>
      <c r="F743" s="92"/>
      <c r="G743" s="92"/>
      <c r="H743" s="92"/>
      <c r="I743" s="92"/>
      <c r="J743" s="92"/>
      <c r="K743" s="92"/>
      <c r="L743" s="92"/>
      <c r="M743" s="92"/>
      <c r="N743" s="155"/>
      <c r="O743" s="145"/>
      <c r="P743" s="92"/>
      <c r="Q743" s="145"/>
      <c r="R743" s="92"/>
      <c r="S743" s="145"/>
      <c r="T743" s="92"/>
      <c r="U743" s="145"/>
      <c r="V743" s="92"/>
      <c r="W743" s="145"/>
      <c r="X743" s="92"/>
      <c r="Y743" s="145"/>
      <c r="Z743" s="92"/>
      <c r="AA743" s="145"/>
      <c r="AB743" s="92"/>
      <c r="AC743" s="145"/>
      <c r="AD743" s="92"/>
      <c r="AE743" s="145"/>
      <c r="AF743" s="182" t="str">
        <f t="shared" si="36"/>
        <v/>
      </c>
      <c r="AG743" s="54" t="b">
        <f t="shared" si="37"/>
        <v>0</v>
      </c>
      <c r="AH743" s="145"/>
      <c r="AI743" s="192" t="s">
        <v>6</v>
      </c>
      <c r="AJ743" s="96">
        <f t="shared" si="38"/>
        <v>0</v>
      </c>
      <c r="AK743" s="193" t="s">
        <v>39</v>
      </c>
    </row>
    <row r="744" spans="1:37" ht="30" customHeight="1">
      <c r="A744" s="92"/>
      <c r="B744" s="92"/>
      <c r="C744" s="92"/>
      <c r="D744" s="92"/>
      <c r="E744" s="92"/>
      <c r="F744" s="92"/>
      <c r="G744" s="92"/>
      <c r="H744" s="92"/>
      <c r="I744" s="92"/>
      <c r="J744" s="92"/>
      <c r="K744" s="92"/>
      <c r="L744" s="92"/>
      <c r="M744" s="92"/>
      <c r="N744" s="155"/>
      <c r="O744" s="145"/>
      <c r="P744" s="92"/>
      <c r="Q744" s="145"/>
      <c r="R744" s="92"/>
      <c r="S744" s="145"/>
      <c r="T744" s="92"/>
      <c r="U744" s="145"/>
      <c r="V744" s="92"/>
      <c r="W744" s="145"/>
      <c r="X744" s="92"/>
      <c r="Y744" s="145"/>
      <c r="Z744" s="92"/>
      <c r="AA744" s="145"/>
      <c r="AB744" s="92"/>
      <c r="AC744" s="145"/>
      <c r="AD744" s="92"/>
      <c r="AE744" s="145"/>
      <c r="AF744" s="182" t="str">
        <f t="shared" si="36"/>
        <v/>
      </c>
      <c r="AG744" s="54" t="b">
        <f t="shared" si="37"/>
        <v>0</v>
      </c>
      <c r="AH744" s="145"/>
      <c r="AI744" s="192" t="s">
        <v>6</v>
      </c>
      <c r="AJ744" s="96">
        <f t="shared" si="38"/>
        <v>0</v>
      </c>
      <c r="AK744" s="193" t="s">
        <v>39</v>
      </c>
    </row>
    <row r="745" spans="1:37" ht="30" customHeight="1">
      <c r="A745" s="92"/>
      <c r="B745" s="92"/>
      <c r="C745" s="92"/>
      <c r="D745" s="92"/>
      <c r="E745" s="92"/>
      <c r="F745" s="92"/>
      <c r="G745" s="92"/>
      <c r="H745" s="92"/>
      <c r="I745" s="92"/>
      <c r="J745" s="92"/>
      <c r="K745" s="92"/>
      <c r="L745" s="92"/>
      <c r="M745" s="92"/>
      <c r="N745" s="155"/>
      <c r="O745" s="145"/>
      <c r="P745" s="92"/>
      <c r="Q745" s="145"/>
      <c r="R745" s="92"/>
      <c r="S745" s="145"/>
      <c r="T745" s="92"/>
      <c r="U745" s="145"/>
      <c r="V745" s="92"/>
      <c r="W745" s="145"/>
      <c r="X745" s="92"/>
      <c r="Y745" s="145"/>
      <c r="Z745" s="92"/>
      <c r="AA745" s="145"/>
      <c r="AB745" s="92"/>
      <c r="AC745" s="145"/>
      <c r="AD745" s="92"/>
      <c r="AE745" s="145"/>
      <c r="AF745" s="182" t="str">
        <f t="shared" si="36"/>
        <v/>
      </c>
      <c r="AG745" s="54" t="b">
        <f t="shared" si="37"/>
        <v>0</v>
      </c>
      <c r="AH745" s="145"/>
      <c r="AI745" s="192" t="s">
        <v>6</v>
      </c>
      <c r="AJ745" s="96">
        <f t="shared" si="38"/>
        <v>0</v>
      </c>
      <c r="AK745" s="193" t="s">
        <v>39</v>
      </c>
    </row>
    <row r="746" spans="1:37" ht="30" customHeight="1">
      <c r="A746" s="92"/>
      <c r="B746" s="92"/>
      <c r="C746" s="92"/>
      <c r="D746" s="92"/>
      <c r="E746" s="92"/>
      <c r="F746" s="92"/>
      <c r="G746" s="92"/>
      <c r="H746" s="92"/>
      <c r="I746" s="92"/>
      <c r="J746" s="92"/>
      <c r="K746" s="92"/>
      <c r="L746" s="92"/>
      <c r="M746" s="92"/>
      <c r="N746" s="155"/>
      <c r="O746" s="145"/>
      <c r="P746" s="92"/>
      <c r="Q746" s="145"/>
      <c r="R746" s="92"/>
      <c r="S746" s="145"/>
      <c r="T746" s="92"/>
      <c r="U746" s="145"/>
      <c r="V746" s="92"/>
      <c r="W746" s="145"/>
      <c r="X746" s="92"/>
      <c r="Y746" s="145"/>
      <c r="Z746" s="92"/>
      <c r="AA746" s="145"/>
      <c r="AB746" s="92"/>
      <c r="AC746" s="145"/>
      <c r="AD746" s="92"/>
      <c r="AE746" s="145"/>
      <c r="AF746" s="182" t="str">
        <f t="shared" si="36"/>
        <v/>
      </c>
      <c r="AG746" s="54" t="b">
        <f t="shared" si="37"/>
        <v>0</v>
      </c>
      <c r="AH746" s="145"/>
      <c r="AI746" s="192" t="s">
        <v>6</v>
      </c>
      <c r="AJ746" s="96">
        <f t="shared" si="38"/>
        <v>0</v>
      </c>
      <c r="AK746" s="193" t="s">
        <v>39</v>
      </c>
    </row>
    <row r="747" spans="1:37" ht="30" customHeight="1">
      <c r="A747" s="92"/>
      <c r="B747" s="92"/>
      <c r="C747" s="92"/>
      <c r="D747" s="92"/>
      <c r="E747" s="92"/>
      <c r="F747" s="92"/>
      <c r="G747" s="92"/>
      <c r="H747" s="92"/>
      <c r="I747" s="92"/>
      <c r="J747" s="92"/>
      <c r="K747" s="92"/>
      <c r="L747" s="92"/>
      <c r="M747" s="92"/>
      <c r="N747" s="155"/>
      <c r="O747" s="145"/>
      <c r="P747" s="92"/>
      <c r="Q747" s="145"/>
      <c r="R747" s="92"/>
      <c r="S747" s="145"/>
      <c r="T747" s="92"/>
      <c r="U747" s="145"/>
      <c r="V747" s="92"/>
      <c r="W747" s="145"/>
      <c r="X747" s="92"/>
      <c r="Y747" s="145"/>
      <c r="Z747" s="92"/>
      <c r="AA747" s="145"/>
      <c r="AB747" s="92"/>
      <c r="AC747" s="145"/>
      <c r="AD747" s="92"/>
      <c r="AE747" s="145"/>
      <c r="AF747" s="182" t="str">
        <f t="shared" si="36"/>
        <v/>
      </c>
      <c r="AG747" s="54" t="b">
        <f t="shared" si="37"/>
        <v>0</v>
      </c>
      <c r="AH747" s="145"/>
      <c r="AI747" s="192" t="s">
        <v>6</v>
      </c>
      <c r="AJ747" s="96">
        <f t="shared" si="38"/>
        <v>0</v>
      </c>
      <c r="AK747" s="193" t="s">
        <v>39</v>
      </c>
    </row>
    <row r="748" spans="1:37" ht="30" customHeight="1">
      <c r="A748" s="92"/>
      <c r="B748" s="92"/>
      <c r="C748" s="92"/>
      <c r="D748" s="92"/>
      <c r="E748" s="92"/>
      <c r="F748" s="92"/>
      <c r="G748" s="92"/>
      <c r="H748" s="92"/>
      <c r="I748" s="92"/>
      <c r="J748" s="92"/>
      <c r="K748" s="92"/>
      <c r="L748" s="92"/>
      <c r="M748" s="92"/>
      <c r="N748" s="155"/>
      <c r="O748" s="145"/>
      <c r="P748" s="92"/>
      <c r="Q748" s="145"/>
      <c r="R748" s="92"/>
      <c r="S748" s="145"/>
      <c r="T748" s="92"/>
      <c r="U748" s="145"/>
      <c r="V748" s="92"/>
      <c r="W748" s="145"/>
      <c r="X748" s="92"/>
      <c r="Y748" s="145"/>
      <c r="Z748" s="92"/>
      <c r="AA748" s="145"/>
      <c r="AB748" s="92"/>
      <c r="AC748" s="145"/>
      <c r="AD748" s="92"/>
      <c r="AE748" s="145"/>
      <c r="AF748" s="182" t="str">
        <f t="shared" si="36"/>
        <v/>
      </c>
      <c r="AG748" s="54" t="b">
        <f t="shared" si="37"/>
        <v>0</v>
      </c>
      <c r="AH748" s="145"/>
      <c r="AI748" s="192" t="s">
        <v>6</v>
      </c>
      <c r="AJ748" s="96">
        <f t="shared" si="38"/>
        <v>0</v>
      </c>
      <c r="AK748" s="193" t="s">
        <v>39</v>
      </c>
    </row>
    <row r="749" spans="1:37" ht="30" customHeight="1">
      <c r="A749" s="92"/>
      <c r="B749" s="92"/>
      <c r="C749" s="92"/>
      <c r="D749" s="92"/>
      <c r="E749" s="92"/>
      <c r="F749" s="92"/>
      <c r="G749" s="92"/>
      <c r="H749" s="92"/>
      <c r="I749" s="92"/>
      <c r="J749" s="92"/>
      <c r="K749" s="92"/>
      <c r="L749" s="92"/>
      <c r="M749" s="92"/>
      <c r="N749" s="155"/>
      <c r="O749" s="145"/>
      <c r="P749" s="92"/>
      <c r="Q749" s="145"/>
      <c r="R749" s="92"/>
      <c r="S749" s="145"/>
      <c r="T749" s="92"/>
      <c r="U749" s="145"/>
      <c r="V749" s="92"/>
      <c r="W749" s="145"/>
      <c r="X749" s="92"/>
      <c r="Y749" s="145"/>
      <c r="Z749" s="92"/>
      <c r="AA749" s="145"/>
      <c r="AB749" s="92"/>
      <c r="AC749" s="145"/>
      <c r="AD749" s="92"/>
      <c r="AE749" s="145"/>
      <c r="AF749" s="182" t="str">
        <f t="shared" si="36"/>
        <v/>
      </c>
      <c r="AG749" s="54" t="b">
        <f t="shared" si="37"/>
        <v>0</v>
      </c>
      <c r="AH749" s="145"/>
      <c r="AI749" s="192" t="s">
        <v>6</v>
      </c>
      <c r="AJ749" s="96">
        <f t="shared" si="38"/>
        <v>0</v>
      </c>
      <c r="AK749" s="193" t="s">
        <v>39</v>
      </c>
    </row>
    <row r="750" spans="1:37" ht="30" customHeight="1">
      <c r="A750" s="92"/>
      <c r="B750" s="92"/>
      <c r="C750" s="92"/>
      <c r="D750" s="92"/>
      <c r="E750" s="92"/>
      <c r="F750" s="92"/>
      <c r="G750" s="92"/>
      <c r="H750" s="92"/>
      <c r="I750" s="92"/>
      <c r="J750" s="92"/>
      <c r="K750" s="92"/>
      <c r="L750" s="92"/>
      <c r="M750" s="92"/>
      <c r="N750" s="155"/>
      <c r="O750" s="145"/>
      <c r="P750" s="92"/>
      <c r="Q750" s="145"/>
      <c r="R750" s="92"/>
      <c r="S750" s="145"/>
      <c r="T750" s="92"/>
      <c r="U750" s="145"/>
      <c r="V750" s="92"/>
      <c r="W750" s="145"/>
      <c r="X750" s="92"/>
      <c r="Y750" s="145"/>
      <c r="Z750" s="92"/>
      <c r="AA750" s="145"/>
      <c r="AB750" s="92"/>
      <c r="AC750" s="145"/>
      <c r="AD750" s="92"/>
      <c r="AE750" s="145"/>
      <c r="AF750" s="182" t="str">
        <f t="shared" si="36"/>
        <v/>
      </c>
      <c r="AG750" s="54" t="b">
        <f t="shared" si="37"/>
        <v>0</v>
      </c>
      <c r="AH750" s="145"/>
      <c r="AI750" s="192" t="s">
        <v>6</v>
      </c>
      <c r="AJ750" s="96">
        <f t="shared" si="38"/>
        <v>0</v>
      </c>
      <c r="AK750" s="193" t="s">
        <v>39</v>
      </c>
    </row>
    <row r="751" spans="1:37" ht="30" customHeight="1">
      <c r="A751" s="92"/>
      <c r="B751" s="92"/>
      <c r="C751" s="92"/>
      <c r="D751" s="92"/>
      <c r="E751" s="92"/>
      <c r="F751" s="92"/>
      <c r="G751" s="92"/>
      <c r="H751" s="92"/>
      <c r="I751" s="92"/>
      <c r="J751" s="92"/>
      <c r="K751" s="92"/>
      <c r="L751" s="92"/>
      <c r="M751" s="92"/>
      <c r="N751" s="155"/>
      <c r="O751" s="145"/>
      <c r="P751" s="92"/>
      <c r="Q751" s="145"/>
      <c r="R751" s="92"/>
      <c r="S751" s="145"/>
      <c r="T751" s="92"/>
      <c r="U751" s="145"/>
      <c r="V751" s="92"/>
      <c r="W751" s="145"/>
      <c r="X751" s="92"/>
      <c r="Y751" s="145"/>
      <c r="Z751" s="92"/>
      <c r="AA751" s="145"/>
      <c r="AB751" s="92"/>
      <c r="AC751" s="145"/>
      <c r="AD751" s="92"/>
      <c r="AE751" s="145"/>
      <c r="AF751" s="182" t="str">
        <f t="shared" si="36"/>
        <v/>
      </c>
      <c r="AG751" s="54" t="b">
        <f t="shared" si="37"/>
        <v>0</v>
      </c>
      <c r="AH751" s="145"/>
      <c r="AI751" s="192" t="s">
        <v>6</v>
      </c>
      <c r="AJ751" s="96">
        <f t="shared" si="38"/>
        <v>0</v>
      </c>
      <c r="AK751" s="193" t="s">
        <v>39</v>
      </c>
    </row>
    <row r="752" spans="1:37" ht="30" customHeight="1">
      <c r="A752" s="92"/>
      <c r="B752" s="92"/>
      <c r="C752" s="92"/>
      <c r="D752" s="92"/>
      <c r="E752" s="92"/>
      <c r="F752" s="92"/>
      <c r="G752" s="92"/>
      <c r="H752" s="92"/>
      <c r="I752" s="92"/>
      <c r="J752" s="92"/>
      <c r="K752" s="92"/>
      <c r="L752" s="92"/>
      <c r="M752" s="92"/>
      <c r="N752" s="155"/>
      <c r="O752" s="145"/>
      <c r="P752" s="92"/>
      <c r="Q752" s="145"/>
      <c r="R752" s="92"/>
      <c r="S752" s="145"/>
      <c r="T752" s="92"/>
      <c r="U752" s="145"/>
      <c r="V752" s="92"/>
      <c r="W752" s="145"/>
      <c r="X752" s="92"/>
      <c r="Y752" s="145"/>
      <c r="Z752" s="92"/>
      <c r="AA752" s="145"/>
      <c r="AB752" s="92"/>
      <c r="AC752" s="145"/>
      <c r="AD752" s="92"/>
      <c r="AE752" s="145"/>
      <c r="AF752" s="182" t="str">
        <f t="shared" si="36"/>
        <v/>
      </c>
      <c r="AG752" s="54" t="b">
        <f t="shared" si="37"/>
        <v>0</v>
      </c>
      <c r="AH752" s="145"/>
      <c r="AI752" s="192" t="s">
        <v>6</v>
      </c>
      <c r="AJ752" s="96">
        <f t="shared" si="38"/>
        <v>0</v>
      </c>
      <c r="AK752" s="193" t="s">
        <v>39</v>
      </c>
    </row>
    <row r="753" spans="1:37" ht="30" customHeight="1">
      <c r="A753" s="92"/>
      <c r="B753" s="92"/>
      <c r="C753" s="92"/>
      <c r="D753" s="92"/>
      <c r="E753" s="92"/>
      <c r="F753" s="92"/>
      <c r="G753" s="92"/>
      <c r="H753" s="92"/>
      <c r="I753" s="92"/>
      <c r="J753" s="92"/>
      <c r="K753" s="92"/>
      <c r="L753" s="92"/>
      <c r="M753" s="92"/>
      <c r="N753" s="155"/>
      <c r="O753" s="145"/>
      <c r="P753" s="92"/>
      <c r="Q753" s="145"/>
      <c r="R753" s="92"/>
      <c r="S753" s="145"/>
      <c r="T753" s="92"/>
      <c r="U753" s="145"/>
      <c r="V753" s="92"/>
      <c r="W753" s="145"/>
      <c r="X753" s="92"/>
      <c r="Y753" s="145"/>
      <c r="Z753" s="92"/>
      <c r="AA753" s="145"/>
      <c r="AB753" s="92"/>
      <c r="AC753" s="145"/>
      <c r="AD753" s="92"/>
      <c r="AE753" s="145"/>
      <c r="AF753" s="182" t="str">
        <f t="shared" si="36"/>
        <v/>
      </c>
      <c r="AG753" s="54" t="b">
        <f t="shared" si="37"/>
        <v>0</v>
      </c>
      <c r="AH753" s="145"/>
      <c r="AI753" s="192" t="s">
        <v>6</v>
      </c>
      <c r="AJ753" s="96">
        <f t="shared" si="38"/>
        <v>0</v>
      </c>
      <c r="AK753" s="193" t="s">
        <v>39</v>
      </c>
    </row>
    <row r="754" spans="1:37" ht="30" customHeight="1">
      <c r="A754" s="92"/>
      <c r="B754" s="92"/>
      <c r="C754" s="92"/>
      <c r="D754" s="92"/>
      <c r="E754" s="92"/>
      <c r="F754" s="92"/>
      <c r="G754" s="92"/>
      <c r="H754" s="92"/>
      <c r="I754" s="92"/>
      <c r="J754" s="92"/>
      <c r="K754" s="92"/>
      <c r="L754" s="92"/>
      <c r="M754" s="92"/>
      <c r="N754" s="155"/>
      <c r="O754" s="145"/>
      <c r="P754" s="92"/>
      <c r="Q754" s="145"/>
      <c r="R754" s="92"/>
      <c r="S754" s="145"/>
      <c r="T754" s="92"/>
      <c r="U754" s="145"/>
      <c r="V754" s="92"/>
      <c r="W754" s="145"/>
      <c r="X754" s="92"/>
      <c r="Y754" s="145"/>
      <c r="Z754" s="92"/>
      <c r="AA754" s="145"/>
      <c r="AB754" s="92"/>
      <c r="AC754" s="145"/>
      <c r="AD754" s="92"/>
      <c r="AE754" s="145"/>
      <c r="AF754" s="182" t="str">
        <f t="shared" si="36"/>
        <v/>
      </c>
      <c r="AG754" s="54" t="b">
        <f t="shared" si="37"/>
        <v>0</v>
      </c>
      <c r="AH754" s="145"/>
      <c r="AI754" s="192" t="s">
        <v>6</v>
      </c>
      <c r="AJ754" s="96">
        <f t="shared" si="38"/>
        <v>0</v>
      </c>
      <c r="AK754" s="193" t="s">
        <v>39</v>
      </c>
    </row>
    <row r="755" spans="1:37" ht="30" customHeight="1">
      <c r="A755" s="92"/>
      <c r="B755" s="92"/>
      <c r="C755" s="92"/>
      <c r="D755" s="92"/>
      <c r="E755" s="92"/>
      <c r="F755" s="92"/>
      <c r="G755" s="92"/>
      <c r="H755" s="92"/>
      <c r="I755" s="92"/>
      <c r="J755" s="92"/>
      <c r="K755" s="92"/>
      <c r="L755" s="92"/>
      <c r="M755" s="92"/>
      <c r="N755" s="155"/>
      <c r="O755" s="145"/>
      <c r="P755" s="92"/>
      <c r="Q755" s="145"/>
      <c r="R755" s="92"/>
      <c r="S755" s="145"/>
      <c r="T755" s="92"/>
      <c r="U755" s="145"/>
      <c r="V755" s="92"/>
      <c r="W755" s="145"/>
      <c r="X755" s="92"/>
      <c r="Y755" s="145"/>
      <c r="Z755" s="92"/>
      <c r="AA755" s="145"/>
      <c r="AB755" s="92"/>
      <c r="AC755" s="145"/>
      <c r="AD755" s="92"/>
      <c r="AE755" s="145"/>
      <c r="AF755" s="182" t="str">
        <f t="shared" si="36"/>
        <v/>
      </c>
      <c r="AG755" s="54" t="b">
        <f t="shared" si="37"/>
        <v>0</v>
      </c>
      <c r="AH755" s="145"/>
      <c r="AI755" s="192" t="s">
        <v>6</v>
      </c>
      <c r="AJ755" s="96">
        <f t="shared" si="38"/>
        <v>0</v>
      </c>
      <c r="AK755" s="193" t="s">
        <v>39</v>
      </c>
    </row>
    <row r="756" spans="1:37" ht="30" customHeight="1">
      <c r="A756" s="92"/>
      <c r="B756" s="92"/>
      <c r="C756" s="92"/>
      <c r="D756" s="92"/>
      <c r="E756" s="92"/>
      <c r="F756" s="92"/>
      <c r="G756" s="92"/>
      <c r="H756" s="92"/>
      <c r="I756" s="92"/>
      <c r="J756" s="92"/>
      <c r="K756" s="92"/>
      <c r="L756" s="92"/>
      <c r="M756" s="92"/>
      <c r="N756" s="155"/>
      <c r="O756" s="145"/>
      <c r="P756" s="92"/>
      <c r="Q756" s="145"/>
      <c r="R756" s="92"/>
      <c r="S756" s="145"/>
      <c r="T756" s="92"/>
      <c r="U756" s="145"/>
      <c r="V756" s="92"/>
      <c r="W756" s="145"/>
      <c r="X756" s="92"/>
      <c r="Y756" s="145"/>
      <c r="Z756" s="92"/>
      <c r="AA756" s="145"/>
      <c r="AB756" s="92"/>
      <c r="AC756" s="145"/>
      <c r="AD756" s="92"/>
      <c r="AE756" s="145"/>
      <c r="AF756" s="182" t="str">
        <f t="shared" si="36"/>
        <v/>
      </c>
      <c r="AG756" s="54" t="b">
        <f t="shared" si="37"/>
        <v>0</v>
      </c>
      <c r="AH756" s="145"/>
      <c r="AI756" s="192" t="s">
        <v>6</v>
      </c>
      <c r="AJ756" s="96">
        <f t="shared" si="38"/>
        <v>0</v>
      </c>
      <c r="AK756" s="193" t="s">
        <v>39</v>
      </c>
    </row>
    <row r="757" spans="1:37" ht="30" customHeight="1">
      <c r="A757" s="92"/>
      <c r="B757" s="92"/>
      <c r="C757" s="92"/>
      <c r="D757" s="92"/>
      <c r="E757" s="92"/>
      <c r="F757" s="92"/>
      <c r="G757" s="92"/>
      <c r="H757" s="92"/>
      <c r="I757" s="92"/>
      <c r="J757" s="92"/>
      <c r="K757" s="92"/>
      <c r="L757" s="92"/>
      <c r="M757" s="92"/>
      <c r="N757" s="155"/>
      <c r="O757" s="145"/>
      <c r="P757" s="92"/>
      <c r="Q757" s="145"/>
      <c r="R757" s="92"/>
      <c r="S757" s="145"/>
      <c r="T757" s="92"/>
      <c r="U757" s="145"/>
      <c r="V757" s="92"/>
      <c r="W757" s="145"/>
      <c r="X757" s="92"/>
      <c r="Y757" s="145"/>
      <c r="Z757" s="92"/>
      <c r="AA757" s="145"/>
      <c r="AB757" s="92"/>
      <c r="AC757" s="145"/>
      <c r="AD757" s="92"/>
      <c r="AE757" s="145"/>
      <c r="AF757" s="182" t="str">
        <f t="shared" ref="AF757:AF820" si="39">IF(AND(O757="",Q757="",S757="",U757="",W757="",Y757="",AA757="",AC757=""),"",IF(OR(AND(O757&lt;&gt;"NA",O757&lt;&gt;"C",O757&lt;&gt;"NC",O757&lt;&gt;"SF",O757&lt;&gt;""),AND(Q757&lt;&gt;"NA",Q757&lt;&gt;"C",Q757&lt;&gt;"NC",Q757&lt;&gt;"SF",Q757&lt;&gt;""),AND(S757&lt;&gt;"NA",S757&lt;&gt;"C",S757&lt;&gt;"NC",S757&lt;&gt;"SF",S757&lt;&gt;""),AND(U757&lt;&gt;"NA",U757&lt;&gt;"C",U757&lt;&gt;"NC",U757&lt;&gt;"SF",U757&lt;&gt;""),AND(W757&lt;&gt;"NA",W757&lt;&gt;"C",W757&lt;&gt;"NC",W757&lt;&gt;"SF",W757&lt;&gt;""),AND(Y757&lt;&gt;"NA",Y757&lt;&gt;"C",Y757&lt;&gt;"NC",Y757&lt;&gt;"SF",Y757&lt;&gt;""),AND(AA757&lt;&gt;"NA",AA757&lt;&gt;"C",AA757&lt;&gt;"NC",AA757&lt;&gt;"SF",AA757&lt;&gt;""),AND(AC757&lt;&gt;"NA",AC757&lt;&gt;"C",AC757&lt;&gt;"NC",AC757&lt;&gt;"SF",AC757&lt;&gt;"")),"FALSO",IF(AND(O757="NA",Q757="NA",S757="NA",U757="NA",W757="NA",Y757="NA",AA757="NA",AC757="NA"),"NA",IF(OR(O757="NC",Q757="NC",S757="NC",U757="NC",W757="NC",Y757="NC",AA757="NC",AC757="NC",O757="SF",Q757="SF",S757="SF",U757="SF",W757="SF",Y757="SF",AA757="SF",AC757="SF"),"NC",IF(OR(O757="C",Q757="C",S757="C",U757="C",W757="C",Y757="C",AA757="C",AC757="C"),"C","")))))</f>
        <v/>
      </c>
      <c r="AG757" s="54" t="b">
        <f t="shared" ref="AG757:AG820" si="40">IF(AND(AE757="C",AF757="C"),"UTILIZOU O PDA CORRETAMENTE",IF(AND(AE757="C",AF757="NC"),"UTILIZOU O PDA CORRETAMENTE. NÃO HÁ FOTOS DE TODAS AS ETAPAS",IF(AND(AE757="NC",AF757="NC"),"NÃO UTILIZOU O PDA",IF(AND(AE757="NA",AF757="NA"),"NÃO AVALIADO POR FALHA DE SINCRONISMO"))))</f>
        <v>0</v>
      </c>
      <c r="AH757" s="145"/>
      <c r="AI757" s="192" t="s">
        <v>6</v>
      </c>
      <c r="AJ757" s="96">
        <f t="shared" ref="AJ757:AJ820" si="41">E757</f>
        <v>0</v>
      </c>
      <c r="AK757" s="193" t="s">
        <v>39</v>
      </c>
    </row>
    <row r="758" spans="1:37" ht="30" customHeight="1">
      <c r="A758" s="92"/>
      <c r="B758" s="92"/>
      <c r="C758" s="92"/>
      <c r="D758" s="92"/>
      <c r="E758" s="92"/>
      <c r="F758" s="92"/>
      <c r="G758" s="92"/>
      <c r="H758" s="92"/>
      <c r="I758" s="92"/>
      <c r="J758" s="92"/>
      <c r="K758" s="92"/>
      <c r="L758" s="92"/>
      <c r="M758" s="92"/>
      <c r="N758" s="155"/>
      <c r="O758" s="145"/>
      <c r="P758" s="92"/>
      <c r="Q758" s="145"/>
      <c r="R758" s="92"/>
      <c r="S758" s="145"/>
      <c r="T758" s="92"/>
      <c r="U758" s="145"/>
      <c r="V758" s="92"/>
      <c r="W758" s="145"/>
      <c r="X758" s="92"/>
      <c r="Y758" s="145"/>
      <c r="Z758" s="92"/>
      <c r="AA758" s="145"/>
      <c r="AB758" s="92"/>
      <c r="AC758" s="145"/>
      <c r="AD758" s="92"/>
      <c r="AE758" s="145"/>
      <c r="AF758" s="182" t="str">
        <f t="shared" si="39"/>
        <v/>
      </c>
      <c r="AG758" s="54" t="b">
        <f t="shared" si="40"/>
        <v>0</v>
      </c>
      <c r="AH758" s="145"/>
      <c r="AI758" s="192" t="s">
        <v>6</v>
      </c>
      <c r="AJ758" s="96">
        <f t="shared" si="41"/>
        <v>0</v>
      </c>
      <c r="AK758" s="193" t="s">
        <v>39</v>
      </c>
    </row>
    <row r="759" spans="1:37" ht="30" customHeight="1">
      <c r="A759" s="92"/>
      <c r="B759" s="92"/>
      <c r="C759" s="92"/>
      <c r="D759" s="92"/>
      <c r="E759" s="92"/>
      <c r="F759" s="92"/>
      <c r="G759" s="92"/>
      <c r="H759" s="92"/>
      <c r="I759" s="92"/>
      <c r="J759" s="92"/>
      <c r="K759" s="92"/>
      <c r="L759" s="92"/>
      <c r="M759" s="92"/>
      <c r="N759" s="155"/>
      <c r="O759" s="145"/>
      <c r="P759" s="92"/>
      <c r="Q759" s="145"/>
      <c r="R759" s="92"/>
      <c r="S759" s="145"/>
      <c r="T759" s="92"/>
      <c r="U759" s="145"/>
      <c r="V759" s="92"/>
      <c r="W759" s="145"/>
      <c r="X759" s="92"/>
      <c r="Y759" s="145"/>
      <c r="Z759" s="92"/>
      <c r="AA759" s="145"/>
      <c r="AB759" s="92"/>
      <c r="AC759" s="145"/>
      <c r="AD759" s="92"/>
      <c r="AE759" s="145"/>
      <c r="AF759" s="182" t="str">
        <f t="shared" si="39"/>
        <v/>
      </c>
      <c r="AG759" s="54" t="b">
        <f t="shared" si="40"/>
        <v>0</v>
      </c>
      <c r="AH759" s="145"/>
      <c r="AI759" s="192" t="s">
        <v>6</v>
      </c>
      <c r="AJ759" s="96">
        <f t="shared" si="41"/>
        <v>0</v>
      </c>
      <c r="AK759" s="193" t="s">
        <v>39</v>
      </c>
    </row>
    <row r="760" spans="1:37" ht="30" customHeight="1">
      <c r="A760" s="92"/>
      <c r="B760" s="92"/>
      <c r="C760" s="92"/>
      <c r="D760" s="92"/>
      <c r="E760" s="92"/>
      <c r="F760" s="92"/>
      <c r="G760" s="92"/>
      <c r="H760" s="92"/>
      <c r="I760" s="92"/>
      <c r="J760" s="92"/>
      <c r="K760" s="92"/>
      <c r="L760" s="92"/>
      <c r="M760" s="92"/>
      <c r="N760" s="155"/>
      <c r="O760" s="145"/>
      <c r="P760" s="92"/>
      <c r="Q760" s="145"/>
      <c r="R760" s="92"/>
      <c r="S760" s="145"/>
      <c r="T760" s="92"/>
      <c r="U760" s="145"/>
      <c r="V760" s="92"/>
      <c r="W760" s="145"/>
      <c r="X760" s="92"/>
      <c r="Y760" s="145"/>
      <c r="Z760" s="92"/>
      <c r="AA760" s="145"/>
      <c r="AB760" s="92"/>
      <c r="AC760" s="145"/>
      <c r="AD760" s="92"/>
      <c r="AE760" s="145"/>
      <c r="AF760" s="182" t="str">
        <f t="shared" si="39"/>
        <v/>
      </c>
      <c r="AG760" s="54" t="b">
        <f t="shared" si="40"/>
        <v>0</v>
      </c>
      <c r="AH760" s="145"/>
      <c r="AI760" s="192" t="s">
        <v>6</v>
      </c>
      <c r="AJ760" s="96">
        <f t="shared" si="41"/>
        <v>0</v>
      </c>
      <c r="AK760" s="193" t="s">
        <v>39</v>
      </c>
    </row>
    <row r="761" spans="1:37" ht="30" customHeight="1">
      <c r="A761" s="92"/>
      <c r="B761" s="92"/>
      <c r="C761" s="92"/>
      <c r="D761" s="92"/>
      <c r="E761" s="92"/>
      <c r="F761" s="92"/>
      <c r="G761" s="92"/>
      <c r="H761" s="92"/>
      <c r="I761" s="92"/>
      <c r="J761" s="92"/>
      <c r="K761" s="92"/>
      <c r="L761" s="92"/>
      <c r="M761" s="92"/>
      <c r="N761" s="155"/>
      <c r="O761" s="145"/>
      <c r="P761" s="92"/>
      <c r="Q761" s="145"/>
      <c r="R761" s="92"/>
      <c r="S761" s="145"/>
      <c r="T761" s="92"/>
      <c r="U761" s="145"/>
      <c r="V761" s="92"/>
      <c r="W761" s="145"/>
      <c r="X761" s="92"/>
      <c r="Y761" s="145"/>
      <c r="Z761" s="92"/>
      <c r="AA761" s="145"/>
      <c r="AB761" s="92"/>
      <c r="AC761" s="145"/>
      <c r="AD761" s="92"/>
      <c r="AE761" s="145"/>
      <c r="AF761" s="182" t="str">
        <f t="shared" si="39"/>
        <v/>
      </c>
      <c r="AG761" s="54" t="b">
        <f t="shared" si="40"/>
        <v>0</v>
      </c>
      <c r="AH761" s="145"/>
      <c r="AI761" s="192" t="s">
        <v>6</v>
      </c>
      <c r="AJ761" s="96">
        <f t="shared" si="41"/>
        <v>0</v>
      </c>
      <c r="AK761" s="193" t="s">
        <v>39</v>
      </c>
    </row>
    <row r="762" spans="1:37" ht="30" customHeight="1">
      <c r="A762" s="92"/>
      <c r="B762" s="92"/>
      <c r="C762" s="92"/>
      <c r="D762" s="92"/>
      <c r="E762" s="92"/>
      <c r="F762" s="92"/>
      <c r="G762" s="92"/>
      <c r="H762" s="92"/>
      <c r="I762" s="92"/>
      <c r="J762" s="92"/>
      <c r="K762" s="92"/>
      <c r="L762" s="92"/>
      <c r="M762" s="92"/>
      <c r="N762" s="155"/>
      <c r="O762" s="145"/>
      <c r="P762" s="92"/>
      <c r="Q762" s="145"/>
      <c r="R762" s="92"/>
      <c r="S762" s="145"/>
      <c r="T762" s="92"/>
      <c r="U762" s="145"/>
      <c r="V762" s="92"/>
      <c r="W762" s="145"/>
      <c r="X762" s="92"/>
      <c r="Y762" s="145"/>
      <c r="Z762" s="92"/>
      <c r="AA762" s="145"/>
      <c r="AB762" s="92"/>
      <c r="AC762" s="145"/>
      <c r="AD762" s="92"/>
      <c r="AE762" s="145"/>
      <c r="AF762" s="182" t="str">
        <f t="shared" si="39"/>
        <v/>
      </c>
      <c r="AG762" s="54" t="b">
        <f t="shared" si="40"/>
        <v>0</v>
      </c>
      <c r="AH762" s="145"/>
      <c r="AI762" s="192" t="s">
        <v>6</v>
      </c>
      <c r="AJ762" s="96">
        <f t="shared" si="41"/>
        <v>0</v>
      </c>
      <c r="AK762" s="193" t="s">
        <v>39</v>
      </c>
    </row>
    <row r="763" spans="1:37" ht="30" customHeight="1">
      <c r="A763" s="92"/>
      <c r="B763" s="92"/>
      <c r="C763" s="92"/>
      <c r="D763" s="92"/>
      <c r="E763" s="92"/>
      <c r="F763" s="92"/>
      <c r="G763" s="92"/>
      <c r="H763" s="92"/>
      <c r="I763" s="92"/>
      <c r="J763" s="92"/>
      <c r="K763" s="92"/>
      <c r="L763" s="92"/>
      <c r="M763" s="92"/>
      <c r="N763" s="155"/>
      <c r="O763" s="145"/>
      <c r="P763" s="92"/>
      <c r="Q763" s="145"/>
      <c r="R763" s="92"/>
      <c r="S763" s="145"/>
      <c r="T763" s="92"/>
      <c r="U763" s="145"/>
      <c r="V763" s="92"/>
      <c r="W763" s="145"/>
      <c r="X763" s="92"/>
      <c r="Y763" s="145"/>
      <c r="Z763" s="92"/>
      <c r="AA763" s="145"/>
      <c r="AB763" s="92"/>
      <c r="AC763" s="145"/>
      <c r="AD763" s="92"/>
      <c r="AE763" s="145"/>
      <c r="AF763" s="182" t="str">
        <f t="shared" si="39"/>
        <v/>
      </c>
      <c r="AG763" s="54" t="b">
        <f t="shared" si="40"/>
        <v>0</v>
      </c>
      <c r="AH763" s="145"/>
      <c r="AI763" s="192" t="s">
        <v>6</v>
      </c>
      <c r="AJ763" s="96">
        <f t="shared" si="41"/>
        <v>0</v>
      </c>
      <c r="AK763" s="193" t="s">
        <v>39</v>
      </c>
    </row>
    <row r="764" spans="1:37" ht="30" customHeight="1">
      <c r="A764" s="92"/>
      <c r="B764" s="92"/>
      <c r="C764" s="92"/>
      <c r="D764" s="92"/>
      <c r="E764" s="92"/>
      <c r="F764" s="92"/>
      <c r="G764" s="92"/>
      <c r="H764" s="92"/>
      <c r="I764" s="92"/>
      <c r="J764" s="92"/>
      <c r="K764" s="92"/>
      <c r="L764" s="92"/>
      <c r="M764" s="92"/>
      <c r="N764" s="155"/>
      <c r="O764" s="145"/>
      <c r="P764" s="92"/>
      <c r="Q764" s="145"/>
      <c r="R764" s="92"/>
      <c r="S764" s="145"/>
      <c r="T764" s="92"/>
      <c r="U764" s="145"/>
      <c r="V764" s="92"/>
      <c r="W764" s="145"/>
      <c r="X764" s="92"/>
      <c r="Y764" s="145"/>
      <c r="Z764" s="92"/>
      <c r="AA764" s="145"/>
      <c r="AB764" s="92"/>
      <c r="AC764" s="145"/>
      <c r="AD764" s="92"/>
      <c r="AE764" s="145"/>
      <c r="AF764" s="182" t="str">
        <f t="shared" si="39"/>
        <v/>
      </c>
      <c r="AG764" s="54" t="b">
        <f t="shared" si="40"/>
        <v>0</v>
      </c>
      <c r="AH764" s="145"/>
      <c r="AI764" s="192" t="s">
        <v>6</v>
      </c>
      <c r="AJ764" s="96">
        <f t="shared" si="41"/>
        <v>0</v>
      </c>
      <c r="AK764" s="193" t="s">
        <v>39</v>
      </c>
    </row>
    <row r="765" spans="1:37" ht="30" customHeight="1">
      <c r="A765" s="92"/>
      <c r="B765" s="92"/>
      <c r="C765" s="92"/>
      <c r="D765" s="92"/>
      <c r="E765" s="92"/>
      <c r="F765" s="92"/>
      <c r="G765" s="92"/>
      <c r="H765" s="92"/>
      <c r="I765" s="92"/>
      <c r="J765" s="92"/>
      <c r="K765" s="92"/>
      <c r="L765" s="92"/>
      <c r="M765" s="92"/>
      <c r="N765" s="155"/>
      <c r="O765" s="145"/>
      <c r="P765" s="92"/>
      <c r="Q765" s="145"/>
      <c r="R765" s="92"/>
      <c r="S765" s="145"/>
      <c r="T765" s="92"/>
      <c r="U765" s="145"/>
      <c r="V765" s="92"/>
      <c r="W765" s="145"/>
      <c r="X765" s="92"/>
      <c r="Y765" s="145"/>
      <c r="Z765" s="92"/>
      <c r="AA765" s="145"/>
      <c r="AB765" s="92"/>
      <c r="AC765" s="145"/>
      <c r="AD765" s="92"/>
      <c r="AE765" s="145"/>
      <c r="AF765" s="182" t="str">
        <f t="shared" si="39"/>
        <v/>
      </c>
      <c r="AG765" s="54" t="b">
        <f t="shared" si="40"/>
        <v>0</v>
      </c>
      <c r="AH765" s="145"/>
      <c r="AI765" s="192" t="s">
        <v>6</v>
      </c>
      <c r="AJ765" s="96">
        <f t="shared" si="41"/>
        <v>0</v>
      </c>
      <c r="AK765" s="193" t="s">
        <v>39</v>
      </c>
    </row>
    <row r="766" spans="1:37" ht="30" customHeight="1">
      <c r="A766" s="92"/>
      <c r="B766" s="92"/>
      <c r="C766" s="92"/>
      <c r="D766" s="92"/>
      <c r="E766" s="92"/>
      <c r="F766" s="92"/>
      <c r="G766" s="92"/>
      <c r="H766" s="92"/>
      <c r="I766" s="92"/>
      <c r="J766" s="92"/>
      <c r="K766" s="92"/>
      <c r="L766" s="92"/>
      <c r="M766" s="92"/>
      <c r="N766" s="155"/>
      <c r="O766" s="145"/>
      <c r="P766" s="92"/>
      <c r="Q766" s="145"/>
      <c r="R766" s="92"/>
      <c r="S766" s="145"/>
      <c r="T766" s="92"/>
      <c r="U766" s="145"/>
      <c r="V766" s="92"/>
      <c r="W766" s="145"/>
      <c r="X766" s="92"/>
      <c r="Y766" s="145"/>
      <c r="Z766" s="92"/>
      <c r="AA766" s="145"/>
      <c r="AB766" s="92"/>
      <c r="AC766" s="145"/>
      <c r="AD766" s="92"/>
      <c r="AE766" s="145"/>
      <c r="AF766" s="182" t="str">
        <f t="shared" si="39"/>
        <v/>
      </c>
      <c r="AG766" s="54" t="b">
        <f t="shared" si="40"/>
        <v>0</v>
      </c>
      <c r="AH766" s="145"/>
      <c r="AI766" s="192" t="s">
        <v>6</v>
      </c>
      <c r="AJ766" s="96">
        <f t="shared" si="41"/>
        <v>0</v>
      </c>
      <c r="AK766" s="193" t="s">
        <v>39</v>
      </c>
    </row>
    <row r="767" spans="1:37" ht="30" customHeight="1">
      <c r="A767" s="92"/>
      <c r="B767" s="92"/>
      <c r="C767" s="92"/>
      <c r="D767" s="92"/>
      <c r="E767" s="92"/>
      <c r="F767" s="92"/>
      <c r="G767" s="92"/>
      <c r="H767" s="92"/>
      <c r="I767" s="92"/>
      <c r="J767" s="92"/>
      <c r="K767" s="92"/>
      <c r="L767" s="92"/>
      <c r="M767" s="92"/>
      <c r="N767" s="155"/>
      <c r="O767" s="145"/>
      <c r="P767" s="92"/>
      <c r="Q767" s="145"/>
      <c r="R767" s="92"/>
      <c r="S767" s="145"/>
      <c r="T767" s="92"/>
      <c r="U767" s="145"/>
      <c r="V767" s="92"/>
      <c r="W767" s="145"/>
      <c r="X767" s="92"/>
      <c r="Y767" s="145"/>
      <c r="Z767" s="92"/>
      <c r="AA767" s="145"/>
      <c r="AB767" s="92"/>
      <c r="AC767" s="145"/>
      <c r="AD767" s="92"/>
      <c r="AE767" s="145"/>
      <c r="AF767" s="182" t="str">
        <f t="shared" si="39"/>
        <v/>
      </c>
      <c r="AG767" s="54" t="b">
        <f t="shared" si="40"/>
        <v>0</v>
      </c>
      <c r="AH767" s="145"/>
      <c r="AI767" s="192" t="s">
        <v>6</v>
      </c>
      <c r="AJ767" s="96">
        <f t="shared" si="41"/>
        <v>0</v>
      </c>
      <c r="AK767" s="193" t="s">
        <v>39</v>
      </c>
    </row>
    <row r="768" spans="1:37" ht="30" customHeight="1">
      <c r="A768" s="92"/>
      <c r="B768" s="92"/>
      <c r="C768" s="92"/>
      <c r="D768" s="92"/>
      <c r="E768" s="92"/>
      <c r="F768" s="92"/>
      <c r="G768" s="92"/>
      <c r="H768" s="92"/>
      <c r="I768" s="92"/>
      <c r="J768" s="92"/>
      <c r="K768" s="92"/>
      <c r="L768" s="92"/>
      <c r="M768" s="92"/>
      <c r="N768" s="155"/>
      <c r="O768" s="145"/>
      <c r="P768" s="92"/>
      <c r="Q768" s="145"/>
      <c r="R768" s="92"/>
      <c r="S768" s="145"/>
      <c r="T768" s="92"/>
      <c r="U768" s="145"/>
      <c r="V768" s="92"/>
      <c r="W768" s="145"/>
      <c r="X768" s="92"/>
      <c r="Y768" s="145"/>
      <c r="Z768" s="92"/>
      <c r="AA768" s="145"/>
      <c r="AB768" s="92"/>
      <c r="AC768" s="145"/>
      <c r="AD768" s="92"/>
      <c r="AE768" s="145"/>
      <c r="AF768" s="182" t="str">
        <f t="shared" si="39"/>
        <v/>
      </c>
      <c r="AG768" s="54" t="b">
        <f t="shared" si="40"/>
        <v>0</v>
      </c>
      <c r="AH768" s="145"/>
      <c r="AI768" s="192" t="s">
        <v>6</v>
      </c>
      <c r="AJ768" s="96">
        <f t="shared" si="41"/>
        <v>0</v>
      </c>
      <c r="AK768" s="193" t="s">
        <v>39</v>
      </c>
    </row>
    <row r="769" spans="1:37" ht="30" customHeight="1">
      <c r="A769" s="92"/>
      <c r="B769" s="92"/>
      <c r="C769" s="92"/>
      <c r="D769" s="92"/>
      <c r="E769" s="92"/>
      <c r="F769" s="92"/>
      <c r="G769" s="92"/>
      <c r="H769" s="92"/>
      <c r="I769" s="92"/>
      <c r="J769" s="92"/>
      <c r="K769" s="92"/>
      <c r="L769" s="92"/>
      <c r="M769" s="92"/>
      <c r="N769" s="155"/>
      <c r="O769" s="145"/>
      <c r="P769" s="92"/>
      <c r="Q769" s="145"/>
      <c r="R769" s="92"/>
      <c r="S769" s="145"/>
      <c r="T769" s="92"/>
      <c r="U769" s="145"/>
      <c r="V769" s="92"/>
      <c r="W769" s="145"/>
      <c r="X769" s="92"/>
      <c r="Y769" s="145"/>
      <c r="Z769" s="92"/>
      <c r="AA769" s="145"/>
      <c r="AB769" s="92"/>
      <c r="AC769" s="145"/>
      <c r="AD769" s="92"/>
      <c r="AE769" s="145"/>
      <c r="AF769" s="182" t="str">
        <f t="shared" si="39"/>
        <v/>
      </c>
      <c r="AG769" s="54" t="b">
        <f t="shared" si="40"/>
        <v>0</v>
      </c>
      <c r="AH769" s="145"/>
      <c r="AI769" s="192" t="s">
        <v>6</v>
      </c>
      <c r="AJ769" s="96">
        <f t="shared" si="41"/>
        <v>0</v>
      </c>
      <c r="AK769" s="193" t="s">
        <v>39</v>
      </c>
    </row>
    <row r="770" spans="1:37" ht="30" customHeight="1">
      <c r="A770" s="92"/>
      <c r="B770" s="92"/>
      <c r="C770" s="92"/>
      <c r="D770" s="92"/>
      <c r="E770" s="92"/>
      <c r="F770" s="92"/>
      <c r="G770" s="92"/>
      <c r="H770" s="92"/>
      <c r="I770" s="92"/>
      <c r="J770" s="92"/>
      <c r="K770" s="92"/>
      <c r="L770" s="92"/>
      <c r="M770" s="92"/>
      <c r="N770" s="155"/>
      <c r="O770" s="145"/>
      <c r="P770" s="92"/>
      <c r="Q770" s="145"/>
      <c r="R770" s="92"/>
      <c r="S770" s="145"/>
      <c r="T770" s="92"/>
      <c r="U770" s="145"/>
      <c r="V770" s="92"/>
      <c r="W770" s="145"/>
      <c r="X770" s="92"/>
      <c r="Y770" s="145"/>
      <c r="Z770" s="92"/>
      <c r="AA770" s="145"/>
      <c r="AB770" s="92"/>
      <c r="AC770" s="145"/>
      <c r="AD770" s="92"/>
      <c r="AE770" s="145"/>
      <c r="AF770" s="182" t="str">
        <f t="shared" si="39"/>
        <v/>
      </c>
      <c r="AG770" s="54" t="b">
        <f t="shared" si="40"/>
        <v>0</v>
      </c>
      <c r="AH770" s="145"/>
      <c r="AI770" s="192" t="s">
        <v>6</v>
      </c>
      <c r="AJ770" s="96">
        <f t="shared" si="41"/>
        <v>0</v>
      </c>
      <c r="AK770" s="193" t="s">
        <v>39</v>
      </c>
    </row>
    <row r="771" spans="1:37" ht="30" customHeight="1">
      <c r="A771" s="92"/>
      <c r="B771" s="92"/>
      <c r="C771" s="92"/>
      <c r="D771" s="92"/>
      <c r="E771" s="92"/>
      <c r="F771" s="92"/>
      <c r="G771" s="92"/>
      <c r="H771" s="92"/>
      <c r="I771" s="92"/>
      <c r="J771" s="92"/>
      <c r="K771" s="92"/>
      <c r="L771" s="92"/>
      <c r="M771" s="92"/>
      <c r="N771" s="155"/>
      <c r="O771" s="145"/>
      <c r="P771" s="92"/>
      <c r="Q771" s="145"/>
      <c r="R771" s="92"/>
      <c r="S771" s="145"/>
      <c r="T771" s="92"/>
      <c r="U771" s="145"/>
      <c r="V771" s="92"/>
      <c r="W771" s="145"/>
      <c r="X771" s="92"/>
      <c r="Y771" s="145"/>
      <c r="Z771" s="92"/>
      <c r="AA771" s="145"/>
      <c r="AB771" s="92"/>
      <c r="AC771" s="145"/>
      <c r="AD771" s="92"/>
      <c r="AE771" s="145"/>
      <c r="AF771" s="182" t="str">
        <f t="shared" si="39"/>
        <v/>
      </c>
      <c r="AG771" s="54" t="b">
        <f t="shared" si="40"/>
        <v>0</v>
      </c>
      <c r="AH771" s="145"/>
      <c r="AI771" s="192" t="s">
        <v>6</v>
      </c>
      <c r="AJ771" s="96">
        <f t="shared" si="41"/>
        <v>0</v>
      </c>
      <c r="AK771" s="193" t="s">
        <v>39</v>
      </c>
    </row>
    <row r="772" spans="1:37" ht="30" customHeight="1">
      <c r="A772" s="92"/>
      <c r="B772" s="92"/>
      <c r="C772" s="92"/>
      <c r="D772" s="92"/>
      <c r="E772" s="92"/>
      <c r="F772" s="92"/>
      <c r="G772" s="92"/>
      <c r="H772" s="92"/>
      <c r="I772" s="92"/>
      <c r="J772" s="92"/>
      <c r="K772" s="92"/>
      <c r="L772" s="92"/>
      <c r="M772" s="92"/>
      <c r="N772" s="155"/>
      <c r="O772" s="145"/>
      <c r="P772" s="92"/>
      <c r="Q772" s="145"/>
      <c r="R772" s="92"/>
      <c r="S772" s="145"/>
      <c r="T772" s="92"/>
      <c r="U772" s="145"/>
      <c r="V772" s="92"/>
      <c r="W772" s="145"/>
      <c r="X772" s="92"/>
      <c r="Y772" s="145"/>
      <c r="Z772" s="92"/>
      <c r="AA772" s="145"/>
      <c r="AB772" s="92"/>
      <c r="AC772" s="145"/>
      <c r="AD772" s="92"/>
      <c r="AE772" s="145"/>
      <c r="AF772" s="182" t="str">
        <f t="shared" si="39"/>
        <v/>
      </c>
      <c r="AG772" s="54" t="b">
        <f t="shared" si="40"/>
        <v>0</v>
      </c>
      <c r="AH772" s="145"/>
      <c r="AI772" s="192" t="s">
        <v>6</v>
      </c>
      <c r="AJ772" s="96">
        <f t="shared" si="41"/>
        <v>0</v>
      </c>
      <c r="AK772" s="193" t="s">
        <v>39</v>
      </c>
    </row>
    <row r="773" spans="1:37" ht="30" customHeight="1">
      <c r="A773" s="92"/>
      <c r="B773" s="92"/>
      <c r="C773" s="92"/>
      <c r="D773" s="92"/>
      <c r="E773" s="92"/>
      <c r="F773" s="92"/>
      <c r="G773" s="92"/>
      <c r="H773" s="92"/>
      <c r="I773" s="92"/>
      <c r="J773" s="92"/>
      <c r="K773" s="92"/>
      <c r="L773" s="92"/>
      <c r="M773" s="92"/>
      <c r="N773" s="155"/>
      <c r="O773" s="145"/>
      <c r="P773" s="92"/>
      <c r="Q773" s="145"/>
      <c r="R773" s="92"/>
      <c r="S773" s="145"/>
      <c r="T773" s="92"/>
      <c r="U773" s="145"/>
      <c r="V773" s="92"/>
      <c r="W773" s="145"/>
      <c r="X773" s="92"/>
      <c r="Y773" s="145"/>
      <c r="Z773" s="92"/>
      <c r="AA773" s="145"/>
      <c r="AB773" s="92"/>
      <c r="AC773" s="145"/>
      <c r="AD773" s="92"/>
      <c r="AE773" s="145"/>
      <c r="AF773" s="182" t="str">
        <f t="shared" si="39"/>
        <v/>
      </c>
      <c r="AG773" s="54" t="b">
        <f t="shared" si="40"/>
        <v>0</v>
      </c>
      <c r="AH773" s="145"/>
      <c r="AI773" s="192" t="s">
        <v>6</v>
      </c>
      <c r="AJ773" s="96">
        <f t="shared" si="41"/>
        <v>0</v>
      </c>
      <c r="AK773" s="193" t="s">
        <v>39</v>
      </c>
    </row>
    <row r="774" spans="1:37" ht="30" customHeight="1">
      <c r="A774" s="92"/>
      <c r="B774" s="92"/>
      <c r="C774" s="92"/>
      <c r="D774" s="92"/>
      <c r="E774" s="92"/>
      <c r="F774" s="92"/>
      <c r="G774" s="92"/>
      <c r="H774" s="92"/>
      <c r="I774" s="92"/>
      <c r="J774" s="92"/>
      <c r="K774" s="92"/>
      <c r="L774" s="92"/>
      <c r="M774" s="92"/>
      <c r="N774" s="155"/>
      <c r="O774" s="145"/>
      <c r="P774" s="92"/>
      <c r="Q774" s="145"/>
      <c r="R774" s="92"/>
      <c r="S774" s="145"/>
      <c r="T774" s="92"/>
      <c r="U774" s="145"/>
      <c r="V774" s="92"/>
      <c r="W774" s="145"/>
      <c r="X774" s="92"/>
      <c r="Y774" s="145"/>
      <c r="Z774" s="92"/>
      <c r="AA774" s="145"/>
      <c r="AB774" s="92"/>
      <c r="AC774" s="145"/>
      <c r="AD774" s="92"/>
      <c r="AE774" s="145"/>
      <c r="AF774" s="182" t="str">
        <f t="shared" si="39"/>
        <v/>
      </c>
      <c r="AG774" s="54" t="b">
        <f t="shared" si="40"/>
        <v>0</v>
      </c>
      <c r="AH774" s="145"/>
      <c r="AI774" s="192" t="s">
        <v>6</v>
      </c>
      <c r="AJ774" s="96">
        <f t="shared" si="41"/>
        <v>0</v>
      </c>
      <c r="AK774" s="193" t="s">
        <v>39</v>
      </c>
    </row>
    <row r="775" spans="1:37" ht="30" customHeight="1">
      <c r="A775" s="92"/>
      <c r="B775" s="92"/>
      <c r="C775" s="92"/>
      <c r="D775" s="92"/>
      <c r="E775" s="92"/>
      <c r="F775" s="92"/>
      <c r="G775" s="92"/>
      <c r="H775" s="92"/>
      <c r="I775" s="92"/>
      <c r="J775" s="92"/>
      <c r="K775" s="92"/>
      <c r="L775" s="92"/>
      <c r="M775" s="92"/>
      <c r="N775" s="155"/>
      <c r="O775" s="145"/>
      <c r="P775" s="92"/>
      <c r="Q775" s="145"/>
      <c r="R775" s="92"/>
      <c r="S775" s="145"/>
      <c r="T775" s="92"/>
      <c r="U775" s="145"/>
      <c r="V775" s="92"/>
      <c r="W775" s="145"/>
      <c r="X775" s="92"/>
      <c r="Y775" s="145"/>
      <c r="Z775" s="92"/>
      <c r="AA775" s="145"/>
      <c r="AB775" s="92"/>
      <c r="AC775" s="145"/>
      <c r="AD775" s="92"/>
      <c r="AE775" s="145"/>
      <c r="AF775" s="182" t="str">
        <f t="shared" si="39"/>
        <v/>
      </c>
      <c r="AG775" s="54" t="b">
        <f t="shared" si="40"/>
        <v>0</v>
      </c>
      <c r="AH775" s="145"/>
      <c r="AI775" s="192" t="s">
        <v>6</v>
      </c>
      <c r="AJ775" s="96">
        <f t="shared" si="41"/>
        <v>0</v>
      </c>
      <c r="AK775" s="193" t="s">
        <v>39</v>
      </c>
    </row>
    <row r="776" spans="1:37" ht="30" customHeight="1">
      <c r="A776" s="92"/>
      <c r="B776" s="92"/>
      <c r="C776" s="92"/>
      <c r="D776" s="92"/>
      <c r="E776" s="92"/>
      <c r="F776" s="92"/>
      <c r="G776" s="92"/>
      <c r="H776" s="92"/>
      <c r="I776" s="92"/>
      <c r="J776" s="92"/>
      <c r="K776" s="92"/>
      <c r="L776" s="92"/>
      <c r="M776" s="92"/>
      <c r="N776" s="155"/>
      <c r="O776" s="145"/>
      <c r="P776" s="92"/>
      <c r="Q776" s="145"/>
      <c r="R776" s="92"/>
      <c r="S776" s="145"/>
      <c r="T776" s="92"/>
      <c r="U776" s="145"/>
      <c r="V776" s="92"/>
      <c r="W776" s="145"/>
      <c r="X776" s="92"/>
      <c r="Y776" s="145"/>
      <c r="Z776" s="92"/>
      <c r="AA776" s="145"/>
      <c r="AB776" s="92"/>
      <c r="AC776" s="145"/>
      <c r="AD776" s="92"/>
      <c r="AE776" s="145"/>
      <c r="AF776" s="182" t="str">
        <f t="shared" si="39"/>
        <v/>
      </c>
      <c r="AG776" s="54" t="b">
        <f t="shared" si="40"/>
        <v>0</v>
      </c>
      <c r="AH776" s="145"/>
      <c r="AI776" s="192" t="s">
        <v>6</v>
      </c>
      <c r="AJ776" s="96">
        <f t="shared" si="41"/>
        <v>0</v>
      </c>
      <c r="AK776" s="193" t="s">
        <v>39</v>
      </c>
    </row>
    <row r="777" spans="1:37" ht="30" customHeight="1">
      <c r="A777" s="92"/>
      <c r="B777" s="92"/>
      <c r="C777" s="92"/>
      <c r="D777" s="92"/>
      <c r="E777" s="92"/>
      <c r="F777" s="92"/>
      <c r="G777" s="92"/>
      <c r="H777" s="92"/>
      <c r="I777" s="92"/>
      <c r="J777" s="92"/>
      <c r="K777" s="92"/>
      <c r="L777" s="92"/>
      <c r="M777" s="92"/>
      <c r="N777" s="155"/>
      <c r="O777" s="145"/>
      <c r="P777" s="92"/>
      <c r="Q777" s="145"/>
      <c r="R777" s="92"/>
      <c r="S777" s="145"/>
      <c r="T777" s="92"/>
      <c r="U777" s="145"/>
      <c r="V777" s="92"/>
      <c r="W777" s="145"/>
      <c r="X777" s="92"/>
      <c r="Y777" s="145"/>
      <c r="Z777" s="92"/>
      <c r="AA777" s="145"/>
      <c r="AB777" s="92"/>
      <c r="AC777" s="145"/>
      <c r="AD777" s="92"/>
      <c r="AE777" s="145"/>
      <c r="AF777" s="182" t="str">
        <f t="shared" si="39"/>
        <v/>
      </c>
      <c r="AG777" s="54" t="b">
        <f t="shared" si="40"/>
        <v>0</v>
      </c>
      <c r="AH777" s="145"/>
      <c r="AI777" s="192" t="s">
        <v>6</v>
      </c>
      <c r="AJ777" s="96">
        <f t="shared" si="41"/>
        <v>0</v>
      </c>
      <c r="AK777" s="193" t="s">
        <v>39</v>
      </c>
    </row>
    <row r="778" spans="1:37" ht="30" customHeight="1">
      <c r="A778" s="92"/>
      <c r="B778" s="92"/>
      <c r="C778" s="92"/>
      <c r="D778" s="92"/>
      <c r="E778" s="92"/>
      <c r="F778" s="92"/>
      <c r="G778" s="92"/>
      <c r="H778" s="92"/>
      <c r="I778" s="92"/>
      <c r="J778" s="92"/>
      <c r="K778" s="92"/>
      <c r="L778" s="92"/>
      <c r="M778" s="92"/>
      <c r="N778" s="155"/>
      <c r="O778" s="145"/>
      <c r="P778" s="92"/>
      <c r="Q778" s="145"/>
      <c r="R778" s="92"/>
      <c r="S778" s="145"/>
      <c r="T778" s="92"/>
      <c r="U778" s="145"/>
      <c r="V778" s="92"/>
      <c r="W778" s="145"/>
      <c r="X778" s="92"/>
      <c r="Y778" s="145"/>
      <c r="Z778" s="92"/>
      <c r="AA778" s="145"/>
      <c r="AB778" s="92"/>
      <c r="AC778" s="145"/>
      <c r="AD778" s="92"/>
      <c r="AE778" s="145"/>
      <c r="AF778" s="182" t="str">
        <f t="shared" si="39"/>
        <v/>
      </c>
      <c r="AG778" s="54" t="b">
        <f t="shared" si="40"/>
        <v>0</v>
      </c>
      <c r="AH778" s="145"/>
      <c r="AI778" s="192" t="s">
        <v>6</v>
      </c>
      <c r="AJ778" s="96">
        <f t="shared" si="41"/>
        <v>0</v>
      </c>
      <c r="AK778" s="193" t="s">
        <v>39</v>
      </c>
    </row>
    <row r="779" spans="1:37" ht="30" customHeight="1">
      <c r="A779" s="92"/>
      <c r="B779" s="92"/>
      <c r="C779" s="92"/>
      <c r="D779" s="92"/>
      <c r="E779" s="92"/>
      <c r="F779" s="92"/>
      <c r="G779" s="92"/>
      <c r="H779" s="92"/>
      <c r="I779" s="92"/>
      <c r="J779" s="92"/>
      <c r="K779" s="92"/>
      <c r="L779" s="92"/>
      <c r="M779" s="92"/>
      <c r="N779" s="155"/>
      <c r="O779" s="145"/>
      <c r="P779" s="92"/>
      <c r="Q779" s="145"/>
      <c r="R779" s="92"/>
      <c r="S779" s="145"/>
      <c r="T779" s="92"/>
      <c r="U779" s="145"/>
      <c r="V779" s="92"/>
      <c r="W779" s="145"/>
      <c r="X779" s="92"/>
      <c r="Y779" s="145"/>
      <c r="Z779" s="92"/>
      <c r="AA779" s="145"/>
      <c r="AB779" s="92"/>
      <c r="AC779" s="145"/>
      <c r="AD779" s="92"/>
      <c r="AE779" s="145"/>
      <c r="AF779" s="182" t="str">
        <f t="shared" si="39"/>
        <v/>
      </c>
      <c r="AG779" s="54" t="b">
        <f t="shared" si="40"/>
        <v>0</v>
      </c>
      <c r="AH779" s="145"/>
      <c r="AI779" s="192" t="s">
        <v>6</v>
      </c>
      <c r="AJ779" s="96">
        <f t="shared" si="41"/>
        <v>0</v>
      </c>
      <c r="AK779" s="193" t="s">
        <v>39</v>
      </c>
    </row>
    <row r="780" spans="1:37" ht="30" customHeight="1">
      <c r="A780" s="92"/>
      <c r="B780" s="92"/>
      <c r="C780" s="92"/>
      <c r="D780" s="92"/>
      <c r="E780" s="92"/>
      <c r="F780" s="92"/>
      <c r="G780" s="92"/>
      <c r="H780" s="92"/>
      <c r="I780" s="92"/>
      <c r="J780" s="92"/>
      <c r="K780" s="92"/>
      <c r="L780" s="92"/>
      <c r="M780" s="92"/>
      <c r="N780" s="155"/>
      <c r="O780" s="145"/>
      <c r="P780" s="92"/>
      <c r="Q780" s="145"/>
      <c r="R780" s="92"/>
      <c r="S780" s="145"/>
      <c r="T780" s="92"/>
      <c r="U780" s="145"/>
      <c r="V780" s="92"/>
      <c r="W780" s="145"/>
      <c r="X780" s="92"/>
      <c r="Y780" s="145"/>
      <c r="Z780" s="92"/>
      <c r="AA780" s="145"/>
      <c r="AB780" s="92"/>
      <c r="AC780" s="145"/>
      <c r="AD780" s="92"/>
      <c r="AE780" s="145"/>
      <c r="AF780" s="182" t="str">
        <f t="shared" si="39"/>
        <v/>
      </c>
      <c r="AG780" s="54" t="b">
        <f t="shared" si="40"/>
        <v>0</v>
      </c>
      <c r="AH780" s="145"/>
      <c r="AI780" s="192" t="s">
        <v>6</v>
      </c>
      <c r="AJ780" s="96">
        <f t="shared" si="41"/>
        <v>0</v>
      </c>
      <c r="AK780" s="193" t="s">
        <v>39</v>
      </c>
    </row>
    <row r="781" spans="1:37" ht="30" customHeight="1">
      <c r="A781" s="92"/>
      <c r="B781" s="92"/>
      <c r="C781" s="92"/>
      <c r="D781" s="92"/>
      <c r="E781" s="92"/>
      <c r="F781" s="92"/>
      <c r="G781" s="92"/>
      <c r="H781" s="92"/>
      <c r="I781" s="92"/>
      <c r="J781" s="92"/>
      <c r="K781" s="92"/>
      <c r="L781" s="92"/>
      <c r="M781" s="92"/>
      <c r="N781" s="155"/>
      <c r="O781" s="145"/>
      <c r="P781" s="92"/>
      <c r="Q781" s="145"/>
      <c r="R781" s="92"/>
      <c r="S781" s="145"/>
      <c r="T781" s="92"/>
      <c r="U781" s="145"/>
      <c r="V781" s="92"/>
      <c r="W781" s="145"/>
      <c r="X781" s="92"/>
      <c r="Y781" s="145"/>
      <c r="Z781" s="92"/>
      <c r="AA781" s="145"/>
      <c r="AB781" s="92"/>
      <c r="AC781" s="145"/>
      <c r="AD781" s="92"/>
      <c r="AE781" s="145"/>
      <c r="AF781" s="182" t="str">
        <f t="shared" si="39"/>
        <v/>
      </c>
      <c r="AG781" s="54" t="b">
        <f t="shared" si="40"/>
        <v>0</v>
      </c>
      <c r="AH781" s="145"/>
      <c r="AI781" s="192" t="s">
        <v>6</v>
      </c>
      <c r="AJ781" s="96">
        <f t="shared" si="41"/>
        <v>0</v>
      </c>
      <c r="AK781" s="193" t="s">
        <v>39</v>
      </c>
    </row>
    <row r="782" spans="1:37" ht="30" customHeight="1">
      <c r="A782" s="92"/>
      <c r="B782" s="92"/>
      <c r="C782" s="92"/>
      <c r="D782" s="92"/>
      <c r="E782" s="92"/>
      <c r="F782" s="92"/>
      <c r="G782" s="92"/>
      <c r="H782" s="92"/>
      <c r="I782" s="92"/>
      <c r="J782" s="92"/>
      <c r="K782" s="92"/>
      <c r="L782" s="92"/>
      <c r="M782" s="92"/>
      <c r="N782" s="155"/>
      <c r="O782" s="145"/>
      <c r="P782" s="92"/>
      <c r="Q782" s="145"/>
      <c r="R782" s="92"/>
      <c r="S782" s="145"/>
      <c r="T782" s="92"/>
      <c r="U782" s="145"/>
      <c r="V782" s="92"/>
      <c r="W782" s="145"/>
      <c r="X782" s="92"/>
      <c r="Y782" s="145"/>
      <c r="Z782" s="92"/>
      <c r="AA782" s="145"/>
      <c r="AB782" s="92"/>
      <c r="AC782" s="145"/>
      <c r="AD782" s="92"/>
      <c r="AE782" s="145"/>
      <c r="AF782" s="182" t="str">
        <f t="shared" si="39"/>
        <v/>
      </c>
      <c r="AG782" s="54" t="b">
        <f t="shared" si="40"/>
        <v>0</v>
      </c>
      <c r="AH782" s="145"/>
      <c r="AI782" s="192" t="s">
        <v>6</v>
      </c>
      <c r="AJ782" s="96">
        <f t="shared" si="41"/>
        <v>0</v>
      </c>
      <c r="AK782" s="193" t="s">
        <v>39</v>
      </c>
    </row>
    <row r="783" spans="1:37" ht="30" customHeight="1">
      <c r="A783" s="92"/>
      <c r="B783" s="92"/>
      <c r="C783" s="92"/>
      <c r="D783" s="92"/>
      <c r="E783" s="92"/>
      <c r="F783" s="92"/>
      <c r="G783" s="92"/>
      <c r="H783" s="92"/>
      <c r="I783" s="92"/>
      <c r="J783" s="92"/>
      <c r="K783" s="92"/>
      <c r="L783" s="92"/>
      <c r="M783" s="92"/>
      <c r="N783" s="155"/>
      <c r="O783" s="145"/>
      <c r="P783" s="92"/>
      <c r="Q783" s="145"/>
      <c r="R783" s="92"/>
      <c r="S783" s="145"/>
      <c r="T783" s="92"/>
      <c r="U783" s="145"/>
      <c r="V783" s="92"/>
      <c r="W783" s="145"/>
      <c r="X783" s="92"/>
      <c r="Y783" s="145"/>
      <c r="Z783" s="92"/>
      <c r="AA783" s="145"/>
      <c r="AB783" s="92"/>
      <c r="AC783" s="145"/>
      <c r="AD783" s="92"/>
      <c r="AE783" s="145"/>
      <c r="AF783" s="182" t="str">
        <f t="shared" si="39"/>
        <v/>
      </c>
      <c r="AG783" s="54" t="b">
        <f t="shared" si="40"/>
        <v>0</v>
      </c>
      <c r="AH783" s="145"/>
      <c r="AI783" s="192" t="s">
        <v>6</v>
      </c>
      <c r="AJ783" s="96">
        <f t="shared" si="41"/>
        <v>0</v>
      </c>
      <c r="AK783" s="193" t="s">
        <v>39</v>
      </c>
    </row>
    <row r="784" spans="1:37" ht="30" customHeight="1">
      <c r="A784" s="92"/>
      <c r="B784" s="92"/>
      <c r="C784" s="92"/>
      <c r="D784" s="92"/>
      <c r="E784" s="92"/>
      <c r="F784" s="92"/>
      <c r="G784" s="92"/>
      <c r="H784" s="92"/>
      <c r="I784" s="92"/>
      <c r="J784" s="92"/>
      <c r="K784" s="92"/>
      <c r="L784" s="92"/>
      <c r="M784" s="92"/>
      <c r="N784" s="155"/>
      <c r="O784" s="145"/>
      <c r="P784" s="92"/>
      <c r="Q784" s="145"/>
      <c r="R784" s="92"/>
      <c r="S784" s="145"/>
      <c r="T784" s="92"/>
      <c r="U784" s="145"/>
      <c r="V784" s="92"/>
      <c r="W784" s="145"/>
      <c r="X784" s="92"/>
      <c r="Y784" s="145"/>
      <c r="Z784" s="92"/>
      <c r="AA784" s="145"/>
      <c r="AB784" s="92"/>
      <c r="AC784" s="145"/>
      <c r="AD784" s="92"/>
      <c r="AE784" s="145"/>
      <c r="AF784" s="182" t="str">
        <f t="shared" si="39"/>
        <v/>
      </c>
      <c r="AG784" s="54" t="b">
        <f t="shared" si="40"/>
        <v>0</v>
      </c>
      <c r="AH784" s="145"/>
      <c r="AI784" s="192" t="s">
        <v>6</v>
      </c>
      <c r="AJ784" s="96">
        <f t="shared" si="41"/>
        <v>0</v>
      </c>
      <c r="AK784" s="193" t="s">
        <v>39</v>
      </c>
    </row>
    <row r="785" spans="1:37" ht="30" customHeight="1">
      <c r="A785" s="92"/>
      <c r="B785" s="92"/>
      <c r="C785" s="92"/>
      <c r="D785" s="92"/>
      <c r="E785" s="92"/>
      <c r="F785" s="92"/>
      <c r="G785" s="92"/>
      <c r="H785" s="92"/>
      <c r="I785" s="92"/>
      <c r="J785" s="92"/>
      <c r="K785" s="92"/>
      <c r="L785" s="92"/>
      <c r="M785" s="92"/>
      <c r="N785" s="155"/>
      <c r="O785" s="145"/>
      <c r="P785" s="92"/>
      <c r="Q785" s="145"/>
      <c r="R785" s="92"/>
      <c r="S785" s="145"/>
      <c r="T785" s="92"/>
      <c r="U785" s="145"/>
      <c r="V785" s="92"/>
      <c r="W785" s="145"/>
      <c r="X785" s="92"/>
      <c r="Y785" s="145"/>
      <c r="Z785" s="92"/>
      <c r="AA785" s="145"/>
      <c r="AB785" s="92"/>
      <c r="AC785" s="145"/>
      <c r="AD785" s="92"/>
      <c r="AE785" s="145"/>
      <c r="AF785" s="182" t="str">
        <f t="shared" si="39"/>
        <v/>
      </c>
      <c r="AG785" s="54" t="b">
        <f t="shared" si="40"/>
        <v>0</v>
      </c>
      <c r="AH785" s="145"/>
      <c r="AI785" s="192" t="s">
        <v>6</v>
      </c>
      <c r="AJ785" s="96">
        <f t="shared" si="41"/>
        <v>0</v>
      </c>
      <c r="AK785" s="193" t="s">
        <v>39</v>
      </c>
    </row>
    <row r="786" spans="1:37" ht="30" customHeight="1">
      <c r="A786" s="92"/>
      <c r="B786" s="92"/>
      <c r="C786" s="92"/>
      <c r="D786" s="92"/>
      <c r="E786" s="92"/>
      <c r="F786" s="92"/>
      <c r="G786" s="92"/>
      <c r="H786" s="92"/>
      <c r="I786" s="92"/>
      <c r="J786" s="92"/>
      <c r="K786" s="92"/>
      <c r="L786" s="92"/>
      <c r="M786" s="92"/>
      <c r="N786" s="155"/>
      <c r="O786" s="145"/>
      <c r="P786" s="92"/>
      <c r="Q786" s="145"/>
      <c r="R786" s="92"/>
      <c r="S786" s="145"/>
      <c r="T786" s="92"/>
      <c r="U786" s="145"/>
      <c r="V786" s="92"/>
      <c r="W786" s="145"/>
      <c r="X786" s="92"/>
      <c r="Y786" s="145"/>
      <c r="Z786" s="92"/>
      <c r="AA786" s="145"/>
      <c r="AB786" s="92"/>
      <c r="AC786" s="145"/>
      <c r="AD786" s="92"/>
      <c r="AE786" s="145"/>
      <c r="AF786" s="182" t="str">
        <f t="shared" si="39"/>
        <v/>
      </c>
      <c r="AG786" s="54" t="b">
        <f t="shared" si="40"/>
        <v>0</v>
      </c>
      <c r="AH786" s="145"/>
      <c r="AI786" s="192" t="s">
        <v>6</v>
      </c>
      <c r="AJ786" s="96">
        <f t="shared" si="41"/>
        <v>0</v>
      </c>
      <c r="AK786" s="193" t="s">
        <v>39</v>
      </c>
    </row>
    <row r="787" spans="1:37" ht="30" customHeight="1">
      <c r="A787" s="92"/>
      <c r="B787" s="92"/>
      <c r="C787" s="92"/>
      <c r="D787" s="92"/>
      <c r="E787" s="92"/>
      <c r="F787" s="92"/>
      <c r="G787" s="92"/>
      <c r="H787" s="92"/>
      <c r="I787" s="92"/>
      <c r="J787" s="92"/>
      <c r="K787" s="92"/>
      <c r="L787" s="92"/>
      <c r="M787" s="92"/>
      <c r="N787" s="155"/>
      <c r="O787" s="145"/>
      <c r="P787" s="92"/>
      <c r="Q787" s="145"/>
      <c r="R787" s="92"/>
      <c r="S787" s="145"/>
      <c r="T787" s="92"/>
      <c r="U787" s="145"/>
      <c r="V787" s="92"/>
      <c r="W787" s="145"/>
      <c r="X787" s="92"/>
      <c r="Y787" s="145"/>
      <c r="Z787" s="92"/>
      <c r="AA787" s="145"/>
      <c r="AB787" s="92"/>
      <c r="AC787" s="145"/>
      <c r="AD787" s="92"/>
      <c r="AE787" s="145"/>
      <c r="AF787" s="182" t="str">
        <f t="shared" si="39"/>
        <v/>
      </c>
      <c r="AG787" s="54" t="b">
        <f t="shared" si="40"/>
        <v>0</v>
      </c>
      <c r="AH787" s="145"/>
      <c r="AI787" s="192" t="s">
        <v>6</v>
      </c>
      <c r="AJ787" s="96">
        <f t="shared" si="41"/>
        <v>0</v>
      </c>
      <c r="AK787" s="193" t="s">
        <v>39</v>
      </c>
    </row>
    <row r="788" spans="1:37" ht="30" customHeight="1">
      <c r="A788" s="92"/>
      <c r="B788" s="92"/>
      <c r="C788" s="92"/>
      <c r="D788" s="92"/>
      <c r="E788" s="92"/>
      <c r="F788" s="92"/>
      <c r="G788" s="92"/>
      <c r="H788" s="92"/>
      <c r="I788" s="92"/>
      <c r="J788" s="92"/>
      <c r="K788" s="92"/>
      <c r="L788" s="92"/>
      <c r="M788" s="92"/>
      <c r="N788" s="155"/>
      <c r="O788" s="145"/>
      <c r="P788" s="92"/>
      <c r="Q788" s="145"/>
      <c r="R788" s="92"/>
      <c r="S788" s="145"/>
      <c r="T788" s="92"/>
      <c r="U788" s="145"/>
      <c r="V788" s="92"/>
      <c r="W788" s="145"/>
      <c r="X788" s="92"/>
      <c r="Y788" s="145"/>
      <c r="Z788" s="92"/>
      <c r="AA788" s="145"/>
      <c r="AB788" s="92"/>
      <c r="AC788" s="145"/>
      <c r="AD788" s="92"/>
      <c r="AE788" s="145"/>
      <c r="AF788" s="182" t="str">
        <f t="shared" si="39"/>
        <v/>
      </c>
      <c r="AG788" s="54" t="b">
        <f t="shared" si="40"/>
        <v>0</v>
      </c>
      <c r="AH788" s="145"/>
      <c r="AI788" s="192" t="s">
        <v>6</v>
      </c>
      <c r="AJ788" s="96">
        <f t="shared" si="41"/>
        <v>0</v>
      </c>
      <c r="AK788" s="193" t="s">
        <v>39</v>
      </c>
    </row>
    <row r="789" spans="1:37" ht="30" customHeight="1">
      <c r="A789" s="92"/>
      <c r="B789" s="92"/>
      <c r="C789" s="92"/>
      <c r="D789" s="92"/>
      <c r="E789" s="92"/>
      <c r="F789" s="92"/>
      <c r="G789" s="92"/>
      <c r="H789" s="92"/>
      <c r="I789" s="92"/>
      <c r="J789" s="92"/>
      <c r="K789" s="92"/>
      <c r="L789" s="92"/>
      <c r="M789" s="92"/>
      <c r="N789" s="155"/>
      <c r="O789" s="145"/>
      <c r="P789" s="92"/>
      <c r="Q789" s="145"/>
      <c r="R789" s="92"/>
      <c r="S789" s="145"/>
      <c r="T789" s="92"/>
      <c r="U789" s="145"/>
      <c r="V789" s="92"/>
      <c r="W789" s="145"/>
      <c r="X789" s="92"/>
      <c r="Y789" s="145"/>
      <c r="Z789" s="92"/>
      <c r="AA789" s="145"/>
      <c r="AB789" s="92"/>
      <c r="AC789" s="145"/>
      <c r="AD789" s="92"/>
      <c r="AE789" s="145"/>
      <c r="AF789" s="182" t="str">
        <f t="shared" si="39"/>
        <v/>
      </c>
      <c r="AG789" s="54" t="b">
        <f t="shared" si="40"/>
        <v>0</v>
      </c>
      <c r="AH789" s="145"/>
      <c r="AI789" s="192" t="s">
        <v>6</v>
      </c>
      <c r="AJ789" s="96">
        <f t="shared" si="41"/>
        <v>0</v>
      </c>
      <c r="AK789" s="193" t="s">
        <v>39</v>
      </c>
    </row>
    <row r="790" spans="1:37" ht="30" customHeight="1">
      <c r="A790" s="92"/>
      <c r="B790" s="92"/>
      <c r="C790" s="92"/>
      <c r="D790" s="92"/>
      <c r="E790" s="92"/>
      <c r="F790" s="92"/>
      <c r="G790" s="92"/>
      <c r="H790" s="92"/>
      <c r="I790" s="92"/>
      <c r="J790" s="92"/>
      <c r="K790" s="92"/>
      <c r="L790" s="92"/>
      <c r="M790" s="92"/>
      <c r="N790" s="155"/>
      <c r="O790" s="145"/>
      <c r="P790" s="92"/>
      <c r="Q790" s="145"/>
      <c r="R790" s="92"/>
      <c r="S790" s="145"/>
      <c r="T790" s="92"/>
      <c r="U790" s="145"/>
      <c r="V790" s="92"/>
      <c r="W790" s="145"/>
      <c r="X790" s="92"/>
      <c r="Y790" s="145"/>
      <c r="Z790" s="92"/>
      <c r="AA790" s="145"/>
      <c r="AB790" s="92"/>
      <c r="AC790" s="145"/>
      <c r="AD790" s="92"/>
      <c r="AE790" s="145"/>
      <c r="AF790" s="182" t="str">
        <f t="shared" si="39"/>
        <v/>
      </c>
      <c r="AG790" s="54" t="b">
        <f t="shared" si="40"/>
        <v>0</v>
      </c>
      <c r="AH790" s="145"/>
      <c r="AI790" s="192" t="s">
        <v>6</v>
      </c>
      <c r="AJ790" s="96">
        <f t="shared" si="41"/>
        <v>0</v>
      </c>
      <c r="AK790" s="193" t="s">
        <v>39</v>
      </c>
    </row>
    <row r="791" spans="1:37" ht="30" customHeight="1">
      <c r="A791" s="92"/>
      <c r="B791" s="92"/>
      <c r="C791" s="92"/>
      <c r="D791" s="92"/>
      <c r="E791" s="92"/>
      <c r="F791" s="92"/>
      <c r="G791" s="92"/>
      <c r="H791" s="92"/>
      <c r="I791" s="92"/>
      <c r="J791" s="92"/>
      <c r="K791" s="92"/>
      <c r="L791" s="92"/>
      <c r="M791" s="92"/>
      <c r="N791" s="155"/>
      <c r="O791" s="145"/>
      <c r="P791" s="92"/>
      <c r="Q791" s="145"/>
      <c r="R791" s="92"/>
      <c r="S791" s="145"/>
      <c r="T791" s="92"/>
      <c r="U791" s="145"/>
      <c r="V791" s="92"/>
      <c r="W791" s="145"/>
      <c r="X791" s="92"/>
      <c r="Y791" s="145"/>
      <c r="Z791" s="92"/>
      <c r="AA791" s="145"/>
      <c r="AB791" s="92"/>
      <c r="AC791" s="145"/>
      <c r="AD791" s="92"/>
      <c r="AE791" s="145"/>
      <c r="AF791" s="182" t="str">
        <f t="shared" si="39"/>
        <v/>
      </c>
      <c r="AG791" s="54" t="b">
        <f t="shared" si="40"/>
        <v>0</v>
      </c>
      <c r="AH791" s="145"/>
      <c r="AI791" s="192" t="s">
        <v>6</v>
      </c>
      <c r="AJ791" s="96">
        <f t="shared" si="41"/>
        <v>0</v>
      </c>
      <c r="AK791" s="193" t="s">
        <v>39</v>
      </c>
    </row>
    <row r="792" spans="1:37" ht="30" customHeight="1">
      <c r="A792" s="92"/>
      <c r="B792" s="92"/>
      <c r="C792" s="92"/>
      <c r="D792" s="92"/>
      <c r="E792" s="92"/>
      <c r="F792" s="92"/>
      <c r="G792" s="92"/>
      <c r="H792" s="92"/>
      <c r="I792" s="92"/>
      <c r="J792" s="92"/>
      <c r="K792" s="92"/>
      <c r="L792" s="92"/>
      <c r="M792" s="92"/>
      <c r="N792" s="155"/>
      <c r="O792" s="145"/>
      <c r="P792" s="92"/>
      <c r="Q792" s="145"/>
      <c r="R792" s="92"/>
      <c r="S792" s="145"/>
      <c r="T792" s="92"/>
      <c r="U792" s="145"/>
      <c r="V792" s="92"/>
      <c r="W792" s="145"/>
      <c r="X792" s="92"/>
      <c r="Y792" s="145"/>
      <c r="Z792" s="92"/>
      <c r="AA792" s="145"/>
      <c r="AB792" s="92"/>
      <c r="AC792" s="145"/>
      <c r="AD792" s="92"/>
      <c r="AE792" s="145"/>
      <c r="AF792" s="182" t="str">
        <f t="shared" si="39"/>
        <v/>
      </c>
      <c r="AG792" s="54" t="b">
        <f t="shared" si="40"/>
        <v>0</v>
      </c>
      <c r="AH792" s="145"/>
      <c r="AI792" s="192" t="s">
        <v>6</v>
      </c>
      <c r="AJ792" s="96">
        <f t="shared" si="41"/>
        <v>0</v>
      </c>
      <c r="AK792" s="193" t="s">
        <v>39</v>
      </c>
    </row>
    <row r="793" spans="1:37" ht="30" customHeight="1">
      <c r="A793" s="92"/>
      <c r="B793" s="92"/>
      <c r="C793" s="92"/>
      <c r="D793" s="92"/>
      <c r="E793" s="92"/>
      <c r="F793" s="92"/>
      <c r="G793" s="92"/>
      <c r="H793" s="92"/>
      <c r="I793" s="92"/>
      <c r="J793" s="92"/>
      <c r="K793" s="92"/>
      <c r="L793" s="92"/>
      <c r="M793" s="92"/>
      <c r="N793" s="155"/>
      <c r="O793" s="145"/>
      <c r="P793" s="92"/>
      <c r="Q793" s="145"/>
      <c r="R793" s="92"/>
      <c r="S793" s="145"/>
      <c r="T793" s="92"/>
      <c r="U793" s="145"/>
      <c r="V793" s="92"/>
      <c r="W793" s="145"/>
      <c r="X793" s="92"/>
      <c r="Y793" s="145"/>
      <c r="Z793" s="92"/>
      <c r="AA793" s="145"/>
      <c r="AB793" s="92"/>
      <c r="AC793" s="145"/>
      <c r="AD793" s="92"/>
      <c r="AE793" s="145"/>
      <c r="AF793" s="182" t="str">
        <f t="shared" si="39"/>
        <v/>
      </c>
      <c r="AG793" s="54" t="b">
        <f t="shared" si="40"/>
        <v>0</v>
      </c>
      <c r="AH793" s="145"/>
      <c r="AI793" s="192" t="s">
        <v>6</v>
      </c>
      <c r="AJ793" s="96">
        <f t="shared" si="41"/>
        <v>0</v>
      </c>
      <c r="AK793" s="193" t="s">
        <v>39</v>
      </c>
    </row>
    <row r="794" spans="1:37" ht="30" customHeight="1">
      <c r="A794" s="92"/>
      <c r="B794" s="92"/>
      <c r="C794" s="92"/>
      <c r="D794" s="92"/>
      <c r="E794" s="92"/>
      <c r="F794" s="92"/>
      <c r="G794" s="92"/>
      <c r="H794" s="92"/>
      <c r="I794" s="92"/>
      <c r="J794" s="92"/>
      <c r="K794" s="92"/>
      <c r="L794" s="92"/>
      <c r="M794" s="92"/>
      <c r="N794" s="155"/>
      <c r="O794" s="145"/>
      <c r="P794" s="92"/>
      <c r="Q794" s="145"/>
      <c r="R794" s="92"/>
      <c r="S794" s="145"/>
      <c r="T794" s="92"/>
      <c r="U794" s="145"/>
      <c r="V794" s="92"/>
      <c r="W794" s="145"/>
      <c r="X794" s="92"/>
      <c r="Y794" s="145"/>
      <c r="Z794" s="92"/>
      <c r="AA794" s="145"/>
      <c r="AB794" s="92"/>
      <c r="AC794" s="145"/>
      <c r="AD794" s="92"/>
      <c r="AE794" s="145"/>
      <c r="AF794" s="182" t="str">
        <f t="shared" si="39"/>
        <v/>
      </c>
      <c r="AG794" s="54" t="b">
        <f t="shared" si="40"/>
        <v>0</v>
      </c>
      <c r="AH794" s="145"/>
      <c r="AI794" s="192" t="s">
        <v>6</v>
      </c>
      <c r="AJ794" s="96">
        <f t="shared" si="41"/>
        <v>0</v>
      </c>
      <c r="AK794" s="193" t="s">
        <v>39</v>
      </c>
    </row>
    <row r="795" spans="1:37" ht="30" customHeight="1">
      <c r="A795" s="92"/>
      <c r="B795" s="92"/>
      <c r="C795" s="92"/>
      <c r="D795" s="92"/>
      <c r="E795" s="92"/>
      <c r="F795" s="92"/>
      <c r="G795" s="92"/>
      <c r="H795" s="92"/>
      <c r="I795" s="92"/>
      <c r="J795" s="92"/>
      <c r="K795" s="92"/>
      <c r="L795" s="92"/>
      <c r="M795" s="92"/>
      <c r="N795" s="155"/>
      <c r="O795" s="145"/>
      <c r="P795" s="92"/>
      <c r="Q795" s="145"/>
      <c r="R795" s="92"/>
      <c r="S795" s="145"/>
      <c r="T795" s="92"/>
      <c r="U795" s="145"/>
      <c r="V795" s="92"/>
      <c r="W795" s="145"/>
      <c r="X795" s="92"/>
      <c r="Y795" s="145"/>
      <c r="Z795" s="92"/>
      <c r="AA795" s="145"/>
      <c r="AB795" s="92"/>
      <c r="AC795" s="145"/>
      <c r="AD795" s="92"/>
      <c r="AE795" s="145"/>
      <c r="AF795" s="182" t="str">
        <f t="shared" si="39"/>
        <v/>
      </c>
      <c r="AG795" s="54" t="b">
        <f t="shared" si="40"/>
        <v>0</v>
      </c>
      <c r="AH795" s="145"/>
      <c r="AI795" s="192" t="s">
        <v>6</v>
      </c>
      <c r="AJ795" s="96">
        <f t="shared" si="41"/>
        <v>0</v>
      </c>
      <c r="AK795" s="193" t="s">
        <v>39</v>
      </c>
    </row>
    <row r="796" spans="1:37" ht="30" customHeight="1">
      <c r="A796" s="92"/>
      <c r="B796" s="92"/>
      <c r="C796" s="92"/>
      <c r="D796" s="92"/>
      <c r="E796" s="92"/>
      <c r="F796" s="92"/>
      <c r="G796" s="92"/>
      <c r="H796" s="92"/>
      <c r="I796" s="92"/>
      <c r="J796" s="92"/>
      <c r="K796" s="92"/>
      <c r="L796" s="92"/>
      <c r="M796" s="92"/>
      <c r="N796" s="155"/>
      <c r="O796" s="145"/>
      <c r="P796" s="92"/>
      <c r="Q796" s="145"/>
      <c r="R796" s="92"/>
      <c r="S796" s="145"/>
      <c r="T796" s="92"/>
      <c r="U796" s="145"/>
      <c r="V796" s="92"/>
      <c r="W796" s="145"/>
      <c r="X796" s="92"/>
      <c r="Y796" s="145"/>
      <c r="Z796" s="92"/>
      <c r="AA796" s="145"/>
      <c r="AB796" s="92"/>
      <c r="AC796" s="145"/>
      <c r="AD796" s="92"/>
      <c r="AE796" s="145"/>
      <c r="AF796" s="182" t="str">
        <f t="shared" si="39"/>
        <v/>
      </c>
      <c r="AG796" s="54" t="b">
        <f t="shared" si="40"/>
        <v>0</v>
      </c>
      <c r="AH796" s="145"/>
      <c r="AI796" s="192" t="s">
        <v>6</v>
      </c>
      <c r="AJ796" s="96">
        <f t="shared" si="41"/>
        <v>0</v>
      </c>
      <c r="AK796" s="193" t="s">
        <v>39</v>
      </c>
    </row>
    <row r="797" spans="1:37" ht="30" customHeight="1">
      <c r="A797" s="92"/>
      <c r="B797" s="92"/>
      <c r="C797" s="92"/>
      <c r="D797" s="92"/>
      <c r="E797" s="92"/>
      <c r="F797" s="92"/>
      <c r="G797" s="92"/>
      <c r="H797" s="92"/>
      <c r="I797" s="92"/>
      <c r="J797" s="92"/>
      <c r="K797" s="92"/>
      <c r="L797" s="92"/>
      <c r="M797" s="92"/>
      <c r="N797" s="155"/>
      <c r="O797" s="145"/>
      <c r="P797" s="92"/>
      <c r="Q797" s="145"/>
      <c r="R797" s="92"/>
      <c r="S797" s="145"/>
      <c r="T797" s="92"/>
      <c r="U797" s="145"/>
      <c r="V797" s="92"/>
      <c r="W797" s="145"/>
      <c r="X797" s="92"/>
      <c r="Y797" s="145"/>
      <c r="Z797" s="92"/>
      <c r="AA797" s="145"/>
      <c r="AB797" s="92"/>
      <c r="AC797" s="145"/>
      <c r="AD797" s="92"/>
      <c r="AE797" s="145"/>
      <c r="AF797" s="182" t="str">
        <f t="shared" si="39"/>
        <v/>
      </c>
      <c r="AG797" s="54" t="b">
        <f t="shared" si="40"/>
        <v>0</v>
      </c>
      <c r="AH797" s="145"/>
      <c r="AI797" s="192" t="s">
        <v>6</v>
      </c>
      <c r="AJ797" s="96">
        <f t="shared" si="41"/>
        <v>0</v>
      </c>
      <c r="AK797" s="193" t="s">
        <v>39</v>
      </c>
    </row>
    <row r="798" spans="1:37" ht="30" customHeight="1">
      <c r="A798" s="92"/>
      <c r="B798" s="92"/>
      <c r="C798" s="92"/>
      <c r="D798" s="92"/>
      <c r="E798" s="92"/>
      <c r="F798" s="92"/>
      <c r="G798" s="92"/>
      <c r="H798" s="92"/>
      <c r="I798" s="92"/>
      <c r="J798" s="92"/>
      <c r="K798" s="92"/>
      <c r="L798" s="92"/>
      <c r="M798" s="92"/>
      <c r="N798" s="155"/>
      <c r="O798" s="145"/>
      <c r="P798" s="92"/>
      <c r="Q798" s="145"/>
      <c r="R798" s="92"/>
      <c r="S798" s="145"/>
      <c r="T798" s="92"/>
      <c r="U798" s="145"/>
      <c r="V798" s="92"/>
      <c r="W798" s="145"/>
      <c r="X798" s="92"/>
      <c r="Y798" s="145"/>
      <c r="Z798" s="92"/>
      <c r="AA798" s="145"/>
      <c r="AB798" s="92"/>
      <c r="AC798" s="145"/>
      <c r="AD798" s="92"/>
      <c r="AE798" s="145"/>
      <c r="AF798" s="182" t="str">
        <f t="shared" si="39"/>
        <v/>
      </c>
      <c r="AG798" s="54" t="b">
        <f t="shared" si="40"/>
        <v>0</v>
      </c>
      <c r="AH798" s="145"/>
      <c r="AI798" s="192" t="s">
        <v>6</v>
      </c>
      <c r="AJ798" s="96">
        <f t="shared" si="41"/>
        <v>0</v>
      </c>
      <c r="AK798" s="193" t="s">
        <v>39</v>
      </c>
    </row>
    <row r="799" spans="1:37" ht="30" customHeight="1">
      <c r="A799" s="92"/>
      <c r="B799" s="92"/>
      <c r="C799" s="92"/>
      <c r="D799" s="92"/>
      <c r="E799" s="92"/>
      <c r="F799" s="92"/>
      <c r="G799" s="92"/>
      <c r="H799" s="92"/>
      <c r="I799" s="92"/>
      <c r="J799" s="92"/>
      <c r="K799" s="92"/>
      <c r="L799" s="92"/>
      <c r="M799" s="92"/>
      <c r="N799" s="155"/>
      <c r="O799" s="145"/>
      <c r="P799" s="92"/>
      <c r="Q799" s="145"/>
      <c r="R799" s="92"/>
      <c r="S799" s="145"/>
      <c r="T799" s="92"/>
      <c r="U799" s="145"/>
      <c r="V799" s="92"/>
      <c r="W799" s="145"/>
      <c r="X799" s="92"/>
      <c r="Y799" s="145"/>
      <c r="Z799" s="92"/>
      <c r="AA799" s="145"/>
      <c r="AB799" s="92"/>
      <c r="AC799" s="145"/>
      <c r="AD799" s="92"/>
      <c r="AE799" s="145"/>
      <c r="AF799" s="182" t="str">
        <f t="shared" si="39"/>
        <v/>
      </c>
      <c r="AG799" s="54" t="b">
        <f t="shared" si="40"/>
        <v>0</v>
      </c>
      <c r="AH799" s="145"/>
      <c r="AI799" s="192" t="s">
        <v>6</v>
      </c>
      <c r="AJ799" s="96">
        <f t="shared" si="41"/>
        <v>0</v>
      </c>
      <c r="AK799" s="193" t="s">
        <v>39</v>
      </c>
    </row>
    <row r="800" spans="1:37" ht="30" customHeight="1">
      <c r="A800" s="92"/>
      <c r="B800" s="92"/>
      <c r="C800" s="92"/>
      <c r="D800" s="92"/>
      <c r="E800" s="92"/>
      <c r="F800" s="92"/>
      <c r="G800" s="92"/>
      <c r="H800" s="92"/>
      <c r="I800" s="92"/>
      <c r="J800" s="92"/>
      <c r="K800" s="92"/>
      <c r="L800" s="92"/>
      <c r="M800" s="92"/>
      <c r="N800" s="155"/>
      <c r="O800" s="145"/>
      <c r="P800" s="92"/>
      <c r="Q800" s="145"/>
      <c r="R800" s="92"/>
      <c r="S800" s="145"/>
      <c r="T800" s="92"/>
      <c r="U800" s="145"/>
      <c r="V800" s="92"/>
      <c r="W800" s="145"/>
      <c r="X800" s="92"/>
      <c r="Y800" s="145"/>
      <c r="Z800" s="92"/>
      <c r="AA800" s="145"/>
      <c r="AB800" s="92"/>
      <c r="AC800" s="145"/>
      <c r="AD800" s="92"/>
      <c r="AE800" s="145"/>
      <c r="AF800" s="182" t="str">
        <f t="shared" si="39"/>
        <v/>
      </c>
      <c r="AG800" s="54" t="b">
        <f t="shared" si="40"/>
        <v>0</v>
      </c>
      <c r="AH800" s="145"/>
      <c r="AI800" s="192" t="s">
        <v>6</v>
      </c>
      <c r="AJ800" s="96">
        <f t="shared" si="41"/>
        <v>0</v>
      </c>
      <c r="AK800" s="193" t="s">
        <v>39</v>
      </c>
    </row>
    <row r="801" spans="1:37" ht="30" customHeight="1">
      <c r="A801" s="92"/>
      <c r="B801" s="92"/>
      <c r="C801" s="92"/>
      <c r="D801" s="92"/>
      <c r="E801" s="92"/>
      <c r="F801" s="92"/>
      <c r="G801" s="92"/>
      <c r="H801" s="92"/>
      <c r="I801" s="92"/>
      <c r="J801" s="92"/>
      <c r="K801" s="92"/>
      <c r="L801" s="92"/>
      <c r="M801" s="92"/>
      <c r="N801" s="155"/>
      <c r="O801" s="145"/>
      <c r="P801" s="92"/>
      <c r="Q801" s="145"/>
      <c r="R801" s="92"/>
      <c r="S801" s="145"/>
      <c r="T801" s="92"/>
      <c r="U801" s="145"/>
      <c r="V801" s="92"/>
      <c r="W801" s="145"/>
      <c r="X801" s="92"/>
      <c r="Y801" s="145"/>
      <c r="Z801" s="92"/>
      <c r="AA801" s="145"/>
      <c r="AB801" s="92"/>
      <c r="AC801" s="145"/>
      <c r="AD801" s="92"/>
      <c r="AE801" s="145"/>
      <c r="AF801" s="182" t="str">
        <f t="shared" si="39"/>
        <v/>
      </c>
      <c r="AG801" s="54" t="b">
        <f t="shared" si="40"/>
        <v>0</v>
      </c>
      <c r="AH801" s="145"/>
      <c r="AI801" s="192" t="s">
        <v>6</v>
      </c>
      <c r="AJ801" s="96">
        <f t="shared" si="41"/>
        <v>0</v>
      </c>
      <c r="AK801" s="193" t="s">
        <v>39</v>
      </c>
    </row>
    <row r="802" spans="1:37" ht="30" customHeight="1">
      <c r="A802" s="92"/>
      <c r="B802" s="92"/>
      <c r="C802" s="92"/>
      <c r="D802" s="92"/>
      <c r="E802" s="92"/>
      <c r="F802" s="92"/>
      <c r="G802" s="92"/>
      <c r="H802" s="92"/>
      <c r="I802" s="92"/>
      <c r="J802" s="92"/>
      <c r="K802" s="92"/>
      <c r="L802" s="92"/>
      <c r="M802" s="92"/>
      <c r="N802" s="155"/>
      <c r="O802" s="145"/>
      <c r="P802" s="92"/>
      <c r="Q802" s="145"/>
      <c r="R802" s="92"/>
      <c r="S802" s="145"/>
      <c r="T802" s="92"/>
      <c r="U802" s="145"/>
      <c r="V802" s="92"/>
      <c r="W802" s="145"/>
      <c r="X802" s="92"/>
      <c r="Y802" s="145"/>
      <c r="Z802" s="92"/>
      <c r="AA802" s="145"/>
      <c r="AB802" s="92"/>
      <c r="AC802" s="145"/>
      <c r="AD802" s="92"/>
      <c r="AE802" s="145"/>
      <c r="AF802" s="182" t="str">
        <f t="shared" si="39"/>
        <v/>
      </c>
      <c r="AG802" s="54" t="b">
        <f t="shared" si="40"/>
        <v>0</v>
      </c>
      <c r="AH802" s="145"/>
      <c r="AI802" s="192" t="s">
        <v>6</v>
      </c>
      <c r="AJ802" s="96">
        <f t="shared" si="41"/>
        <v>0</v>
      </c>
      <c r="AK802" s="193" t="s">
        <v>39</v>
      </c>
    </row>
    <row r="803" spans="1:37" ht="30" customHeight="1">
      <c r="A803" s="92"/>
      <c r="B803" s="92"/>
      <c r="C803" s="92"/>
      <c r="D803" s="92"/>
      <c r="E803" s="92"/>
      <c r="F803" s="92"/>
      <c r="G803" s="92"/>
      <c r="H803" s="92"/>
      <c r="I803" s="92"/>
      <c r="J803" s="92"/>
      <c r="K803" s="92"/>
      <c r="L803" s="92"/>
      <c r="M803" s="92"/>
      <c r="N803" s="155"/>
      <c r="O803" s="145"/>
      <c r="P803" s="92"/>
      <c r="Q803" s="145"/>
      <c r="R803" s="92"/>
      <c r="S803" s="145"/>
      <c r="T803" s="92"/>
      <c r="U803" s="145"/>
      <c r="V803" s="92"/>
      <c r="W803" s="145"/>
      <c r="X803" s="92"/>
      <c r="Y803" s="145"/>
      <c r="Z803" s="92"/>
      <c r="AA803" s="145"/>
      <c r="AB803" s="92"/>
      <c r="AC803" s="145"/>
      <c r="AD803" s="92"/>
      <c r="AE803" s="145"/>
      <c r="AF803" s="182" t="str">
        <f t="shared" si="39"/>
        <v/>
      </c>
      <c r="AG803" s="54" t="b">
        <f t="shared" si="40"/>
        <v>0</v>
      </c>
      <c r="AH803" s="145"/>
      <c r="AI803" s="192" t="s">
        <v>6</v>
      </c>
      <c r="AJ803" s="96">
        <f t="shared" si="41"/>
        <v>0</v>
      </c>
      <c r="AK803" s="193" t="s">
        <v>39</v>
      </c>
    </row>
    <row r="804" spans="1:37" ht="30" customHeight="1">
      <c r="A804" s="92"/>
      <c r="B804" s="92"/>
      <c r="C804" s="92"/>
      <c r="D804" s="92"/>
      <c r="E804" s="92"/>
      <c r="F804" s="92"/>
      <c r="G804" s="92"/>
      <c r="H804" s="92"/>
      <c r="I804" s="92"/>
      <c r="J804" s="92"/>
      <c r="K804" s="92"/>
      <c r="L804" s="92"/>
      <c r="M804" s="92"/>
      <c r="N804" s="155"/>
      <c r="O804" s="145"/>
      <c r="P804" s="92"/>
      <c r="Q804" s="145"/>
      <c r="R804" s="92"/>
      <c r="S804" s="145"/>
      <c r="T804" s="92"/>
      <c r="U804" s="145"/>
      <c r="V804" s="92"/>
      <c r="W804" s="145"/>
      <c r="X804" s="92"/>
      <c r="Y804" s="145"/>
      <c r="Z804" s="92"/>
      <c r="AA804" s="145"/>
      <c r="AB804" s="92"/>
      <c r="AC804" s="145"/>
      <c r="AD804" s="92"/>
      <c r="AE804" s="145"/>
      <c r="AF804" s="182" t="str">
        <f t="shared" si="39"/>
        <v/>
      </c>
      <c r="AG804" s="54" t="b">
        <f t="shared" si="40"/>
        <v>0</v>
      </c>
      <c r="AH804" s="145"/>
      <c r="AI804" s="192" t="s">
        <v>6</v>
      </c>
      <c r="AJ804" s="96">
        <f t="shared" si="41"/>
        <v>0</v>
      </c>
      <c r="AK804" s="193" t="s">
        <v>39</v>
      </c>
    </row>
    <row r="805" spans="1:37" ht="30" customHeight="1">
      <c r="A805" s="92"/>
      <c r="B805" s="92"/>
      <c r="C805" s="92"/>
      <c r="D805" s="92"/>
      <c r="E805" s="92"/>
      <c r="F805" s="92"/>
      <c r="G805" s="92"/>
      <c r="H805" s="92"/>
      <c r="I805" s="92"/>
      <c r="J805" s="92"/>
      <c r="K805" s="92"/>
      <c r="L805" s="92"/>
      <c r="M805" s="92"/>
      <c r="N805" s="155"/>
      <c r="O805" s="145"/>
      <c r="P805" s="92"/>
      <c r="Q805" s="145"/>
      <c r="R805" s="92"/>
      <c r="S805" s="145"/>
      <c r="T805" s="92"/>
      <c r="U805" s="145"/>
      <c r="V805" s="92"/>
      <c r="W805" s="145"/>
      <c r="X805" s="92"/>
      <c r="Y805" s="145"/>
      <c r="Z805" s="92"/>
      <c r="AA805" s="145"/>
      <c r="AB805" s="92"/>
      <c r="AC805" s="145"/>
      <c r="AD805" s="92"/>
      <c r="AE805" s="145"/>
      <c r="AF805" s="182" t="str">
        <f t="shared" si="39"/>
        <v/>
      </c>
      <c r="AG805" s="54" t="b">
        <f t="shared" si="40"/>
        <v>0</v>
      </c>
      <c r="AH805" s="145"/>
      <c r="AI805" s="192" t="s">
        <v>6</v>
      </c>
      <c r="AJ805" s="96">
        <f t="shared" si="41"/>
        <v>0</v>
      </c>
      <c r="AK805" s="193" t="s">
        <v>39</v>
      </c>
    </row>
    <row r="806" spans="1:37" ht="30" customHeight="1">
      <c r="A806" s="92"/>
      <c r="B806" s="92"/>
      <c r="C806" s="92"/>
      <c r="D806" s="92"/>
      <c r="E806" s="92"/>
      <c r="F806" s="92"/>
      <c r="G806" s="92"/>
      <c r="H806" s="92"/>
      <c r="I806" s="92"/>
      <c r="J806" s="92"/>
      <c r="K806" s="92"/>
      <c r="L806" s="92"/>
      <c r="M806" s="92"/>
      <c r="N806" s="155"/>
      <c r="O806" s="145"/>
      <c r="P806" s="92"/>
      <c r="Q806" s="145"/>
      <c r="R806" s="92"/>
      <c r="S806" s="145"/>
      <c r="T806" s="92"/>
      <c r="U806" s="145"/>
      <c r="V806" s="92"/>
      <c r="W806" s="145"/>
      <c r="X806" s="92"/>
      <c r="Y806" s="145"/>
      <c r="Z806" s="92"/>
      <c r="AA806" s="145"/>
      <c r="AB806" s="92"/>
      <c r="AC806" s="145"/>
      <c r="AD806" s="92"/>
      <c r="AE806" s="145"/>
      <c r="AF806" s="182" t="str">
        <f t="shared" si="39"/>
        <v/>
      </c>
      <c r="AG806" s="54" t="b">
        <f t="shared" si="40"/>
        <v>0</v>
      </c>
      <c r="AH806" s="145"/>
      <c r="AI806" s="192" t="s">
        <v>6</v>
      </c>
      <c r="AJ806" s="96">
        <f t="shared" si="41"/>
        <v>0</v>
      </c>
      <c r="AK806" s="193" t="s">
        <v>39</v>
      </c>
    </row>
    <row r="807" spans="1:37" ht="30" customHeight="1">
      <c r="A807" s="92"/>
      <c r="B807" s="92"/>
      <c r="C807" s="92"/>
      <c r="D807" s="92"/>
      <c r="E807" s="92"/>
      <c r="F807" s="92"/>
      <c r="G807" s="92"/>
      <c r="H807" s="92"/>
      <c r="I807" s="92"/>
      <c r="J807" s="92"/>
      <c r="K807" s="92"/>
      <c r="L807" s="92"/>
      <c r="M807" s="92"/>
      <c r="N807" s="155"/>
      <c r="O807" s="145"/>
      <c r="P807" s="92"/>
      <c r="Q807" s="145"/>
      <c r="R807" s="92"/>
      <c r="S807" s="145"/>
      <c r="T807" s="92"/>
      <c r="U807" s="145"/>
      <c r="V807" s="92"/>
      <c r="W807" s="145"/>
      <c r="X807" s="92"/>
      <c r="Y807" s="145"/>
      <c r="Z807" s="92"/>
      <c r="AA807" s="145"/>
      <c r="AB807" s="92"/>
      <c r="AC807" s="145"/>
      <c r="AD807" s="92"/>
      <c r="AE807" s="145"/>
      <c r="AF807" s="182" t="str">
        <f t="shared" si="39"/>
        <v/>
      </c>
      <c r="AG807" s="54" t="b">
        <f t="shared" si="40"/>
        <v>0</v>
      </c>
      <c r="AH807" s="145"/>
      <c r="AI807" s="192" t="s">
        <v>6</v>
      </c>
      <c r="AJ807" s="96">
        <f t="shared" si="41"/>
        <v>0</v>
      </c>
      <c r="AK807" s="193" t="s">
        <v>39</v>
      </c>
    </row>
    <row r="808" spans="1:37" ht="30" customHeight="1">
      <c r="A808" s="92"/>
      <c r="B808" s="92"/>
      <c r="C808" s="92"/>
      <c r="D808" s="92"/>
      <c r="E808" s="92"/>
      <c r="F808" s="92"/>
      <c r="G808" s="92"/>
      <c r="H808" s="92"/>
      <c r="I808" s="92"/>
      <c r="J808" s="92"/>
      <c r="K808" s="92"/>
      <c r="L808" s="92"/>
      <c r="M808" s="92"/>
      <c r="N808" s="155"/>
      <c r="O808" s="145"/>
      <c r="P808" s="92"/>
      <c r="Q808" s="145"/>
      <c r="R808" s="92"/>
      <c r="S808" s="145"/>
      <c r="T808" s="92"/>
      <c r="U808" s="145"/>
      <c r="V808" s="92"/>
      <c r="W808" s="145"/>
      <c r="X808" s="92"/>
      <c r="Y808" s="145"/>
      <c r="Z808" s="92"/>
      <c r="AA808" s="145"/>
      <c r="AB808" s="92"/>
      <c r="AC808" s="145"/>
      <c r="AD808" s="92"/>
      <c r="AE808" s="145"/>
      <c r="AF808" s="182" t="str">
        <f t="shared" si="39"/>
        <v/>
      </c>
      <c r="AG808" s="54" t="b">
        <f t="shared" si="40"/>
        <v>0</v>
      </c>
      <c r="AH808" s="145"/>
      <c r="AI808" s="192" t="s">
        <v>6</v>
      </c>
      <c r="AJ808" s="96">
        <f t="shared" si="41"/>
        <v>0</v>
      </c>
      <c r="AK808" s="193" t="s">
        <v>39</v>
      </c>
    </row>
    <row r="809" spans="1:37" ht="30" customHeight="1">
      <c r="A809" s="92"/>
      <c r="B809" s="92"/>
      <c r="C809" s="92"/>
      <c r="D809" s="92"/>
      <c r="E809" s="92"/>
      <c r="F809" s="92"/>
      <c r="G809" s="92"/>
      <c r="H809" s="92"/>
      <c r="I809" s="92"/>
      <c r="J809" s="92"/>
      <c r="K809" s="92"/>
      <c r="L809" s="92"/>
      <c r="M809" s="92"/>
      <c r="N809" s="155"/>
      <c r="O809" s="145"/>
      <c r="P809" s="92"/>
      <c r="Q809" s="145"/>
      <c r="R809" s="92"/>
      <c r="S809" s="145"/>
      <c r="T809" s="92"/>
      <c r="U809" s="145"/>
      <c r="V809" s="92"/>
      <c r="W809" s="145"/>
      <c r="X809" s="92"/>
      <c r="Y809" s="145"/>
      <c r="Z809" s="92"/>
      <c r="AA809" s="145"/>
      <c r="AB809" s="92"/>
      <c r="AC809" s="145"/>
      <c r="AD809" s="92"/>
      <c r="AE809" s="145"/>
      <c r="AF809" s="182" t="str">
        <f t="shared" si="39"/>
        <v/>
      </c>
      <c r="AG809" s="54" t="b">
        <f t="shared" si="40"/>
        <v>0</v>
      </c>
      <c r="AH809" s="145"/>
      <c r="AI809" s="192" t="s">
        <v>6</v>
      </c>
      <c r="AJ809" s="96">
        <f t="shared" si="41"/>
        <v>0</v>
      </c>
      <c r="AK809" s="193" t="s">
        <v>39</v>
      </c>
    </row>
    <row r="810" spans="1:37" ht="30" customHeight="1">
      <c r="A810" s="92"/>
      <c r="B810" s="92"/>
      <c r="C810" s="92"/>
      <c r="D810" s="92"/>
      <c r="E810" s="92"/>
      <c r="F810" s="92"/>
      <c r="G810" s="92"/>
      <c r="H810" s="92"/>
      <c r="I810" s="92"/>
      <c r="J810" s="92"/>
      <c r="K810" s="92"/>
      <c r="L810" s="92"/>
      <c r="M810" s="92"/>
      <c r="N810" s="155"/>
      <c r="O810" s="145"/>
      <c r="P810" s="92"/>
      <c r="Q810" s="145"/>
      <c r="R810" s="92"/>
      <c r="S810" s="145"/>
      <c r="T810" s="92"/>
      <c r="U810" s="145"/>
      <c r="V810" s="92"/>
      <c r="W810" s="145"/>
      <c r="X810" s="92"/>
      <c r="Y810" s="145"/>
      <c r="Z810" s="92"/>
      <c r="AA810" s="145"/>
      <c r="AB810" s="92"/>
      <c r="AC810" s="145"/>
      <c r="AD810" s="92"/>
      <c r="AE810" s="145"/>
      <c r="AF810" s="182" t="str">
        <f t="shared" si="39"/>
        <v/>
      </c>
      <c r="AG810" s="54" t="b">
        <f t="shared" si="40"/>
        <v>0</v>
      </c>
      <c r="AH810" s="145"/>
      <c r="AI810" s="192" t="s">
        <v>6</v>
      </c>
      <c r="AJ810" s="96">
        <f t="shared" si="41"/>
        <v>0</v>
      </c>
      <c r="AK810" s="193" t="s">
        <v>39</v>
      </c>
    </row>
    <row r="811" spans="1:37" ht="30" customHeight="1">
      <c r="A811" s="92"/>
      <c r="B811" s="92"/>
      <c r="C811" s="92"/>
      <c r="D811" s="92"/>
      <c r="E811" s="92"/>
      <c r="F811" s="92"/>
      <c r="G811" s="92"/>
      <c r="H811" s="92"/>
      <c r="I811" s="92"/>
      <c r="J811" s="92"/>
      <c r="K811" s="92"/>
      <c r="L811" s="92"/>
      <c r="M811" s="92"/>
      <c r="N811" s="155"/>
      <c r="O811" s="145"/>
      <c r="P811" s="92"/>
      <c r="Q811" s="145"/>
      <c r="R811" s="92"/>
      <c r="S811" s="145"/>
      <c r="T811" s="92"/>
      <c r="U811" s="145"/>
      <c r="V811" s="92"/>
      <c r="W811" s="145"/>
      <c r="X811" s="92"/>
      <c r="Y811" s="145"/>
      <c r="Z811" s="92"/>
      <c r="AA811" s="145"/>
      <c r="AB811" s="92"/>
      <c r="AC811" s="145"/>
      <c r="AD811" s="92"/>
      <c r="AE811" s="145"/>
      <c r="AF811" s="182" t="str">
        <f t="shared" si="39"/>
        <v/>
      </c>
      <c r="AG811" s="54" t="b">
        <f t="shared" si="40"/>
        <v>0</v>
      </c>
      <c r="AH811" s="145"/>
      <c r="AI811" s="192" t="s">
        <v>6</v>
      </c>
      <c r="AJ811" s="96">
        <f t="shared" si="41"/>
        <v>0</v>
      </c>
      <c r="AK811" s="193" t="s">
        <v>39</v>
      </c>
    </row>
    <row r="812" spans="1:37" ht="30" customHeight="1">
      <c r="A812" s="92"/>
      <c r="B812" s="92"/>
      <c r="C812" s="92"/>
      <c r="D812" s="92"/>
      <c r="E812" s="92"/>
      <c r="F812" s="92"/>
      <c r="G812" s="92"/>
      <c r="H812" s="92"/>
      <c r="I812" s="92"/>
      <c r="J812" s="92"/>
      <c r="K812" s="92"/>
      <c r="L812" s="92"/>
      <c r="M812" s="92"/>
      <c r="N812" s="155"/>
      <c r="O812" s="145"/>
      <c r="P812" s="92"/>
      <c r="Q812" s="145"/>
      <c r="R812" s="92"/>
      <c r="S812" s="145"/>
      <c r="T812" s="92"/>
      <c r="U812" s="145"/>
      <c r="V812" s="92"/>
      <c r="W812" s="145"/>
      <c r="X812" s="92"/>
      <c r="Y812" s="145"/>
      <c r="Z812" s="92"/>
      <c r="AA812" s="145"/>
      <c r="AB812" s="92"/>
      <c r="AC812" s="145"/>
      <c r="AD812" s="92"/>
      <c r="AE812" s="145"/>
      <c r="AF812" s="182" t="str">
        <f t="shared" si="39"/>
        <v/>
      </c>
      <c r="AG812" s="54" t="b">
        <f t="shared" si="40"/>
        <v>0</v>
      </c>
      <c r="AH812" s="145"/>
      <c r="AI812" s="192" t="s">
        <v>6</v>
      </c>
      <c r="AJ812" s="96">
        <f t="shared" si="41"/>
        <v>0</v>
      </c>
      <c r="AK812" s="193" t="s">
        <v>39</v>
      </c>
    </row>
    <row r="813" spans="1:37" ht="30" customHeight="1">
      <c r="A813" s="92"/>
      <c r="B813" s="92"/>
      <c r="C813" s="92"/>
      <c r="D813" s="92"/>
      <c r="E813" s="92"/>
      <c r="F813" s="92"/>
      <c r="G813" s="92"/>
      <c r="H813" s="92"/>
      <c r="I813" s="92"/>
      <c r="J813" s="92"/>
      <c r="K813" s="92"/>
      <c r="L813" s="92"/>
      <c r="M813" s="92"/>
      <c r="N813" s="155"/>
      <c r="O813" s="145"/>
      <c r="P813" s="92"/>
      <c r="Q813" s="145"/>
      <c r="R813" s="92"/>
      <c r="S813" s="145"/>
      <c r="T813" s="92"/>
      <c r="U813" s="145"/>
      <c r="V813" s="92"/>
      <c r="W813" s="145"/>
      <c r="X813" s="92"/>
      <c r="Y813" s="145"/>
      <c r="Z813" s="92"/>
      <c r="AA813" s="145"/>
      <c r="AB813" s="92"/>
      <c r="AC813" s="145"/>
      <c r="AD813" s="92"/>
      <c r="AE813" s="145"/>
      <c r="AF813" s="182" t="str">
        <f t="shared" si="39"/>
        <v/>
      </c>
      <c r="AG813" s="54" t="b">
        <f t="shared" si="40"/>
        <v>0</v>
      </c>
      <c r="AH813" s="145"/>
      <c r="AI813" s="192" t="s">
        <v>6</v>
      </c>
      <c r="AJ813" s="96">
        <f t="shared" si="41"/>
        <v>0</v>
      </c>
      <c r="AK813" s="193" t="s">
        <v>39</v>
      </c>
    </row>
    <row r="814" spans="1:37" ht="30" customHeight="1">
      <c r="A814" s="92"/>
      <c r="B814" s="92"/>
      <c r="C814" s="92"/>
      <c r="D814" s="92"/>
      <c r="E814" s="92"/>
      <c r="F814" s="92"/>
      <c r="G814" s="92"/>
      <c r="H814" s="92"/>
      <c r="I814" s="92"/>
      <c r="J814" s="92"/>
      <c r="K814" s="92"/>
      <c r="L814" s="92"/>
      <c r="M814" s="92"/>
      <c r="N814" s="155"/>
      <c r="O814" s="145"/>
      <c r="P814" s="92"/>
      <c r="Q814" s="145"/>
      <c r="R814" s="92"/>
      <c r="S814" s="145"/>
      <c r="T814" s="92"/>
      <c r="U814" s="145"/>
      <c r="V814" s="92"/>
      <c r="W814" s="145"/>
      <c r="X814" s="92"/>
      <c r="Y814" s="145"/>
      <c r="Z814" s="92"/>
      <c r="AA814" s="145"/>
      <c r="AB814" s="92"/>
      <c r="AC814" s="145"/>
      <c r="AD814" s="92"/>
      <c r="AE814" s="145"/>
      <c r="AF814" s="182" t="str">
        <f t="shared" si="39"/>
        <v/>
      </c>
      <c r="AG814" s="54" t="b">
        <f t="shared" si="40"/>
        <v>0</v>
      </c>
      <c r="AH814" s="145"/>
      <c r="AI814" s="192" t="s">
        <v>6</v>
      </c>
      <c r="AJ814" s="96">
        <f t="shared" si="41"/>
        <v>0</v>
      </c>
      <c r="AK814" s="193" t="s">
        <v>39</v>
      </c>
    </row>
    <row r="815" spans="1:37" ht="30" customHeight="1">
      <c r="A815" s="92"/>
      <c r="B815" s="92"/>
      <c r="C815" s="92"/>
      <c r="D815" s="92"/>
      <c r="E815" s="92"/>
      <c r="F815" s="92"/>
      <c r="G815" s="92"/>
      <c r="H815" s="92"/>
      <c r="I815" s="92"/>
      <c r="J815" s="92"/>
      <c r="K815" s="92"/>
      <c r="L815" s="92"/>
      <c r="M815" s="92"/>
      <c r="N815" s="155"/>
      <c r="O815" s="145"/>
      <c r="P815" s="92"/>
      <c r="Q815" s="145"/>
      <c r="R815" s="92"/>
      <c r="S815" s="145"/>
      <c r="T815" s="92"/>
      <c r="U815" s="145"/>
      <c r="V815" s="92"/>
      <c r="W815" s="145"/>
      <c r="X815" s="92"/>
      <c r="Y815" s="145"/>
      <c r="Z815" s="92"/>
      <c r="AA815" s="145"/>
      <c r="AB815" s="92"/>
      <c r="AC815" s="145"/>
      <c r="AD815" s="92"/>
      <c r="AE815" s="145"/>
      <c r="AF815" s="182" t="str">
        <f t="shared" si="39"/>
        <v/>
      </c>
      <c r="AG815" s="54" t="b">
        <f t="shared" si="40"/>
        <v>0</v>
      </c>
      <c r="AH815" s="145"/>
      <c r="AI815" s="192" t="s">
        <v>6</v>
      </c>
      <c r="AJ815" s="96">
        <f t="shared" si="41"/>
        <v>0</v>
      </c>
      <c r="AK815" s="193" t="s">
        <v>39</v>
      </c>
    </row>
    <row r="816" spans="1:37" ht="30" customHeight="1">
      <c r="A816" s="92"/>
      <c r="B816" s="92"/>
      <c r="C816" s="92"/>
      <c r="D816" s="92"/>
      <c r="E816" s="92"/>
      <c r="F816" s="92"/>
      <c r="G816" s="92"/>
      <c r="H816" s="92"/>
      <c r="I816" s="92"/>
      <c r="J816" s="92"/>
      <c r="K816" s="92"/>
      <c r="L816" s="92"/>
      <c r="M816" s="92"/>
      <c r="N816" s="155"/>
      <c r="O816" s="145"/>
      <c r="P816" s="92"/>
      <c r="Q816" s="145"/>
      <c r="R816" s="92"/>
      <c r="S816" s="145"/>
      <c r="T816" s="92"/>
      <c r="U816" s="145"/>
      <c r="V816" s="92"/>
      <c r="W816" s="145"/>
      <c r="X816" s="92"/>
      <c r="Y816" s="145"/>
      <c r="Z816" s="92"/>
      <c r="AA816" s="145"/>
      <c r="AB816" s="92"/>
      <c r="AC816" s="145"/>
      <c r="AD816" s="92"/>
      <c r="AE816" s="145"/>
      <c r="AF816" s="182" t="str">
        <f t="shared" si="39"/>
        <v/>
      </c>
      <c r="AG816" s="54" t="b">
        <f t="shared" si="40"/>
        <v>0</v>
      </c>
      <c r="AH816" s="145"/>
      <c r="AI816" s="192" t="s">
        <v>6</v>
      </c>
      <c r="AJ816" s="96">
        <f t="shared" si="41"/>
        <v>0</v>
      </c>
      <c r="AK816" s="193" t="s">
        <v>39</v>
      </c>
    </row>
    <row r="817" spans="1:37" ht="30" customHeight="1">
      <c r="A817" s="92"/>
      <c r="B817" s="92"/>
      <c r="C817" s="92"/>
      <c r="D817" s="92"/>
      <c r="E817" s="92"/>
      <c r="F817" s="92"/>
      <c r="G817" s="92"/>
      <c r="H817" s="92"/>
      <c r="I817" s="92"/>
      <c r="J817" s="92"/>
      <c r="K817" s="92"/>
      <c r="L817" s="92"/>
      <c r="M817" s="92"/>
      <c r="N817" s="155"/>
      <c r="O817" s="145"/>
      <c r="P817" s="92"/>
      <c r="Q817" s="145"/>
      <c r="R817" s="92"/>
      <c r="S817" s="145"/>
      <c r="T817" s="92"/>
      <c r="U817" s="145"/>
      <c r="V817" s="92"/>
      <c r="W817" s="145"/>
      <c r="X817" s="92"/>
      <c r="Y817" s="145"/>
      <c r="Z817" s="92"/>
      <c r="AA817" s="145"/>
      <c r="AB817" s="92"/>
      <c r="AC817" s="145"/>
      <c r="AD817" s="92"/>
      <c r="AE817" s="145"/>
      <c r="AF817" s="182" t="str">
        <f t="shared" si="39"/>
        <v/>
      </c>
      <c r="AG817" s="54" t="b">
        <f t="shared" si="40"/>
        <v>0</v>
      </c>
      <c r="AH817" s="145"/>
      <c r="AI817" s="192" t="s">
        <v>6</v>
      </c>
      <c r="AJ817" s="96">
        <f t="shared" si="41"/>
        <v>0</v>
      </c>
      <c r="AK817" s="193" t="s">
        <v>39</v>
      </c>
    </row>
    <row r="818" spans="1:37" ht="30" customHeight="1">
      <c r="A818" s="92"/>
      <c r="B818" s="92"/>
      <c r="C818" s="92"/>
      <c r="D818" s="92"/>
      <c r="E818" s="92"/>
      <c r="F818" s="92"/>
      <c r="G818" s="92"/>
      <c r="H818" s="92"/>
      <c r="I818" s="92"/>
      <c r="J818" s="92"/>
      <c r="K818" s="92"/>
      <c r="L818" s="92"/>
      <c r="M818" s="92"/>
      <c r="N818" s="155"/>
      <c r="O818" s="145"/>
      <c r="P818" s="92"/>
      <c r="Q818" s="145"/>
      <c r="R818" s="92"/>
      <c r="S818" s="145"/>
      <c r="T818" s="92"/>
      <c r="U818" s="145"/>
      <c r="V818" s="92"/>
      <c r="W818" s="145"/>
      <c r="X818" s="92"/>
      <c r="Y818" s="145"/>
      <c r="Z818" s="92"/>
      <c r="AA818" s="145"/>
      <c r="AB818" s="92"/>
      <c r="AC818" s="145"/>
      <c r="AD818" s="92"/>
      <c r="AE818" s="145"/>
      <c r="AF818" s="182" t="str">
        <f t="shared" si="39"/>
        <v/>
      </c>
      <c r="AG818" s="54" t="b">
        <f t="shared" si="40"/>
        <v>0</v>
      </c>
      <c r="AH818" s="145"/>
      <c r="AI818" s="192" t="s">
        <v>6</v>
      </c>
      <c r="AJ818" s="96">
        <f t="shared" si="41"/>
        <v>0</v>
      </c>
      <c r="AK818" s="193" t="s">
        <v>39</v>
      </c>
    </row>
    <row r="819" spans="1:37" ht="30" customHeight="1">
      <c r="A819" s="92"/>
      <c r="B819" s="92"/>
      <c r="C819" s="92"/>
      <c r="D819" s="92"/>
      <c r="E819" s="92"/>
      <c r="F819" s="92"/>
      <c r="G819" s="92"/>
      <c r="H819" s="92"/>
      <c r="I819" s="92"/>
      <c r="J819" s="92"/>
      <c r="K819" s="92"/>
      <c r="L819" s="92"/>
      <c r="M819" s="92"/>
      <c r="N819" s="155"/>
      <c r="O819" s="145"/>
      <c r="P819" s="92"/>
      <c r="Q819" s="145"/>
      <c r="R819" s="92"/>
      <c r="S819" s="145"/>
      <c r="T819" s="92"/>
      <c r="U819" s="145"/>
      <c r="V819" s="92"/>
      <c r="W819" s="145"/>
      <c r="X819" s="92"/>
      <c r="Y819" s="145"/>
      <c r="Z819" s="92"/>
      <c r="AA819" s="145"/>
      <c r="AB819" s="92"/>
      <c r="AC819" s="145"/>
      <c r="AD819" s="92"/>
      <c r="AE819" s="145"/>
      <c r="AF819" s="182" t="str">
        <f t="shared" si="39"/>
        <v/>
      </c>
      <c r="AG819" s="54" t="b">
        <f t="shared" si="40"/>
        <v>0</v>
      </c>
      <c r="AH819" s="145"/>
      <c r="AI819" s="192" t="s">
        <v>6</v>
      </c>
      <c r="AJ819" s="96">
        <f t="shared" si="41"/>
        <v>0</v>
      </c>
      <c r="AK819" s="193" t="s">
        <v>39</v>
      </c>
    </row>
    <row r="820" spans="1:37" ht="30" customHeight="1">
      <c r="A820" s="92"/>
      <c r="B820" s="92"/>
      <c r="C820" s="92"/>
      <c r="D820" s="92"/>
      <c r="E820" s="92"/>
      <c r="F820" s="92"/>
      <c r="G820" s="92"/>
      <c r="H820" s="92"/>
      <c r="I820" s="92"/>
      <c r="J820" s="92"/>
      <c r="K820" s="92"/>
      <c r="L820" s="92"/>
      <c r="M820" s="92"/>
      <c r="N820" s="155"/>
      <c r="O820" s="145"/>
      <c r="P820" s="92"/>
      <c r="Q820" s="145"/>
      <c r="R820" s="92"/>
      <c r="S820" s="145"/>
      <c r="T820" s="92"/>
      <c r="U820" s="145"/>
      <c r="V820" s="92"/>
      <c r="W820" s="145"/>
      <c r="X820" s="92"/>
      <c r="Y820" s="145"/>
      <c r="Z820" s="92"/>
      <c r="AA820" s="145"/>
      <c r="AB820" s="92"/>
      <c r="AC820" s="145"/>
      <c r="AD820" s="92"/>
      <c r="AE820" s="145"/>
      <c r="AF820" s="182" t="str">
        <f t="shared" si="39"/>
        <v/>
      </c>
      <c r="AG820" s="54" t="b">
        <f t="shared" si="40"/>
        <v>0</v>
      </c>
      <c r="AH820" s="145"/>
      <c r="AI820" s="192" t="s">
        <v>6</v>
      </c>
      <c r="AJ820" s="96">
        <f t="shared" si="41"/>
        <v>0</v>
      </c>
      <c r="AK820" s="193" t="s">
        <v>39</v>
      </c>
    </row>
    <row r="821" spans="1:37" ht="30" customHeight="1">
      <c r="A821" s="92"/>
      <c r="B821" s="92"/>
      <c r="C821" s="92"/>
      <c r="D821" s="92"/>
      <c r="E821" s="92"/>
      <c r="F821" s="92"/>
      <c r="G821" s="92"/>
      <c r="H821" s="92"/>
      <c r="I821" s="92"/>
      <c r="J821" s="92"/>
      <c r="K821" s="92"/>
      <c r="L821" s="92"/>
      <c r="M821" s="92"/>
      <c r="N821" s="155"/>
      <c r="O821" s="145"/>
      <c r="P821" s="92"/>
      <c r="Q821" s="145"/>
      <c r="R821" s="92"/>
      <c r="S821" s="145"/>
      <c r="T821" s="92"/>
      <c r="U821" s="145"/>
      <c r="V821" s="92"/>
      <c r="W821" s="145"/>
      <c r="X821" s="92"/>
      <c r="Y821" s="145"/>
      <c r="Z821" s="92"/>
      <c r="AA821" s="145"/>
      <c r="AB821" s="92"/>
      <c r="AC821" s="145"/>
      <c r="AD821" s="92"/>
      <c r="AE821" s="145"/>
      <c r="AF821" s="182" t="str">
        <f t="shared" ref="AF821:AF884" si="42">IF(AND(O821="",Q821="",S821="",U821="",W821="",Y821="",AA821="",AC821=""),"",IF(OR(AND(O821&lt;&gt;"NA",O821&lt;&gt;"C",O821&lt;&gt;"NC",O821&lt;&gt;"SF",O821&lt;&gt;""),AND(Q821&lt;&gt;"NA",Q821&lt;&gt;"C",Q821&lt;&gt;"NC",Q821&lt;&gt;"SF",Q821&lt;&gt;""),AND(S821&lt;&gt;"NA",S821&lt;&gt;"C",S821&lt;&gt;"NC",S821&lt;&gt;"SF",S821&lt;&gt;""),AND(U821&lt;&gt;"NA",U821&lt;&gt;"C",U821&lt;&gt;"NC",U821&lt;&gt;"SF",U821&lt;&gt;""),AND(W821&lt;&gt;"NA",W821&lt;&gt;"C",W821&lt;&gt;"NC",W821&lt;&gt;"SF",W821&lt;&gt;""),AND(Y821&lt;&gt;"NA",Y821&lt;&gt;"C",Y821&lt;&gt;"NC",Y821&lt;&gt;"SF",Y821&lt;&gt;""),AND(AA821&lt;&gt;"NA",AA821&lt;&gt;"C",AA821&lt;&gt;"NC",AA821&lt;&gt;"SF",AA821&lt;&gt;""),AND(AC821&lt;&gt;"NA",AC821&lt;&gt;"C",AC821&lt;&gt;"NC",AC821&lt;&gt;"SF",AC821&lt;&gt;"")),"FALSO",IF(AND(O821="NA",Q821="NA",S821="NA",U821="NA",W821="NA",Y821="NA",AA821="NA",AC821="NA"),"NA",IF(OR(O821="NC",Q821="NC",S821="NC",U821="NC",W821="NC",Y821="NC",AA821="NC",AC821="NC",O821="SF",Q821="SF",S821="SF",U821="SF",W821="SF",Y821="SF",AA821="SF",AC821="SF"),"NC",IF(OR(O821="C",Q821="C",S821="C",U821="C",W821="C",Y821="C",AA821="C",AC821="C"),"C","")))))</f>
        <v/>
      </c>
      <c r="AG821" s="54" t="b">
        <f t="shared" ref="AG821:AG881" si="43">IF(AND(AE821="C",AF821="C"),"UTILIZOU O PDA CORRETAMENTE",IF(AND(AE821="C",AF821="NC"),"UTILIZOU O PDA CORRETAMENTE. NÃO HÁ FOTOS DE TODAS AS ETAPAS",IF(AND(AE821="NC",AF821="NC"),"NÃO UTILIZOU O PDA",IF(AND(AE821="NA",AF821="NA"),"NÃO AVALIADO POR FALHA DE SINCRONISMO"))))</f>
        <v>0</v>
      </c>
      <c r="AH821" s="145"/>
      <c r="AI821" s="192" t="s">
        <v>6</v>
      </c>
      <c r="AJ821" s="96">
        <f t="shared" ref="AJ821:AJ881" si="44">E821</f>
        <v>0</v>
      </c>
      <c r="AK821" s="193" t="s">
        <v>39</v>
      </c>
    </row>
    <row r="822" spans="1:37" ht="30" customHeight="1">
      <c r="A822" s="92"/>
      <c r="B822" s="92"/>
      <c r="C822" s="92"/>
      <c r="D822" s="92"/>
      <c r="E822" s="92"/>
      <c r="F822" s="92"/>
      <c r="G822" s="92"/>
      <c r="H822" s="92"/>
      <c r="I822" s="92"/>
      <c r="J822" s="92"/>
      <c r="K822" s="92"/>
      <c r="L822" s="92"/>
      <c r="M822" s="92"/>
      <c r="N822" s="155"/>
      <c r="O822" s="145"/>
      <c r="P822" s="92"/>
      <c r="Q822" s="145"/>
      <c r="R822" s="92"/>
      <c r="S822" s="145"/>
      <c r="T822" s="92"/>
      <c r="U822" s="145"/>
      <c r="V822" s="92"/>
      <c r="W822" s="145"/>
      <c r="X822" s="92"/>
      <c r="Y822" s="145"/>
      <c r="Z822" s="92"/>
      <c r="AA822" s="145"/>
      <c r="AB822" s="92"/>
      <c r="AC822" s="145"/>
      <c r="AD822" s="92"/>
      <c r="AE822" s="145"/>
      <c r="AF822" s="182" t="str">
        <f t="shared" si="42"/>
        <v/>
      </c>
      <c r="AG822" s="54" t="b">
        <f t="shared" si="43"/>
        <v>0</v>
      </c>
      <c r="AH822" s="145"/>
      <c r="AI822" s="192" t="s">
        <v>6</v>
      </c>
      <c r="AJ822" s="96">
        <f t="shared" si="44"/>
        <v>0</v>
      </c>
      <c r="AK822" s="193" t="s">
        <v>39</v>
      </c>
    </row>
    <row r="823" spans="1:37" ht="30" customHeight="1">
      <c r="A823" s="92"/>
      <c r="B823" s="92"/>
      <c r="C823" s="92"/>
      <c r="D823" s="92"/>
      <c r="E823" s="92"/>
      <c r="F823" s="92"/>
      <c r="G823" s="92"/>
      <c r="H823" s="92"/>
      <c r="I823" s="92"/>
      <c r="J823" s="92"/>
      <c r="K823" s="92"/>
      <c r="L823" s="92"/>
      <c r="M823" s="92"/>
      <c r="N823" s="155"/>
      <c r="O823" s="145"/>
      <c r="P823" s="92"/>
      <c r="Q823" s="145"/>
      <c r="R823" s="92"/>
      <c r="S823" s="145"/>
      <c r="T823" s="92"/>
      <c r="U823" s="145"/>
      <c r="V823" s="92"/>
      <c r="W823" s="145"/>
      <c r="X823" s="92"/>
      <c r="Y823" s="145"/>
      <c r="Z823" s="92"/>
      <c r="AA823" s="145"/>
      <c r="AB823" s="92"/>
      <c r="AC823" s="145"/>
      <c r="AD823" s="92"/>
      <c r="AE823" s="145"/>
      <c r="AF823" s="182" t="str">
        <f t="shared" si="42"/>
        <v/>
      </c>
      <c r="AG823" s="54" t="b">
        <f t="shared" si="43"/>
        <v>0</v>
      </c>
      <c r="AH823" s="145"/>
      <c r="AI823" s="192" t="s">
        <v>6</v>
      </c>
      <c r="AJ823" s="96">
        <f t="shared" si="44"/>
        <v>0</v>
      </c>
      <c r="AK823" s="193" t="s">
        <v>39</v>
      </c>
    </row>
    <row r="824" spans="1:37" ht="30" customHeight="1">
      <c r="A824" s="92"/>
      <c r="B824" s="92"/>
      <c r="C824" s="92"/>
      <c r="D824" s="92"/>
      <c r="E824" s="92"/>
      <c r="F824" s="92"/>
      <c r="G824" s="92"/>
      <c r="H824" s="92"/>
      <c r="I824" s="92"/>
      <c r="J824" s="92"/>
      <c r="K824" s="92"/>
      <c r="L824" s="92"/>
      <c r="M824" s="92"/>
      <c r="N824" s="155"/>
      <c r="O824" s="145"/>
      <c r="P824" s="92"/>
      <c r="Q824" s="145"/>
      <c r="R824" s="92"/>
      <c r="S824" s="145"/>
      <c r="T824" s="92"/>
      <c r="U824" s="145"/>
      <c r="V824" s="92"/>
      <c r="W824" s="145"/>
      <c r="X824" s="92"/>
      <c r="Y824" s="145"/>
      <c r="Z824" s="92"/>
      <c r="AA824" s="145"/>
      <c r="AB824" s="92"/>
      <c r="AC824" s="145"/>
      <c r="AD824" s="92"/>
      <c r="AE824" s="145"/>
      <c r="AF824" s="182" t="str">
        <f t="shared" si="42"/>
        <v/>
      </c>
      <c r="AG824" s="54" t="b">
        <f t="shared" si="43"/>
        <v>0</v>
      </c>
      <c r="AH824" s="145"/>
      <c r="AI824" s="192" t="s">
        <v>6</v>
      </c>
      <c r="AJ824" s="96">
        <f t="shared" si="44"/>
        <v>0</v>
      </c>
      <c r="AK824" s="193" t="s">
        <v>39</v>
      </c>
    </row>
    <row r="825" spans="1:37" ht="30" customHeight="1">
      <c r="A825" s="92"/>
      <c r="B825" s="92"/>
      <c r="C825" s="92"/>
      <c r="D825" s="92"/>
      <c r="E825" s="92"/>
      <c r="F825" s="92"/>
      <c r="G825" s="92"/>
      <c r="H825" s="92"/>
      <c r="I825" s="92"/>
      <c r="J825" s="92"/>
      <c r="K825" s="92"/>
      <c r="L825" s="92"/>
      <c r="M825" s="92"/>
      <c r="N825" s="155"/>
      <c r="O825" s="145"/>
      <c r="P825" s="92"/>
      <c r="Q825" s="145"/>
      <c r="R825" s="92"/>
      <c r="S825" s="145"/>
      <c r="T825" s="92"/>
      <c r="U825" s="145"/>
      <c r="V825" s="92"/>
      <c r="W825" s="145"/>
      <c r="X825" s="92"/>
      <c r="Y825" s="145"/>
      <c r="Z825" s="92"/>
      <c r="AA825" s="145"/>
      <c r="AB825" s="92"/>
      <c r="AC825" s="145"/>
      <c r="AD825" s="92"/>
      <c r="AE825" s="145"/>
      <c r="AF825" s="182" t="str">
        <f t="shared" si="42"/>
        <v/>
      </c>
      <c r="AG825" s="54" t="b">
        <f t="shared" si="43"/>
        <v>0</v>
      </c>
      <c r="AH825" s="145"/>
      <c r="AI825" s="192" t="s">
        <v>6</v>
      </c>
      <c r="AJ825" s="96">
        <f t="shared" si="44"/>
        <v>0</v>
      </c>
      <c r="AK825" s="193" t="s">
        <v>39</v>
      </c>
    </row>
    <row r="826" spans="1:37" ht="30" customHeight="1">
      <c r="A826" s="92"/>
      <c r="B826" s="92"/>
      <c r="C826" s="92"/>
      <c r="D826" s="92"/>
      <c r="E826" s="92"/>
      <c r="F826" s="92"/>
      <c r="G826" s="92"/>
      <c r="H826" s="92"/>
      <c r="I826" s="92"/>
      <c r="J826" s="92"/>
      <c r="K826" s="92"/>
      <c r="L826" s="92"/>
      <c r="M826" s="92"/>
      <c r="N826" s="155"/>
      <c r="O826" s="145"/>
      <c r="P826" s="92"/>
      <c r="Q826" s="145"/>
      <c r="R826" s="92"/>
      <c r="S826" s="145"/>
      <c r="T826" s="92"/>
      <c r="U826" s="145"/>
      <c r="V826" s="92"/>
      <c r="W826" s="145"/>
      <c r="X826" s="92"/>
      <c r="Y826" s="145"/>
      <c r="Z826" s="92"/>
      <c r="AA826" s="145"/>
      <c r="AB826" s="92"/>
      <c r="AC826" s="145"/>
      <c r="AD826" s="92"/>
      <c r="AE826" s="145"/>
      <c r="AF826" s="182" t="str">
        <f t="shared" si="42"/>
        <v/>
      </c>
      <c r="AG826" s="54" t="b">
        <f t="shared" si="43"/>
        <v>0</v>
      </c>
      <c r="AH826" s="145"/>
      <c r="AI826" s="192" t="s">
        <v>6</v>
      </c>
      <c r="AJ826" s="96">
        <f t="shared" si="44"/>
        <v>0</v>
      </c>
      <c r="AK826" s="193" t="s">
        <v>39</v>
      </c>
    </row>
    <row r="827" spans="1:37" ht="30" customHeight="1">
      <c r="A827" s="92"/>
      <c r="B827" s="92"/>
      <c r="C827" s="92"/>
      <c r="D827" s="92"/>
      <c r="E827" s="92"/>
      <c r="F827" s="92"/>
      <c r="G827" s="92"/>
      <c r="H827" s="92"/>
      <c r="I827" s="92"/>
      <c r="J827" s="92"/>
      <c r="K827" s="92"/>
      <c r="L827" s="92"/>
      <c r="M827" s="92"/>
      <c r="N827" s="155"/>
      <c r="O827" s="145"/>
      <c r="P827" s="92"/>
      <c r="Q827" s="145"/>
      <c r="R827" s="92"/>
      <c r="S827" s="145"/>
      <c r="T827" s="92"/>
      <c r="U827" s="145"/>
      <c r="V827" s="92"/>
      <c r="W827" s="145"/>
      <c r="X827" s="92"/>
      <c r="Y827" s="145"/>
      <c r="Z827" s="92"/>
      <c r="AA827" s="145"/>
      <c r="AB827" s="92"/>
      <c r="AC827" s="145"/>
      <c r="AD827" s="92"/>
      <c r="AE827" s="145"/>
      <c r="AF827" s="182" t="str">
        <f t="shared" si="42"/>
        <v/>
      </c>
      <c r="AG827" s="54" t="b">
        <f t="shared" si="43"/>
        <v>0</v>
      </c>
      <c r="AH827" s="145"/>
      <c r="AI827" s="192" t="s">
        <v>6</v>
      </c>
      <c r="AJ827" s="96">
        <f t="shared" si="44"/>
        <v>0</v>
      </c>
      <c r="AK827" s="193" t="s">
        <v>39</v>
      </c>
    </row>
    <row r="828" spans="1:37" ht="30" customHeight="1">
      <c r="A828" s="92"/>
      <c r="B828" s="92"/>
      <c r="C828" s="92"/>
      <c r="D828" s="92"/>
      <c r="E828" s="92"/>
      <c r="F828" s="92"/>
      <c r="G828" s="92"/>
      <c r="H828" s="92"/>
      <c r="I828" s="92"/>
      <c r="J828" s="92"/>
      <c r="K828" s="92"/>
      <c r="L828" s="92"/>
      <c r="M828" s="92"/>
      <c r="N828" s="155"/>
      <c r="O828" s="145"/>
      <c r="P828" s="92"/>
      <c r="Q828" s="145"/>
      <c r="R828" s="92"/>
      <c r="S828" s="145"/>
      <c r="T828" s="92"/>
      <c r="U828" s="145"/>
      <c r="V828" s="92"/>
      <c r="W828" s="145"/>
      <c r="X828" s="92"/>
      <c r="Y828" s="145"/>
      <c r="Z828" s="92"/>
      <c r="AA828" s="145"/>
      <c r="AB828" s="92"/>
      <c r="AC828" s="145"/>
      <c r="AD828" s="92"/>
      <c r="AE828" s="145"/>
      <c r="AF828" s="182" t="str">
        <f t="shared" si="42"/>
        <v/>
      </c>
      <c r="AG828" s="54" t="b">
        <f t="shared" si="43"/>
        <v>0</v>
      </c>
      <c r="AH828" s="145"/>
      <c r="AI828" s="192" t="s">
        <v>6</v>
      </c>
      <c r="AJ828" s="96">
        <f t="shared" si="44"/>
        <v>0</v>
      </c>
      <c r="AK828" s="193" t="s">
        <v>39</v>
      </c>
    </row>
    <row r="829" spans="1:37" ht="30" customHeight="1">
      <c r="A829" s="92"/>
      <c r="B829" s="92"/>
      <c r="C829" s="92"/>
      <c r="D829" s="92"/>
      <c r="E829" s="92"/>
      <c r="F829" s="92"/>
      <c r="G829" s="92"/>
      <c r="H829" s="92"/>
      <c r="I829" s="92"/>
      <c r="J829" s="92"/>
      <c r="K829" s="92"/>
      <c r="L829" s="92"/>
      <c r="M829" s="92"/>
      <c r="N829" s="155"/>
      <c r="O829" s="145"/>
      <c r="P829" s="92"/>
      <c r="Q829" s="145"/>
      <c r="R829" s="92"/>
      <c r="S829" s="145"/>
      <c r="T829" s="92"/>
      <c r="U829" s="145"/>
      <c r="V829" s="92"/>
      <c r="W829" s="145"/>
      <c r="X829" s="92"/>
      <c r="Y829" s="145"/>
      <c r="Z829" s="92"/>
      <c r="AA829" s="145"/>
      <c r="AB829" s="92"/>
      <c r="AC829" s="145"/>
      <c r="AD829" s="92"/>
      <c r="AE829" s="145"/>
      <c r="AF829" s="182" t="str">
        <f t="shared" si="42"/>
        <v/>
      </c>
      <c r="AG829" s="54" t="b">
        <f t="shared" si="43"/>
        <v>0</v>
      </c>
      <c r="AH829" s="145"/>
      <c r="AI829" s="192" t="s">
        <v>6</v>
      </c>
      <c r="AJ829" s="96">
        <f t="shared" si="44"/>
        <v>0</v>
      </c>
      <c r="AK829" s="193" t="s">
        <v>39</v>
      </c>
    </row>
    <row r="830" spans="1:37" ht="30" customHeight="1">
      <c r="A830" s="92"/>
      <c r="B830" s="92"/>
      <c r="C830" s="92"/>
      <c r="D830" s="92"/>
      <c r="E830" s="92"/>
      <c r="F830" s="92"/>
      <c r="G830" s="92"/>
      <c r="H830" s="92"/>
      <c r="I830" s="92"/>
      <c r="J830" s="92"/>
      <c r="K830" s="92"/>
      <c r="L830" s="92"/>
      <c r="M830" s="92"/>
      <c r="N830" s="155"/>
      <c r="O830" s="145"/>
      <c r="P830" s="92"/>
      <c r="Q830" s="145"/>
      <c r="R830" s="92"/>
      <c r="S830" s="145"/>
      <c r="T830" s="92"/>
      <c r="U830" s="145"/>
      <c r="V830" s="92"/>
      <c r="W830" s="145"/>
      <c r="X830" s="92"/>
      <c r="Y830" s="145"/>
      <c r="Z830" s="92"/>
      <c r="AA830" s="145"/>
      <c r="AB830" s="92"/>
      <c r="AC830" s="145"/>
      <c r="AD830" s="92"/>
      <c r="AE830" s="145"/>
      <c r="AF830" s="182" t="str">
        <f t="shared" si="42"/>
        <v/>
      </c>
      <c r="AG830" s="54" t="b">
        <f t="shared" si="43"/>
        <v>0</v>
      </c>
      <c r="AH830" s="145"/>
      <c r="AI830" s="192" t="s">
        <v>6</v>
      </c>
      <c r="AJ830" s="96">
        <f t="shared" si="44"/>
        <v>0</v>
      </c>
      <c r="AK830" s="193" t="s">
        <v>39</v>
      </c>
    </row>
    <row r="831" spans="1:37" ht="30" customHeight="1">
      <c r="A831" s="92"/>
      <c r="B831" s="92"/>
      <c r="C831" s="92"/>
      <c r="D831" s="92"/>
      <c r="E831" s="92"/>
      <c r="F831" s="92"/>
      <c r="G831" s="92"/>
      <c r="H831" s="92"/>
      <c r="I831" s="92"/>
      <c r="J831" s="92"/>
      <c r="K831" s="92"/>
      <c r="L831" s="92"/>
      <c r="M831" s="92"/>
      <c r="N831" s="155"/>
      <c r="O831" s="145"/>
      <c r="P831" s="92"/>
      <c r="Q831" s="145"/>
      <c r="R831" s="92"/>
      <c r="S831" s="145"/>
      <c r="T831" s="92"/>
      <c r="U831" s="145"/>
      <c r="V831" s="92"/>
      <c r="W831" s="145"/>
      <c r="X831" s="92"/>
      <c r="Y831" s="145"/>
      <c r="Z831" s="92"/>
      <c r="AA831" s="145"/>
      <c r="AB831" s="92"/>
      <c r="AC831" s="145"/>
      <c r="AD831" s="92"/>
      <c r="AE831" s="145"/>
      <c r="AF831" s="182" t="str">
        <f t="shared" si="42"/>
        <v/>
      </c>
      <c r="AG831" s="54" t="b">
        <f t="shared" si="43"/>
        <v>0</v>
      </c>
      <c r="AH831" s="145"/>
      <c r="AI831" s="192" t="s">
        <v>6</v>
      </c>
      <c r="AJ831" s="96">
        <f t="shared" si="44"/>
        <v>0</v>
      </c>
      <c r="AK831" s="193" t="s">
        <v>39</v>
      </c>
    </row>
    <row r="832" spans="1:37" ht="30" customHeight="1">
      <c r="A832" s="92"/>
      <c r="B832" s="92"/>
      <c r="C832" s="92"/>
      <c r="D832" s="92"/>
      <c r="E832" s="92"/>
      <c r="F832" s="92"/>
      <c r="G832" s="92"/>
      <c r="H832" s="92"/>
      <c r="I832" s="92"/>
      <c r="J832" s="92"/>
      <c r="K832" s="92"/>
      <c r="L832" s="92"/>
      <c r="M832" s="92"/>
      <c r="N832" s="155"/>
      <c r="O832" s="145"/>
      <c r="P832" s="92"/>
      <c r="Q832" s="145"/>
      <c r="R832" s="92"/>
      <c r="S832" s="145"/>
      <c r="T832" s="92"/>
      <c r="U832" s="145"/>
      <c r="V832" s="92"/>
      <c r="W832" s="145"/>
      <c r="X832" s="92"/>
      <c r="Y832" s="145"/>
      <c r="Z832" s="92"/>
      <c r="AA832" s="145"/>
      <c r="AB832" s="92"/>
      <c r="AC832" s="145"/>
      <c r="AD832" s="92"/>
      <c r="AE832" s="145"/>
      <c r="AF832" s="182" t="str">
        <f t="shared" si="42"/>
        <v/>
      </c>
      <c r="AG832" s="54" t="b">
        <f t="shared" si="43"/>
        <v>0</v>
      </c>
      <c r="AH832" s="145"/>
      <c r="AI832" s="192" t="s">
        <v>6</v>
      </c>
      <c r="AJ832" s="96">
        <f t="shared" si="44"/>
        <v>0</v>
      </c>
      <c r="AK832" s="193" t="s">
        <v>39</v>
      </c>
    </row>
    <row r="833" spans="1:37" ht="30" customHeight="1">
      <c r="A833" s="92"/>
      <c r="B833" s="92"/>
      <c r="C833" s="92"/>
      <c r="D833" s="92"/>
      <c r="E833" s="92"/>
      <c r="F833" s="92"/>
      <c r="G833" s="92"/>
      <c r="H833" s="92"/>
      <c r="I833" s="92"/>
      <c r="J833" s="92"/>
      <c r="K833" s="92"/>
      <c r="L833" s="92"/>
      <c r="M833" s="92"/>
      <c r="N833" s="155"/>
      <c r="O833" s="145"/>
      <c r="P833" s="92"/>
      <c r="Q833" s="145"/>
      <c r="R833" s="92"/>
      <c r="S833" s="145"/>
      <c r="T833" s="92"/>
      <c r="U833" s="145"/>
      <c r="V833" s="92"/>
      <c r="W833" s="145"/>
      <c r="X833" s="92"/>
      <c r="Y833" s="145"/>
      <c r="Z833" s="92"/>
      <c r="AA833" s="145"/>
      <c r="AB833" s="92"/>
      <c r="AC833" s="145"/>
      <c r="AD833" s="92"/>
      <c r="AE833" s="145"/>
      <c r="AF833" s="182" t="str">
        <f t="shared" si="42"/>
        <v/>
      </c>
      <c r="AG833" s="54" t="b">
        <f t="shared" si="43"/>
        <v>0</v>
      </c>
      <c r="AH833" s="145"/>
      <c r="AI833" s="192" t="s">
        <v>6</v>
      </c>
      <c r="AJ833" s="96">
        <f t="shared" si="44"/>
        <v>0</v>
      </c>
      <c r="AK833" s="193" t="s">
        <v>39</v>
      </c>
    </row>
    <row r="834" spans="1:37" ht="30" customHeight="1">
      <c r="A834" s="92"/>
      <c r="B834" s="92"/>
      <c r="C834" s="92"/>
      <c r="D834" s="92"/>
      <c r="E834" s="92"/>
      <c r="F834" s="92"/>
      <c r="G834" s="92"/>
      <c r="H834" s="92"/>
      <c r="I834" s="92"/>
      <c r="J834" s="92"/>
      <c r="K834" s="92"/>
      <c r="L834" s="92"/>
      <c r="M834" s="92"/>
      <c r="N834" s="155"/>
      <c r="O834" s="145"/>
      <c r="P834" s="92"/>
      <c r="Q834" s="145"/>
      <c r="R834" s="92"/>
      <c r="S834" s="145"/>
      <c r="T834" s="92"/>
      <c r="U834" s="145"/>
      <c r="V834" s="92"/>
      <c r="W834" s="145"/>
      <c r="X834" s="92"/>
      <c r="Y834" s="145"/>
      <c r="Z834" s="92"/>
      <c r="AA834" s="145"/>
      <c r="AB834" s="92"/>
      <c r="AC834" s="145"/>
      <c r="AD834" s="92"/>
      <c r="AE834" s="145"/>
      <c r="AF834" s="182" t="str">
        <f t="shared" si="42"/>
        <v/>
      </c>
      <c r="AG834" s="54" t="b">
        <f t="shared" si="43"/>
        <v>0</v>
      </c>
      <c r="AH834" s="145"/>
      <c r="AI834" s="192" t="s">
        <v>6</v>
      </c>
      <c r="AJ834" s="96">
        <f t="shared" si="44"/>
        <v>0</v>
      </c>
      <c r="AK834" s="193" t="s">
        <v>39</v>
      </c>
    </row>
    <row r="835" spans="1:37" ht="30" customHeight="1">
      <c r="A835" s="92"/>
      <c r="B835" s="92"/>
      <c r="C835" s="92"/>
      <c r="D835" s="92"/>
      <c r="E835" s="92"/>
      <c r="F835" s="92"/>
      <c r="G835" s="92"/>
      <c r="H835" s="92"/>
      <c r="I835" s="92"/>
      <c r="J835" s="92"/>
      <c r="K835" s="92"/>
      <c r="L835" s="92"/>
      <c r="M835" s="92"/>
      <c r="N835" s="155"/>
      <c r="O835" s="145"/>
      <c r="P835" s="92"/>
      <c r="Q835" s="145"/>
      <c r="R835" s="92"/>
      <c r="S835" s="145"/>
      <c r="T835" s="92"/>
      <c r="U835" s="145"/>
      <c r="V835" s="92"/>
      <c r="W835" s="145"/>
      <c r="X835" s="92"/>
      <c r="Y835" s="145"/>
      <c r="Z835" s="92"/>
      <c r="AA835" s="145"/>
      <c r="AB835" s="92"/>
      <c r="AC835" s="145"/>
      <c r="AD835" s="92"/>
      <c r="AE835" s="145"/>
      <c r="AF835" s="182" t="str">
        <f t="shared" si="42"/>
        <v/>
      </c>
      <c r="AG835" s="54" t="b">
        <f t="shared" si="43"/>
        <v>0</v>
      </c>
      <c r="AH835" s="145"/>
      <c r="AI835" s="192" t="s">
        <v>6</v>
      </c>
      <c r="AJ835" s="96">
        <f t="shared" si="44"/>
        <v>0</v>
      </c>
      <c r="AK835" s="193" t="s">
        <v>39</v>
      </c>
    </row>
    <row r="836" spans="1:37" ht="30" customHeight="1">
      <c r="A836" s="92"/>
      <c r="B836" s="92"/>
      <c r="C836" s="92"/>
      <c r="D836" s="92"/>
      <c r="E836" s="92"/>
      <c r="F836" s="92"/>
      <c r="G836" s="92"/>
      <c r="H836" s="92"/>
      <c r="I836" s="92"/>
      <c r="J836" s="92"/>
      <c r="K836" s="92"/>
      <c r="L836" s="92"/>
      <c r="M836" s="92"/>
      <c r="N836" s="155"/>
      <c r="O836" s="145"/>
      <c r="P836" s="92"/>
      <c r="Q836" s="145"/>
      <c r="R836" s="92"/>
      <c r="S836" s="145"/>
      <c r="T836" s="92"/>
      <c r="U836" s="145"/>
      <c r="V836" s="92"/>
      <c r="W836" s="145"/>
      <c r="X836" s="92"/>
      <c r="Y836" s="145"/>
      <c r="Z836" s="92"/>
      <c r="AA836" s="145"/>
      <c r="AB836" s="92"/>
      <c r="AC836" s="145"/>
      <c r="AD836" s="92"/>
      <c r="AE836" s="145"/>
      <c r="AF836" s="182" t="str">
        <f t="shared" si="42"/>
        <v/>
      </c>
      <c r="AG836" s="54" t="b">
        <f t="shared" si="43"/>
        <v>0</v>
      </c>
      <c r="AH836" s="145"/>
      <c r="AI836" s="192" t="s">
        <v>6</v>
      </c>
      <c r="AJ836" s="96">
        <f t="shared" si="44"/>
        <v>0</v>
      </c>
      <c r="AK836" s="193" t="s">
        <v>39</v>
      </c>
    </row>
    <row r="837" spans="1:37" ht="30" customHeight="1">
      <c r="A837" s="92"/>
      <c r="B837" s="92"/>
      <c r="C837" s="92"/>
      <c r="D837" s="92"/>
      <c r="E837" s="92"/>
      <c r="F837" s="92"/>
      <c r="G837" s="92"/>
      <c r="H837" s="92"/>
      <c r="I837" s="92"/>
      <c r="J837" s="92"/>
      <c r="K837" s="92"/>
      <c r="L837" s="92"/>
      <c r="M837" s="92"/>
      <c r="N837" s="155"/>
      <c r="O837" s="145"/>
      <c r="P837" s="92"/>
      <c r="Q837" s="145"/>
      <c r="R837" s="92"/>
      <c r="S837" s="145"/>
      <c r="T837" s="92"/>
      <c r="U837" s="145"/>
      <c r="V837" s="92"/>
      <c r="W837" s="145"/>
      <c r="X837" s="92"/>
      <c r="Y837" s="145"/>
      <c r="Z837" s="92"/>
      <c r="AA837" s="145"/>
      <c r="AB837" s="92"/>
      <c r="AC837" s="145"/>
      <c r="AD837" s="92"/>
      <c r="AE837" s="145"/>
      <c r="AF837" s="182" t="str">
        <f t="shared" si="42"/>
        <v/>
      </c>
      <c r="AG837" s="54" t="b">
        <f t="shared" si="43"/>
        <v>0</v>
      </c>
      <c r="AH837" s="145"/>
      <c r="AI837" s="192" t="s">
        <v>6</v>
      </c>
      <c r="AJ837" s="96">
        <f t="shared" si="44"/>
        <v>0</v>
      </c>
      <c r="AK837" s="193" t="s">
        <v>39</v>
      </c>
    </row>
    <row r="838" spans="1:37" ht="30" customHeight="1">
      <c r="A838" s="92"/>
      <c r="B838" s="92"/>
      <c r="C838" s="92"/>
      <c r="D838" s="92"/>
      <c r="E838" s="92"/>
      <c r="F838" s="92"/>
      <c r="G838" s="92"/>
      <c r="H838" s="92"/>
      <c r="I838" s="92"/>
      <c r="J838" s="92"/>
      <c r="K838" s="92"/>
      <c r="L838" s="92"/>
      <c r="M838" s="92"/>
      <c r="N838" s="155"/>
      <c r="O838" s="145"/>
      <c r="P838" s="92"/>
      <c r="Q838" s="145"/>
      <c r="R838" s="92"/>
      <c r="S838" s="145"/>
      <c r="T838" s="92"/>
      <c r="U838" s="145"/>
      <c r="V838" s="92"/>
      <c r="W838" s="145"/>
      <c r="X838" s="92"/>
      <c r="Y838" s="145"/>
      <c r="Z838" s="92"/>
      <c r="AA838" s="145"/>
      <c r="AB838" s="92"/>
      <c r="AC838" s="145"/>
      <c r="AD838" s="92"/>
      <c r="AE838" s="145"/>
      <c r="AF838" s="182" t="str">
        <f t="shared" si="42"/>
        <v/>
      </c>
      <c r="AG838" s="54" t="b">
        <f t="shared" si="43"/>
        <v>0</v>
      </c>
      <c r="AH838" s="145"/>
      <c r="AI838" s="192" t="s">
        <v>6</v>
      </c>
      <c r="AJ838" s="96">
        <f t="shared" si="44"/>
        <v>0</v>
      </c>
      <c r="AK838" s="193" t="s">
        <v>39</v>
      </c>
    </row>
    <row r="839" spans="1:37" ht="30" customHeight="1">
      <c r="A839" s="92"/>
      <c r="B839" s="92"/>
      <c r="C839" s="92"/>
      <c r="D839" s="92"/>
      <c r="E839" s="92"/>
      <c r="F839" s="92"/>
      <c r="G839" s="92"/>
      <c r="H839" s="92"/>
      <c r="I839" s="92"/>
      <c r="J839" s="92"/>
      <c r="K839" s="92"/>
      <c r="L839" s="92"/>
      <c r="M839" s="92"/>
      <c r="N839" s="155"/>
      <c r="O839" s="145"/>
      <c r="P839" s="92"/>
      <c r="Q839" s="145"/>
      <c r="R839" s="92"/>
      <c r="S839" s="145"/>
      <c r="T839" s="92"/>
      <c r="U839" s="145"/>
      <c r="V839" s="92"/>
      <c r="W839" s="145"/>
      <c r="X839" s="92"/>
      <c r="Y839" s="145"/>
      <c r="Z839" s="92"/>
      <c r="AA839" s="145"/>
      <c r="AB839" s="92"/>
      <c r="AC839" s="145"/>
      <c r="AD839" s="92"/>
      <c r="AE839" s="145"/>
      <c r="AF839" s="182" t="str">
        <f t="shared" si="42"/>
        <v/>
      </c>
      <c r="AG839" s="54" t="b">
        <f t="shared" si="43"/>
        <v>0</v>
      </c>
      <c r="AH839" s="145"/>
      <c r="AI839" s="192" t="s">
        <v>6</v>
      </c>
      <c r="AJ839" s="96">
        <f t="shared" si="44"/>
        <v>0</v>
      </c>
      <c r="AK839" s="193" t="s">
        <v>39</v>
      </c>
    </row>
    <row r="840" spans="1:37" ht="30" customHeight="1">
      <c r="A840" s="92"/>
      <c r="B840" s="92"/>
      <c r="C840" s="92"/>
      <c r="D840" s="92"/>
      <c r="E840" s="92"/>
      <c r="F840" s="92"/>
      <c r="G840" s="92"/>
      <c r="H840" s="92"/>
      <c r="I840" s="92"/>
      <c r="J840" s="92"/>
      <c r="K840" s="92"/>
      <c r="L840" s="92"/>
      <c r="M840" s="92"/>
      <c r="N840" s="155"/>
      <c r="O840" s="145"/>
      <c r="P840" s="92"/>
      <c r="Q840" s="145"/>
      <c r="R840" s="92"/>
      <c r="S840" s="145"/>
      <c r="T840" s="92"/>
      <c r="U840" s="145"/>
      <c r="V840" s="92"/>
      <c r="W840" s="145"/>
      <c r="X840" s="92"/>
      <c r="Y840" s="145"/>
      <c r="Z840" s="92"/>
      <c r="AA840" s="145"/>
      <c r="AB840" s="92"/>
      <c r="AC840" s="145"/>
      <c r="AD840" s="92"/>
      <c r="AE840" s="145"/>
      <c r="AF840" s="182" t="str">
        <f t="shared" si="42"/>
        <v/>
      </c>
      <c r="AG840" s="54" t="b">
        <f t="shared" si="43"/>
        <v>0</v>
      </c>
      <c r="AH840" s="145"/>
      <c r="AI840" s="192" t="s">
        <v>6</v>
      </c>
      <c r="AJ840" s="96">
        <f t="shared" si="44"/>
        <v>0</v>
      </c>
      <c r="AK840" s="193" t="s">
        <v>39</v>
      </c>
    </row>
    <row r="841" spans="1:37" ht="30" customHeight="1">
      <c r="A841" s="92"/>
      <c r="B841" s="92"/>
      <c r="C841" s="92"/>
      <c r="D841" s="92"/>
      <c r="E841" s="92"/>
      <c r="F841" s="92"/>
      <c r="G841" s="92"/>
      <c r="H841" s="92"/>
      <c r="I841" s="92"/>
      <c r="J841" s="92"/>
      <c r="K841" s="92"/>
      <c r="L841" s="92"/>
      <c r="M841" s="92"/>
      <c r="N841" s="155"/>
      <c r="O841" s="145"/>
      <c r="P841" s="92"/>
      <c r="Q841" s="145"/>
      <c r="R841" s="92"/>
      <c r="S841" s="145"/>
      <c r="T841" s="92"/>
      <c r="U841" s="145"/>
      <c r="V841" s="92"/>
      <c r="W841" s="145"/>
      <c r="X841" s="92"/>
      <c r="Y841" s="145"/>
      <c r="Z841" s="92"/>
      <c r="AA841" s="145"/>
      <c r="AB841" s="92"/>
      <c r="AC841" s="145"/>
      <c r="AD841" s="92"/>
      <c r="AE841" s="145"/>
      <c r="AF841" s="182" t="str">
        <f t="shared" si="42"/>
        <v/>
      </c>
      <c r="AG841" s="54" t="b">
        <f t="shared" si="43"/>
        <v>0</v>
      </c>
      <c r="AH841" s="145"/>
      <c r="AI841" s="192" t="s">
        <v>6</v>
      </c>
      <c r="AJ841" s="96">
        <f t="shared" si="44"/>
        <v>0</v>
      </c>
      <c r="AK841" s="193" t="s">
        <v>39</v>
      </c>
    </row>
    <row r="842" spans="1:37" ht="30" customHeight="1">
      <c r="A842" s="92"/>
      <c r="B842" s="92"/>
      <c r="C842" s="92"/>
      <c r="D842" s="92"/>
      <c r="E842" s="92"/>
      <c r="F842" s="92"/>
      <c r="G842" s="92"/>
      <c r="H842" s="92"/>
      <c r="I842" s="92"/>
      <c r="J842" s="92"/>
      <c r="K842" s="92"/>
      <c r="L842" s="92"/>
      <c r="M842" s="92"/>
      <c r="N842" s="155"/>
      <c r="O842" s="145"/>
      <c r="P842" s="92"/>
      <c r="Q842" s="145"/>
      <c r="R842" s="92"/>
      <c r="S842" s="145"/>
      <c r="T842" s="92"/>
      <c r="U842" s="145"/>
      <c r="V842" s="92"/>
      <c r="W842" s="145"/>
      <c r="X842" s="92"/>
      <c r="Y842" s="145"/>
      <c r="Z842" s="92"/>
      <c r="AA842" s="145"/>
      <c r="AB842" s="92"/>
      <c r="AC842" s="145"/>
      <c r="AD842" s="92"/>
      <c r="AE842" s="145"/>
      <c r="AF842" s="182" t="str">
        <f t="shared" si="42"/>
        <v/>
      </c>
      <c r="AG842" s="54" t="b">
        <f t="shared" si="43"/>
        <v>0</v>
      </c>
      <c r="AH842" s="145"/>
      <c r="AI842" s="192" t="s">
        <v>6</v>
      </c>
      <c r="AJ842" s="96">
        <f t="shared" si="44"/>
        <v>0</v>
      </c>
      <c r="AK842" s="193" t="s">
        <v>39</v>
      </c>
    </row>
    <row r="843" spans="1:37" ht="30" customHeight="1">
      <c r="A843" s="92"/>
      <c r="B843" s="92"/>
      <c r="C843" s="92"/>
      <c r="D843" s="92"/>
      <c r="E843" s="92"/>
      <c r="F843" s="92"/>
      <c r="G843" s="92"/>
      <c r="H843" s="92"/>
      <c r="I843" s="92"/>
      <c r="J843" s="92"/>
      <c r="K843" s="92"/>
      <c r="L843" s="92"/>
      <c r="M843" s="92"/>
      <c r="N843" s="155"/>
      <c r="O843" s="145"/>
      <c r="P843" s="92"/>
      <c r="Q843" s="145"/>
      <c r="R843" s="92"/>
      <c r="S843" s="145"/>
      <c r="T843" s="92"/>
      <c r="U843" s="145"/>
      <c r="V843" s="92"/>
      <c r="W843" s="145"/>
      <c r="X843" s="92"/>
      <c r="Y843" s="145"/>
      <c r="Z843" s="92"/>
      <c r="AA843" s="145"/>
      <c r="AB843" s="92"/>
      <c r="AC843" s="145"/>
      <c r="AD843" s="92"/>
      <c r="AE843" s="145"/>
      <c r="AF843" s="182" t="str">
        <f t="shared" si="42"/>
        <v/>
      </c>
      <c r="AG843" s="54" t="b">
        <f t="shared" si="43"/>
        <v>0</v>
      </c>
      <c r="AH843" s="145"/>
      <c r="AI843" s="192" t="s">
        <v>6</v>
      </c>
      <c r="AJ843" s="96">
        <f t="shared" si="44"/>
        <v>0</v>
      </c>
      <c r="AK843" s="193" t="s">
        <v>39</v>
      </c>
    </row>
    <row r="844" spans="1:37" ht="30" customHeight="1">
      <c r="A844" s="92"/>
      <c r="B844" s="92"/>
      <c r="C844" s="92"/>
      <c r="D844" s="92"/>
      <c r="E844" s="92"/>
      <c r="F844" s="92"/>
      <c r="G844" s="92"/>
      <c r="H844" s="92"/>
      <c r="I844" s="92"/>
      <c r="J844" s="92"/>
      <c r="K844" s="92"/>
      <c r="L844" s="92"/>
      <c r="M844" s="92"/>
      <c r="N844" s="155"/>
      <c r="O844" s="145"/>
      <c r="P844" s="92"/>
      <c r="Q844" s="145"/>
      <c r="R844" s="92"/>
      <c r="S844" s="145"/>
      <c r="T844" s="92"/>
      <c r="U844" s="145"/>
      <c r="V844" s="92"/>
      <c r="W844" s="145"/>
      <c r="X844" s="92"/>
      <c r="Y844" s="145"/>
      <c r="Z844" s="92"/>
      <c r="AA844" s="145"/>
      <c r="AB844" s="92"/>
      <c r="AC844" s="145"/>
      <c r="AD844" s="92"/>
      <c r="AE844" s="145"/>
      <c r="AF844" s="182" t="str">
        <f t="shared" si="42"/>
        <v/>
      </c>
      <c r="AG844" s="54" t="b">
        <f t="shared" si="43"/>
        <v>0</v>
      </c>
      <c r="AH844" s="145"/>
      <c r="AI844" s="192" t="s">
        <v>6</v>
      </c>
      <c r="AJ844" s="96">
        <f t="shared" si="44"/>
        <v>0</v>
      </c>
      <c r="AK844" s="193" t="s">
        <v>39</v>
      </c>
    </row>
    <row r="845" spans="1:37" ht="30" customHeight="1">
      <c r="A845" s="92"/>
      <c r="B845" s="92"/>
      <c r="C845" s="92"/>
      <c r="D845" s="92"/>
      <c r="E845" s="92"/>
      <c r="F845" s="92"/>
      <c r="G845" s="92"/>
      <c r="H845" s="92"/>
      <c r="I845" s="92"/>
      <c r="J845" s="92"/>
      <c r="K845" s="92"/>
      <c r="L845" s="92"/>
      <c r="M845" s="92"/>
      <c r="N845" s="155"/>
      <c r="O845" s="145"/>
      <c r="P845" s="92"/>
      <c r="Q845" s="145"/>
      <c r="R845" s="92"/>
      <c r="S845" s="145"/>
      <c r="T845" s="92"/>
      <c r="U845" s="145"/>
      <c r="V845" s="92"/>
      <c r="W845" s="145"/>
      <c r="X845" s="92"/>
      <c r="Y845" s="145"/>
      <c r="Z845" s="92"/>
      <c r="AA845" s="145"/>
      <c r="AB845" s="92"/>
      <c r="AC845" s="145"/>
      <c r="AD845" s="92"/>
      <c r="AE845" s="145"/>
      <c r="AF845" s="182" t="str">
        <f t="shared" si="42"/>
        <v/>
      </c>
      <c r="AG845" s="54" t="b">
        <f t="shared" si="43"/>
        <v>0</v>
      </c>
      <c r="AH845" s="145"/>
      <c r="AI845" s="192" t="s">
        <v>6</v>
      </c>
      <c r="AJ845" s="96">
        <f t="shared" si="44"/>
        <v>0</v>
      </c>
      <c r="AK845" s="193" t="s">
        <v>39</v>
      </c>
    </row>
    <row r="846" spans="1:37" ht="30" customHeight="1">
      <c r="A846" s="92"/>
      <c r="B846" s="92"/>
      <c r="C846" s="92"/>
      <c r="D846" s="92"/>
      <c r="E846" s="92"/>
      <c r="F846" s="92"/>
      <c r="G846" s="92"/>
      <c r="H846" s="92"/>
      <c r="I846" s="92"/>
      <c r="J846" s="92"/>
      <c r="K846" s="92"/>
      <c r="L846" s="92"/>
      <c r="M846" s="92"/>
      <c r="N846" s="155"/>
      <c r="O846" s="145"/>
      <c r="P846" s="92"/>
      <c r="Q846" s="145"/>
      <c r="R846" s="92"/>
      <c r="S846" s="145"/>
      <c r="T846" s="92"/>
      <c r="U846" s="145"/>
      <c r="V846" s="92"/>
      <c r="W846" s="145"/>
      <c r="X846" s="92"/>
      <c r="Y846" s="145"/>
      <c r="Z846" s="92"/>
      <c r="AA846" s="145"/>
      <c r="AB846" s="92"/>
      <c r="AC846" s="145"/>
      <c r="AD846" s="92"/>
      <c r="AE846" s="145"/>
      <c r="AF846" s="182" t="str">
        <f t="shared" si="42"/>
        <v/>
      </c>
      <c r="AG846" s="54" t="b">
        <f t="shared" si="43"/>
        <v>0</v>
      </c>
      <c r="AH846" s="145"/>
      <c r="AI846" s="192" t="s">
        <v>6</v>
      </c>
      <c r="AJ846" s="96">
        <f t="shared" si="44"/>
        <v>0</v>
      </c>
      <c r="AK846" s="193" t="s">
        <v>39</v>
      </c>
    </row>
    <row r="847" spans="1:37" ht="30" customHeight="1">
      <c r="A847" s="92"/>
      <c r="B847" s="92"/>
      <c r="C847" s="92"/>
      <c r="D847" s="92"/>
      <c r="E847" s="92"/>
      <c r="F847" s="92"/>
      <c r="G847" s="92"/>
      <c r="H847" s="92"/>
      <c r="I847" s="92"/>
      <c r="J847" s="92"/>
      <c r="K847" s="92"/>
      <c r="L847" s="92"/>
      <c r="M847" s="92"/>
      <c r="N847" s="155"/>
      <c r="O847" s="145"/>
      <c r="P847" s="92"/>
      <c r="Q847" s="145"/>
      <c r="R847" s="92"/>
      <c r="S847" s="145"/>
      <c r="T847" s="92"/>
      <c r="U847" s="145"/>
      <c r="V847" s="92"/>
      <c r="W847" s="145"/>
      <c r="X847" s="92"/>
      <c r="Y847" s="145"/>
      <c r="Z847" s="92"/>
      <c r="AA847" s="145"/>
      <c r="AB847" s="92"/>
      <c r="AC847" s="145"/>
      <c r="AD847" s="92"/>
      <c r="AE847" s="145"/>
      <c r="AF847" s="182" t="str">
        <f t="shared" si="42"/>
        <v/>
      </c>
      <c r="AG847" s="54" t="b">
        <f t="shared" si="43"/>
        <v>0</v>
      </c>
      <c r="AH847" s="145"/>
      <c r="AI847" s="192" t="s">
        <v>6</v>
      </c>
      <c r="AJ847" s="96">
        <f t="shared" si="44"/>
        <v>0</v>
      </c>
      <c r="AK847" s="193" t="s">
        <v>39</v>
      </c>
    </row>
    <row r="848" spans="1:37" ht="30" customHeight="1">
      <c r="A848" s="92"/>
      <c r="B848" s="92"/>
      <c r="C848" s="92"/>
      <c r="D848" s="92"/>
      <c r="E848" s="92"/>
      <c r="F848" s="92"/>
      <c r="G848" s="92"/>
      <c r="H848" s="92"/>
      <c r="I848" s="92"/>
      <c r="J848" s="92"/>
      <c r="K848" s="92"/>
      <c r="L848" s="92"/>
      <c r="M848" s="92"/>
      <c r="N848" s="155"/>
      <c r="O848" s="145"/>
      <c r="P848" s="92"/>
      <c r="Q848" s="145"/>
      <c r="R848" s="92"/>
      <c r="S848" s="145"/>
      <c r="T848" s="92"/>
      <c r="U848" s="145"/>
      <c r="V848" s="92"/>
      <c r="W848" s="145"/>
      <c r="X848" s="92"/>
      <c r="Y848" s="145"/>
      <c r="Z848" s="92"/>
      <c r="AA848" s="145"/>
      <c r="AB848" s="92"/>
      <c r="AC848" s="145"/>
      <c r="AD848" s="92"/>
      <c r="AE848" s="145"/>
      <c r="AF848" s="182" t="str">
        <f t="shared" si="42"/>
        <v/>
      </c>
      <c r="AG848" s="54" t="b">
        <f t="shared" si="43"/>
        <v>0</v>
      </c>
      <c r="AH848" s="145"/>
      <c r="AI848" s="192" t="s">
        <v>6</v>
      </c>
      <c r="AJ848" s="96">
        <f t="shared" si="44"/>
        <v>0</v>
      </c>
      <c r="AK848" s="193" t="s">
        <v>39</v>
      </c>
    </row>
    <row r="849" spans="1:37" ht="30" customHeight="1">
      <c r="A849" s="92"/>
      <c r="B849" s="92"/>
      <c r="C849" s="92"/>
      <c r="D849" s="92"/>
      <c r="E849" s="92"/>
      <c r="F849" s="92"/>
      <c r="G849" s="92"/>
      <c r="H849" s="92"/>
      <c r="I849" s="92"/>
      <c r="J849" s="92"/>
      <c r="K849" s="92"/>
      <c r="L849" s="92"/>
      <c r="M849" s="92"/>
      <c r="N849" s="155"/>
      <c r="O849" s="145"/>
      <c r="P849" s="92"/>
      <c r="Q849" s="145"/>
      <c r="R849" s="92"/>
      <c r="S849" s="145"/>
      <c r="T849" s="92"/>
      <c r="U849" s="145"/>
      <c r="V849" s="92"/>
      <c r="W849" s="145"/>
      <c r="X849" s="92"/>
      <c r="Y849" s="145"/>
      <c r="Z849" s="92"/>
      <c r="AA849" s="145"/>
      <c r="AB849" s="92"/>
      <c r="AC849" s="145"/>
      <c r="AD849" s="92"/>
      <c r="AE849" s="145"/>
      <c r="AF849" s="182" t="str">
        <f t="shared" si="42"/>
        <v/>
      </c>
      <c r="AG849" s="54" t="b">
        <f t="shared" si="43"/>
        <v>0</v>
      </c>
      <c r="AH849" s="145"/>
      <c r="AI849" s="192" t="s">
        <v>6</v>
      </c>
      <c r="AJ849" s="96">
        <f t="shared" si="44"/>
        <v>0</v>
      </c>
      <c r="AK849" s="193" t="s">
        <v>39</v>
      </c>
    </row>
    <row r="850" spans="1:37" ht="30" customHeight="1">
      <c r="A850" s="92"/>
      <c r="B850" s="92"/>
      <c r="C850" s="92"/>
      <c r="D850" s="92"/>
      <c r="E850" s="92"/>
      <c r="F850" s="92"/>
      <c r="G850" s="92"/>
      <c r="H850" s="92"/>
      <c r="I850" s="92"/>
      <c r="J850" s="92"/>
      <c r="K850" s="92"/>
      <c r="L850" s="92"/>
      <c r="M850" s="92"/>
      <c r="N850" s="155"/>
      <c r="O850" s="145"/>
      <c r="P850" s="92"/>
      <c r="Q850" s="145"/>
      <c r="R850" s="92"/>
      <c r="S850" s="145"/>
      <c r="T850" s="92"/>
      <c r="U850" s="145"/>
      <c r="V850" s="92"/>
      <c r="W850" s="145"/>
      <c r="X850" s="92"/>
      <c r="Y850" s="145"/>
      <c r="Z850" s="92"/>
      <c r="AA850" s="145"/>
      <c r="AB850" s="92"/>
      <c r="AC850" s="145"/>
      <c r="AD850" s="92"/>
      <c r="AE850" s="145"/>
      <c r="AF850" s="182" t="str">
        <f t="shared" si="42"/>
        <v/>
      </c>
      <c r="AG850" s="54" t="b">
        <f t="shared" si="43"/>
        <v>0</v>
      </c>
      <c r="AH850" s="145"/>
      <c r="AI850" s="192" t="s">
        <v>6</v>
      </c>
      <c r="AJ850" s="96">
        <f t="shared" si="44"/>
        <v>0</v>
      </c>
      <c r="AK850" s="193" t="s">
        <v>39</v>
      </c>
    </row>
    <row r="851" spans="1:37" ht="30" customHeight="1">
      <c r="A851" s="92"/>
      <c r="B851" s="92"/>
      <c r="C851" s="92"/>
      <c r="D851" s="92"/>
      <c r="E851" s="92"/>
      <c r="F851" s="92"/>
      <c r="G851" s="92"/>
      <c r="H851" s="92"/>
      <c r="I851" s="92"/>
      <c r="J851" s="92"/>
      <c r="K851" s="92"/>
      <c r="L851" s="92"/>
      <c r="M851" s="92"/>
      <c r="N851" s="155"/>
      <c r="O851" s="145"/>
      <c r="P851" s="92"/>
      <c r="Q851" s="145"/>
      <c r="R851" s="92"/>
      <c r="S851" s="145"/>
      <c r="T851" s="92"/>
      <c r="U851" s="145"/>
      <c r="V851" s="92"/>
      <c r="W851" s="145"/>
      <c r="X851" s="92"/>
      <c r="Y851" s="145"/>
      <c r="Z851" s="92"/>
      <c r="AA851" s="145"/>
      <c r="AB851" s="92"/>
      <c r="AC851" s="145"/>
      <c r="AD851" s="92"/>
      <c r="AE851" s="145"/>
      <c r="AF851" s="182" t="str">
        <f t="shared" si="42"/>
        <v/>
      </c>
      <c r="AG851" s="54" t="b">
        <f t="shared" si="43"/>
        <v>0</v>
      </c>
      <c r="AH851" s="145"/>
      <c r="AI851" s="192" t="s">
        <v>6</v>
      </c>
      <c r="AJ851" s="96">
        <f t="shared" si="44"/>
        <v>0</v>
      </c>
      <c r="AK851" s="193" t="s">
        <v>39</v>
      </c>
    </row>
    <row r="852" spans="1:37" ht="30" customHeight="1">
      <c r="A852" s="92"/>
      <c r="B852" s="92"/>
      <c r="C852" s="92"/>
      <c r="D852" s="92"/>
      <c r="E852" s="92"/>
      <c r="F852" s="92"/>
      <c r="G852" s="92"/>
      <c r="H852" s="92"/>
      <c r="I852" s="92"/>
      <c r="J852" s="92"/>
      <c r="K852" s="92"/>
      <c r="L852" s="92"/>
      <c r="M852" s="92"/>
      <c r="N852" s="155"/>
      <c r="O852" s="145"/>
      <c r="P852" s="92"/>
      <c r="Q852" s="145"/>
      <c r="R852" s="92"/>
      <c r="S852" s="145"/>
      <c r="T852" s="92"/>
      <c r="U852" s="145"/>
      <c r="V852" s="92"/>
      <c r="W852" s="145"/>
      <c r="X852" s="92"/>
      <c r="Y852" s="145"/>
      <c r="Z852" s="92"/>
      <c r="AA852" s="145"/>
      <c r="AB852" s="92"/>
      <c r="AC852" s="145"/>
      <c r="AD852" s="92"/>
      <c r="AE852" s="145"/>
      <c r="AF852" s="182" t="str">
        <f t="shared" si="42"/>
        <v/>
      </c>
      <c r="AG852" s="54" t="b">
        <f t="shared" si="43"/>
        <v>0</v>
      </c>
      <c r="AH852" s="145"/>
      <c r="AI852" s="192" t="s">
        <v>6</v>
      </c>
      <c r="AJ852" s="96">
        <f t="shared" si="44"/>
        <v>0</v>
      </c>
      <c r="AK852" s="193" t="s">
        <v>39</v>
      </c>
    </row>
    <row r="853" spans="1:37" ht="30" customHeight="1">
      <c r="A853" s="92"/>
      <c r="B853" s="92"/>
      <c r="C853" s="92"/>
      <c r="D853" s="92"/>
      <c r="E853" s="92"/>
      <c r="F853" s="92"/>
      <c r="G853" s="92"/>
      <c r="H853" s="92"/>
      <c r="I853" s="92"/>
      <c r="J853" s="92"/>
      <c r="K853" s="92"/>
      <c r="L853" s="92"/>
      <c r="M853" s="92"/>
      <c r="N853" s="155"/>
      <c r="O853" s="145"/>
      <c r="P853" s="92"/>
      <c r="Q853" s="145"/>
      <c r="R853" s="92"/>
      <c r="S853" s="145"/>
      <c r="T853" s="92"/>
      <c r="U853" s="145"/>
      <c r="V853" s="92"/>
      <c r="W853" s="145"/>
      <c r="X853" s="92"/>
      <c r="Y853" s="145"/>
      <c r="Z853" s="92"/>
      <c r="AA853" s="145"/>
      <c r="AB853" s="92"/>
      <c r="AC853" s="145"/>
      <c r="AD853" s="92"/>
      <c r="AE853" s="145"/>
      <c r="AF853" s="182" t="str">
        <f t="shared" si="42"/>
        <v/>
      </c>
      <c r="AG853" s="54" t="b">
        <f t="shared" si="43"/>
        <v>0</v>
      </c>
      <c r="AH853" s="145"/>
      <c r="AI853" s="192" t="s">
        <v>6</v>
      </c>
      <c r="AJ853" s="96">
        <f t="shared" si="44"/>
        <v>0</v>
      </c>
      <c r="AK853" s="193" t="s">
        <v>39</v>
      </c>
    </row>
    <row r="854" spans="1:37" ht="30" customHeight="1">
      <c r="A854" s="92"/>
      <c r="B854" s="92"/>
      <c r="C854" s="92"/>
      <c r="D854" s="92"/>
      <c r="E854" s="92"/>
      <c r="F854" s="92"/>
      <c r="G854" s="92"/>
      <c r="H854" s="92"/>
      <c r="I854" s="92"/>
      <c r="J854" s="92"/>
      <c r="K854" s="92"/>
      <c r="L854" s="92"/>
      <c r="M854" s="92"/>
      <c r="N854" s="155"/>
      <c r="O854" s="145"/>
      <c r="P854" s="92"/>
      <c r="Q854" s="145"/>
      <c r="R854" s="92"/>
      <c r="S854" s="145"/>
      <c r="T854" s="92"/>
      <c r="U854" s="145"/>
      <c r="V854" s="92"/>
      <c r="W854" s="145"/>
      <c r="X854" s="92"/>
      <c r="Y854" s="145"/>
      <c r="Z854" s="92"/>
      <c r="AA854" s="145"/>
      <c r="AB854" s="92"/>
      <c r="AC854" s="145"/>
      <c r="AD854" s="92"/>
      <c r="AE854" s="145"/>
      <c r="AF854" s="182" t="str">
        <f t="shared" si="42"/>
        <v/>
      </c>
      <c r="AG854" s="54" t="b">
        <f t="shared" si="43"/>
        <v>0</v>
      </c>
      <c r="AH854" s="145"/>
      <c r="AI854" s="192" t="s">
        <v>6</v>
      </c>
      <c r="AJ854" s="96">
        <f t="shared" si="44"/>
        <v>0</v>
      </c>
      <c r="AK854" s="193" t="s">
        <v>39</v>
      </c>
    </row>
    <row r="855" spans="1:37" ht="30" customHeight="1">
      <c r="A855" s="92"/>
      <c r="B855" s="92"/>
      <c r="C855" s="92"/>
      <c r="D855" s="92"/>
      <c r="E855" s="92"/>
      <c r="F855" s="92"/>
      <c r="G855" s="92"/>
      <c r="H855" s="92"/>
      <c r="I855" s="92"/>
      <c r="J855" s="92"/>
      <c r="K855" s="92"/>
      <c r="L855" s="92"/>
      <c r="M855" s="92"/>
      <c r="N855" s="155"/>
      <c r="O855" s="145"/>
      <c r="P855" s="92"/>
      <c r="Q855" s="145"/>
      <c r="R855" s="92"/>
      <c r="S855" s="145"/>
      <c r="T855" s="92"/>
      <c r="U855" s="145"/>
      <c r="V855" s="92"/>
      <c r="W855" s="145"/>
      <c r="X855" s="92"/>
      <c r="Y855" s="145"/>
      <c r="Z855" s="92"/>
      <c r="AA855" s="145"/>
      <c r="AB855" s="92"/>
      <c r="AC855" s="145"/>
      <c r="AD855" s="92"/>
      <c r="AE855" s="145"/>
      <c r="AF855" s="182" t="str">
        <f t="shared" si="42"/>
        <v/>
      </c>
      <c r="AG855" s="54" t="b">
        <f t="shared" si="43"/>
        <v>0</v>
      </c>
      <c r="AH855" s="145"/>
      <c r="AI855" s="192" t="s">
        <v>6</v>
      </c>
      <c r="AJ855" s="96">
        <f t="shared" si="44"/>
        <v>0</v>
      </c>
      <c r="AK855" s="193" t="s">
        <v>39</v>
      </c>
    </row>
    <row r="856" spans="1:37" ht="30" customHeight="1">
      <c r="A856" s="92"/>
      <c r="B856" s="92"/>
      <c r="C856" s="92"/>
      <c r="D856" s="92"/>
      <c r="E856" s="92"/>
      <c r="F856" s="92"/>
      <c r="G856" s="92"/>
      <c r="H856" s="92"/>
      <c r="I856" s="92"/>
      <c r="J856" s="92"/>
      <c r="K856" s="92"/>
      <c r="L856" s="92"/>
      <c r="M856" s="92"/>
      <c r="N856" s="155"/>
      <c r="O856" s="145"/>
      <c r="P856" s="92"/>
      <c r="Q856" s="145"/>
      <c r="R856" s="92"/>
      <c r="S856" s="145"/>
      <c r="T856" s="92"/>
      <c r="U856" s="145"/>
      <c r="V856" s="92"/>
      <c r="W856" s="145"/>
      <c r="X856" s="92"/>
      <c r="Y856" s="145"/>
      <c r="Z856" s="92"/>
      <c r="AA856" s="145"/>
      <c r="AB856" s="92"/>
      <c r="AC856" s="145"/>
      <c r="AD856" s="92"/>
      <c r="AE856" s="145"/>
      <c r="AF856" s="182" t="str">
        <f t="shared" si="42"/>
        <v/>
      </c>
      <c r="AG856" s="54" t="b">
        <f t="shared" si="43"/>
        <v>0</v>
      </c>
      <c r="AH856" s="145"/>
      <c r="AI856" s="192" t="s">
        <v>6</v>
      </c>
      <c r="AJ856" s="96">
        <f t="shared" si="44"/>
        <v>0</v>
      </c>
      <c r="AK856" s="193" t="s">
        <v>39</v>
      </c>
    </row>
    <row r="857" spans="1:37" ht="30" customHeight="1">
      <c r="A857" s="92"/>
      <c r="B857" s="92"/>
      <c r="C857" s="92"/>
      <c r="D857" s="92"/>
      <c r="E857" s="92"/>
      <c r="F857" s="92"/>
      <c r="G857" s="92"/>
      <c r="H857" s="92"/>
      <c r="I857" s="92"/>
      <c r="J857" s="92"/>
      <c r="K857" s="92"/>
      <c r="L857" s="92"/>
      <c r="M857" s="92"/>
      <c r="N857" s="155"/>
      <c r="O857" s="145"/>
      <c r="P857" s="92"/>
      <c r="Q857" s="145"/>
      <c r="R857" s="92"/>
      <c r="S857" s="145"/>
      <c r="T857" s="92"/>
      <c r="U857" s="145"/>
      <c r="V857" s="92"/>
      <c r="W857" s="145"/>
      <c r="X857" s="92"/>
      <c r="Y857" s="145"/>
      <c r="Z857" s="92"/>
      <c r="AA857" s="145"/>
      <c r="AB857" s="92"/>
      <c r="AC857" s="145"/>
      <c r="AD857" s="92"/>
      <c r="AE857" s="145"/>
      <c r="AF857" s="182" t="str">
        <f t="shared" si="42"/>
        <v/>
      </c>
      <c r="AG857" s="54" t="b">
        <f t="shared" si="43"/>
        <v>0</v>
      </c>
      <c r="AH857" s="145"/>
      <c r="AI857" s="192" t="s">
        <v>6</v>
      </c>
      <c r="AJ857" s="96">
        <f t="shared" si="44"/>
        <v>0</v>
      </c>
      <c r="AK857" s="193" t="s">
        <v>39</v>
      </c>
    </row>
    <row r="858" spans="1:37" ht="30" customHeight="1">
      <c r="A858" s="92"/>
      <c r="B858" s="92"/>
      <c r="C858" s="92"/>
      <c r="D858" s="92"/>
      <c r="E858" s="92"/>
      <c r="F858" s="92"/>
      <c r="G858" s="92"/>
      <c r="H858" s="92"/>
      <c r="I858" s="92"/>
      <c r="J858" s="92"/>
      <c r="K858" s="92"/>
      <c r="L858" s="92"/>
      <c r="M858" s="92"/>
      <c r="N858" s="155"/>
      <c r="O858" s="145"/>
      <c r="P858" s="92"/>
      <c r="Q858" s="145"/>
      <c r="R858" s="92"/>
      <c r="S858" s="145"/>
      <c r="T858" s="92"/>
      <c r="U858" s="145"/>
      <c r="V858" s="92"/>
      <c r="W858" s="145"/>
      <c r="X858" s="92"/>
      <c r="Y858" s="145"/>
      <c r="Z858" s="92"/>
      <c r="AA858" s="145"/>
      <c r="AB858" s="92"/>
      <c r="AC858" s="145"/>
      <c r="AD858" s="92"/>
      <c r="AE858" s="145"/>
      <c r="AF858" s="182" t="str">
        <f t="shared" si="42"/>
        <v/>
      </c>
      <c r="AG858" s="54" t="b">
        <f t="shared" si="43"/>
        <v>0</v>
      </c>
      <c r="AH858" s="145"/>
      <c r="AI858" s="192" t="s">
        <v>6</v>
      </c>
      <c r="AJ858" s="96">
        <f t="shared" si="44"/>
        <v>0</v>
      </c>
      <c r="AK858" s="193" t="s">
        <v>39</v>
      </c>
    </row>
    <row r="859" spans="1:37" ht="30" customHeight="1">
      <c r="A859" s="92"/>
      <c r="B859" s="92"/>
      <c r="C859" s="92"/>
      <c r="D859" s="92"/>
      <c r="E859" s="92"/>
      <c r="F859" s="92"/>
      <c r="G859" s="92"/>
      <c r="H859" s="92"/>
      <c r="I859" s="92"/>
      <c r="J859" s="92"/>
      <c r="K859" s="92"/>
      <c r="L859" s="92"/>
      <c r="M859" s="92"/>
      <c r="N859" s="155"/>
      <c r="O859" s="145"/>
      <c r="P859" s="92"/>
      <c r="Q859" s="145"/>
      <c r="R859" s="92"/>
      <c r="S859" s="145"/>
      <c r="T859" s="92"/>
      <c r="U859" s="145"/>
      <c r="V859" s="92"/>
      <c r="W859" s="145"/>
      <c r="X859" s="92"/>
      <c r="Y859" s="145"/>
      <c r="Z859" s="92"/>
      <c r="AA859" s="145"/>
      <c r="AB859" s="92"/>
      <c r="AC859" s="145"/>
      <c r="AD859" s="92"/>
      <c r="AE859" s="145"/>
      <c r="AF859" s="182" t="str">
        <f t="shared" si="42"/>
        <v/>
      </c>
      <c r="AG859" s="54" t="b">
        <f t="shared" si="43"/>
        <v>0</v>
      </c>
      <c r="AH859" s="145"/>
      <c r="AI859" s="192" t="s">
        <v>6</v>
      </c>
      <c r="AJ859" s="96">
        <f t="shared" si="44"/>
        <v>0</v>
      </c>
      <c r="AK859" s="193" t="s">
        <v>39</v>
      </c>
    </row>
    <row r="860" spans="1:37" ht="30" customHeight="1">
      <c r="A860" s="92"/>
      <c r="B860" s="92"/>
      <c r="C860" s="92"/>
      <c r="D860" s="92"/>
      <c r="E860" s="92"/>
      <c r="F860" s="92"/>
      <c r="G860" s="92"/>
      <c r="H860" s="92"/>
      <c r="I860" s="92"/>
      <c r="J860" s="92"/>
      <c r="K860" s="92"/>
      <c r="L860" s="92"/>
      <c r="M860" s="92"/>
      <c r="N860" s="155"/>
      <c r="O860" s="145"/>
      <c r="P860" s="92"/>
      <c r="Q860" s="145"/>
      <c r="R860" s="92"/>
      <c r="S860" s="145"/>
      <c r="T860" s="92"/>
      <c r="U860" s="145"/>
      <c r="V860" s="92"/>
      <c r="W860" s="145"/>
      <c r="X860" s="92"/>
      <c r="Y860" s="145"/>
      <c r="Z860" s="92"/>
      <c r="AA860" s="145"/>
      <c r="AB860" s="92"/>
      <c r="AC860" s="145"/>
      <c r="AD860" s="92"/>
      <c r="AE860" s="145"/>
      <c r="AF860" s="182" t="str">
        <f t="shared" si="42"/>
        <v/>
      </c>
      <c r="AG860" s="54" t="b">
        <f t="shared" si="43"/>
        <v>0</v>
      </c>
      <c r="AH860" s="145"/>
      <c r="AI860" s="192" t="s">
        <v>6</v>
      </c>
      <c r="AJ860" s="96">
        <f t="shared" si="44"/>
        <v>0</v>
      </c>
      <c r="AK860" s="193" t="s">
        <v>39</v>
      </c>
    </row>
    <row r="861" spans="1:37" ht="30" customHeight="1">
      <c r="A861" s="92"/>
      <c r="B861" s="92"/>
      <c r="C861" s="92"/>
      <c r="D861" s="92"/>
      <c r="E861" s="92"/>
      <c r="F861" s="92"/>
      <c r="G861" s="92"/>
      <c r="H861" s="92"/>
      <c r="I861" s="92"/>
      <c r="J861" s="92"/>
      <c r="K861" s="92"/>
      <c r="L861" s="92"/>
      <c r="M861" s="92"/>
      <c r="N861" s="155"/>
      <c r="O861" s="145"/>
      <c r="P861" s="92"/>
      <c r="Q861" s="145"/>
      <c r="R861" s="92"/>
      <c r="S861" s="145"/>
      <c r="T861" s="92"/>
      <c r="U861" s="145"/>
      <c r="V861" s="92"/>
      <c r="W861" s="145"/>
      <c r="X861" s="92"/>
      <c r="Y861" s="145"/>
      <c r="Z861" s="92"/>
      <c r="AA861" s="145"/>
      <c r="AB861" s="92"/>
      <c r="AC861" s="145"/>
      <c r="AD861" s="92"/>
      <c r="AE861" s="145"/>
      <c r="AF861" s="182" t="str">
        <f t="shared" si="42"/>
        <v/>
      </c>
      <c r="AG861" s="54" t="b">
        <f t="shared" si="43"/>
        <v>0</v>
      </c>
      <c r="AH861" s="145"/>
      <c r="AI861" s="192" t="s">
        <v>6</v>
      </c>
      <c r="AJ861" s="96">
        <f t="shared" si="44"/>
        <v>0</v>
      </c>
      <c r="AK861" s="193" t="s">
        <v>39</v>
      </c>
    </row>
    <row r="862" spans="1:37" ht="30" customHeight="1">
      <c r="A862" s="92"/>
      <c r="B862" s="92"/>
      <c r="C862" s="92"/>
      <c r="D862" s="92"/>
      <c r="E862" s="92"/>
      <c r="F862" s="92"/>
      <c r="G862" s="92"/>
      <c r="H862" s="92"/>
      <c r="I862" s="92"/>
      <c r="J862" s="92"/>
      <c r="K862" s="92"/>
      <c r="L862" s="92"/>
      <c r="M862" s="92"/>
      <c r="N862" s="155"/>
      <c r="O862" s="145"/>
      <c r="P862" s="92"/>
      <c r="Q862" s="145"/>
      <c r="R862" s="92"/>
      <c r="S862" s="145"/>
      <c r="T862" s="92"/>
      <c r="U862" s="145"/>
      <c r="V862" s="92"/>
      <c r="W862" s="145"/>
      <c r="X862" s="92"/>
      <c r="Y862" s="145"/>
      <c r="Z862" s="92"/>
      <c r="AA862" s="145"/>
      <c r="AB862" s="92"/>
      <c r="AC862" s="145"/>
      <c r="AD862" s="92"/>
      <c r="AE862" s="145"/>
      <c r="AF862" s="182" t="str">
        <f t="shared" si="42"/>
        <v/>
      </c>
      <c r="AG862" s="54" t="b">
        <f t="shared" si="43"/>
        <v>0</v>
      </c>
      <c r="AH862" s="145"/>
      <c r="AI862" s="192" t="s">
        <v>6</v>
      </c>
      <c r="AJ862" s="96">
        <f t="shared" si="44"/>
        <v>0</v>
      </c>
      <c r="AK862" s="193" t="s">
        <v>39</v>
      </c>
    </row>
    <row r="863" spans="1:37" ht="30" customHeight="1">
      <c r="A863" s="92"/>
      <c r="B863" s="92"/>
      <c r="C863" s="92"/>
      <c r="D863" s="92"/>
      <c r="E863" s="92"/>
      <c r="F863" s="92"/>
      <c r="G863" s="92"/>
      <c r="H863" s="92"/>
      <c r="I863" s="92"/>
      <c r="J863" s="92"/>
      <c r="K863" s="92"/>
      <c r="L863" s="92"/>
      <c r="M863" s="92"/>
      <c r="N863" s="155"/>
      <c r="O863" s="145"/>
      <c r="P863" s="92"/>
      <c r="Q863" s="145"/>
      <c r="R863" s="92"/>
      <c r="S863" s="145"/>
      <c r="T863" s="92"/>
      <c r="U863" s="145"/>
      <c r="V863" s="92"/>
      <c r="W863" s="145"/>
      <c r="X863" s="92"/>
      <c r="Y863" s="145"/>
      <c r="Z863" s="92"/>
      <c r="AA863" s="145"/>
      <c r="AB863" s="92"/>
      <c r="AC863" s="145"/>
      <c r="AD863" s="92"/>
      <c r="AE863" s="145"/>
      <c r="AF863" s="182" t="str">
        <f t="shared" si="42"/>
        <v/>
      </c>
      <c r="AG863" s="54" t="b">
        <f t="shared" si="43"/>
        <v>0</v>
      </c>
      <c r="AH863" s="145"/>
      <c r="AI863" s="192" t="s">
        <v>6</v>
      </c>
      <c r="AJ863" s="96">
        <f t="shared" si="44"/>
        <v>0</v>
      </c>
      <c r="AK863" s="193" t="s">
        <v>39</v>
      </c>
    </row>
    <row r="864" spans="1:37" ht="30" customHeight="1">
      <c r="A864" s="92"/>
      <c r="B864" s="92"/>
      <c r="C864" s="92"/>
      <c r="D864" s="92"/>
      <c r="E864" s="92"/>
      <c r="F864" s="92"/>
      <c r="G864" s="92"/>
      <c r="H864" s="92"/>
      <c r="I864" s="92"/>
      <c r="J864" s="92"/>
      <c r="K864" s="92"/>
      <c r="L864" s="92"/>
      <c r="M864" s="92"/>
      <c r="N864" s="155"/>
      <c r="O864" s="145"/>
      <c r="P864" s="92"/>
      <c r="Q864" s="145"/>
      <c r="R864" s="92"/>
      <c r="S864" s="145"/>
      <c r="T864" s="92"/>
      <c r="U864" s="145"/>
      <c r="V864" s="92"/>
      <c r="W864" s="145"/>
      <c r="X864" s="92"/>
      <c r="Y864" s="145"/>
      <c r="Z864" s="92"/>
      <c r="AA864" s="145"/>
      <c r="AB864" s="92"/>
      <c r="AC864" s="145"/>
      <c r="AD864" s="92"/>
      <c r="AE864" s="145"/>
      <c r="AF864" s="182" t="str">
        <f t="shared" si="42"/>
        <v/>
      </c>
      <c r="AG864" s="54" t="b">
        <f t="shared" si="43"/>
        <v>0</v>
      </c>
      <c r="AH864" s="145"/>
      <c r="AI864" s="192" t="s">
        <v>6</v>
      </c>
      <c r="AJ864" s="96">
        <f t="shared" si="44"/>
        <v>0</v>
      </c>
      <c r="AK864" s="193" t="s">
        <v>39</v>
      </c>
    </row>
    <row r="865" spans="1:37" ht="30" customHeight="1">
      <c r="A865" s="92"/>
      <c r="B865" s="92"/>
      <c r="C865" s="92"/>
      <c r="D865" s="92"/>
      <c r="E865" s="92"/>
      <c r="F865" s="92"/>
      <c r="G865" s="92"/>
      <c r="H865" s="92"/>
      <c r="I865" s="92"/>
      <c r="J865" s="92"/>
      <c r="K865" s="92"/>
      <c r="L865" s="92"/>
      <c r="M865" s="92"/>
      <c r="N865" s="155"/>
      <c r="O865" s="145"/>
      <c r="P865" s="92"/>
      <c r="Q865" s="145"/>
      <c r="R865" s="92"/>
      <c r="S865" s="145"/>
      <c r="T865" s="92"/>
      <c r="U865" s="145"/>
      <c r="V865" s="92"/>
      <c r="W865" s="145"/>
      <c r="X865" s="92"/>
      <c r="Y865" s="145"/>
      <c r="Z865" s="92"/>
      <c r="AA865" s="145"/>
      <c r="AB865" s="92"/>
      <c r="AC865" s="145"/>
      <c r="AD865" s="92"/>
      <c r="AE865" s="145"/>
      <c r="AF865" s="182" t="str">
        <f t="shared" si="42"/>
        <v/>
      </c>
      <c r="AG865" s="54" t="b">
        <f t="shared" si="43"/>
        <v>0</v>
      </c>
      <c r="AH865" s="145"/>
      <c r="AI865" s="192" t="s">
        <v>6</v>
      </c>
      <c r="AJ865" s="96">
        <f t="shared" si="44"/>
        <v>0</v>
      </c>
      <c r="AK865" s="193" t="s">
        <v>39</v>
      </c>
    </row>
    <row r="866" spans="1:37" ht="30" customHeight="1">
      <c r="A866" s="92"/>
      <c r="B866" s="92"/>
      <c r="C866" s="92"/>
      <c r="D866" s="92"/>
      <c r="E866" s="92"/>
      <c r="F866" s="92"/>
      <c r="G866" s="92"/>
      <c r="H866" s="92"/>
      <c r="I866" s="92"/>
      <c r="J866" s="92"/>
      <c r="K866" s="92"/>
      <c r="L866" s="92"/>
      <c r="M866" s="92"/>
      <c r="N866" s="155"/>
      <c r="O866" s="145"/>
      <c r="P866" s="92"/>
      <c r="Q866" s="145"/>
      <c r="R866" s="92"/>
      <c r="S866" s="145"/>
      <c r="T866" s="92"/>
      <c r="U866" s="145"/>
      <c r="V866" s="92"/>
      <c r="W866" s="145"/>
      <c r="X866" s="92"/>
      <c r="Y866" s="145"/>
      <c r="Z866" s="92"/>
      <c r="AA866" s="145"/>
      <c r="AB866" s="92"/>
      <c r="AC866" s="145"/>
      <c r="AD866" s="92"/>
      <c r="AE866" s="145"/>
      <c r="AF866" s="182" t="str">
        <f t="shared" si="42"/>
        <v/>
      </c>
      <c r="AG866" s="54" t="b">
        <f t="shared" si="43"/>
        <v>0</v>
      </c>
      <c r="AH866" s="145"/>
      <c r="AI866" s="192" t="s">
        <v>6</v>
      </c>
      <c r="AJ866" s="96">
        <f t="shared" si="44"/>
        <v>0</v>
      </c>
      <c r="AK866" s="193" t="s">
        <v>39</v>
      </c>
    </row>
    <row r="867" spans="1:37" ht="30" customHeight="1">
      <c r="A867" s="92"/>
      <c r="B867" s="92"/>
      <c r="C867" s="92"/>
      <c r="D867" s="92"/>
      <c r="E867" s="92"/>
      <c r="F867" s="92"/>
      <c r="G867" s="92"/>
      <c r="H867" s="92"/>
      <c r="I867" s="92"/>
      <c r="J867" s="92"/>
      <c r="K867" s="92"/>
      <c r="L867" s="92"/>
      <c r="M867" s="92"/>
      <c r="N867" s="155"/>
      <c r="O867" s="145"/>
      <c r="P867" s="92"/>
      <c r="Q867" s="145"/>
      <c r="R867" s="92"/>
      <c r="S867" s="145"/>
      <c r="T867" s="92"/>
      <c r="U867" s="145"/>
      <c r="V867" s="92"/>
      <c r="W867" s="145"/>
      <c r="X867" s="92"/>
      <c r="Y867" s="145"/>
      <c r="Z867" s="92"/>
      <c r="AA867" s="145"/>
      <c r="AB867" s="92"/>
      <c r="AC867" s="145"/>
      <c r="AD867" s="92"/>
      <c r="AE867" s="145"/>
      <c r="AF867" s="182" t="str">
        <f t="shared" si="42"/>
        <v/>
      </c>
      <c r="AG867" s="54" t="b">
        <f t="shared" si="43"/>
        <v>0</v>
      </c>
      <c r="AH867" s="145"/>
      <c r="AI867" s="192" t="s">
        <v>6</v>
      </c>
      <c r="AJ867" s="96">
        <f t="shared" si="44"/>
        <v>0</v>
      </c>
      <c r="AK867" s="193" t="s">
        <v>39</v>
      </c>
    </row>
    <row r="868" spans="1:37" ht="30" customHeight="1">
      <c r="A868" s="92"/>
      <c r="B868" s="92"/>
      <c r="C868" s="92"/>
      <c r="D868" s="92"/>
      <c r="E868" s="92"/>
      <c r="F868" s="92"/>
      <c r="G868" s="92"/>
      <c r="H868" s="92"/>
      <c r="I868" s="92"/>
      <c r="J868" s="92"/>
      <c r="K868" s="92"/>
      <c r="L868" s="92"/>
      <c r="M868" s="92"/>
      <c r="N868" s="155"/>
      <c r="O868" s="145"/>
      <c r="P868" s="92"/>
      <c r="Q868" s="145"/>
      <c r="R868" s="92"/>
      <c r="S868" s="145"/>
      <c r="T868" s="92"/>
      <c r="U868" s="145"/>
      <c r="V868" s="92"/>
      <c r="W868" s="145"/>
      <c r="X868" s="92"/>
      <c r="Y868" s="145"/>
      <c r="Z868" s="92"/>
      <c r="AA868" s="145"/>
      <c r="AB868" s="92"/>
      <c r="AC868" s="145"/>
      <c r="AD868" s="92"/>
      <c r="AE868" s="145"/>
      <c r="AF868" s="182" t="str">
        <f t="shared" si="42"/>
        <v/>
      </c>
      <c r="AG868" s="54" t="b">
        <f t="shared" si="43"/>
        <v>0</v>
      </c>
      <c r="AH868" s="145"/>
      <c r="AI868" s="192" t="s">
        <v>6</v>
      </c>
      <c r="AJ868" s="96">
        <f t="shared" si="44"/>
        <v>0</v>
      </c>
      <c r="AK868" s="193" t="s">
        <v>39</v>
      </c>
    </row>
    <row r="869" spans="1:37" ht="30" customHeight="1">
      <c r="A869" s="92"/>
      <c r="B869" s="92"/>
      <c r="C869" s="92"/>
      <c r="D869" s="92"/>
      <c r="E869" s="92"/>
      <c r="F869" s="92"/>
      <c r="G869" s="92"/>
      <c r="H869" s="92"/>
      <c r="I869" s="92"/>
      <c r="J869" s="92"/>
      <c r="K869" s="92"/>
      <c r="L869" s="92"/>
      <c r="M869" s="92"/>
      <c r="N869" s="155"/>
      <c r="O869" s="145"/>
      <c r="P869" s="92"/>
      <c r="Q869" s="145"/>
      <c r="R869" s="92"/>
      <c r="S869" s="145"/>
      <c r="T869" s="92"/>
      <c r="U869" s="145"/>
      <c r="V869" s="92"/>
      <c r="W869" s="145"/>
      <c r="X869" s="92"/>
      <c r="Y869" s="145"/>
      <c r="Z869" s="92"/>
      <c r="AA869" s="145"/>
      <c r="AB869" s="92"/>
      <c r="AC869" s="145"/>
      <c r="AD869" s="92"/>
      <c r="AE869" s="145"/>
      <c r="AF869" s="182" t="str">
        <f t="shared" si="42"/>
        <v/>
      </c>
      <c r="AG869" s="54" t="b">
        <f t="shared" si="43"/>
        <v>0</v>
      </c>
      <c r="AH869" s="145"/>
      <c r="AI869" s="192" t="s">
        <v>6</v>
      </c>
      <c r="AJ869" s="96">
        <f t="shared" si="44"/>
        <v>0</v>
      </c>
      <c r="AK869" s="193" t="s">
        <v>39</v>
      </c>
    </row>
    <row r="870" spans="1:37" ht="30" customHeight="1">
      <c r="A870" s="92"/>
      <c r="B870" s="92"/>
      <c r="C870" s="92"/>
      <c r="D870" s="92"/>
      <c r="E870" s="92"/>
      <c r="F870" s="92"/>
      <c r="G870" s="92"/>
      <c r="H870" s="92"/>
      <c r="I870" s="92"/>
      <c r="J870" s="92"/>
      <c r="K870" s="92"/>
      <c r="L870" s="92"/>
      <c r="M870" s="92"/>
      <c r="N870" s="155"/>
      <c r="O870" s="145"/>
      <c r="P870" s="92"/>
      <c r="Q870" s="145"/>
      <c r="R870" s="92"/>
      <c r="S870" s="145"/>
      <c r="T870" s="92"/>
      <c r="U870" s="145"/>
      <c r="V870" s="92"/>
      <c r="W870" s="145"/>
      <c r="X870" s="92"/>
      <c r="Y870" s="145"/>
      <c r="Z870" s="92"/>
      <c r="AA870" s="145"/>
      <c r="AB870" s="92"/>
      <c r="AC870" s="145"/>
      <c r="AD870" s="92"/>
      <c r="AE870" s="145"/>
      <c r="AF870" s="182" t="str">
        <f t="shared" si="42"/>
        <v/>
      </c>
      <c r="AG870" s="54" t="b">
        <f t="shared" si="43"/>
        <v>0</v>
      </c>
      <c r="AH870" s="145"/>
      <c r="AI870" s="192" t="s">
        <v>6</v>
      </c>
      <c r="AJ870" s="96">
        <f t="shared" si="44"/>
        <v>0</v>
      </c>
      <c r="AK870" s="193" t="s">
        <v>39</v>
      </c>
    </row>
    <row r="871" spans="1:37" ht="30" customHeight="1">
      <c r="A871" s="92"/>
      <c r="B871" s="92"/>
      <c r="C871" s="92"/>
      <c r="D871" s="92"/>
      <c r="E871" s="92"/>
      <c r="F871" s="92"/>
      <c r="G871" s="92"/>
      <c r="H871" s="92"/>
      <c r="I871" s="92"/>
      <c r="J871" s="92"/>
      <c r="K871" s="92"/>
      <c r="L871" s="92"/>
      <c r="M871" s="92"/>
      <c r="N871" s="155"/>
      <c r="O871" s="145"/>
      <c r="P871" s="92"/>
      <c r="Q871" s="145"/>
      <c r="R871" s="92"/>
      <c r="S871" s="145"/>
      <c r="T871" s="92"/>
      <c r="U871" s="145"/>
      <c r="V871" s="92"/>
      <c r="W871" s="145"/>
      <c r="X871" s="92"/>
      <c r="Y871" s="145"/>
      <c r="Z871" s="92"/>
      <c r="AA871" s="145"/>
      <c r="AB871" s="92"/>
      <c r="AC871" s="145"/>
      <c r="AD871" s="92"/>
      <c r="AE871" s="145"/>
      <c r="AF871" s="182" t="str">
        <f t="shared" si="42"/>
        <v/>
      </c>
      <c r="AG871" s="54" t="b">
        <f t="shared" si="43"/>
        <v>0</v>
      </c>
      <c r="AH871" s="145"/>
      <c r="AI871" s="192" t="s">
        <v>6</v>
      </c>
      <c r="AJ871" s="96">
        <f t="shared" si="44"/>
        <v>0</v>
      </c>
      <c r="AK871" s="193" t="s">
        <v>39</v>
      </c>
    </row>
    <row r="872" spans="1:37" ht="30" customHeight="1">
      <c r="A872" s="92"/>
      <c r="B872" s="92"/>
      <c r="C872" s="92"/>
      <c r="D872" s="92"/>
      <c r="E872" s="92"/>
      <c r="F872" s="92"/>
      <c r="G872" s="92"/>
      <c r="H872" s="92"/>
      <c r="I872" s="92"/>
      <c r="J872" s="92"/>
      <c r="K872" s="92"/>
      <c r="L872" s="92"/>
      <c r="M872" s="92"/>
      <c r="N872" s="155"/>
      <c r="O872" s="145"/>
      <c r="P872" s="92"/>
      <c r="Q872" s="145"/>
      <c r="R872" s="92"/>
      <c r="S872" s="145"/>
      <c r="T872" s="92"/>
      <c r="U872" s="145"/>
      <c r="V872" s="92"/>
      <c r="W872" s="145"/>
      <c r="X872" s="92"/>
      <c r="Y872" s="145"/>
      <c r="Z872" s="92"/>
      <c r="AA872" s="145"/>
      <c r="AB872" s="92"/>
      <c r="AC872" s="145"/>
      <c r="AD872" s="92"/>
      <c r="AE872" s="145"/>
      <c r="AF872" s="182" t="str">
        <f t="shared" si="42"/>
        <v/>
      </c>
      <c r="AG872" s="54" t="b">
        <f t="shared" si="43"/>
        <v>0</v>
      </c>
      <c r="AH872" s="145"/>
      <c r="AI872" s="192" t="s">
        <v>6</v>
      </c>
      <c r="AJ872" s="96">
        <f t="shared" si="44"/>
        <v>0</v>
      </c>
      <c r="AK872" s="193" t="s">
        <v>39</v>
      </c>
    </row>
    <row r="873" spans="1:37" ht="30" customHeight="1">
      <c r="A873" s="92"/>
      <c r="B873" s="92"/>
      <c r="C873" s="92"/>
      <c r="D873" s="92"/>
      <c r="E873" s="92"/>
      <c r="F873" s="92"/>
      <c r="G873" s="92"/>
      <c r="H873" s="92"/>
      <c r="I873" s="92"/>
      <c r="J873" s="92"/>
      <c r="K873" s="92"/>
      <c r="L873" s="92"/>
      <c r="M873" s="92"/>
      <c r="N873" s="155"/>
      <c r="O873" s="145"/>
      <c r="P873" s="92"/>
      <c r="Q873" s="145"/>
      <c r="R873" s="92"/>
      <c r="S873" s="145"/>
      <c r="T873" s="92"/>
      <c r="U873" s="145"/>
      <c r="V873" s="92"/>
      <c r="W873" s="145"/>
      <c r="X873" s="92"/>
      <c r="Y873" s="145"/>
      <c r="Z873" s="92"/>
      <c r="AA873" s="145"/>
      <c r="AB873" s="92"/>
      <c r="AC873" s="145"/>
      <c r="AD873" s="92"/>
      <c r="AE873" s="145"/>
      <c r="AF873" s="182" t="str">
        <f t="shared" si="42"/>
        <v/>
      </c>
      <c r="AG873" s="54" t="b">
        <f t="shared" si="43"/>
        <v>0</v>
      </c>
      <c r="AH873" s="145"/>
      <c r="AI873" s="192" t="s">
        <v>6</v>
      </c>
      <c r="AJ873" s="96">
        <f t="shared" si="44"/>
        <v>0</v>
      </c>
      <c r="AK873" s="193" t="s">
        <v>39</v>
      </c>
    </row>
    <row r="874" spans="1:37" ht="30" customHeight="1">
      <c r="A874" s="92"/>
      <c r="B874" s="92"/>
      <c r="C874" s="92"/>
      <c r="D874" s="92"/>
      <c r="E874" s="92"/>
      <c r="F874" s="92"/>
      <c r="G874" s="92"/>
      <c r="H874" s="92"/>
      <c r="I874" s="92"/>
      <c r="J874" s="92"/>
      <c r="K874" s="92"/>
      <c r="L874" s="92"/>
      <c r="M874" s="92"/>
      <c r="N874" s="155"/>
      <c r="O874" s="145"/>
      <c r="P874" s="92"/>
      <c r="Q874" s="145"/>
      <c r="R874" s="92"/>
      <c r="S874" s="145"/>
      <c r="T874" s="92"/>
      <c r="U874" s="145"/>
      <c r="V874" s="92"/>
      <c r="W874" s="145"/>
      <c r="X874" s="92"/>
      <c r="Y874" s="145"/>
      <c r="Z874" s="92"/>
      <c r="AA874" s="145"/>
      <c r="AB874" s="92"/>
      <c r="AC874" s="145"/>
      <c r="AD874" s="92"/>
      <c r="AE874" s="145"/>
      <c r="AF874" s="182" t="str">
        <f t="shared" si="42"/>
        <v/>
      </c>
      <c r="AG874" s="54" t="b">
        <f t="shared" si="43"/>
        <v>0</v>
      </c>
      <c r="AH874" s="145"/>
      <c r="AI874" s="192" t="s">
        <v>6</v>
      </c>
      <c r="AJ874" s="96">
        <f t="shared" si="44"/>
        <v>0</v>
      </c>
      <c r="AK874" s="193" t="s">
        <v>39</v>
      </c>
    </row>
    <row r="875" spans="1:37" ht="30" customHeight="1">
      <c r="A875" s="92"/>
      <c r="B875" s="92"/>
      <c r="C875" s="92"/>
      <c r="D875" s="92"/>
      <c r="E875" s="92"/>
      <c r="F875" s="92"/>
      <c r="G875" s="92"/>
      <c r="H875" s="92"/>
      <c r="I875" s="92"/>
      <c r="J875" s="92"/>
      <c r="K875" s="92"/>
      <c r="L875" s="92"/>
      <c r="M875" s="92"/>
      <c r="N875" s="155"/>
      <c r="O875" s="145"/>
      <c r="P875" s="92"/>
      <c r="Q875" s="145"/>
      <c r="R875" s="92"/>
      <c r="S875" s="145"/>
      <c r="T875" s="92"/>
      <c r="U875" s="145"/>
      <c r="V875" s="92"/>
      <c r="W875" s="145"/>
      <c r="X875" s="92"/>
      <c r="Y875" s="145"/>
      <c r="Z875" s="92"/>
      <c r="AA875" s="145"/>
      <c r="AB875" s="92"/>
      <c r="AC875" s="145"/>
      <c r="AD875" s="92"/>
      <c r="AE875" s="145"/>
      <c r="AF875" s="182" t="str">
        <f t="shared" si="42"/>
        <v/>
      </c>
      <c r="AG875" s="54" t="b">
        <f t="shared" si="43"/>
        <v>0</v>
      </c>
      <c r="AH875" s="145"/>
      <c r="AI875" s="192" t="s">
        <v>6</v>
      </c>
      <c r="AJ875" s="96">
        <f t="shared" si="44"/>
        <v>0</v>
      </c>
      <c r="AK875" s="193" t="s">
        <v>39</v>
      </c>
    </row>
    <row r="876" spans="1:37" ht="30" customHeight="1">
      <c r="A876" s="92"/>
      <c r="B876" s="92"/>
      <c r="C876" s="92"/>
      <c r="D876" s="92"/>
      <c r="E876" s="92"/>
      <c r="F876" s="92"/>
      <c r="G876" s="92"/>
      <c r="H876" s="92"/>
      <c r="I876" s="92"/>
      <c r="J876" s="92"/>
      <c r="K876" s="92"/>
      <c r="L876" s="92"/>
      <c r="M876" s="92"/>
      <c r="N876" s="155"/>
      <c r="O876" s="145"/>
      <c r="P876" s="92"/>
      <c r="Q876" s="145"/>
      <c r="R876" s="92"/>
      <c r="S876" s="145"/>
      <c r="T876" s="92"/>
      <c r="U876" s="145"/>
      <c r="V876" s="92"/>
      <c r="W876" s="145"/>
      <c r="X876" s="92"/>
      <c r="Y876" s="145"/>
      <c r="Z876" s="92"/>
      <c r="AA876" s="145"/>
      <c r="AB876" s="92"/>
      <c r="AC876" s="145"/>
      <c r="AD876" s="92"/>
      <c r="AE876" s="145"/>
      <c r="AF876" s="182" t="str">
        <f t="shared" si="42"/>
        <v/>
      </c>
      <c r="AG876" s="54" t="b">
        <f t="shared" si="43"/>
        <v>0</v>
      </c>
      <c r="AH876" s="145"/>
      <c r="AI876" s="192" t="s">
        <v>6</v>
      </c>
      <c r="AJ876" s="96">
        <f t="shared" si="44"/>
        <v>0</v>
      </c>
      <c r="AK876" s="193" t="s">
        <v>39</v>
      </c>
    </row>
    <row r="877" spans="1:37" ht="30" customHeight="1">
      <c r="A877" s="92"/>
      <c r="B877" s="92"/>
      <c r="C877" s="92"/>
      <c r="D877" s="92"/>
      <c r="E877" s="92"/>
      <c r="F877" s="92"/>
      <c r="G877" s="92"/>
      <c r="H877" s="92"/>
      <c r="I877" s="92"/>
      <c r="J877" s="92"/>
      <c r="K877" s="92"/>
      <c r="L877" s="92"/>
      <c r="M877" s="92"/>
      <c r="N877" s="155"/>
      <c r="O877" s="145"/>
      <c r="P877" s="92"/>
      <c r="Q877" s="145"/>
      <c r="R877" s="92"/>
      <c r="S877" s="145"/>
      <c r="T877" s="92"/>
      <c r="U877" s="145"/>
      <c r="V877" s="92"/>
      <c r="W877" s="145"/>
      <c r="X877" s="92"/>
      <c r="Y877" s="145"/>
      <c r="Z877" s="92"/>
      <c r="AA877" s="145"/>
      <c r="AB877" s="92"/>
      <c r="AC877" s="145"/>
      <c r="AD877" s="92"/>
      <c r="AE877" s="145"/>
      <c r="AF877" s="182" t="str">
        <f t="shared" si="42"/>
        <v/>
      </c>
      <c r="AG877" s="54" t="b">
        <f t="shared" si="43"/>
        <v>0</v>
      </c>
      <c r="AH877" s="145"/>
      <c r="AI877" s="192" t="s">
        <v>6</v>
      </c>
      <c r="AJ877" s="96">
        <f t="shared" si="44"/>
        <v>0</v>
      </c>
      <c r="AK877" s="193" t="s">
        <v>39</v>
      </c>
    </row>
    <row r="878" spans="1:37" ht="30" customHeight="1">
      <c r="A878" s="92"/>
      <c r="B878" s="92"/>
      <c r="C878" s="92"/>
      <c r="D878" s="92"/>
      <c r="E878" s="92"/>
      <c r="F878" s="92"/>
      <c r="G878" s="92"/>
      <c r="H878" s="92"/>
      <c r="I878" s="92"/>
      <c r="J878" s="92"/>
      <c r="K878" s="92"/>
      <c r="L878" s="92"/>
      <c r="M878" s="92"/>
      <c r="N878" s="155"/>
      <c r="O878" s="145"/>
      <c r="P878" s="92"/>
      <c r="Q878" s="145"/>
      <c r="R878" s="92"/>
      <c r="S878" s="145"/>
      <c r="T878" s="92"/>
      <c r="U878" s="145"/>
      <c r="V878" s="92"/>
      <c r="W878" s="145"/>
      <c r="X878" s="92"/>
      <c r="Y878" s="145"/>
      <c r="Z878" s="92"/>
      <c r="AA878" s="145"/>
      <c r="AB878" s="92"/>
      <c r="AC878" s="145"/>
      <c r="AD878" s="92"/>
      <c r="AE878" s="145"/>
      <c r="AF878" s="182" t="str">
        <f t="shared" si="42"/>
        <v/>
      </c>
      <c r="AG878" s="54" t="b">
        <f t="shared" si="43"/>
        <v>0</v>
      </c>
      <c r="AH878" s="145"/>
      <c r="AI878" s="192" t="s">
        <v>6</v>
      </c>
      <c r="AJ878" s="96">
        <f t="shared" si="44"/>
        <v>0</v>
      </c>
      <c r="AK878" s="193" t="s">
        <v>39</v>
      </c>
    </row>
    <row r="879" spans="1:37" ht="30" customHeight="1">
      <c r="A879" s="92"/>
      <c r="B879" s="92"/>
      <c r="C879" s="92"/>
      <c r="D879" s="92"/>
      <c r="E879" s="92"/>
      <c r="F879" s="92"/>
      <c r="G879" s="92"/>
      <c r="H879" s="92"/>
      <c r="I879" s="92"/>
      <c r="J879" s="92"/>
      <c r="K879" s="92"/>
      <c r="L879" s="92"/>
      <c r="M879" s="92"/>
      <c r="N879" s="155"/>
      <c r="O879" s="145"/>
      <c r="P879" s="92"/>
      <c r="Q879" s="145"/>
      <c r="R879" s="92"/>
      <c r="S879" s="145"/>
      <c r="T879" s="92"/>
      <c r="U879" s="145"/>
      <c r="V879" s="92"/>
      <c r="W879" s="145"/>
      <c r="X879" s="92"/>
      <c r="Y879" s="145"/>
      <c r="Z879" s="92"/>
      <c r="AA879" s="145"/>
      <c r="AB879" s="92"/>
      <c r="AC879" s="145"/>
      <c r="AD879" s="92"/>
      <c r="AE879" s="145"/>
      <c r="AF879" s="182" t="str">
        <f t="shared" si="42"/>
        <v/>
      </c>
      <c r="AG879" s="54" t="b">
        <f t="shared" si="43"/>
        <v>0</v>
      </c>
      <c r="AH879" s="145"/>
      <c r="AI879" s="192" t="s">
        <v>6</v>
      </c>
      <c r="AJ879" s="96">
        <f t="shared" si="44"/>
        <v>0</v>
      </c>
      <c r="AK879" s="193" t="s">
        <v>39</v>
      </c>
    </row>
    <row r="880" spans="1:37" ht="30" customHeight="1">
      <c r="A880" s="92"/>
      <c r="B880" s="92"/>
      <c r="C880" s="92"/>
      <c r="D880" s="92"/>
      <c r="E880" s="92"/>
      <c r="F880" s="92"/>
      <c r="G880" s="92"/>
      <c r="H880" s="92"/>
      <c r="I880" s="92"/>
      <c r="J880" s="92"/>
      <c r="K880" s="92"/>
      <c r="L880" s="92"/>
      <c r="M880" s="92"/>
      <c r="N880" s="155"/>
      <c r="O880" s="145"/>
      <c r="P880" s="92"/>
      <c r="Q880" s="145"/>
      <c r="R880" s="92"/>
      <c r="S880" s="145"/>
      <c r="T880" s="92"/>
      <c r="U880" s="145"/>
      <c r="V880" s="92"/>
      <c r="W880" s="145"/>
      <c r="X880" s="92"/>
      <c r="Y880" s="145"/>
      <c r="Z880" s="92"/>
      <c r="AA880" s="145"/>
      <c r="AB880" s="92"/>
      <c r="AC880" s="145"/>
      <c r="AD880" s="92"/>
      <c r="AE880" s="145"/>
      <c r="AF880" s="182" t="str">
        <f t="shared" si="42"/>
        <v/>
      </c>
      <c r="AG880" s="54" t="b">
        <f t="shared" si="43"/>
        <v>0</v>
      </c>
      <c r="AH880" s="145"/>
      <c r="AI880" s="192" t="s">
        <v>6</v>
      </c>
      <c r="AJ880" s="96">
        <f t="shared" si="44"/>
        <v>0</v>
      </c>
      <c r="AK880" s="193" t="s">
        <v>39</v>
      </c>
    </row>
    <row r="881" spans="1:37" ht="30" customHeight="1">
      <c r="A881" s="92"/>
      <c r="B881" s="92"/>
      <c r="C881" s="92"/>
      <c r="D881" s="92"/>
      <c r="E881" s="92"/>
      <c r="F881" s="92"/>
      <c r="G881" s="92"/>
      <c r="H881" s="92"/>
      <c r="I881" s="92"/>
      <c r="J881" s="92"/>
      <c r="K881" s="92"/>
      <c r="L881" s="92"/>
      <c r="M881" s="92"/>
      <c r="N881" s="155"/>
      <c r="O881" s="145"/>
      <c r="P881" s="92"/>
      <c r="Q881" s="145"/>
      <c r="R881" s="92"/>
      <c r="S881" s="145"/>
      <c r="T881" s="92"/>
      <c r="U881" s="145"/>
      <c r="V881" s="92"/>
      <c r="W881" s="145"/>
      <c r="X881" s="92"/>
      <c r="Y881" s="145"/>
      <c r="Z881" s="92"/>
      <c r="AA881" s="145"/>
      <c r="AB881" s="92"/>
      <c r="AC881" s="145"/>
      <c r="AD881" s="92"/>
      <c r="AE881" s="145"/>
      <c r="AF881" s="182" t="str">
        <f t="shared" si="42"/>
        <v/>
      </c>
      <c r="AG881" s="54" t="b">
        <f t="shared" si="43"/>
        <v>0</v>
      </c>
      <c r="AH881" s="145"/>
      <c r="AI881" s="192" t="s">
        <v>6</v>
      </c>
      <c r="AJ881" s="96">
        <f t="shared" si="44"/>
        <v>0</v>
      </c>
      <c r="AK881" s="193" t="s">
        <v>39</v>
      </c>
    </row>
    <row r="882" spans="1:37" ht="30" customHeight="1">
      <c r="A882" s="92"/>
      <c r="B882" s="92"/>
      <c r="C882" s="92"/>
      <c r="D882" s="92"/>
      <c r="E882" s="92"/>
      <c r="F882" s="92"/>
      <c r="G882" s="92"/>
      <c r="H882" s="92"/>
      <c r="I882" s="92"/>
      <c r="J882" s="92"/>
      <c r="K882" s="92"/>
      <c r="L882" s="92"/>
      <c r="M882" s="92"/>
      <c r="N882" s="155"/>
      <c r="O882" s="145"/>
      <c r="P882" s="92"/>
      <c r="Q882" s="145"/>
      <c r="R882" s="92"/>
      <c r="S882" s="145"/>
      <c r="T882" s="92"/>
      <c r="U882" s="145"/>
      <c r="V882" s="92"/>
      <c r="W882" s="145"/>
      <c r="X882" s="92"/>
      <c r="Y882" s="145"/>
      <c r="Z882" s="92"/>
      <c r="AA882" s="145"/>
      <c r="AB882" s="92"/>
      <c r="AC882" s="145"/>
      <c r="AD882" s="92"/>
      <c r="AE882" s="145"/>
      <c r="AF882" s="182" t="str">
        <f t="shared" si="42"/>
        <v/>
      </c>
      <c r="AG882" s="54" t="b">
        <f t="shared" ref="AG882:AG922" si="45">IF(AND(AE882="C",AF882="C"),"UTILIZOU O PDA CORRETAMENTE",IF(AND(AE882="C",AF882="NC"),"UTILIZOU O PDA CORRETAMENTE. NÃO HÁ FOTOS DE TODAS AS ETAPAS",IF(AND(AE882="NC",AF882="NC"),"NÃO UTILIZOU O PDA",IF(AND(AE882="NA",AF882="NA"),"NÃO AVALIADO POR FALHA DE SINCRONISMO"))))</f>
        <v>0</v>
      </c>
      <c r="AH882" s="145"/>
      <c r="AI882" s="192" t="s">
        <v>6</v>
      </c>
      <c r="AJ882" s="96">
        <f t="shared" ref="AJ882:AJ922" si="46">E882</f>
        <v>0</v>
      </c>
      <c r="AK882" s="193" t="s">
        <v>39</v>
      </c>
    </row>
    <row r="883" spans="1:37" ht="30" customHeight="1">
      <c r="A883" s="92"/>
      <c r="B883" s="92"/>
      <c r="C883" s="92"/>
      <c r="D883" s="92"/>
      <c r="E883" s="92"/>
      <c r="F883" s="92"/>
      <c r="G883" s="92"/>
      <c r="H883" s="92"/>
      <c r="I883" s="92"/>
      <c r="J883" s="92"/>
      <c r="K883" s="92"/>
      <c r="L883" s="92"/>
      <c r="M883" s="92"/>
      <c r="N883" s="155"/>
      <c r="O883" s="145"/>
      <c r="P883" s="92"/>
      <c r="Q883" s="145"/>
      <c r="R883" s="92"/>
      <c r="S883" s="145"/>
      <c r="T883" s="92"/>
      <c r="U883" s="145"/>
      <c r="V883" s="92"/>
      <c r="W883" s="145"/>
      <c r="X883" s="92"/>
      <c r="Y883" s="145"/>
      <c r="Z883" s="92"/>
      <c r="AA883" s="145"/>
      <c r="AB883" s="92"/>
      <c r="AC883" s="145"/>
      <c r="AD883" s="92"/>
      <c r="AE883" s="145"/>
      <c r="AF883" s="182" t="str">
        <f t="shared" si="42"/>
        <v/>
      </c>
      <c r="AG883" s="54" t="b">
        <f t="shared" si="45"/>
        <v>0</v>
      </c>
      <c r="AH883" s="145"/>
      <c r="AI883" s="192" t="s">
        <v>6</v>
      </c>
      <c r="AJ883" s="96">
        <f t="shared" si="46"/>
        <v>0</v>
      </c>
      <c r="AK883" s="193" t="s">
        <v>39</v>
      </c>
    </row>
    <row r="884" spans="1:37" ht="30" customHeight="1">
      <c r="A884" s="92"/>
      <c r="B884" s="92"/>
      <c r="C884" s="92"/>
      <c r="D884" s="92"/>
      <c r="E884" s="92"/>
      <c r="F884" s="92"/>
      <c r="G884" s="92"/>
      <c r="H884" s="92"/>
      <c r="I884" s="92"/>
      <c r="J884" s="92"/>
      <c r="K884" s="92"/>
      <c r="L884" s="92"/>
      <c r="M884" s="92"/>
      <c r="N884" s="155"/>
      <c r="O884" s="145"/>
      <c r="P884" s="92"/>
      <c r="Q884" s="145"/>
      <c r="R884" s="92"/>
      <c r="S884" s="145"/>
      <c r="T884" s="92"/>
      <c r="U884" s="145"/>
      <c r="V884" s="92"/>
      <c r="W884" s="145"/>
      <c r="X884" s="92"/>
      <c r="Y884" s="145"/>
      <c r="Z884" s="92"/>
      <c r="AA884" s="145"/>
      <c r="AB884" s="92"/>
      <c r="AC884" s="145"/>
      <c r="AD884" s="92"/>
      <c r="AE884" s="145"/>
      <c r="AF884" s="182" t="str">
        <f t="shared" si="42"/>
        <v/>
      </c>
      <c r="AG884" s="54" t="b">
        <f t="shared" si="45"/>
        <v>0</v>
      </c>
      <c r="AH884" s="145"/>
      <c r="AI884" s="192" t="s">
        <v>6</v>
      </c>
      <c r="AJ884" s="96">
        <f t="shared" si="46"/>
        <v>0</v>
      </c>
      <c r="AK884" s="193" t="s">
        <v>39</v>
      </c>
    </row>
    <row r="885" spans="1:37" ht="30" customHeight="1">
      <c r="A885" s="92"/>
      <c r="B885" s="92"/>
      <c r="C885" s="92"/>
      <c r="D885" s="92"/>
      <c r="E885" s="92"/>
      <c r="F885" s="92"/>
      <c r="G885" s="92"/>
      <c r="H885" s="92"/>
      <c r="I885" s="92"/>
      <c r="J885" s="92"/>
      <c r="K885" s="92"/>
      <c r="L885" s="92"/>
      <c r="M885" s="92"/>
      <c r="N885" s="155"/>
      <c r="O885" s="145"/>
      <c r="P885" s="92"/>
      <c r="Q885" s="145"/>
      <c r="R885" s="92"/>
      <c r="S885" s="145"/>
      <c r="T885" s="92"/>
      <c r="U885" s="145"/>
      <c r="V885" s="92"/>
      <c r="W885" s="145"/>
      <c r="X885" s="92"/>
      <c r="Y885" s="145"/>
      <c r="Z885" s="92"/>
      <c r="AA885" s="145"/>
      <c r="AB885" s="92"/>
      <c r="AC885" s="145"/>
      <c r="AD885" s="92"/>
      <c r="AE885" s="145"/>
      <c r="AF885" s="182" t="str">
        <f t="shared" ref="AF885:AF922" si="47">IF(AND(O885="",Q885="",S885="",U885="",W885="",Y885="",AA885="",AC885=""),"",IF(OR(AND(O885&lt;&gt;"NA",O885&lt;&gt;"C",O885&lt;&gt;"NC",O885&lt;&gt;"SF",O885&lt;&gt;""),AND(Q885&lt;&gt;"NA",Q885&lt;&gt;"C",Q885&lt;&gt;"NC",Q885&lt;&gt;"SF",Q885&lt;&gt;""),AND(S885&lt;&gt;"NA",S885&lt;&gt;"C",S885&lt;&gt;"NC",S885&lt;&gt;"SF",S885&lt;&gt;""),AND(U885&lt;&gt;"NA",U885&lt;&gt;"C",U885&lt;&gt;"NC",U885&lt;&gt;"SF",U885&lt;&gt;""),AND(W885&lt;&gt;"NA",W885&lt;&gt;"C",W885&lt;&gt;"NC",W885&lt;&gt;"SF",W885&lt;&gt;""),AND(Y885&lt;&gt;"NA",Y885&lt;&gt;"C",Y885&lt;&gt;"NC",Y885&lt;&gt;"SF",Y885&lt;&gt;""),AND(AA885&lt;&gt;"NA",AA885&lt;&gt;"C",AA885&lt;&gt;"NC",AA885&lt;&gt;"SF",AA885&lt;&gt;""),AND(AC885&lt;&gt;"NA",AC885&lt;&gt;"C",AC885&lt;&gt;"NC",AC885&lt;&gt;"SF",AC885&lt;&gt;"")),"FALSO",IF(AND(O885="NA",Q885="NA",S885="NA",U885="NA",W885="NA",Y885="NA",AA885="NA",AC885="NA"),"NA",IF(OR(O885="NC",Q885="NC",S885="NC",U885="NC",W885="NC",Y885="NC",AA885="NC",AC885="NC",O885="SF",Q885="SF",S885="SF",U885="SF",W885="SF",Y885="SF",AA885="SF",AC885="SF"),"NC",IF(OR(O885="C",Q885="C",S885="C",U885="C",W885="C",Y885="C",AA885="C",AC885="C"),"C","")))))</f>
        <v/>
      </c>
      <c r="AG885" s="54" t="b">
        <f t="shared" si="45"/>
        <v>0</v>
      </c>
      <c r="AH885" s="145"/>
      <c r="AI885" s="192" t="s">
        <v>6</v>
      </c>
      <c r="AJ885" s="96">
        <f t="shared" si="46"/>
        <v>0</v>
      </c>
      <c r="AK885" s="193" t="s">
        <v>39</v>
      </c>
    </row>
    <row r="886" spans="1:37" ht="30" customHeight="1">
      <c r="A886" s="92"/>
      <c r="B886" s="92"/>
      <c r="C886" s="92"/>
      <c r="D886" s="92"/>
      <c r="E886" s="92"/>
      <c r="F886" s="92"/>
      <c r="G886" s="92"/>
      <c r="H886" s="92"/>
      <c r="I886" s="92"/>
      <c r="J886" s="92"/>
      <c r="K886" s="92"/>
      <c r="L886" s="92"/>
      <c r="M886" s="92"/>
      <c r="N886" s="155"/>
      <c r="O886" s="145"/>
      <c r="P886" s="92"/>
      <c r="Q886" s="145"/>
      <c r="R886" s="92"/>
      <c r="S886" s="145"/>
      <c r="T886" s="92"/>
      <c r="U886" s="145"/>
      <c r="V886" s="92"/>
      <c r="W886" s="145"/>
      <c r="X886" s="92"/>
      <c r="Y886" s="145"/>
      <c r="Z886" s="92"/>
      <c r="AA886" s="145"/>
      <c r="AB886" s="92"/>
      <c r="AC886" s="145"/>
      <c r="AD886" s="92"/>
      <c r="AE886" s="145"/>
      <c r="AF886" s="182" t="str">
        <f t="shared" si="47"/>
        <v/>
      </c>
      <c r="AG886" s="54" t="b">
        <f t="shared" si="45"/>
        <v>0</v>
      </c>
      <c r="AH886" s="145"/>
      <c r="AI886" s="192" t="s">
        <v>6</v>
      </c>
      <c r="AJ886" s="96">
        <f t="shared" si="46"/>
        <v>0</v>
      </c>
      <c r="AK886" s="193" t="s">
        <v>39</v>
      </c>
    </row>
    <row r="887" spans="1:37" ht="30" customHeight="1">
      <c r="A887" s="92"/>
      <c r="B887" s="92"/>
      <c r="C887" s="92"/>
      <c r="D887" s="92"/>
      <c r="E887" s="92"/>
      <c r="F887" s="92"/>
      <c r="G887" s="92"/>
      <c r="H887" s="92"/>
      <c r="I887" s="92"/>
      <c r="J887" s="92"/>
      <c r="K887" s="92"/>
      <c r="L887" s="92"/>
      <c r="M887" s="92"/>
      <c r="N887" s="155"/>
      <c r="O887" s="145"/>
      <c r="P887" s="92"/>
      <c r="Q887" s="145"/>
      <c r="R887" s="92"/>
      <c r="S887" s="145"/>
      <c r="T887" s="92"/>
      <c r="U887" s="145"/>
      <c r="V887" s="92"/>
      <c r="W887" s="145"/>
      <c r="X887" s="92"/>
      <c r="Y887" s="145"/>
      <c r="Z887" s="92"/>
      <c r="AA887" s="145"/>
      <c r="AB887" s="92"/>
      <c r="AC887" s="145"/>
      <c r="AD887" s="92"/>
      <c r="AE887" s="145"/>
      <c r="AF887" s="182" t="str">
        <f t="shared" si="47"/>
        <v/>
      </c>
      <c r="AG887" s="54" t="b">
        <f t="shared" si="45"/>
        <v>0</v>
      </c>
      <c r="AH887" s="145"/>
      <c r="AI887" s="192" t="s">
        <v>6</v>
      </c>
      <c r="AJ887" s="96">
        <f t="shared" si="46"/>
        <v>0</v>
      </c>
      <c r="AK887" s="193" t="s">
        <v>39</v>
      </c>
    </row>
    <row r="888" spans="1:37" ht="30" customHeight="1">
      <c r="A888" s="92"/>
      <c r="B888" s="92"/>
      <c r="C888" s="92"/>
      <c r="D888" s="92"/>
      <c r="E888" s="92"/>
      <c r="F888" s="92"/>
      <c r="G888" s="92"/>
      <c r="H888" s="92"/>
      <c r="I888" s="92"/>
      <c r="J888" s="92"/>
      <c r="K888" s="92"/>
      <c r="L888" s="92"/>
      <c r="M888" s="92"/>
      <c r="N888" s="155"/>
      <c r="O888" s="145"/>
      <c r="P888" s="92"/>
      <c r="Q888" s="145"/>
      <c r="R888" s="92"/>
      <c r="S888" s="145"/>
      <c r="T888" s="92"/>
      <c r="U888" s="145"/>
      <c r="V888" s="92"/>
      <c r="W888" s="145"/>
      <c r="X888" s="92"/>
      <c r="Y888" s="145"/>
      <c r="Z888" s="92"/>
      <c r="AA888" s="145"/>
      <c r="AB888" s="92"/>
      <c r="AC888" s="145"/>
      <c r="AD888" s="92"/>
      <c r="AE888" s="145"/>
      <c r="AF888" s="182" t="str">
        <f t="shared" si="47"/>
        <v/>
      </c>
      <c r="AG888" s="54" t="b">
        <f t="shared" si="45"/>
        <v>0</v>
      </c>
      <c r="AH888" s="145"/>
      <c r="AI888" s="192" t="s">
        <v>6</v>
      </c>
      <c r="AJ888" s="96">
        <f t="shared" si="46"/>
        <v>0</v>
      </c>
      <c r="AK888" s="193" t="s">
        <v>39</v>
      </c>
    </row>
    <row r="889" spans="1:37" ht="30" customHeight="1">
      <c r="A889" s="92"/>
      <c r="B889" s="92"/>
      <c r="C889" s="92"/>
      <c r="D889" s="92"/>
      <c r="E889" s="92"/>
      <c r="F889" s="92"/>
      <c r="G889" s="92"/>
      <c r="H889" s="92"/>
      <c r="I889" s="92"/>
      <c r="J889" s="92"/>
      <c r="K889" s="92"/>
      <c r="L889" s="92"/>
      <c r="M889" s="92"/>
      <c r="N889" s="155"/>
      <c r="O889" s="145"/>
      <c r="P889" s="92"/>
      <c r="Q889" s="145"/>
      <c r="R889" s="92"/>
      <c r="S889" s="145"/>
      <c r="T889" s="92"/>
      <c r="U889" s="145"/>
      <c r="V889" s="92"/>
      <c r="W889" s="145"/>
      <c r="X889" s="92"/>
      <c r="Y889" s="145"/>
      <c r="Z889" s="92"/>
      <c r="AA889" s="145"/>
      <c r="AB889" s="92"/>
      <c r="AC889" s="145"/>
      <c r="AD889" s="92"/>
      <c r="AE889" s="145"/>
      <c r="AF889" s="182" t="str">
        <f t="shared" si="47"/>
        <v/>
      </c>
      <c r="AG889" s="54" t="b">
        <f t="shared" si="45"/>
        <v>0</v>
      </c>
      <c r="AH889" s="145"/>
      <c r="AI889" s="192" t="s">
        <v>6</v>
      </c>
      <c r="AJ889" s="96">
        <f t="shared" si="46"/>
        <v>0</v>
      </c>
      <c r="AK889" s="193" t="s">
        <v>39</v>
      </c>
    </row>
    <row r="890" spans="1:37" ht="30" customHeight="1">
      <c r="A890" s="92"/>
      <c r="B890" s="92"/>
      <c r="C890" s="92"/>
      <c r="D890" s="92"/>
      <c r="E890" s="92"/>
      <c r="F890" s="92"/>
      <c r="G890" s="92"/>
      <c r="H890" s="92"/>
      <c r="I890" s="92"/>
      <c r="J890" s="92"/>
      <c r="K890" s="92"/>
      <c r="L890" s="92"/>
      <c r="M890" s="92"/>
      <c r="N890" s="155"/>
      <c r="O890" s="145"/>
      <c r="P890" s="92"/>
      <c r="Q890" s="145"/>
      <c r="R890" s="92"/>
      <c r="S890" s="145"/>
      <c r="T890" s="92"/>
      <c r="U890" s="145"/>
      <c r="V890" s="92"/>
      <c r="W890" s="145"/>
      <c r="X890" s="92"/>
      <c r="Y890" s="145"/>
      <c r="Z890" s="92"/>
      <c r="AA890" s="145"/>
      <c r="AB890" s="92"/>
      <c r="AC890" s="145"/>
      <c r="AD890" s="92"/>
      <c r="AE890" s="145"/>
      <c r="AF890" s="182" t="str">
        <f t="shared" si="47"/>
        <v/>
      </c>
      <c r="AG890" s="54" t="b">
        <f t="shared" si="45"/>
        <v>0</v>
      </c>
      <c r="AH890" s="145"/>
      <c r="AI890" s="192" t="s">
        <v>6</v>
      </c>
      <c r="AJ890" s="96">
        <f t="shared" si="46"/>
        <v>0</v>
      </c>
      <c r="AK890" s="193" t="s">
        <v>39</v>
      </c>
    </row>
    <row r="891" spans="1:37" ht="30" customHeight="1">
      <c r="A891" s="92"/>
      <c r="B891" s="92"/>
      <c r="C891" s="92"/>
      <c r="D891" s="92"/>
      <c r="E891" s="92"/>
      <c r="F891" s="92"/>
      <c r="G891" s="92"/>
      <c r="H891" s="92"/>
      <c r="I891" s="92"/>
      <c r="J891" s="92"/>
      <c r="K891" s="92"/>
      <c r="L891" s="92"/>
      <c r="M891" s="92"/>
      <c r="N891" s="155"/>
      <c r="O891" s="145"/>
      <c r="P891" s="92"/>
      <c r="Q891" s="145"/>
      <c r="R891" s="92"/>
      <c r="S891" s="145"/>
      <c r="T891" s="92"/>
      <c r="U891" s="145"/>
      <c r="V891" s="92"/>
      <c r="W891" s="145"/>
      <c r="X891" s="92"/>
      <c r="Y891" s="145"/>
      <c r="Z891" s="92"/>
      <c r="AA891" s="145"/>
      <c r="AB891" s="92"/>
      <c r="AC891" s="145"/>
      <c r="AD891" s="92"/>
      <c r="AE891" s="145"/>
      <c r="AF891" s="182" t="str">
        <f t="shared" si="47"/>
        <v/>
      </c>
      <c r="AG891" s="54" t="b">
        <f t="shared" si="45"/>
        <v>0</v>
      </c>
      <c r="AH891" s="145"/>
      <c r="AI891" s="192" t="s">
        <v>6</v>
      </c>
      <c r="AJ891" s="96">
        <f t="shared" si="46"/>
        <v>0</v>
      </c>
      <c r="AK891" s="193" t="s">
        <v>39</v>
      </c>
    </row>
    <row r="892" spans="1:37" ht="30" customHeight="1">
      <c r="A892" s="92"/>
      <c r="B892" s="92"/>
      <c r="C892" s="92"/>
      <c r="D892" s="92"/>
      <c r="E892" s="92"/>
      <c r="F892" s="92"/>
      <c r="G892" s="92"/>
      <c r="H892" s="92"/>
      <c r="I892" s="92"/>
      <c r="J892" s="92"/>
      <c r="K892" s="92"/>
      <c r="L892" s="92"/>
      <c r="M892" s="92"/>
      <c r="N892" s="155"/>
      <c r="O892" s="145"/>
      <c r="P892" s="92"/>
      <c r="Q892" s="145"/>
      <c r="R892" s="92"/>
      <c r="S892" s="145"/>
      <c r="T892" s="92"/>
      <c r="U892" s="145"/>
      <c r="V892" s="92"/>
      <c r="W892" s="145"/>
      <c r="X892" s="92"/>
      <c r="Y892" s="145"/>
      <c r="Z892" s="92"/>
      <c r="AA892" s="145"/>
      <c r="AB892" s="92"/>
      <c r="AC892" s="145"/>
      <c r="AD892" s="92"/>
      <c r="AE892" s="145"/>
      <c r="AF892" s="182" t="str">
        <f t="shared" si="47"/>
        <v/>
      </c>
      <c r="AG892" s="54" t="b">
        <f t="shared" si="45"/>
        <v>0</v>
      </c>
      <c r="AH892" s="145"/>
      <c r="AI892" s="192" t="s">
        <v>6</v>
      </c>
      <c r="AJ892" s="96">
        <f t="shared" si="46"/>
        <v>0</v>
      </c>
      <c r="AK892" s="193" t="s">
        <v>39</v>
      </c>
    </row>
    <row r="893" spans="1:37" ht="30" customHeight="1">
      <c r="A893" s="92"/>
      <c r="B893" s="92"/>
      <c r="C893" s="92"/>
      <c r="D893" s="92"/>
      <c r="E893" s="92"/>
      <c r="F893" s="92"/>
      <c r="G893" s="92"/>
      <c r="H893" s="92"/>
      <c r="I893" s="92"/>
      <c r="J893" s="92"/>
      <c r="K893" s="92"/>
      <c r="L893" s="92"/>
      <c r="M893" s="92"/>
      <c r="N893" s="155"/>
      <c r="O893" s="145"/>
      <c r="P893" s="92"/>
      <c r="Q893" s="145"/>
      <c r="R893" s="92"/>
      <c r="S893" s="145"/>
      <c r="T893" s="92"/>
      <c r="U893" s="145"/>
      <c r="V893" s="92"/>
      <c r="W893" s="145"/>
      <c r="X893" s="92"/>
      <c r="Y893" s="145"/>
      <c r="Z893" s="92"/>
      <c r="AA893" s="145"/>
      <c r="AB893" s="92"/>
      <c r="AC893" s="145"/>
      <c r="AD893" s="92"/>
      <c r="AE893" s="145"/>
      <c r="AF893" s="182" t="str">
        <f t="shared" si="47"/>
        <v/>
      </c>
      <c r="AG893" s="54" t="b">
        <f t="shared" si="45"/>
        <v>0</v>
      </c>
      <c r="AH893" s="145"/>
      <c r="AI893" s="192" t="s">
        <v>6</v>
      </c>
      <c r="AJ893" s="96">
        <f t="shared" si="46"/>
        <v>0</v>
      </c>
      <c r="AK893" s="193" t="s">
        <v>39</v>
      </c>
    </row>
    <row r="894" spans="1:37" ht="30" customHeight="1">
      <c r="A894" s="92"/>
      <c r="B894" s="92"/>
      <c r="C894" s="92"/>
      <c r="D894" s="92"/>
      <c r="E894" s="92"/>
      <c r="F894" s="92"/>
      <c r="G894" s="92"/>
      <c r="H894" s="92"/>
      <c r="I894" s="92"/>
      <c r="J894" s="92"/>
      <c r="K894" s="92"/>
      <c r="L894" s="92"/>
      <c r="M894" s="92"/>
      <c r="N894" s="155"/>
      <c r="O894" s="145"/>
      <c r="P894" s="92"/>
      <c r="Q894" s="145"/>
      <c r="R894" s="92"/>
      <c r="S894" s="145"/>
      <c r="T894" s="92"/>
      <c r="U894" s="145"/>
      <c r="V894" s="92"/>
      <c r="W894" s="145"/>
      <c r="X894" s="92"/>
      <c r="Y894" s="145"/>
      <c r="Z894" s="92"/>
      <c r="AA894" s="145"/>
      <c r="AB894" s="92"/>
      <c r="AC894" s="145"/>
      <c r="AD894" s="92"/>
      <c r="AE894" s="145"/>
      <c r="AF894" s="182" t="str">
        <f t="shared" si="47"/>
        <v/>
      </c>
      <c r="AG894" s="54" t="b">
        <f t="shared" si="45"/>
        <v>0</v>
      </c>
      <c r="AH894" s="145"/>
      <c r="AI894" s="192" t="s">
        <v>6</v>
      </c>
      <c r="AJ894" s="96">
        <f t="shared" si="46"/>
        <v>0</v>
      </c>
      <c r="AK894" s="193" t="s">
        <v>39</v>
      </c>
    </row>
    <row r="895" spans="1:37" ht="30" customHeight="1">
      <c r="A895" s="92"/>
      <c r="B895" s="92"/>
      <c r="C895" s="92"/>
      <c r="D895" s="92"/>
      <c r="E895" s="92"/>
      <c r="F895" s="92"/>
      <c r="G895" s="92"/>
      <c r="H895" s="92"/>
      <c r="I895" s="92"/>
      <c r="J895" s="92"/>
      <c r="K895" s="92"/>
      <c r="L895" s="92"/>
      <c r="M895" s="92"/>
      <c r="N895" s="155"/>
      <c r="O895" s="145"/>
      <c r="P895" s="92"/>
      <c r="Q895" s="145"/>
      <c r="R895" s="92"/>
      <c r="S895" s="145"/>
      <c r="T895" s="92"/>
      <c r="U895" s="145"/>
      <c r="V895" s="92"/>
      <c r="W895" s="145"/>
      <c r="X895" s="92"/>
      <c r="Y895" s="145"/>
      <c r="Z895" s="92"/>
      <c r="AA895" s="145"/>
      <c r="AB895" s="92"/>
      <c r="AC895" s="145"/>
      <c r="AD895" s="92"/>
      <c r="AE895" s="145"/>
      <c r="AF895" s="182" t="str">
        <f t="shared" si="47"/>
        <v/>
      </c>
      <c r="AG895" s="54" t="b">
        <f t="shared" si="45"/>
        <v>0</v>
      </c>
      <c r="AH895" s="145"/>
      <c r="AI895" s="192" t="s">
        <v>6</v>
      </c>
      <c r="AJ895" s="96">
        <f t="shared" si="46"/>
        <v>0</v>
      </c>
      <c r="AK895" s="193" t="s">
        <v>39</v>
      </c>
    </row>
    <row r="896" spans="1:37" ht="30" customHeight="1">
      <c r="A896" s="92"/>
      <c r="B896" s="92"/>
      <c r="C896" s="92"/>
      <c r="D896" s="92"/>
      <c r="E896" s="92"/>
      <c r="F896" s="92"/>
      <c r="G896" s="92"/>
      <c r="H896" s="92"/>
      <c r="I896" s="92"/>
      <c r="J896" s="92"/>
      <c r="K896" s="92"/>
      <c r="L896" s="92"/>
      <c r="M896" s="92"/>
      <c r="N896" s="155"/>
      <c r="O896" s="145"/>
      <c r="P896" s="92"/>
      <c r="Q896" s="145"/>
      <c r="R896" s="92"/>
      <c r="S896" s="145"/>
      <c r="T896" s="92"/>
      <c r="U896" s="145"/>
      <c r="V896" s="92"/>
      <c r="W896" s="145"/>
      <c r="X896" s="92"/>
      <c r="Y896" s="145"/>
      <c r="Z896" s="92"/>
      <c r="AA896" s="145"/>
      <c r="AB896" s="92"/>
      <c r="AC896" s="145"/>
      <c r="AD896" s="92"/>
      <c r="AE896" s="145"/>
      <c r="AF896" s="182" t="str">
        <f t="shared" si="47"/>
        <v/>
      </c>
      <c r="AG896" s="54" t="b">
        <f t="shared" si="45"/>
        <v>0</v>
      </c>
      <c r="AH896" s="145"/>
      <c r="AI896" s="192" t="s">
        <v>6</v>
      </c>
      <c r="AJ896" s="96">
        <f t="shared" si="46"/>
        <v>0</v>
      </c>
      <c r="AK896" s="193" t="s">
        <v>39</v>
      </c>
    </row>
    <row r="897" spans="1:37" ht="30" customHeight="1">
      <c r="A897" s="92"/>
      <c r="B897" s="92"/>
      <c r="C897" s="92"/>
      <c r="D897" s="92"/>
      <c r="E897" s="92"/>
      <c r="F897" s="92"/>
      <c r="G897" s="92"/>
      <c r="H897" s="92"/>
      <c r="I897" s="92"/>
      <c r="J897" s="92"/>
      <c r="K897" s="92"/>
      <c r="L897" s="92"/>
      <c r="M897" s="92"/>
      <c r="N897" s="155"/>
      <c r="O897" s="145"/>
      <c r="P897" s="92"/>
      <c r="Q897" s="145"/>
      <c r="R897" s="92"/>
      <c r="S897" s="145"/>
      <c r="T897" s="92"/>
      <c r="U897" s="145"/>
      <c r="V897" s="92"/>
      <c r="W897" s="145"/>
      <c r="X897" s="92"/>
      <c r="Y897" s="145"/>
      <c r="Z897" s="92"/>
      <c r="AA897" s="145"/>
      <c r="AB897" s="92"/>
      <c r="AC897" s="145"/>
      <c r="AD897" s="92"/>
      <c r="AE897" s="145"/>
      <c r="AF897" s="182" t="str">
        <f t="shared" si="47"/>
        <v/>
      </c>
      <c r="AG897" s="54" t="b">
        <f t="shared" si="45"/>
        <v>0</v>
      </c>
      <c r="AH897" s="145"/>
      <c r="AI897" s="192" t="s">
        <v>6</v>
      </c>
      <c r="AJ897" s="96">
        <f t="shared" si="46"/>
        <v>0</v>
      </c>
      <c r="AK897" s="193" t="s">
        <v>39</v>
      </c>
    </row>
    <row r="898" spans="1:37" ht="30" customHeight="1">
      <c r="A898" s="92"/>
      <c r="B898" s="92"/>
      <c r="C898" s="92"/>
      <c r="D898" s="92"/>
      <c r="E898" s="92"/>
      <c r="F898" s="92"/>
      <c r="G898" s="92"/>
      <c r="H898" s="92"/>
      <c r="I898" s="92"/>
      <c r="J898" s="92"/>
      <c r="K898" s="92"/>
      <c r="L898" s="92"/>
      <c r="M898" s="92"/>
      <c r="N898" s="155"/>
      <c r="O898" s="145"/>
      <c r="P898" s="92"/>
      <c r="Q898" s="145"/>
      <c r="R898" s="92"/>
      <c r="S898" s="145"/>
      <c r="T898" s="92"/>
      <c r="U898" s="145"/>
      <c r="V898" s="92"/>
      <c r="W898" s="145"/>
      <c r="X898" s="92"/>
      <c r="Y898" s="145"/>
      <c r="Z898" s="92"/>
      <c r="AA898" s="145"/>
      <c r="AB898" s="92"/>
      <c r="AC898" s="145"/>
      <c r="AD898" s="92"/>
      <c r="AE898" s="145"/>
      <c r="AF898" s="182" t="str">
        <f t="shared" si="47"/>
        <v/>
      </c>
      <c r="AG898" s="54" t="b">
        <f t="shared" si="45"/>
        <v>0</v>
      </c>
      <c r="AH898" s="145"/>
      <c r="AI898" s="192" t="s">
        <v>6</v>
      </c>
      <c r="AJ898" s="96">
        <f t="shared" si="46"/>
        <v>0</v>
      </c>
      <c r="AK898" s="193" t="s">
        <v>39</v>
      </c>
    </row>
    <row r="899" spans="1:37" ht="30" customHeight="1">
      <c r="A899" s="92"/>
      <c r="B899" s="92"/>
      <c r="C899" s="92"/>
      <c r="D899" s="92"/>
      <c r="E899" s="92"/>
      <c r="F899" s="92"/>
      <c r="G899" s="92"/>
      <c r="H899" s="92"/>
      <c r="I899" s="92"/>
      <c r="J899" s="92"/>
      <c r="K899" s="92"/>
      <c r="L899" s="92"/>
      <c r="M899" s="92"/>
      <c r="N899" s="155"/>
      <c r="O899" s="145"/>
      <c r="P899" s="92"/>
      <c r="Q899" s="145"/>
      <c r="R899" s="92"/>
      <c r="S899" s="145"/>
      <c r="T899" s="92"/>
      <c r="U899" s="145"/>
      <c r="V899" s="92"/>
      <c r="W899" s="145"/>
      <c r="X899" s="92"/>
      <c r="Y899" s="145"/>
      <c r="Z899" s="92"/>
      <c r="AA899" s="145"/>
      <c r="AB899" s="92"/>
      <c r="AC899" s="145"/>
      <c r="AD899" s="92"/>
      <c r="AE899" s="145"/>
      <c r="AF899" s="182" t="str">
        <f t="shared" si="47"/>
        <v/>
      </c>
      <c r="AG899" s="54" t="b">
        <f t="shared" si="45"/>
        <v>0</v>
      </c>
      <c r="AH899" s="145"/>
      <c r="AI899" s="192" t="s">
        <v>6</v>
      </c>
      <c r="AJ899" s="96">
        <f t="shared" si="46"/>
        <v>0</v>
      </c>
      <c r="AK899" s="193" t="s">
        <v>39</v>
      </c>
    </row>
    <row r="900" spans="1:37" ht="30" customHeight="1">
      <c r="A900" s="92"/>
      <c r="B900" s="92"/>
      <c r="C900" s="92"/>
      <c r="D900" s="92"/>
      <c r="E900" s="92"/>
      <c r="F900" s="92"/>
      <c r="G900" s="92"/>
      <c r="H900" s="92"/>
      <c r="I900" s="92"/>
      <c r="J900" s="92"/>
      <c r="K900" s="92"/>
      <c r="L900" s="92"/>
      <c r="M900" s="92"/>
      <c r="N900" s="155"/>
      <c r="O900" s="145"/>
      <c r="P900" s="92"/>
      <c r="Q900" s="145"/>
      <c r="R900" s="92"/>
      <c r="S900" s="145"/>
      <c r="T900" s="92"/>
      <c r="U900" s="145"/>
      <c r="V900" s="92"/>
      <c r="W900" s="145"/>
      <c r="X900" s="92"/>
      <c r="Y900" s="145"/>
      <c r="Z900" s="92"/>
      <c r="AA900" s="145"/>
      <c r="AB900" s="92"/>
      <c r="AC900" s="145"/>
      <c r="AD900" s="92"/>
      <c r="AE900" s="145"/>
      <c r="AF900" s="182" t="str">
        <f t="shared" si="47"/>
        <v/>
      </c>
      <c r="AG900" s="54" t="b">
        <f t="shared" si="45"/>
        <v>0</v>
      </c>
      <c r="AH900" s="145"/>
      <c r="AI900" s="192" t="s">
        <v>6</v>
      </c>
      <c r="AJ900" s="96">
        <f t="shared" si="46"/>
        <v>0</v>
      </c>
      <c r="AK900" s="193" t="s">
        <v>39</v>
      </c>
    </row>
    <row r="901" spans="1:37" ht="30" customHeight="1">
      <c r="A901" s="92"/>
      <c r="B901" s="92"/>
      <c r="C901" s="92"/>
      <c r="D901" s="92"/>
      <c r="E901" s="92"/>
      <c r="F901" s="92"/>
      <c r="G901" s="92"/>
      <c r="H901" s="92"/>
      <c r="I901" s="92"/>
      <c r="J901" s="92"/>
      <c r="K901" s="92"/>
      <c r="L901" s="92"/>
      <c r="M901" s="92"/>
      <c r="N901" s="155"/>
      <c r="O901" s="145"/>
      <c r="P901" s="92"/>
      <c r="Q901" s="145"/>
      <c r="R901" s="92"/>
      <c r="S901" s="145"/>
      <c r="T901" s="92"/>
      <c r="U901" s="145"/>
      <c r="V901" s="92"/>
      <c r="W901" s="145"/>
      <c r="X901" s="92"/>
      <c r="Y901" s="145"/>
      <c r="Z901" s="92"/>
      <c r="AA901" s="145"/>
      <c r="AB901" s="92"/>
      <c r="AC901" s="145"/>
      <c r="AD901" s="92"/>
      <c r="AE901" s="145"/>
      <c r="AF901" s="182" t="str">
        <f t="shared" si="47"/>
        <v/>
      </c>
      <c r="AG901" s="54" t="b">
        <f t="shared" si="45"/>
        <v>0</v>
      </c>
      <c r="AH901" s="145"/>
      <c r="AI901" s="192" t="s">
        <v>6</v>
      </c>
      <c r="AJ901" s="96">
        <f t="shared" si="46"/>
        <v>0</v>
      </c>
      <c r="AK901" s="193" t="s">
        <v>39</v>
      </c>
    </row>
    <row r="902" spans="1:37" ht="30" customHeight="1">
      <c r="A902" s="92"/>
      <c r="B902" s="92"/>
      <c r="C902" s="92"/>
      <c r="D902" s="92"/>
      <c r="E902" s="92"/>
      <c r="F902" s="92"/>
      <c r="G902" s="92"/>
      <c r="H902" s="92"/>
      <c r="I902" s="92"/>
      <c r="J902" s="92"/>
      <c r="K902" s="92"/>
      <c r="L902" s="92"/>
      <c r="M902" s="92"/>
      <c r="N902" s="155"/>
      <c r="O902" s="145"/>
      <c r="P902" s="92"/>
      <c r="Q902" s="145"/>
      <c r="R902" s="92"/>
      <c r="S902" s="145"/>
      <c r="T902" s="92"/>
      <c r="U902" s="145"/>
      <c r="V902" s="92"/>
      <c r="W902" s="145"/>
      <c r="X902" s="92"/>
      <c r="Y902" s="145"/>
      <c r="Z902" s="92"/>
      <c r="AA902" s="145"/>
      <c r="AB902" s="92"/>
      <c r="AC902" s="145"/>
      <c r="AD902" s="92"/>
      <c r="AE902" s="145"/>
      <c r="AF902" s="182" t="str">
        <f t="shared" si="47"/>
        <v/>
      </c>
      <c r="AG902" s="54" t="b">
        <f t="shared" si="45"/>
        <v>0</v>
      </c>
      <c r="AH902" s="145"/>
      <c r="AI902" s="192" t="s">
        <v>6</v>
      </c>
      <c r="AJ902" s="96">
        <f t="shared" si="46"/>
        <v>0</v>
      </c>
      <c r="AK902" s="193" t="s">
        <v>39</v>
      </c>
    </row>
    <row r="903" spans="1:37" ht="30" customHeight="1">
      <c r="A903" s="92"/>
      <c r="B903" s="92"/>
      <c r="C903" s="92"/>
      <c r="D903" s="92"/>
      <c r="E903" s="92"/>
      <c r="F903" s="92"/>
      <c r="G903" s="92"/>
      <c r="H903" s="92"/>
      <c r="I903" s="92"/>
      <c r="J903" s="92"/>
      <c r="K903" s="92"/>
      <c r="L903" s="92"/>
      <c r="M903" s="92"/>
      <c r="N903" s="155"/>
      <c r="O903" s="145"/>
      <c r="P903" s="92"/>
      <c r="Q903" s="145"/>
      <c r="R903" s="92"/>
      <c r="S903" s="145"/>
      <c r="T903" s="92"/>
      <c r="U903" s="145"/>
      <c r="V903" s="92"/>
      <c r="W903" s="145"/>
      <c r="X903" s="92"/>
      <c r="Y903" s="145"/>
      <c r="Z903" s="92"/>
      <c r="AA903" s="145"/>
      <c r="AB903" s="92"/>
      <c r="AC903" s="145"/>
      <c r="AD903" s="92"/>
      <c r="AE903" s="145"/>
      <c r="AF903" s="182" t="str">
        <f t="shared" si="47"/>
        <v/>
      </c>
      <c r="AG903" s="54" t="b">
        <f t="shared" si="45"/>
        <v>0</v>
      </c>
      <c r="AH903" s="145"/>
      <c r="AI903" s="192" t="s">
        <v>6</v>
      </c>
      <c r="AJ903" s="96">
        <f t="shared" si="46"/>
        <v>0</v>
      </c>
      <c r="AK903" s="193" t="s">
        <v>39</v>
      </c>
    </row>
    <row r="904" spans="1:37" ht="30" customHeight="1">
      <c r="A904" s="92"/>
      <c r="B904" s="92"/>
      <c r="C904" s="92"/>
      <c r="D904" s="92"/>
      <c r="E904" s="92"/>
      <c r="F904" s="92"/>
      <c r="G904" s="92"/>
      <c r="H904" s="92"/>
      <c r="I904" s="92"/>
      <c r="J904" s="92"/>
      <c r="K904" s="92"/>
      <c r="L904" s="92"/>
      <c r="M904" s="92"/>
      <c r="N904" s="155"/>
      <c r="O904" s="145"/>
      <c r="P904" s="92"/>
      <c r="Q904" s="145"/>
      <c r="R904" s="92"/>
      <c r="S904" s="145"/>
      <c r="T904" s="92"/>
      <c r="U904" s="145"/>
      <c r="V904" s="92"/>
      <c r="W904" s="145"/>
      <c r="X904" s="92"/>
      <c r="Y904" s="145"/>
      <c r="Z904" s="92"/>
      <c r="AA904" s="145"/>
      <c r="AB904" s="92"/>
      <c r="AC904" s="145"/>
      <c r="AD904" s="92"/>
      <c r="AE904" s="145"/>
      <c r="AF904" s="182" t="str">
        <f t="shared" si="47"/>
        <v/>
      </c>
      <c r="AG904" s="54" t="b">
        <f t="shared" si="45"/>
        <v>0</v>
      </c>
      <c r="AH904" s="145"/>
      <c r="AI904" s="192" t="s">
        <v>6</v>
      </c>
      <c r="AJ904" s="96">
        <f t="shared" si="46"/>
        <v>0</v>
      </c>
      <c r="AK904" s="193" t="s">
        <v>39</v>
      </c>
    </row>
    <row r="905" spans="1:37" ht="30" customHeight="1">
      <c r="A905" s="92"/>
      <c r="B905" s="92"/>
      <c r="C905" s="92"/>
      <c r="D905" s="92"/>
      <c r="E905" s="92"/>
      <c r="F905" s="92"/>
      <c r="G905" s="92"/>
      <c r="H905" s="92"/>
      <c r="I905" s="92"/>
      <c r="J905" s="92"/>
      <c r="K905" s="92"/>
      <c r="L905" s="92"/>
      <c r="M905" s="92"/>
      <c r="N905" s="155"/>
      <c r="O905" s="145"/>
      <c r="P905" s="92"/>
      <c r="Q905" s="145"/>
      <c r="R905" s="92"/>
      <c r="S905" s="145"/>
      <c r="T905" s="92"/>
      <c r="U905" s="145"/>
      <c r="V905" s="92"/>
      <c r="W905" s="145"/>
      <c r="X905" s="92"/>
      <c r="Y905" s="145"/>
      <c r="Z905" s="92"/>
      <c r="AA905" s="145"/>
      <c r="AB905" s="92"/>
      <c r="AC905" s="145"/>
      <c r="AD905" s="92"/>
      <c r="AE905" s="145"/>
      <c r="AF905" s="182" t="str">
        <f t="shared" si="47"/>
        <v/>
      </c>
      <c r="AG905" s="54" t="b">
        <f t="shared" si="45"/>
        <v>0</v>
      </c>
      <c r="AH905" s="145"/>
      <c r="AI905" s="192" t="s">
        <v>6</v>
      </c>
      <c r="AJ905" s="96">
        <f t="shared" si="46"/>
        <v>0</v>
      </c>
      <c r="AK905" s="193" t="s">
        <v>39</v>
      </c>
    </row>
    <row r="906" spans="1:37" ht="30" customHeight="1">
      <c r="A906" s="92"/>
      <c r="B906" s="92"/>
      <c r="C906" s="92"/>
      <c r="D906" s="92"/>
      <c r="E906" s="92"/>
      <c r="F906" s="92"/>
      <c r="G906" s="92"/>
      <c r="H906" s="92"/>
      <c r="I906" s="92"/>
      <c r="J906" s="92"/>
      <c r="K906" s="92"/>
      <c r="L906" s="92"/>
      <c r="M906" s="92"/>
      <c r="N906" s="155"/>
      <c r="O906" s="145"/>
      <c r="P906" s="92"/>
      <c r="Q906" s="145"/>
      <c r="R906" s="92"/>
      <c r="S906" s="145"/>
      <c r="T906" s="92"/>
      <c r="U906" s="145"/>
      <c r="V906" s="92"/>
      <c r="W906" s="145"/>
      <c r="X906" s="92"/>
      <c r="Y906" s="145"/>
      <c r="Z906" s="92"/>
      <c r="AA906" s="145"/>
      <c r="AB906" s="92"/>
      <c r="AC906" s="145"/>
      <c r="AD906" s="92"/>
      <c r="AE906" s="145"/>
      <c r="AF906" s="182" t="str">
        <f t="shared" si="47"/>
        <v/>
      </c>
      <c r="AG906" s="54" t="b">
        <f t="shared" si="45"/>
        <v>0</v>
      </c>
      <c r="AH906" s="145"/>
      <c r="AI906" s="192" t="s">
        <v>6</v>
      </c>
      <c r="AJ906" s="96">
        <f t="shared" si="46"/>
        <v>0</v>
      </c>
      <c r="AK906" s="193" t="s">
        <v>39</v>
      </c>
    </row>
    <row r="907" spans="1:37" ht="30" customHeight="1">
      <c r="A907" s="92"/>
      <c r="B907" s="92"/>
      <c r="C907" s="92"/>
      <c r="D907" s="92"/>
      <c r="E907" s="92"/>
      <c r="F907" s="92"/>
      <c r="G907" s="92"/>
      <c r="H907" s="92"/>
      <c r="I907" s="92"/>
      <c r="J907" s="92"/>
      <c r="K907" s="92"/>
      <c r="L907" s="92"/>
      <c r="M907" s="92"/>
      <c r="N907" s="155"/>
      <c r="O907" s="145"/>
      <c r="P907" s="92"/>
      <c r="Q907" s="145"/>
      <c r="R907" s="92"/>
      <c r="S907" s="145"/>
      <c r="T907" s="92"/>
      <c r="U907" s="145"/>
      <c r="V907" s="92"/>
      <c r="W907" s="145"/>
      <c r="X907" s="92"/>
      <c r="Y907" s="145"/>
      <c r="Z907" s="92"/>
      <c r="AA907" s="145"/>
      <c r="AB907" s="92"/>
      <c r="AC907" s="145"/>
      <c r="AD907" s="92"/>
      <c r="AE907" s="145"/>
      <c r="AF907" s="182" t="str">
        <f t="shared" si="47"/>
        <v/>
      </c>
      <c r="AG907" s="54" t="b">
        <f t="shared" si="45"/>
        <v>0</v>
      </c>
      <c r="AH907" s="145"/>
      <c r="AI907" s="192" t="s">
        <v>6</v>
      </c>
      <c r="AJ907" s="96">
        <f t="shared" si="46"/>
        <v>0</v>
      </c>
      <c r="AK907" s="193" t="s">
        <v>39</v>
      </c>
    </row>
    <row r="908" spans="1:37" ht="30" customHeight="1">
      <c r="A908" s="92"/>
      <c r="B908" s="92"/>
      <c r="C908" s="92"/>
      <c r="D908" s="92"/>
      <c r="E908" s="92"/>
      <c r="F908" s="92"/>
      <c r="G908" s="92"/>
      <c r="H908" s="92"/>
      <c r="I908" s="92"/>
      <c r="J908" s="92"/>
      <c r="K908" s="92"/>
      <c r="L908" s="92"/>
      <c r="M908" s="92"/>
      <c r="N908" s="155"/>
      <c r="O908" s="145"/>
      <c r="P908" s="92"/>
      <c r="Q908" s="145"/>
      <c r="R908" s="92"/>
      <c r="S908" s="145"/>
      <c r="T908" s="92"/>
      <c r="U908" s="145"/>
      <c r="V908" s="92"/>
      <c r="W908" s="145"/>
      <c r="X908" s="92"/>
      <c r="Y908" s="145"/>
      <c r="Z908" s="92"/>
      <c r="AA908" s="145"/>
      <c r="AB908" s="92"/>
      <c r="AC908" s="145"/>
      <c r="AD908" s="92"/>
      <c r="AE908" s="145"/>
      <c r="AF908" s="182" t="str">
        <f t="shared" si="47"/>
        <v/>
      </c>
      <c r="AG908" s="54" t="b">
        <f t="shared" si="45"/>
        <v>0</v>
      </c>
      <c r="AH908" s="145"/>
      <c r="AI908" s="192" t="s">
        <v>6</v>
      </c>
      <c r="AJ908" s="96">
        <f t="shared" si="46"/>
        <v>0</v>
      </c>
      <c r="AK908" s="193" t="s">
        <v>39</v>
      </c>
    </row>
    <row r="909" spans="1:37" ht="30" customHeight="1">
      <c r="A909" s="92"/>
      <c r="B909" s="92"/>
      <c r="C909" s="92"/>
      <c r="D909" s="92"/>
      <c r="E909" s="92"/>
      <c r="F909" s="92"/>
      <c r="G909" s="92"/>
      <c r="H909" s="92"/>
      <c r="I909" s="92"/>
      <c r="J909" s="92"/>
      <c r="K909" s="92"/>
      <c r="L909" s="92"/>
      <c r="M909" s="92"/>
      <c r="N909" s="155"/>
      <c r="O909" s="145"/>
      <c r="P909" s="92"/>
      <c r="Q909" s="145"/>
      <c r="R909" s="92"/>
      <c r="S909" s="145"/>
      <c r="T909" s="92"/>
      <c r="U909" s="145"/>
      <c r="V909" s="92"/>
      <c r="W909" s="145"/>
      <c r="X909" s="92"/>
      <c r="Y909" s="145"/>
      <c r="Z909" s="92"/>
      <c r="AA909" s="145"/>
      <c r="AB909" s="92"/>
      <c r="AC909" s="145"/>
      <c r="AD909" s="92"/>
      <c r="AE909" s="145"/>
      <c r="AF909" s="182" t="str">
        <f t="shared" si="47"/>
        <v/>
      </c>
      <c r="AG909" s="54" t="b">
        <f t="shared" si="45"/>
        <v>0</v>
      </c>
      <c r="AH909" s="145"/>
      <c r="AI909" s="192" t="s">
        <v>6</v>
      </c>
      <c r="AJ909" s="96">
        <f t="shared" si="46"/>
        <v>0</v>
      </c>
      <c r="AK909" s="193" t="s">
        <v>39</v>
      </c>
    </row>
    <row r="910" spans="1:37" ht="30" customHeight="1">
      <c r="A910" s="92"/>
      <c r="B910" s="92"/>
      <c r="C910" s="92"/>
      <c r="D910" s="92"/>
      <c r="E910" s="92"/>
      <c r="F910" s="92"/>
      <c r="G910" s="92"/>
      <c r="H910" s="92"/>
      <c r="I910" s="92"/>
      <c r="J910" s="92"/>
      <c r="K910" s="92"/>
      <c r="L910" s="92"/>
      <c r="M910" s="92"/>
      <c r="N910" s="155"/>
      <c r="O910" s="145"/>
      <c r="P910" s="92"/>
      <c r="Q910" s="145"/>
      <c r="R910" s="92"/>
      <c r="S910" s="145"/>
      <c r="T910" s="92"/>
      <c r="U910" s="145"/>
      <c r="V910" s="92"/>
      <c r="W910" s="145"/>
      <c r="X910" s="92"/>
      <c r="Y910" s="145"/>
      <c r="Z910" s="92"/>
      <c r="AA910" s="145"/>
      <c r="AB910" s="92"/>
      <c r="AC910" s="145"/>
      <c r="AD910" s="92"/>
      <c r="AE910" s="145"/>
      <c r="AF910" s="182" t="str">
        <f t="shared" si="47"/>
        <v/>
      </c>
      <c r="AG910" s="54" t="b">
        <f t="shared" si="45"/>
        <v>0</v>
      </c>
      <c r="AH910" s="145"/>
      <c r="AI910" s="192" t="s">
        <v>6</v>
      </c>
      <c r="AJ910" s="96">
        <f t="shared" si="46"/>
        <v>0</v>
      </c>
      <c r="AK910" s="193" t="s">
        <v>39</v>
      </c>
    </row>
    <row r="911" spans="1:37" ht="30" customHeight="1">
      <c r="A911" s="92"/>
      <c r="B911" s="92"/>
      <c r="C911" s="92"/>
      <c r="D911" s="92"/>
      <c r="E911" s="92"/>
      <c r="F911" s="92"/>
      <c r="G911" s="92"/>
      <c r="H911" s="92"/>
      <c r="I911" s="92"/>
      <c r="J911" s="92"/>
      <c r="K911" s="92"/>
      <c r="L911" s="92"/>
      <c r="M911" s="92"/>
      <c r="N911" s="155"/>
      <c r="O911" s="145"/>
      <c r="P911" s="92"/>
      <c r="Q911" s="145"/>
      <c r="R911" s="92"/>
      <c r="S911" s="145"/>
      <c r="T911" s="92"/>
      <c r="U911" s="145"/>
      <c r="V911" s="92"/>
      <c r="W911" s="145"/>
      <c r="X911" s="92"/>
      <c r="Y911" s="145"/>
      <c r="Z911" s="92"/>
      <c r="AA911" s="145"/>
      <c r="AB911" s="92"/>
      <c r="AC911" s="145"/>
      <c r="AD911" s="92"/>
      <c r="AE911" s="145"/>
      <c r="AF911" s="182" t="str">
        <f t="shared" si="47"/>
        <v/>
      </c>
      <c r="AG911" s="54" t="b">
        <f t="shared" si="45"/>
        <v>0</v>
      </c>
      <c r="AH911" s="145"/>
      <c r="AI911" s="192" t="s">
        <v>6</v>
      </c>
      <c r="AJ911" s="96">
        <f t="shared" si="46"/>
        <v>0</v>
      </c>
      <c r="AK911" s="193" t="s">
        <v>39</v>
      </c>
    </row>
    <row r="912" spans="1:37" ht="30" customHeight="1">
      <c r="A912" s="92"/>
      <c r="B912" s="92"/>
      <c r="C912" s="92"/>
      <c r="D912" s="92"/>
      <c r="E912" s="92"/>
      <c r="F912" s="92"/>
      <c r="G912" s="92"/>
      <c r="H912" s="92"/>
      <c r="I912" s="92"/>
      <c r="J912" s="92"/>
      <c r="K912" s="92"/>
      <c r="L912" s="92"/>
      <c r="M912" s="92"/>
      <c r="N912" s="155"/>
      <c r="O912" s="145"/>
      <c r="P912" s="92"/>
      <c r="Q912" s="145"/>
      <c r="R912" s="92"/>
      <c r="S912" s="145"/>
      <c r="T912" s="92"/>
      <c r="U912" s="145"/>
      <c r="V912" s="92"/>
      <c r="W912" s="145"/>
      <c r="X912" s="92"/>
      <c r="Y912" s="145"/>
      <c r="Z912" s="92"/>
      <c r="AA912" s="145"/>
      <c r="AB912" s="92"/>
      <c r="AC912" s="145"/>
      <c r="AD912" s="92"/>
      <c r="AE912" s="145"/>
      <c r="AF912" s="182" t="str">
        <f t="shared" si="47"/>
        <v/>
      </c>
      <c r="AG912" s="54" t="b">
        <f t="shared" si="45"/>
        <v>0</v>
      </c>
      <c r="AH912" s="145"/>
      <c r="AI912" s="192" t="s">
        <v>6</v>
      </c>
      <c r="AJ912" s="96">
        <f t="shared" si="46"/>
        <v>0</v>
      </c>
      <c r="AK912" s="193" t="s">
        <v>39</v>
      </c>
    </row>
    <row r="913" spans="1:37" ht="30" customHeight="1">
      <c r="A913" s="92"/>
      <c r="B913" s="92"/>
      <c r="C913" s="92"/>
      <c r="D913" s="92"/>
      <c r="E913" s="92"/>
      <c r="F913" s="92"/>
      <c r="G913" s="92"/>
      <c r="H913" s="92"/>
      <c r="I913" s="92"/>
      <c r="J913" s="92"/>
      <c r="K913" s="92"/>
      <c r="L913" s="92"/>
      <c r="M913" s="92"/>
      <c r="N913" s="155"/>
      <c r="O913" s="145"/>
      <c r="P913" s="92"/>
      <c r="Q913" s="145"/>
      <c r="R913" s="92"/>
      <c r="S913" s="145"/>
      <c r="T913" s="92"/>
      <c r="U913" s="145"/>
      <c r="V913" s="92"/>
      <c r="W913" s="145"/>
      <c r="X913" s="92"/>
      <c r="Y913" s="145"/>
      <c r="Z913" s="92"/>
      <c r="AA913" s="145"/>
      <c r="AB913" s="92"/>
      <c r="AC913" s="145"/>
      <c r="AD913" s="92"/>
      <c r="AE913" s="145"/>
      <c r="AF913" s="182" t="str">
        <f t="shared" si="47"/>
        <v/>
      </c>
      <c r="AG913" s="54" t="b">
        <f t="shared" si="45"/>
        <v>0</v>
      </c>
      <c r="AH913" s="145"/>
      <c r="AI913" s="192" t="s">
        <v>6</v>
      </c>
      <c r="AJ913" s="96">
        <f t="shared" si="46"/>
        <v>0</v>
      </c>
      <c r="AK913" s="193" t="s">
        <v>39</v>
      </c>
    </row>
    <row r="914" spans="1:37" ht="30" customHeight="1">
      <c r="A914" s="92"/>
      <c r="B914" s="92"/>
      <c r="C914" s="92"/>
      <c r="D914" s="92"/>
      <c r="E914" s="92"/>
      <c r="F914" s="92"/>
      <c r="G914" s="92"/>
      <c r="H914" s="92"/>
      <c r="I914" s="92"/>
      <c r="J914" s="92"/>
      <c r="K914" s="92"/>
      <c r="L914" s="92"/>
      <c r="M914" s="92"/>
      <c r="N914" s="155"/>
      <c r="O914" s="145"/>
      <c r="P914" s="92"/>
      <c r="Q914" s="145"/>
      <c r="R914" s="92"/>
      <c r="S914" s="145"/>
      <c r="T914" s="92"/>
      <c r="U914" s="145"/>
      <c r="V914" s="92"/>
      <c r="W914" s="145"/>
      <c r="X914" s="92"/>
      <c r="Y914" s="145"/>
      <c r="Z914" s="92"/>
      <c r="AA914" s="145"/>
      <c r="AB914" s="92"/>
      <c r="AC914" s="145"/>
      <c r="AD914" s="92"/>
      <c r="AE914" s="145"/>
      <c r="AF914" s="182" t="str">
        <f t="shared" si="47"/>
        <v/>
      </c>
      <c r="AG914" s="54" t="b">
        <f t="shared" si="45"/>
        <v>0</v>
      </c>
      <c r="AH914" s="145"/>
      <c r="AI914" s="192" t="s">
        <v>6</v>
      </c>
      <c r="AJ914" s="96">
        <f t="shared" si="46"/>
        <v>0</v>
      </c>
      <c r="AK914" s="193" t="s">
        <v>39</v>
      </c>
    </row>
    <row r="915" spans="1:37" ht="30" customHeight="1">
      <c r="A915" s="92"/>
      <c r="B915" s="92"/>
      <c r="C915" s="92"/>
      <c r="D915" s="92"/>
      <c r="E915" s="92"/>
      <c r="F915" s="92"/>
      <c r="G915" s="92"/>
      <c r="H915" s="92"/>
      <c r="I915" s="92"/>
      <c r="J915" s="92"/>
      <c r="K915" s="92"/>
      <c r="L915" s="92"/>
      <c r="M915" s="92"/>
      <c r="N915" s="155"/>
      <c r="O915" s="145"/>
      <c r="P915" s="92"/>
      <c r="Q915" s="145"/>
      <c r="R915" s="92"/>
      <c r="S915" s="145"/>
      <c r="T915" s="92"/>
      <c r="U915" s="145"/>
      <c r="V915" s="92"/>
      <c r="W915" s="145"/>
      <c r="X915" s="92"/>
      <c r="Y915" s="145"/>
      <c r="Z915" s="92"/>
      <c r="AA915" s="145"/>
      <c r="AB915" s="92"/>
      <c r="AC915" s="145"/>
      <c r="AD915" s="92"/>
      <c r="AE915" s="145"/>
      <c r="AF915" s="182" t="str">
        <f t="shared" si="47"/>
        <v/>
      </c>
      <c r="AG915" s="54" t="b">
        <f t="shared" si="45"/>
        <v>0</v>
      </c>
      <c r="AH915" s="145"/>
      <c r="AI915" s="192" t="s">
        <v>6</v>
      </c>
      <c r="AJ915" s="96">
        <f t="shared" si="46"/>
        <v>0</v>
      </c>
      <c r="AK915" s="193" t="s">
        <v>39</v>
      </c>
    </row>
    <row r="916" spans="1:37" ht="30" customHeight="1">
      <c r="A916" s="92"/>
      <c r="B916" s="92"/>
      <c r="C916" s="92"/>
      <c r="D916" s="92"/>
      <c r="E916" s="92"/>
      <c r="F916" s="92"/>
      <c r="G916" s="92"/>
      <c r="H916" s="92"/>
      <c r="I916" s="92"/>
      <c r="J916" s="92"/>
      <c r="K916" s="92"/>
      <c r="L916" s="92"/>
      <c r="M916" s="92"/>
      <c r="N916" s="155"/>
      <c r="O916" s="145"/>
      <c r="P916" s="92"/>
      <c r="Q916" s="145"/>
      <c r="R916" s="92"/>
      <c r="S916" s="145"/>
      <c r="T916" s="92"/>
      <c r="U916" s="145"/>
      <c r="V916" s="92"/>
      <c r="W916" s="145"/>
      <c r="X916" s="92"/>
      <c r="Y916" s="145"/>
      <c r="Z916" s="92"/>
      <c r="AA916" s="145"/>
      <c r="AB916" s="92"/>
      <c r="AC916" s="145"/>
      <c r="AD916" s="92"/>
      <c r="AE916" s="145"/>
      <c r="AF916" s="182" t="str">
        <f t="shared" si="47"/>
        <v/>
      </c>
      <c r="AG916" s="54" t="b">
        <f t="shared" si="45"/>
        <v>0</v>
      </c>
      <c r="AH916" s="145"/>
      <c r="AI916" s="192" t="s">
        <v>6</v>
      </c>
      <c r="AJ916" s="96">
        <f t="shared" si="46"/>
        <v>0</v>
      </c>
      <c r="AK916" s="193" t="s">
        <v>39</v>
      </c>
    </row>
    <row r="917" spans="1:37" ht="30" customHeight="1">
      <c r="A917" s="92"/>
      <c r="B917" s="92"/>
      <c r="C917" s="92"/>
      <c r="D917" s="92"/>
      <c r="E917" s="92"/>
      <c r="F917" s="92"/>
      <c r="G917" s="92"/>
      <c r="H917" s="92"/>
      <c r="I917" s="92"/>
      <c r="J917" s="92"/>
      <c r="K917" s="92"/>
      <c r="L917" s="92"/>
      <c r="M917" s="92"/>
      <c r="N917" s="155"/>
      <c r="O917" s="145"/>
      <c r="P917" s="92"/>
      <c r="Q917" s="145"/>
      <c r="R917" s="92"/>
      <c r="S917" s="145"/>
      <c r="T917" s="92"/>
      <c r="U917" s="145"/>
      <c r="V917" s="92"/>
      <c r="W917" s="145"/>
      <c r="X917" s="92"/>
      <c r="Y917" s="145"/>
      <c r="Z917" s="92"/>
      <c r="AA917" s="145"/>
      <c r="AB917" s="92"/>
      <c r="AC917" s="145"/>
      <c r="AD917" s="92"/>
      <c r="AE917" s="145"/>
      <c r="AF917" s="182" t="str">
        <f t="shared" si="47"/>
        <v/>
      </c>
      <c r="AG917" s="54" t="b">
        <f t="shared" si="45"/>
        <v>0</v>
      </c>
      <c r="AH917" s="145"/>
      <c r="AI917" s="192" t="s">
        <v>6</v>
      </c>
      <c r="AJ917" s="96">
        <f t="shared" si="46"/>
        <v>0</v>
      </c>
      <c r="AK917" s="193" t="s">
        <v>39</v>
      </c>
    </row>
    <row r="918" spans="1:37" ht="30" customHeight="1">
      <c r="A918" s="92"/>
      <c r="B918" s="92"/>
      <c r="C918" s="92"/>
      <c r="D918" s="92"/>
      <c r="E918" s="92"/>
      <c r="F918" s="92"/>
      <c r="G918" s="92"/>
      <c r="H918" s="92"/>
      <c r="I918" s="92"/>
      <c r="J918" s="92"/>
      <c r="K918" s="92"/>
      <c r="L918" s="92"/>
      <c r="M918" s="92"/>
      <c r="N918" s="155"/>
      <c r="O918" s="145"/>
      <c r="P918" s="92"/>
      <c r="Q918" s="145"/>
      <c r="R918" s="92"/>
      <c r="S918" s="145"/>
      <c r="T918" s="92"/>
      <c r="U918" s="145"/>
      <c r="V918" s="92"/>
      <c r="W918" s="145"/>
      <c r="X918" s="92"/>
      <c r="Y918" s="145"/>
      <c r="Z918" s="92"/>
      <c r="AA918" s="145"/>
      <c r="AB918" s="92"/>
      <c r="AC918" s="145"/>
      <c r="AD918" s="92"/>
      <c r="AE918" s="145"/>
      <c r="AF918" s="182" t="str">
        <f t="shared" si="47"/>
        <v/>
      </c>
      <c r="AG918" s="54" t="b">
        <f t="shared" si="45"/>
        <v>0</v>
      </c>
      <c r="AH918" s="145"/>
      <c r="AI918" s="192" t="s">
        <v>6</v>
      </c>
      <c r="AJ918" s="96">
        <f t="shared" si="46"/>
        <v>0</v>
      </c>
      <c r="AK918" s="193" t="s">
        <v>39</v>
      </c>
    </row>
    <row r="919" spans="1:37" ht="30" customHeight="1">
      <c r="A919" s="92"/>
      <c r="B919" s="92"/>
      <c r="C919" s="92"/>
      <c r="D919" s="92"/>
      <c r="E919" s="92"/>
      <c r="F919" s="92"/>
      <c r="G919" s="92"/>
      <c r="H919" s="92"/>
      <c r="I919" s="92"/>
      <c r="J919" s="92"/>
      <c r="K919" s="92"/>
      <c r="L919" s="92"/>
      <c r="M919" s="92"/>
      <c r="N919" s="155"/>
      <c r="O919" s="145"/>
      <c r="P919" s="92"/>
      <c r="Q919" s="145"/>
      <c r="R919" s="92"/>
      <c r="S919" s="145"/>
      <c r="T919" s="92"/>
      <c r="U919" s="145"/>
      <c r="V919" s="92"/>
      <c r="W919" s="145"/>
      <c r="X919" s="92"/>
      <c r="Y919" s="145"/>
      <c r="Z919" s="92"/>
      <c r="AA919" s="145"/>
      <c r="AB919" s="92"/>
      <c r="AC919" s="145"/>
      <c r="AD919" s="92"/>
      <c r="AE919" s="145"/>
      <c r="AF919" s="182" t="str">
        <f t="shared" si="47"/>
        <v/>
      </c>
      <c r="AG919" s="54" t="b">
        <f t="shared" si="45"/>
        <v>0</v>
      </c>
      <c r="AH919" s="145"/>
      <c r="AI919" s="192" t="s">
        <v>6</v>
      </c>
      <c r="AJ919" s="96">
        <f t="shared" si="46"/>
        <v>0</v>
      </c>
      <c r="AK919" s="193" t="s">
        <v>39</v>
      </c>
    </row>
    <row r="920" spans="1:37" ht="30" customHeight="1">
      <c r="A920" s="92"/>
      <c r="B920" s="92"/>
      <c r="C920" s="92"/>
      <c r="D920" s="92"/>
      <c r="E920" s="92"/>
      <c r="F920" s="92"/>
      <c r="G920" s="92"/>
      <c r="H920" s="92"/>
      <c r="I920" s="92"/>
      <c r="J920" s="92"/>
      <c r="K920" s="92"/>
      <c r="L920" s="92"/>
      <c r="M920" s="92"/>
      <c r="N920" s="155"/>
      <c r="O920" s="145"/>
      <c r="P920" s="92"/>
      <c r="Q920" s="145"/>
      <c r="R920" s="92"/>
      <c r="S920" s="145"/>
      <c r="T920" s="92"/>
      <c r="U920" s="145"/>
      <c r="V920" s="92"/>
      <c r="W920" s="145"/>
      <c r="X920" s="92"/>
      <c r="Y920" s="145"/>
      <c r="Z920" s="92"/>
      <c r="AA920" s="145"/>
      <c r="AB920" s="92"/>
      <c r="AC920" s="145"/>
      <c r="AD920" s="92"/>
      <c r="AE920" s="145"/>
      <c r="AF920" s="182" t="str">
        <f t="shared" si="47"/>
        <v/>
      </c>
      <c r="AG920" s="54" t="b">
        <f t="shared" si="45"/>
        <v>0</v>
      </c>
      <c r="AH920" s="145"/>
      <c r="AI920" s="192" t="s">
        <v>6</v>
      </c>
      <c r="AJ920" s="96">
        <f t="shared" si="46"/>
        <v>0</v>
      </c>
      <c r="AK920" s="193" t="s">
        <v>39</v>
      </c>
    </row>
    <row r="921" spans="1:37" ht="30" customHeight="1">
      <c r="A921" s="92"/>
      <c r="B921" s="92"/>
      <c r="C921" s="92"/>
      <c r="D921" s="92"/>
      <c r="E921" s="92"/>
      <c r="F921" s="92"/>
      <c r="G921" s="92"/>
      <c r="H921" s="92"/>
      <c r="I921" s="92"/>
      <c r="J921" s="92"/>
      <c r="K921" s="92"/>
      <c r="L921" s="92"/>
      <c r="M921" s="92"/>
      <c r="N921" s="155"/>
      <c r="O921" s="145"/>
      <c r="P921" s="92"/>
      <c r="Q921" s="145"/>
      <c r="R921" s="92"/>
      <c r="S921" s="145"/>
      <c r="T921" s="92"/>
      <c r="U921" s="145"/>
      <c r="V921" s="92"/>
      <c r="W921" s="145"/>
      <c r="X921" s="92"/>
      <c r="Y921" s="145"/>
      <c r="Z921" s="92"/>
      <c r="AA921" s="145"/>
      <c r="AB921" s="92"/>
      <c r="AC921" s="145"/>
      <c r="AD921" s="92"/>
      <c r="AE921" s="145"/>
      <c r="AF921" s="182" t="str">
        <f t="shared" si="47"/>
        <v/>
      </c>
      <c r="AG921" s="54" t="b">
        <f t="shared" si="45"/>
        <v>0</v>
      </c>
      <c r="AH921" s="145"/>
      <c r="AI921" s="192" t="s">
        <v>6</v>
      </c>
      <c r="AJ921" s="96">
        <f t="shared" si="46"/>
        <v>0</v>
      </c>
      <c r="AK921" s="193" t="s">
        <v>39</v>
      </c>
    </row>
    <row r="922" spans="1:37" ht="30" customHeight="1">
      <c r="A922" s="92"/>
      <c r="B922" s="92"/>
      <c r="C922" s="92"/>
      <c r="D922" s="92"/>
      <c r="E922" s="92"/>
      <c r="F922" s="92"/>
      <c r="G922" s="92"/>
      <c r="H922" s="92"/>
      <c r="I922" s="92"/>
      <c r="J922" s="92"/>
      <c r="K922" s="92"/>
      <c r="L922" s="92"/>
      <c r="M922" s="92"/>
      <c r="N922" s="155"/>
      <c r="O922" s="145"/>
      <c r="P922" s="92"/>
      <c r="Q922" s="145"/>
      <c r="R922" s="92"/>
      <c r="S922" s="145"/>
      <c r="T922" s="92"/>
      <c r="U922" s="145"/>
      <c r="V922" s="92"/>
      <c r="W922" s="145"/>
      <c r="X922" s="92"/>
      <c r="Y922" s="145"/>
      <c r="Z922" s="92"/>
      <c r="AA922" s="145"/>
      <c r="AB922" s="92"/>
      <c r="AC922" s="145"/>
      <c r="AD922" s="92"/>
      <c r="AE922" s="145"/>
      <c r="AF922" s="182" t="str">
        <f t="shared" si="47"/>
        <v/>
      </c>
      <c r="AG922" s="54" t="b">
        <f t="shared" si="45"/>
        <v>0</v>
      </c>
      <c r="AH922" s="145"/>
      <c r="AI922" s="192" t="s">
        <v>6</v>
      </c>
      <c r="AJ922" s="96">
        <f t="shared" si="46"/>
        <v>0</v>
      </c>
      <c r="AK922" s="193" t="s">
        <v>39</v>
      </c>
    </row>
  </sheetData>
  <conditionalFormatting sqref="A1 C1 E1">
    <cfRule type="duplicateValues" dxfId="206" priority="142"/>
  </conditionalFormatting>
  <conditionalFormatting sqref="Q103:Q194 S103:S194 U103:U194 AH273:AH280 AH266 Q282:Q285 S282:S285 U282:U285 W282:W285 Y282:Y285 AA282:AA285 AC282:AC285 AE282:AE285 AH282:AH285 AE219:AE280 AC219:AC280 AA219:AA280 Y219:Y280 W219:W280 U219:U280 S219:S280 Q219:Q280 Y149:Y194 W4:W194 Y4:Y147 AA4:AA194 AC4:AC194 AE3:AE194 AH3:AH264 O2:O280 O282:O922 AH287:AH922 Q287:Q922 S287:S922 U287:U922 W287:W922 Y287:Y922 AA287:AA922 AC287:AC922 AE287:AE922 AF2:AF922">
    <cfRule type="expression" dxfId="205" priority="56">
      <formula>O2=""</formula>
    </cfRule>
    <cfRule type="expression" dxfId="204" priority="57" stopIfTrue="1">
      <formula>NOT(OR(O2="C",O2="NC",O2="SF",O2="NA"))</formula>
    </cfRule>
  </conditionalFormatting>
  <conditionalFormatting sqref="Q2 Q4 Q6 Q8 Q10 Q12 Q14 Q16 Q18 Q20 Q22 Q24 Q26 Q28 Q30 Q32 Q34 Q36 Q38 Q40 Q42:Q43 Q45 Q47 Q49 Q51 Q53 Q55 Q57 Q59 Q61 Q66 Q68 Q74 Q76 Q82 Q84 Q86 Q88 Q90 Q92 Q94 Q64 Q70:Q72 Q78:Q80">
    <cfRule type="expression" dxfId="203" priority="54">
      <formula>Q2=""</formula>
    </cfRule>
    <cfRule type="expression" dxfId="202" priority="55" stopIfTrue="1">
      <formula>NOT(OR(Q2="C",Q2="NC",Q2="SF",Q2="NA"))</formula>
    </cfRule>
  </conditionalFormatting>
  <conditionalFormatting sqref="Q5 Q7 Q9 Q11 Q13 Q15 Q17 Q19 Q21 Q23 Q25 Q27 Q29 Q31 Q33 Q35 Q37 Q39 Q41 Q44 Q46 Q48 Q50 Q52 Q54 Q56 Q58 Q60 Q65 Q67 Q69 Q73 Q75 Q77 Q81 Q83 Q85 Q87 Q89 Q91 Q93 Q62:Q63 Q95:Q102">
    <cfRule type="expression" dxfId="201" priority="52">
      <formula>Q5=""</formula>
    </cfRule>
    <cfRule type="expression" dxfId="200" priority="53" stopIfTrue="1">
      <formula>NOT(OR(Q5="C",Q5="NC",Q5="SF",Q5="NA"))</formula>
    </cfRule>
  </conditionalFormatting>
  <conditionalFormatting sqref="S2 S4 S6 S8 S10 S12 S14 S16 S18 S20 S22 S24 S26 S28 S30 S32 S34 S36 S38 S40 S42:S43 S45 S47 S49 S51 S53 S55 S57 S59 S61 S66 S68 S74 S76 S82 S84 S86 S88 S90 S92 S94 S64 S70:S72 S78:S80">
    <cfRule type="expression" dxfId="199" priority="50">
      <formula>S2=""</formula>
    </cfRule>
    <cfRule type="expression" dxfId="198" priority="51" stopIfTrue="1">
      <formula>NOT(OR(S2="C",S2="NC",S2="SF",S2="NA"))</formula>
    </cfRule>
  </conditionalFormatting>
  <conditionalFormatting sqref="S5 S7 S9 S11 S13 S15 S17 S19 S21 S23 S25 S27 S29 S31 S33 S35 S37 S39 S41 S44 S46 S48 S50 S52 S54 S56 S58 S60 S65 S67 S69 S73 S75 S77 S81 S83 S85 S87 S89 S91 S93 S62:S63 S95:S102">
    <cfRule type="expression" dxfId="197" priority="48">
      <formula>S5=""</formula>
    </cfRule>
    <cfRule type="expression" dxfId="196" priority="49" stopIfTrue="1">
      <formula>NOT(OR(S5="C",S5="NC",S5="SF",S5="NA"))</formula>
    </cfRule>
  </conditionalFormatting>
  <conditionalFormatting sqref="U2 U4 U6 U8 U10 U12 U14 U16 U18 U20 U22 U24 U26 U28 U30 U32 U34 U36 U38 U40 U42:U43 U45 U47 U49 U51 U53 U55 U57 U59 U61 U66 U68 U74 U76 U82 U84 U86 U88 U90 U92 U94 U64 U70:U72 U78:U80">
    <cfRule type="expression" dxfId="195" priority="46">
      <formula>U2=""</formula>
    </cfRule>
    <cfRule type="expression" dxfId="194" priority="47" stopIfTrue="1">
      <formula>NOT(OR(U2="C",U2="NC",U2="SF",U2="NA"))</formula>
    </cfRule>
  </conditionalFormatting>
  <conditionalFormatting sqref="U5 U7 U9 U11 U13 U15 U17 U19 U21 U23 U25 U27 U29 U31 U33 U35 U37 U39 U41 U44 U46 U48 U50 U52 U54 U56 U58 U60 U65 U67 U69 U73 U75 U77 U81 U83 U85 U87 U89 U91 U93 U62:U63 U95:U102">
    <cfRule type="expression" dxfId="193" priority="44">
      <formula>U5=""</formula>
    </cfRule>
    <cfRule type="expression" dxfId="192" priority="45" stopIfTrue="1">
      <formula>NOT(OR(U5="C",U5="NC",U5="SF",U5="NA"))</formula>
    </cfRule>
  </conditionalFormatting>
  <conditionalFormatting sqref="W2">
    <cfRule type="expression" dxfId="191" priority="42">
      <formula>W2=""</formula>
    </cfRule>
    <cfRule type="expression" dxfId="190" priority="43" stopIfTrue="1">
      <formula>NOT(OR(W2="C",W2="NC",W2="SF",W2="NA"))</formula>
    </cfRule>
  </conditionalFormatting>
  <conditionalFormatting sqref="Y2">
    <cfRule type="expression" dxfId="189" priority="38">
      <formula>Y2=""</formula>
    </cfRule>
    <cfRule type="expression" dxfId="188" priority="39" stopIfTrue="1">
      <formula>NOT(OR(Y2="C",Y2="NC",Y2="SF",Y2="NA"))</formula>
    </cfRule>
  </conditionalFormatting>
  <conditionalFormatting sqref="AC2">
    <cfRule type="expression" dxfId="187" priority="34">
      <formula>AC2=""</formula>
    </cfRule>
    <cfRule type="expression" dxfId="186" priority="35" stopIfTrue="1">
      <formula>NOT(OR(AC2="C",AC2="NC",AC2="SF",AC2="NA"))</formula>
    </cfRule>
  </conditionalFormatting>
  <conditionalFormatting sqref="AE2">
    <cfRule type="expression" dxfId="185" priority="30">
      <formula>AE2=""</formula>
    </cfRule>
    <cfRule type="expression" dxfId="184" priority="31" stopIfTrue="1">
      <formula>NOT(OR(AE2="C",AE2="NC",AE2="SF",AE2="NA"))</formula>
    </cfRule>
  </conditionalFormatting>
  <conditionalFormatting sqref="AH2">
    <cfRule type="expression" dxfId="183" priority="22">
      <formula>AH2=""</formula>
    </cfRule>
    <cfRule type="expression" dxfId="182" priority="23" stopIfTrue="1">
      <formula>NOT(OR(AH2="C",AH2="NC",AH2="SF",AH2="NA"))</formula>
    </cfRule>
  </conditionalFormatting>
  <conditionalFormatting sqref="U3 S3 Q3">
    <cfRule type="expression" dxfId="181" priority="18">
      <formula>Q3=""</formula>
    </cfRule>
    <cfRule type="expression" dxfId="180" priority="19" stopIfTrue="1">
      <formula>NOT(OR(Q3="C",Q3="NC",Q3="SF",Q3="NA"))</formula>
    </cfRule>
  </conditionalFormatting>
  <conditionalFormatting sqref="AC3 Y3 W3">
    <cfRule type="expression" dxfId="179" priority="14">
      <formula>W3=""</formula>
    </cfRule>
    <cfRule type="expression" dxfId="178" priority="15" stopIfTrue="1">
      <formula>NOT(OR(W3="C",W3="NC",W3="SF",W3="NA"))</formula>
    </cfRule>
  </conditionalFormatting>
  <conditionalFormatting sqref="AA2">
    <cfRule type="expression" dxfId="177" priority="12">
      <formula>AA2=""</formula>
    </cfRule>
    <cfRule type="expression" dxfId="176" priority="13" stopIfTrue="1">
      <formula>NOT(OR(AA2="C",AA2="NC",AA2="SF",AA2="NA"))</formula>
    </cfRule>
  </conditionalFormatting>
  <conditionalFormatting sqref="AA3">
    <cfRule type="expression" dxfId="175" priority="8">
      <formula>AA3=""</formula>
    </cfRule>
    <cfRule type="expression" dxfId="174" priority="9" stopIfTrue="1">
      <formula>NOT(OR(AA3="C",AA3="NC",AA3="SF",AA3="NA"))</formula>
    </cfRule>
  </conditionalFormatting>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59999389629810485"/>
    <pageSetUpPr fitToPage="1"/>
  </sheetPr>
  <dimension ref="A1:H14"/>
  <sheetViews>
    <sheetView zoomScale="55" zoomScaleNormal="55" zoomScaleSheetLayoutView="70" workbookViewId="0">
      <selection activeCell="B5" sqref="B5:G5"/>
    </sheetView>
  </sheetViews>
  <sheetFormatPr defaultColWidth="9.140625" defaultRowHeight="21" customHeight="1"/>
  <cols>
    <col min="1" max="1" width="5.7109375" style="99" customWidth="1"/>
    <col min="2" max="7" width="30.7109375" style="99" customWidth="1"/>
    <col min="8" max="8" width="5.7109375" style="99" customWidth="1"/>
    <col min="9" max="16384" width="9.140625" style="29"/>
  </cols>
  <sheetData>
    <row r="1" spans="1:8" s="35" customFormat="1" ht="35.1" customHeight="1">
      <c r="A1" s="425" t="s">
        <v>39</v>
      </c>
      <c r="B1" s="425"/>
      <c r="C1" s="425"/>
      <c r="D1" s="425"/>
      <c r="E1" s="425"/>
      <c r="F1" s="425"/>
      <c r="G1" s="425"/>
      <c r="H1" s="425"/>
    </row>
    <row r="2" spans="1:8" s="31" customFormat="1" ht="20.100000000000001" customHeight="1">
      <c r="A2" s="44"/>
      <c r="B2" s="44"/>
      <c r="C2" s="44"/>
      <c r="D2" s="44"/>
      <c r="E2" s="44"/>
      <c r="F2" s="44"/>
      <c r="G2" s="44"/>
      <c r="H2" s="45"/>
    </row>
    <row r="3" spans="1:8" s="18" customFormat="1" ht="35.1" customHeight="1">
      <c r="A3" s="431" t="s">
        <v>1397</v>
      </c>
      <c r="B3" s="431"/>
      <c r="C3" s="431"/>
      <c r="D3" s="431"/>
      <c r="E3" s="431"/>
      <c r="F3" s="431"/>
      <c r="G3" s="431"/>
      <c r="H3" s="431"/>
    </row>
    <row r="5" spans="1:8" ht="21" customHeight="1">
      <c r="B5" s="432" t="str">
        <f>'DADOS - FREGUESIA DO Ó'!B73</f>
        <v>TESTE</v>
      </c>
      <c r="C5" s="432"/>
      <c r="D5" s="432"/>
      <c r="E5" s="432"/>
      <c r="F5" s="432"/>
      <c r="G5" s="432"/>
    </row>
    <row r="6" spans="1:8" ht="21" customHeight="1">
      <c r="B6" s="432" t="s">
        <v>1398</v>
      </c>
      <c r="C6" s="432"/>
      <c r="D6" s="146" t="s">
        <v>56</v>
      </c>
      <c r="E6" s="146" t="s">
        <v>1399</v>
      </c>
      <c r="F6" s="146" t="s">
        <v>41</v>
      </c>
      <c r="G6" s="146" t="s">
        <v>42</v>
      </c>
    </row>
    <row r="7" spans="1:8" ht="21" customHeight="1">
      <c r="B7" s="430" t="s">
        <v>46</v>
      </c>
      <c r="C7" s="430"/>
      <c r="D7" s="97">
        <f t="shared" ref="D7:D14" si="0">F7+G7+E7</f>
        <v>0</v>
      </c>
      <c r="E7" s="97">
        <f>COUNTIFS(ÁGUA!N:N,'EQUIPES - ÁGUA'!B5,ÁGUA!O:O,"SF")</f>
        <v>0</v>
      </c>
      <c r="F7" s="97">
        <f>COUNTIFS(ÁGUA!N:N,'EQUIPES - ÁGUA'!B5,ÁGUA!O:O,"c")</f>
        <v>0</v>
      </c>
      <c r="G7" s="97">
        <f>COUNTIFS(ÁGUA!N:N,'EQUIPES - ÁGUA'!B5,ÁGUA!O:O,"NC")</f>
        <v>0</v>
      </c>
    </row>
    <row r="8" spans="1:8" ht="21" customHeight="1">
      <c r="B8" s="430" t="s">
        <v>47</v>
      </c>
      <c r="C8" s="430"/>
      <c r="D8" s="97">
        <f t="shared" si="0"/>
        <v>0</v>
      </c>
      <c r="E8" s="97">
        <f>COUNTIFS(ÁGUA!N:N,'EQUIPES - ÁGUA'!B5,ÁGUA!Q:Q,"SF")</f>
        <v>0</v>
      </c>
      <c r="F8" s="97">
        <f>COUNTIFS(ÁGUA!N:N,'EQUIPES - ÁGUA'!B5,ÁGUA!Q:Q,"c")</f>
        <v>0</v>
      </c>
      <c r="G8" s="97">
        <f>COUNTIFS(ÁGUA!N:N,'EQUIPES - ÁGUA'!B5,ÁGUA!Q:Q,"NC")</f>
        <v>0</v>
      </c>
    </row>
    <row r="9" spans="1:8" ht="21" customHeight="1">
      <c r="B9" s="430" t="s">
        <v>48</v>
      </c>
      <c r="C9" s="430"/>
      <c r="D9" s="97">
        <f t="shared" si="0"/>
        <v>0</v>
      </c>
      <c r="E9" s="97">
        <f>COUNTIFS(ÁGUA!N:N,'EQUIPES - ÁGUA'!B5,ÁGUA!S:S,"SF")</f>
        <v>0</v>
      </c>
      <c r="F9" s="97">
        <f>COUNTIFS(ÁGUA!N:N,'EQUIPES - ÁGUA'!B5,ÁGUA!S:S,"c")</f>
        <v>0</v>
      </c>
      <c r="G9" s="97">
        <f>COUNTIFS(ÁGUA!N:N,'EQUIPES - ÁGUA'!B5,ÁGUA!S:S,"NC")</f>
        <v>0</v>
      </c>
    </row>
    <row r="10" spans="1:8" ht="21" customHeight="1">
      <c r="B10" s="430" t="s">
        <v>49</v>
      </c>
      <c r="C10" s="430"/>
      <c r="D10" s="97">
        <f t="shared" si="0"/>
        <v>0</v>
      </c>
      <c r="E10" s="97">
        <f>COUNTIFS(ÁGUA!N:N,'EQUIPES - ÁGUA'!B5,ÁGUA!U:U,"SF")</f>
        <v>0</v>
      </c>
      <c r="F10" s="97">
        <f>COUNTIFS(ÁGUA!N:N,'EQUIPES - ÁGUA'!B5,ÁGUA!U:U,"c")</f>
        <v>0</v>
      </c>
      <c r="G10" s="97">
        <f>COUNTIFS(ÁGUA!N:N,'EQUIPES - ÁGUA'!B5,ÁGUA!U:U,"NC")</f>
        <v>0</v>
      </c>
    </row>
    <row r="11" spans="1:8" ht="21" customHeight="1">
      <c r="B11" s="430" t="s">
        <v>50</v>
      </c>
      <c r="C11" s="430"/>
      <c r="D11" s="97">
        <f t="shared" si="0"/>
        <v>0</v>
      </c>
      <c r="E11" s="97">
        <f>COUNTIFS(ÁGUA!N:N,'EQUIPES - ÁGUA'!B5,ÁGUA!W:W,"SF")</f>
        <v>0</v>
      </c>
      <c r="F11" s="97">
        <f>COUNTIFS(ÁGUA!N:N,'EQUIPES - ÁGUA'!B5,ÁGUA!W:W,"c")</f>
        <v>0</v>
      </c>
      <c r="G11" s="97">
        <f>COUNTIFS(ÁGUA!N:N,'EQUIPES - ÁGUA'!B5,ÁGUA!W:W,"NC")</f>
        <v>0</v>
      </c>
    </row>
    <row r="12" spans="1:8" ht="21" customHeight="1">
      <c r="B12" s="430" t="s">
        <v>51</v>
      </c>
      <c r="C12" s="430"/>
      <c r="D12" s="97">
        <f t="shared" si="0"/>
        <v>0</v>
      </c>
      <c r="E12" s="97">
        <f>COUNTIFS(ÁGUA!N:N,'EQUIPES - ÁGUA'!B5,ÁGUA!Y:Y,"SF")</f>
        <v>0</v>
      </c>
      <c r="F12" s="97">
        <f>COUNTIFS(ÁGUA!N:N,'EQUIPES - ÁGUA'!B5,ÁGUA!Y:Y,"c")</f>
        <v>0</v>
      </c>
      <c r="G12" s="97">
        <f>COUNTIFS(ÁGUA!N:N,'EQUIPES - ÁGUA'!B5,ÁGUA!Y:Y,"NC")</f>
        <v>0</v>
      </c>
    </row>
    <row r="13" spans="1:8" ht="21" customHeight="1">
      <c r="B13" s="430" t="s">
        <v>52</v>
      </c>
      <c r="C13" s="430"/>
      <c r="D13" s="97">
        <f t="shared" si="0"/>
        <v>0</v>
      </c>
      <c r="E13" s="97">
        <f>COUNTIFS(ÁGUA!N:N,'EQUIPES - ÁGUA'!B5,ÁGUA!AA:AA,"SF")</f>
        <v>0</v>
      </c>
      <c r="F13" s="97">
        <f>COUNTIFS(ÁGUA!N:N,'EQUIPES - ÁGUA'!B5,ÁGUA!AA:AA,"c")</f>
        <v>0</v>
      </c>
      <c r="G13" s="97">
        <f>COUNTIFS(ÁGUA!N:N,'EQUIPES - ÁGUA'!B5,ÁGUA!AA:AA,"NC")</f>
        <v>0</v>
      </c>
    </row>
    <row r="14" spans="1:8" ht="21" customHeight="1">
      <c r="B14" s="430" t="s">
        <v>53</v>
      </c>
      <c r="C14" s="430"/>
      <c r="D14" s="97">
        <f t="shared" si="0"/>
        <v>0</v>
      </c>
      <c r="E14" s="97">
        <f>COUNTIFS(ÁGUA!N:N,'EQUIPES - ÁGUA'!B5,ÁGUA!AC:AC,"SF")</f>
        <v>0</v>
      </c>
      <c r="F14" s="97">
        <f>COUNTIFS(ÁGUA!N:N,'EQUIPES - ÁGUA'!B5,ÁGUA!AC:AC,"c")</f>
        <v>0</v>
      </c>
      <c r="G14" s="97">
        <f>COUNTIFS(ÁGUA!N:N,'EQUIPES - ÁGUA'!B5,ÁGUA!AC:AC,"NC")</f>
        <v>0</v>
      </c>
    </row>
  </sheetData>
  <mergeCells count="12">
    <mergeCell ref="B14:C14"/>
    <mergeCell ref="A1:H1"/>
    <mergeCell ref="A3:H3"/>
    <mergeCell ref="B5:G5"/>
    <mergeCell ref="B12:C12"/>
    <mergeCell ref="B13:C13"/>
    <mergeCell ref="B6:C6"/>
    <mergeCell ref="B7:C7"/>
    <mergeCell ref="B8:C8"/>
    <mergeCell ref="B9:C9"/>
    <mergeCell ref="B10:C10"/>
    <mergeCell ref="B11:C11"/>
  </mergeCells>
  <pageMargins left="0.25" right="0.25" top="0.75" bottom="0.75" header="0.3" footer="0.3"/>
  <pageSetup paperSize="9" scale="34"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P127"/>
  <sheetViews>
    <sheetView zoomScale="70" zoomScaleNormal="70" zoomScaleSheetLayoutView="70" workbookViewId="0">
      <selection activeCell="K21" sqref="K21"/>
    </sheetView>
  </sheetViews>
  <sheetFormatPr defaultColWidth="9.140625" defaultRowHeight="19.899999999999999" customHeight="1"/>
  <cols>
    <col min="1" max="7" width="37.7109375" style="18" customWidth="1"/>
    <col min="8" max="16384" width="9.140625" style="18"/>
  </cols>
  <sheetData>
    <row r="1" spans="1:7" s="35" customFormat="1" ht="35.1" customHeight="1">
      <c r="A1" s="433" t="s">
        <v>158</v>
      </c>
      <c r="B1" s="433"/>
      <c r="C1" s="433"/>
      <c r="D1" s="433"/>
      <c r="E1" s="433"/>
      <c r="F1" s="433"/>
    </row>
    <row r="2" spans="1:7" s="35" customFormat="1" ht="30" customHeight="1" thickBot="1">
      <c r="A2" s="44"/>
      <c r="B2" s="44"/>
      <c r="C2" s="44"/>
      <c r="D2" s="44"/>
      <c r="E2" s="44"/>
      <c r="F2" s="44"/>
    </row>
    <row r="3" spans="1:7" s="26" customFormat="1" ht="30" customHeight="1">
      <c r="B3" s="428" t="s">
        <v>159</v>
      </c>
      <c r="C3" s="429"/>
      <c r="D3" s="436" t="s">
        <v>56</v>
      </c>
      <c r="E3" s="429"/>
    </row>
    <row r="4" spans="1:7" s="27" customFormat="1" ht="30" customHeight="1" thickBot="1">
      <c r="B4" s="426">
        <f>COUNTIFS(ESGOTO!A:A,"ONMF - DIV MANUT SERV OPE FREGUESIA")</f>
        <v>255</v>
      </c>
      <c r="C4" s="427"/>
      <c r="D4" s="434">
        <f>'DADOS - FREGUESIA DO Ó'!C27</f>
        <v>236</v>
      </c>
      <c r="E4" s="435"/>
    </row>
    <row r="5" spans="1:7" s="27" customFormat="1" ht="35.1" customHeight="1">
      <c r="B5" s="88" t="s">
        <v>160</v>
      </c>
      <c r="C5" s="89" t="s">
        <v>161</v>
      </c>
      <c r="D5" s="88" t="s">
        <v>162</v>
      </c>
      <c r="E5" s="89" t="s">
        <v>161</v>
      </c>
      <c r="F5" s="28"/>
    </row>
    <row r="6" spans="1:7" s="27" customFormat="1" ht="35.1" customHeight="1" thickBot="1">
      <c r="B6" s="87">
        <f>'DADOS - FREGUESIA DO Ó'!C27+'GRÁFICOS - ESGOTO'!D8</f>
        <v>255</v>
      </c>
      <c r="C6" s="46">
        <f>IFERROR(B6/B4,"-")</f>
        <v>1</v>
      </c>
      <c r="D6" s="87">
        <f>COUNTIFS(ESGOTO!O:O,"SF",ESGOTO!Q:Q,"SF",ESGOTO!S:S,"SF",ESGOTO!U:U,"SF",ESGOTO!W:W,"SF",ESGOTO!AC:AC,"SF")</f>
        <v>52</v>
      </c>
      <c r="E6" s="46">
        <f>IFERROR(D6/B4,"-")</f>
        <v>0.20392156862745098</v>
      </c>
      <c r="F6" s="28"/>
      <c r="G6" s="27">
        <f>34/6</f>
        <v>5.666666666666667</v>
      </c>
    </row>
    <row r="7" spans="1:7" s="27" customFormat="1" ht="35.1" customHeight="1">
      <c r="B7" s="91" t="s">
        <v>163</v>
      </c>
      <c r="C7" s="90" t="s">
        <v>161</v>
      </c>
      <c r="D7" s="91" t="s">
        <v>164</v>
      </c>
      <c r="E7" s="90" t="s">
        <v>161</v>
      </c>
      <c r="F7" s="28"/>
    </row>
    <row r="8" spans="1:7" s="27" customFormat="1" ht="35.1" customHeight="1" thickBot="1">
      <c r="B8" s="87">
        <f>B4-B6</f>
        <v>0</v>
      </c>
      <c r="C8" s="46">
        <f>IFERROR(B8/B4,"-")</f>
        <v>0</v>
      </c>
      <c r="D8" s="87">
        <f>COUNTIFS(ESGOTO!O:O,"NA",ESGOTO!Q:Q,"NA",ESGOTO!S:S,"NA",ESGOTO!U:U,"NA",ESGOTO!W:W,"NA",ESGOTO!AC:AC,"NA")</f>
        <v>19</v>
      </c>
      <c r="E8" s="46">
        <f>IFERROR(D8/B4,"-")</f>
        <v>7.4509803921568626E-2</v>
      </c>
      <c r="F8" s="28"/>
    </row>
    <row r="9" spans="1:7" s="27" customFormat="1" ht="20.100000000000001" customHeight="1">
      <c r="B9" s="24"/>
      <c r="C9" s="24"/>
      <c r="D9" s="28"/>
      <c r="E9" s="24"/>
      <c r="F9" s="28"/>
    </row>
    <row r="10" spans="1:7" s="27" customFormat="1" ht="20.100000000000001" customHeight="1">
      <c r="B10" s="24"/>
      <c r="C10" s="24"/>
      <c r="D10" s="28"/>
      <c r="E10" s="24"/>
      <c r="F10" s="28"/>
    </row>
    <row r="11" spans="1:7" s="27" customFormat="1" ht="35.1" customHeight="1">
      <c r="A11" s="433" t="s">
        <v>165</v>
      </c>
      <c r="B11" s="433"/>
      <c r="C11" s="433"/>
      <c r="D11" s="433"/>
      <c r="E11" s="433"/>
      <c r="F11" s="433"/>
      <c r="G11" s="433"/>
    </row>
    <row r="12" spans="1:7" s="27" customFormat="1" ht="19.899999999999999" customHeight="1">
      <c r="A12" s="24"/>
      <c r="F12" s="24"/>
    </row>
    <row r="13" spans="1:7" s="27" customFormat="1" ht="19.899999999999999" customHeight="1">
      <c r="A13" s="24"/>
      <c r="F13" s="24"/>
    </row>
    <row r="14" spans="1:7" s="27" customFormat="1" ht="19.899999999999999" customHeight="1">
      <c r="A14" s="24"/>
      <c r="B14" s="24"/>
      <c r="C14" s="24"/>
      <c r="D14" s="24"/>
      <c r="E14" s="24"/>
      <c r="F14" s="25"/>
    </row>
    <row r="40" spans="1:7" ht="35.1" customHeight="1">
      <c r="A40" s="433" t="s">
        <v>166</v>
      </c>
      <c r="B40" s="433"/>
      <c r="C40" s="433"/>
      <c r="D40" s="433"/>
      <c r="E40" s="433"/>
      <c r="F40" s="433"/>
      <c r="G40" s="433"/>
    </row>
    <row r="63" ht="19.5" customHeight="1"/>
    <row r="64" ht="19.5" customHeight="1"/>
    <row r="65" spans="1:7" ht="19.5" customHeight="1"/>
    <row r="66" spans="1:7" ht="19.5" customHeight="1"/>
    <row r="67" spans="1:7" ht="19.5" customHeight="1"/>
    <row r="68" spans="1:7" ht="19.5" customHeight="1"/>
    <row r="69" spans="1:7" s="35" customFormat="1" ht="35.1" customHeight="1">
      <c r="A69" s="433" t="s">
        <v>167</v>
      </c>
      <c r="B69" s="433"/>
      <c r="C69" s="433"/>
      <c r="D69" s="433"/>
      <c r="E69" s="433"/>
      <c r="F69" s="433"/>
      <c r="G69" s="433"/>
    </row>
    <row r="103" spans="1:16" s="37" customFormat="1" ht="35.1" customHeight="1">
      <c r="A103" s="433" t="s">
        <v>168</v>
      </c>
      <c r="B103" s="433"/>
      <c r="C103" s="433"/>
      <c r="D103" s="433"/>
      <c r="E103" s="433"/>
      <c r="F103" s="433"/>
      <c r="G103" s="433"/>
      <c r="H103" s="433"/>
      <c r="I103" s="433"/>
      <c r="J103" s="433"/>
      <c r="K103" s="433"/>
      <c r="L103" s="93"/>
      <c r="M103" s="93"/>
      <c r="N103" s="93"/>
      <c r="O103" s="93"/>
      <c r="P103" s="93"/>
    </row>
    <row r="127" spans="3:6" ht="19.899999999999999" customHeight="1">
      <c r="C127" s="19"/>
      <c r="D127" s="19"/>
      <c r="E127" s="19"/>
      <c r="F127" s="19"/>
    </row>
  </sheetData>
  <sheetProtection formatCells="0" formatColumns="0" formatRows="0" insertColumns="0" insertRows="0" insertHyperlinks="0" deleteColumns="0" deleteRows="0" sort="0" autoFilter="0" pivotTables="0"/>
  <mergeCells count="9">
    <mergeCell ref="A11:G11"/>
    <mergeCell ref="A40:G40"/>
    <mergeCell ref="A69:G69"/>
    <mergeCell ref="A103:K103"/>
    <mergeCell ref="A1:F1"/>
    <mergeCell ref="D4:E4"/>
    <mergeCell ref="D3:E3"/>
    <mergeCell ref="B4:C4"/>
    <mergeCell ref="B3:C3"/>
  </mergeCells>
  <pageMargins left="0.511811024" right="0.14000000000000001" top="0.78740157499999996" bottom="0.78740157499999996" header="0.31496062000000002" footer="0.31496062000000002"/>
  <pageSetup paperSize="9" scale="33"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249977111117893"/>
  </sheetPr>
  <dimension ref="A1:AK973"/>
  <sheetViews>
    <sheetView topLeftCell="U1" zoomScale="55" zoomScaleNormal="55" workbookViewId="0">
      <pane ySplit="1" topLeftCell="A250" activePane="bottomLeft" state="frozen"/>
      <selection pane="bottomLeft" activeCell="AH257" sqref="AH257"/>
      <selection activeCell="K1" sqref="K1"/>
    </sheetView>
  </sheetViews>
  <sheetFormatPr defaultColWidth="9.140625" defaultRowHeight="30" customHeight="1"/>
  <cols>
    <col min="1" max="1" width="61.7109375" style="14" bestFit="1" customWidth="1"/>
    <col min="2" max="2" width="24.5703125" style="14" customWidth="1"/>
    <col min="3" max="3" width="56.5703125" style="14" customWidth="1"/>
    <col min="4" max="4" width="42.42578125" style="14" customWidth="1"/>
    <col min="5" max="5" width="23.5703125" style="14" bestFit="1" customWidth="1"/>
    <col min="6" max="6" width="53" style="14" customWidth="1"/>
    <col min="7" max="7" width="20.7109375" style="14" bestFit="1" customWidth="1"/>
    <col min="8" max="8" width="37.7109375" style="14" customWidth="1"/>
    <col min="9" max="9" width="33.140625" style="14" customWidth="1"/>
    <col min="10" max="10" width="58.7109375" style="14" customWidth="1"/>
    <col min="11" max="11" width="47.140625" style="14" customWidth="1"/>
    <col min="12" max="12" width="24.85546875" style="14" customWidth="1"/>
    <col min="13" max="13" width="23" style="14" customWidth="1"/>
    <col min="14" max="14" width="47.5703125" style="195" customWidth="1"/>
    <col min="15" max="15" width="24.85546875" style="53" bestFit="1" customWidth="1"/>
    <col min="16" max="16" width="38.85546875" style="53" bestFit="1" customWidth="1"/>
    <col min="17" max="17" width="29.42578125" style="53" bestFit="1" customWidth="1"/>
    <col min="18" max="18" width="43" style="53" bestFit="1" customWidth="1"/>
    <col min="19" max="19" width="26.85546875" style="53" bestFit="1" customWidth="1"/>
    <col min="20" max="20" width="39.85546875" style="53" bestFit="1" customWidth="1"/>
    <col min="21" max="21" width="28" style="53" bestFit="1" customWidth="1"/>
    <col min="22" max="22" width="41.42578125" style="53" bestFit="1" customWidth="1"/>
    <col min="23" max="23" width="35" style="53" bestFit="1" customWidth="1"/>
    <col min="24" max="24" width="48" style="53" bestFit="1" customWidth="1"/>
    <col min="25" max="25" width="33.42578125" style="53" bestFit="1" customWidth="1"/>
    <col min="26" max="26" width="45.5703125" style="53" bestFit="1" customWidth="1"/>
    <col min="27" max="27" width="34.42578125" style="53" bestFit="1" customWidth="1"/>
    <col min="28" max="28" width="46.42578125" style="53" bestFit="1" customWidth="1"/>
    <col min="29" max="29" width="28" style="53" bestFit="1" customWidth="1"/>
    <col min="30" max="30" width="64.42578125" style="53" customWidth="1"/>
    <col min="31" max="32" width="42.42578125" style="53" bestFit="1" customWidth="1"/>
    <col min="33" max="33" width="43.28515625" style="57" customWidth="1"/>
    <col min="34" max="34" width="41.42578125" style="53" customWidth="1"/>
    <col min="35" max="35" width="23.5703125" style="53" bestFit="1" customWidth="1"/>
    <col min="36" max="36" width="25.5703125" style="53" customWidth="1"/>
    <col min="37" max="37" width="55.42578125" style="53" customWidth="1"/>
    <col min="38" max="16384" width="9.140625" style="11"/>
  </cols>
  <sheetData>
    <row r="1" spans="1:37" s="53" customFormat="1" ht="33" customHeight="1">
      <c r="A1" s="206" t="s">
        <v>169</v>
      </c>
      <c r="B1" s="206" t="s">
        <v>170</v>
      </c>
      <c r="C1" s="206" t="s">
        <v>171</v>
      </c>
      <c r="D1" s="206" t="s">
        <v>172</v>
      </c>
      <c r="E1" s="206" t="s">
        <v>173</v>
      </c>
      <c r="F1" s="206" t="s">
        <v>174</v>
      </c>
      <c r="G1" s="206" t="s">
        <v>175</v>
      </c>
      <c r="H1" s="207" t="s">
        <v>176</v>
      </c>
      <c r="I1" s="207" t="s">
        <v>177</v>
      </c>
      <c r="J1" s="207" t="s">
        <v>178</v>
      </c>
      <c r="K1" s="207" t="s">
        <v>179</v>
      </c>
      <c r="L1" s="207" t="s">
        <v>180</v>
      </c>
      <c r="M1" s="207" t="s">
        <v>181</v>
      </c>
      <c r="N1" s="207" t="s">
        <v>1400</v>
      </c>
      <c r="O1" s="33" t="s">
        <v>46</v>
      </c>
      <c r="P1" s="33" t="s">
        <v>182</v>
      </c>
      <c r="Q1" s="33" t="s">
        <v>47</v>
      </c>
      <c r="R1" s="33" t="s">
        <v>183</v>
      </c>
      <c r="S1" s="33" t="s">
        <v>48</v>
      </c>
      <c r="T1" s="33" t="s">
        <v>184</v>
      </c>
      <c r="U1" s="33" t="s">
        <v>49</v>
      </c>
      <c r="V1" s="33" t="s">
        <v>185</v>
      </c>
      <c r="W1" s="33" t="s">
        <v>50</v>
      </c>
      <c r="X1" s="33" t="s">
        <v>186</v>
      </c>
      <c r="Y1" s="33" t="s">
        <v>63</v>
      </c>
      <c r="Z1" s="33" t="s">
        <v>1401</v>
      </c>
      <c r="AA1" s="33" t="s">
        <v>188</v>
      </c>
      <c r="AB1" s="33" t="s">
        <v>189</v>
      </c>
      <c r="AC1" s="33" t="s">
        <v>1402</v>
      </c>
      <c r="AD1" s="33" t="s">
        <v>1403</v>
      </c>
      <c r="AE1" s="140" t="s">
        <v>34</v>
      </c>
      <c r="AF1" s="140" t="s">
        <v>1404</v>
      </c>
      <c r="AG1" s="191" t="s">
        <v>193</v>
      </c>
      <c r="AH1" s="139" t="s">
        <v>38</v>
      </c>
      <c r="AI1" s="34" t="s">
        <v>195</v>
      </c>
      <c r="AJ1" s="34" t="s">
        <v>196</v>
      </c>
      <c r="AK1" s="34" t="s">
        <v>197</v>
      </c>
    </row>
    <row r="2" spans="1:37" s="53" customFormat="1" ht="30" customHeight="1">
      <c r="A2" s="215" t="s">
        <v>198</v>
      </c>
      <c r="B2" s="215">
        <v>2617967170</v>
      </c>
      <c r="C2" s="215" t="s">
        <v>121</v>
      </c>
      <c r="D2" s="215" t="s">
        <v>112</v>
      </c>
      <c r="E2" s="215" t="s">
        <v>5</v>
      </c>
      <c r="F2" s="215" t="s">
        <v>1405</v>
      </c>
      <c r="G2" s="215">
        <v>139</v>
      </c>
      <c r="H2" s="215" t="s">
        <v>226</v>
      </c>
      <c r="I2" s="215" t="s">
        <v>251</v>
      </c>
      <c r="J2" s="215" t="s">
        <v>1406</v>
      </c>
      <c r="K2" s="215" t="s">
        <v>1407</v>
      </c>
      <c r="L2" s="216">
        <v>46027.436805555553</v>
      </c>
      <c r="M2" s="216">
        <v>46027.438194444447</v>
      </c>
      <c r="N2" s="215" t="s">
        <v>217</v>
      </c>
      <c r="O2" s="180" t="s">
        <v>205</v>
      </c>
      <c r="P2" s="181"/>
      <c r="Q2" s="164" t="s">
        <v>205</v>
      </c>
      <c r="R2" s="181"/>
      <c r="S2" s="164" t="s">
        <v>205</v>
      </c>
      <c r="T2" s="181"/>
      <c r="U2" s="164" t="s">
        <v>205</v>
      </c>
      <c r="V2" s="181"/>
      <c r="W2" s="164" t="s">
        <v>62</v>
      </c>
      <c r="X2" s="181"/>
      <c r="Y2" s="164" t="s">
        <v>62</v>
      </c>
      <c r="Z2" s="181"/>
      <c r="AA2" s="164" t="s">
        <v>62</v>
      </c>
      <c r="AB2" s="181"/>
      <c r="AC2" s="164" t="s">
        <v>205</v>
      </c>
      <c r="AD2" s="181"/>
      <c r="AE2" s="164" t="s">
        <v>205</v>
      </c>
      <c r="AF2" s="181" t="str">
        <f>IF(AND(O2="",Q2="",S2="",U2="",W2="",Y2="",AA2="",AC2=""),"",IF(OR(AND(O2&lt;&gt;"NA",O2&lt;&gt;"C",O2&lt;&gt;"NC",O2&lt;&gt;"SF",O2&lt;&gt;""),AND(Q2&lt;&gt;"NA",Q2&lt;&gt;"C",Q2&lt;&gt;"NC",Q2&lt;&gt;"SF",Q2&lt;&gt;""),AND(S2&lt;&gt;"NA",S2&lt;&gt;"C",S2&lt;&gt;"NC",S2&lt;&gt;"SF",S2&lt;&gt;""),AND(U2&lt;&gt;"NA",U2&lt;&gt;"C",U2&lt;&gt;"NC",U2&lt;&gt;"SF",U2&lt;&gt;""),AND(W2&lt;&gt;"NA",W2&lt;&gt;"C",W2&lt;&gt;"NC",W2&lt;&gt;"SF",W2&lt;&gt;""),AND(Y2&lt;&gt;"NA",Y2&lt;&gt;"C",Y2&lt;&gt;"NC",Y2&lt;&gt;"SF",Y2&lt;&gt;""),AND(AA2&lt;&gt;"NA",AA2&lt;&gt;"C",AA2&lt;&gt;"NC",AA2&lt;&gt;"SF",AA2&lt;&gt;""),AND(AC2&lt;&gt;"NA",AC2&lt;&gt;"C",AC2&lt;&gt;"NC",AC2&lt;&gt;"SF",AC2&lt;&gt;"")),"FALSO",IF(AND(O2="NA",Q2="NA",S2="NA",U2="NA",W2="NA",Y2="NA",AA2="NA",AC2="NA"),"NA",IF(OR(O2="NC",Q2="NC",S2="NC",U2="NC",W2="NC",Y2="NC",AA2="NC",AC2="NC",O2="SF",Q2="SF",S2="SF",U2="SF",W2="SF",Y2="SF",AA2="SF",AC2="SF"),"NC",IF(OR(O2="C",Q2="C",S2="C",U2="C",W2="C",Y2="C",AA2="C",AC2="C"),"C","")))))</f>
        <v>C</v>
      </c>
      <c r="AG2" s="190" t="str">
        <f t="shared" ref="AG2:AG64" si="0">IF(AND(AE2="C",AF2="C"),"UTILIZOU O PDA CORRETAMENTE",IF(AND(AE2="C",AF2="NC"),"UTILIZOU O PDA CORRETAMENTE. NÃO HÁ FOTOS DE TODAS AS ETAPAS",IF(AND(AE2="NC",AF2="NC"),"NÃO UTILIZOU O PDA",IF(AND(AE2="NA",AF2="NA"),"NÃO AVALIADO POR FALHA DE SINCRONISMO"))))</f>
        <v>UTILIZOU O PDA CORRETAMENTE</v>
      </c>
      <c r="AH2" s="164" t="s">
        <v>205</v>
      </c>
      <c r="AI2" s="184" t="s">
        <v>6</v>
      </c>
      <c r="AJ2" s="184" t="str">
        <f>E2</f>
        <v>SÃO PAULO</v>
      </c>
      <c r="AK2" s="152" t="s">
        <v>60</v>
      </c>
    </row>
    <row r="3" spans="1:37" ht="30" customHeight="1">
      <c r="A3" s="215" t="s">
        <v>198</v>
      </c>
      <c r="B3" s="215">
        <v>2618106256</v>
      </c>
      <c r="C3" s="215" t="s">
        <v>121</v>
      </c>
      <c r="D3" s="215" t="s">
        <v>112</v>
      </c>
      <c r="E3" s="215" t="s">
        <v>5</v>
      </c>
      <c r="F3" s="215" t="s">
        <v>469</v>
      </c>
      <c r="G3" s="215">
        <v>1</v>
      </c>
      <c r="H3" s="215"/>
      <c r="I3" s="215" t="s">
        <v>470</v>
      </c>
      <c r="J3" s="215" t="s">
        <v>1406</v>
      </c>
      <c r="K3" s="215"/>
      <c r="L3" s="216">
        <v>46027.479861111111</v>
      </c>
      <c r="M3" s="216">
        <v>46027.479861111111</v>
      </c>
      <c r="N3" s="215" t="s">
        <v>217</v>
      </c>
      <c r="O3" s="180" t="s">
        <v>205</v>
      </c>
      <c r="P3" s="181"/>
      <c r="Q3" s="164" t="s">
        <v>205</v>
      </c>
      <c r="R3" s="181"/>
      <c r="S3" s="164" t="s">
        <v>205</v>
      </c>
      <c r="T3" s="181"/>
      <c r="U3" s="164" t="s">
        <v>205</v>
      </c>
      <c r="V3" s="181"/>
      <c r="W3" s="164" t="s">
        <v>62</v>
      </c>
      <c r="X3" s="181"/>
      <c r="Y3" s="164" t="s">
        <v>62</v>
      </c>
      <c r="Z3" s="181"/>
      <c r="AA3" s="164" t="s">
        <v>62</v>
      </c>
      <c r="AB3" s="181"/>
      <c r="AC3" s="164" t="s">
        <v>239</v>
      </c>
      <c r="AD3" s="181" t="s">
        <v>1408</v>
      </c>
      <c r="AE3" s="164" t="s">
        <v>205</v>
      </c>
      <c r="AF3" s="142" t="str">
        <f t="shared" ref="AF3:AF65" si="1">IF(AND(O3="",Q3="",S3="",U3="",W3="",Y3="",AA3="",AC3=""),"",IF(OR(AND(O3&lt;&gt;"NA",O3&lt;&gt;"C",O3&lt;&gt;"NC",O3&lt;&gt;"SF",O3&lt;&gt;""),AND(Q3&lt;&gt;"NA",Q3&lt;&gt;"C",Q3&lt;&gt;"NC",Q3&lt;&gt;"SF",Q3&lt;&gt;""),AND(S3&lt;&gt;"NA",S3&lt;&gt;"C",S3&lt;&gt;"NC",S3&lt;&gt;"SF",S3&lt;&gt;""),AND(U3&lt;&gt;"NA",U3&lt;&gt;"C",U3&lt;&gt;"NC",U3&lt;&gt;"SF",U3&lt;&gt;""),AND(W3&lt;&gt;"NA",W3&lt;&gt;"C",W3&lt;&gt;"NC",W3&lt;&gt;"SF",W3&lt;&gt;""),AND(Y3&lt;&gt;"NA",Y3&lt;&gt;"C",Y3&lt;&gt;"NC",Y3&lt;&gt;"SF",Y3&lt;&gt;""),AND(AA3&lt;&gt;"NA",AA3&lt;&gt;"C",AA3&lt;&gt;"NC",AA3&lt;&gt;"SF",AA3&lt;&gt;""),AND(AC3&lt;&gt;"NA",AC3&lt;&gt;"C",AC3&lt;&gt;"NC",AC3&lt;&gt;"SF",AC3&lt;&gt;"")),"FALSO",IF(AND(O3="NA",Q3="NA",S3="NA",U3="NA",W3="NA",Y3="NA",AA3="NA",AC3="NA"),"NA",IF(OR(O3="NC",Q3="NC",S3="NC",U3="NC",W3="NC",Y3="NC",AA3="NC",AC3="NC",O3="SF",Q3="SF",S3="SF",U3="SF",W3="SF",Y3="SF",AA3="SF",AC3="SF"),"NC",IF(OR(O3="C",Q3="C",S3="C",U3="C",W3="C",Y3="C",AA3="C",AC3="C"),"C","")))))</f>
        <v>NC</v>
      </c>
      <c r="AG3" s="190" t="str">
        <f t="shared" si="0"/>
        <v>UTILIZOU O PDA CORRETAMENTE. NÃO HÁ FOTOS DE TODAS AS ETAPAS</v>
      </c>
      <c r="AH3" s="143" t="s">
        <v>239</v>
      </c>
      <c r="AI3" s="150" t="s">
        <v>6</v>
      </c>
      <c r="AJ3" s="150" t="str">
        <f t="shared" ref="AJ3:AJ45" si="2">E3</f>
        <v>SÃO PAULO</v>
      </c>
      <c r="AK3" s="61" t="s">
        <v>60</v>
      </c>
    </row>
    <row r="4" spans="1:37" ht="30" customHeight="1">
      <c r="A4" s="215" t="s">
        <v>198</v>
      </c>
      <c r="B4" s="215">
        <v>2618090512</v>
      </c>
      <c r="C4" s="215" t="s">
        <v>123</v>
      </c>
      <c r="D4" s="215" t="s">
        <v>109</v>
      </c>
      <c r="E4" s="215" t="s">
        <v>5</v>
      </c>
      <c r="F4" s="215" t="s">
        <v>513</v>
      </c>
      <c r="G4" s="215">
        <v>781</v>
      </c>
      <c r="H4" s="215"/>
      <c r="I4" s="215" t="s">
        <v>251</v>
      </c>
      <c r="J4" s="215" t="s">
        <v>1409</v>
      </c>
      <c r="K4" s="215" t="s">
        <v>1410</v>
      </c>
      <c r="L4" s="216">
        <v>46027.583333333336</v>
      </c>
      <c r="M4" s="216">
        <v>46027.604166666664</v>
      </c>
      <c r="N4" s="215" t="s">
        <v>1411</v>
      </c>
      <c r="O4" s="156" t="s">
        <v>205</v>
      </c>
      <c r="P4" s="142"/>
      <c r="Q4" s="143" t="s">
        <v>205</v>
      </c>
      <c r="R4" s="142"/>
      <c r="S4" s="143" t="s">
        <v>205</v>
      </c>
      <c r="T4" s="142"/>
      <c r="U4" s="143" t="s">
        <v>205</v>
      </c>
      <c r="V4" s="142"/>
      <c r="W4" s="143" t="s">
        <v>205</v>
      </c>
      <c r="X4" s="142"/>
      <c r="Y4" s="143" t="s">
        <v>62</v>
      </c>
      <c r="Z4" s="142"/>
      <c r="AA4" s="143" t="s">
        <v>205</v>
      </c>
      <c r="AB4" s="142"/>
      <c r="AC4" s="143" t="s">
        <v>205</v>
      </c>
      <c r="AD4" s="142"/>
      <c r="AE4" s="143" t="s">
        <v>205</v>
      </c>
      <c r="AF4" s="142" t="str">
        <f t="shared" si="1"/>
        <v>C</v>
      </c>
      <c r="AG4" s="190" t="str">
        <f t="shared" si="0"/>
        <v>UTILIZOU O PDA CORRETAMENTE</v>
      </c>
      <c r="AH4" s="143" t="s">
        <v>205</v>
      </c>
      <c r="AI4" s="150" t="s">
        <v>6</v>
      </c>
      <c r="AJ4" s="150" t="str">
        <f t="shared" si="2"/>
        <v>SÃO PAULO</v>
      </c>
      <c r="AK4" s="61" t="s">
        <v>60</v>
      </c>
    </row>
    <row r="5" spans="1:37" ht="30" customHeight="1">
      <c r="A5" s="215" t="s">
        <v>198</v>
      </c>
      <c r="B5" s="215">
        <v>2617569884</v>
      </c>
      <c r="C5" s="215" t="s">
        <v>118</v>
      </c>
      <c r="D5" s="215" t="s">
        <v>110</v>
      </c>
      <c r="E5" s="215" t="s">
        <v>5</v>
      </c>
      <c r="F5" s="215" t="s">
        <v>1412</v>
      </c>
      <c r="G5" s="215">
        <v>117</v>
      </c>
      <c r="H5" s="215" t="s">
        <v>200</v>
      </c>
      <c r="I5" s="215" t="s">
        <v>491</v>
      </c>
      <c r="J5" s="215" t="s">
        <v>118</v>
      </c>
      <c r="K5" s="219" t="s">
        <v>1413</v>
      </c>
      <c r="L5" s="216">
        <v>46027.395138888889</v>
      </c>
      <c r="M5" s="216">
        <v>46027.56527777778</v>
      </c>
      <c r="N5" s="215" t="s">
        <v>1414</v>
      </c>
      <c r="O5" s="156" t="s">
        <v>205</v>
      </c>
      <c r="P5" s="142"/>
      <c r="Q5" s="143" t="s">
        <v>205</v>
      </c>
      <c r="R5" s="142"/>
      <c r="S5" s="143" t="s">
        <v>205</v>
      </c>
      <c r="T5" s="142"/>
      <c r="U5" s="143" t="s">
        <v>205</v>
      </c>
      <c r="V5" s="142"/>
      <c r="W5" s="143" t="s">
        <v>205</v>
      </c>
      <c r="X5" s="142"/>
      <c r="Y5" s="143" t="s">
        <v>206</v>
      </c>
      <c r="Z5" s="142"/>
      <c r="AA5" s="143" t="s">
        <v>205</v>
      </c>
      <c r="AB5" s="142"/>
      <c r="AC5" s="143" t="s">
        <v>205</v>
      </c>
      <c r="AD5" s="142"/>
      <c r="AE5" s="143" t="s">
        <v>205</v>
      </c>
      <c r="AF5" s="142" t="str">
        <f t="shared" si="1"/>
        <v>NC</v>
      </c>
      <c r="AG5" s="190" t="str">
        <f t="shared" si="0"/>
        <v>UTILIZOU O PDA CORRETAMENTE. NÃO HÁ FOTOS DE TODAS AS ETAPAS</v>
      </c>
      <c r="AH5" s="143" t="s">
        <v>205</v>
      </c>
      <c r="AI5" s="150" t="s">
        <v>6</v>
      </c>
      <c r="AJ5" s="150" t="str">
        <f t="shared" si="2"/>
        <v>SÃO PAULO</v>
      </c>
      <c r="AK5" s="61" t="s">
        <v>60</v>
      </c>
    </row>
    <row r="6" spans="1:37" ht="30" customHeight="1">
      <c r="A6" s="215" t="s">
        <v>198</v>
      </c>
      <c r="B6" s="215">
        <v>2611601791</v>
      </c>
      <c r="C6" s="215" t="s">
        <v>1415</v>
      </c>
      <c r="D6" s="215" t="s">
        <v>113</v>
      </c>
      <c r="E6" s="215" t="s">
        <v>5</v>
      </c>
      <c r="F6" s="215" t="s">
        <v>1416</v>
      </c>
      <c r="G6" s="215">
        <v>35</v>
      </c>
      <c r="H6" s="215"/>
      <c r="I6" s="215" t="s">
        <v>521</v>
      </c>
      <c r="J6" s="215" t="s">
        <v>1417</v>
      </c>
      <c r="K6" s="219" t="s">
        <v>1418</v>
      </c>
      <c r="L6" s="216">
        <v>46027.416666666664</v>
      </c>
      <c r="M6" s="216">
        <v>46027.444444444445</v>
      </c>
      <c r="N6" s="215" t="s">
        <v>1414</v>
      </c>
      <c r="O6" s="156" t="s">
        <v>205</v>
      </c>
      <c r="P6" s="142"/>
      <c r="Q6" s="143" t="s">
        <v>205</v>
      </c>
      <c r="R6" s="142"/>
      <c r="S6" s="143" t="s">
        <v>205</v>
      </c>
      <c r="T6" s="142"/>
      <c r="U6" s="143" t="s">
        <v>205</v>
      </c>
      <c r="V6" s="142"/>
      <c r="W6" s="143" t="s">
        <v>205</v>
      </c>
      <c r="X6" s="142"/>
      <c r="Y6" s="143" t="s">
        <v>205</v>
      </c>
      <c r="Z6" s="142"/>
      <c r="AA6" s="143" t="s">
        <v>205</v>
      </c>
      <c r="AB6" s="142"/>
      <c r="AC6" s="143" t="s">
        <v>239</v>
      </c>
      <c r="AD6" s="142" t="s">
        <v>1419</v>
      </c>
      <c r="AE6" s="143" t="s">
        <v>205</v>
      </c>
      <c r="AF6" s="142" t="str">
        <f t="shared" si="1"/>
        <v>NC</v>
      </c>
      <c r="AG6" s="190" t="str">
        <f t="shared" si="0"/>
        <v>UTILIZOU O PDA CORRETAMENTE. NÃO HÁ FOTOS DE TODAS AS ETAPAS</v>
      </c>
      <c r="AH6" s="143" t="s">
        <v>205</v>
      </c>
      <c r="AI6" s="150" t="s">
        <v>6</v>
      </c>
      <c r="AJ6" s="150" t="str">
        <f t="shared" si="2"/>
        <v>SÃO PAULO</v>
      </c>
      <c r="AK6" s="61" t="s">
        <v>60</v>
      </c>
    </row>
    <row r="7" spans="1:37" ht="30" customHeight="1">
      <c r="A7" s="215" t="s">
        <v>198</v>
      </c>
      <c r="B7" s="215">
        <v>2550567796</v>
      </c>
      <c r="C7" s="215" t="s">
        <v>1415</v>
      </c>
      <c r="D7" s="215" t="s">
        <v>113</v>
      </c>
      <c r="E7" s="215" t="s">
        <v>5</v>
      </c>
      <c r="F7" s="215" t="s">
        <v>1420</v>
      </c>
      <c r="G7" s="215">
        <v>93</v>
      </c>
      <c r="H7" s="215" t="s">
        <v>200</v>
      </c>
      <c r="I7" s="215" t="s">
        <v>1016</v>
      </c>
      <c r="J7" s="215" t="s">
        <v>1417</v>
      </c>
      <c r="K7" s="219" t="s">
        <v>1421</v>
      </c>
      <c r="L7" s="216">
        <v>46027.416666666664</v>
      </c>
      <c r="M7" s="216">
        <v>46027.479166666664</v>
      </c>
      <c r="N7" s="215" t="s">
        <v>1411</v>
      </c>
      <c r="O7" s="156" t="s">
        <v>205</v>
      </c>
      <c r="P7" s="142"/>
      <c r="Q7" s="143" t="s">
        <v>205</v>
      </c>
      <c r="R7" s="142"/>
      <c r="S7" s="143" t="s">
        <v>205</v>
      </c>
      <c r="T7" s="142"/>
      <c r="U7" s="143" t="s">
        <v>205</v>
      </c>
      <c r="V7" s="142"/>
      <c r="W7" s="143" t="s">
        <v>205</v>
      </c>
      <c r="X7" s="142"/>
      <c r="Y7" s="143" t="s">
        <v>205</v>
      </c>
      <c r="Z7" s="142"/>
      <c r="AA7" s="143" t="s">
        <v>205</v>
      </c>
      <c r="AB7" s="142"/>
      <c r="AC7" s="143" t="s">
        <v>239</v>
      </c>
      <c r="AD7" s="142" t="s">
        <v>1422</v>
      </c>
      <c r="AE7" s="143" t="s">
        <v>205</v>
      </c>
      <c r="AF7" s="142" t="str">
        <f t="shared" si="1"/>
        <v>NC</v>
      </c>
      <c r="AG7" s="190" t="str">
        <f t="shared" si="0"/>
        <v>UTILIZOU O PDA CORRETAMENTE. NÃO HÁ FOTOS DE TODAS AS ETAPAS</v>
      </c>
      <c r="AH7" s="143" t="s">
        <v>205</v>
      </c>
      <c r="AI7" s="150" t="s">
        <v>6</v>
      </c>
      <c r="AJ7" s="150" t="str">
        <f t="shared" si="2"/>
        <v>SÃO PAULO</v>
      </c>
      <c r="AK7" s="61" t="s">
        <v>60</v>
      </c>
    </row>
    <row r="8" spans="1:37" ht="30" customHeight="1">
      <c r="A8" s="215" t="s">
        <v>198</v>
      </c>
      <c r="B8" s="215">
        <v>2614437976</v>
      </c>
      <c r="C8" s="215" t="s">
        <v>1423</v>
      </c>
      <c r="D8" s="215" t="s">
        <v>113</v>
      </c>
      <c r="E8" s="215" t="s">
        <v>5</v>
      </c>
      <c r="F8" s="215" t="s">
        <v>736</v>
      </c>
      <c r="G8" s="215">
        <v>114</v>
      </c>
      <c r="H8" s="215"/>
      <c r="I8" s="215" t="s">
        <v>737</v>
      </c>
      <c r="J8" s="215" t="s">
        <v>1424</v>
      </c>
      <c r="K8" s="219" t="s">
        <v>1425</v>
      </c>
      <c r="L8" s="216">
        <v>46027.375</v>
      </c>
      <c r="M8" s="216">
        <v>46027.583333333336</v>
      </c>
      <c r="N8" s="215" t="s">
        <v>1426</v>
      </c>
      <c r="O8" s="156" t="s">
        <v>205</v>
      </c>
      <c r="P8" s="142"/>
      <c r="Q8" s="143" t="s">
        <v>205</v>
      </c>
      <c r="R8" s="142"/>
      <c r="S8" s="143" t="s">
        <v>205</v>
      </c>
      <c r="T8" s="142"/>
      <c r="U8" s="143" t="s">
        <v>205</v>
      </c>
      <c r="V8" s="142"/>
      <c r="W8" s="143" t="s">
        <v>205</v>
      </c>
      <c r="X8" s="142"/>
      <c r="Y8" s="143" t="s">
        <v>205</v>
      </c>
      <c r="Z8" s="142"/>
      <c r="AA8" s="143" t="s">
        <v>205</v>
      </c>
      <c r="AB8" s="142"/>
      <c r="AC8" s="143" t="s">
        <v>205</v>
      </c>
      <c r="AD8" s="142"/>
      <c r="AE8" s="143" t="s">
        <v>205</v>
      </c>
      <c r="AF8" s="142" t="str">
        <f t="shared" si="1"/>
        <v>C</v>
      </c>
      <c r="AG8" s="190" t="str">
        <f t="shared" si="0"/>
        <v>UTILIZOU O PDA CORRETAMENTE</v>
      </c>
      <c r="AH8" s="143" t="s">
        <v>205</v>
      </c>
      <c r="AI8" s="150" t="s">
        <v>6</v>
      </c>
      <c r="AJ8" s="150" t="str">
        <f t="shared" si="2"/>
        <v>SÃO PAULO</v>
      </c>
      <c r="AK8" s="61" t="s">
        <v>60</v>
      </c>
    </row>
    <row r="9" spans="1:37" ht="30" customHeight="1">
      <c r="A9" s="215" t="s">
        <v>198</v>
      </c>
      <c r="B9" s="215">
        <v>266618688</v>
      </c>
      <c r="C9" s="215" t="s">
        <v>1415</v>
      </c>
      <c r="D9" s="215" t="s">
        <v>113</v>
      </c>
      <c r="E9" s="215" t="s">
        <v>5</v>
      </c>
      <c r="F9" s="215" t="s">
        <v>1427</v>
      </c>
      <c r="G9" s="215">
        <v>177</v>
      </c>
      <c r="H9" s="215" t="s">
        <v>387</v>
      </c>
      <c r="I9" s="215" t="s">
        <v>993</v>
      </c>
      <c r="J9" s="215" t="s">
        <v>1417</v>
      </c>
      <c r="K9" s="219" t="s">
        <v>1428</v>
      </c>
      <c r="L9" s="216">
        <v>46027.416666666664</v>
      </c>
      <c r="M9" s="216">
        <v>46027.583333333336</v>
      </c>
      <c r="N9" s="215" t="s">
        <v>1429</v>
      </c>
      <c r="O9" s="156" t="s">
        <v>205</v>
      </c>
      <c r="P9" s="142"/>
      <c r="Q9" s="143" t="s">
        <v>205</v>
      </c>
      <c r="R9" s="142"/>
      <c r="S9" s="143" t="s">
        <v>205</v>
      </c>
      <c r="T9" s="142"/>
      <c r="U9" s="143" t="s">
        <v>205</v>
      </c>
      <c r="V9" s="142"/>
      <c r="W9" s="143" t="s">
        <v>205</v>
      </c>
      <c r="X9" s="142"/>
      <c r="Y9" s="143" t="s">
        <v>205</v>
      </c>
      <c r="Z9" s="142"/>
      <c r="AA9" s="143" t="s">
        <v>205</v>
      </c>
      <c r="AB9" s="142"/>
      <c r="AC9" s="143" t="s">
        <v>239</v>
      </c>
      <c r="AD9" s="142" t="s">
        <v>1430</v>
      </c>
      <c r="AE9" s="143" t="s">
        <v>205</v>
      </c>
      <c r="AF9" s="142" t="str">
        <f t="shared" si="1"/>
        <v>NC</v>
      </c>
      <c r="AG9" s="190" t="str">
        <f t="shared" si="0"/>
        <v>UTILIZOU O PDA CORRETAMENTE. NÃO HÁ FOTOS DE TODAS AS ETAPAS</v>
      </c>
      <c r="AH9" s="143" t="s">
        <v>205</v>
      </c>
      <c r="AI9" s="150" t="s">
        <v>6</v>
      </c>
      <c r="AJ9" s="150" t="str">
        <f t="shared" si="2"/>
        <v>SÃO PAULO</v>
      </c>
      <c r="AK9" s="61" t="s">
        <v>60</v>
      </c>
    </row>
    <row r="10" spans="1:37" ht="30" customHeight="1">
      <c r="A10" s="215" t="s">
        <v>198</v>
      </c>
      <c r="B10" s="215">
        <v>2618119749</v>
      </c>
      <c r="C10" s="215" t="s">
        <v>110</v>
      </c>
      <c r="D10" s="215" t="s">
        <v>110</v>
      </c>
      <c r="E10" s="215" t="s">
        <v>5</v>
      </c>
      <c r="F10" s="215" t="s">
        <v>315</v>
      </c>
      <c r="G10" s="215">
        <v>58</v>
      </c>
      <c r="H10" s="215"/>
      <c r="I10" s="215" t="s">
        <v>316</v>
      </c>
      <c r="J10" s="215" t="s">
        <v>110</v>
      </c>
      <c r="K10" s="219" t="s">
        <v>1431</v>
      </c>
      <c r="L10" s="216">
        <v>46058.686805555553</v>
      </c>
      <c r="M10" s="216">
        <v>46058.689583333333</v>
      </c>
      <c r="N10" s="215" t="s">
        <v>1426</v>
      </c>
      <c r="O10" s="156" t="s">
        <v>205</v>
      </c>
      <c r="P10" s="142"/>
      <c r="Q10" s="143" t="s">
        <v>205</v>
      </c>
      <c r="R10" s="142"/>
      <c r="S10" s="143" t="s">
        <v>205</v>
      </c>
      <c r="T10" s="142"/>
      <c r="U10" s="143" t="s">
        <v>205</v>
      </c>
      <c r="V10" s="142"/>
      <c r="W10" s="143" t="s">
        <v>205</v>
      </c>
      <c r="X10" s="142"/>
      <c r="Y10" s="143" t="s">
        <v>205</v>
      </c>
      <c r="Z10" s="142"/>
      <c r="AA10" s="143" t="s">
        <v>205</v>
      </c>
      <c r="AB10" s="142"/>
      <c r="AC10" s="143" t="s">
        <v>205</v>
      </c>
      <c r="AD10" s="142"/>
      <c r="AE10" s="143" t="s">
        <v>205</v>
      </c>
      <c r="AF10" s="142" t="str">
        <f t="shared" si="1"/>
        <v>C</v>
      </c>
      <c r="AG10" s="190" t="str">
        <f t="shared" si="0"/>
        <v>UTILIZOU O PDA CORRETAMENTE</v>
      </c>
      <c r="AH10" s="143" t="s">
        <v>205</v>
      </c>
      <c r="AI10" s="150" t="s">
        <v>6</v>
      </c>
      <c r="AJ10" s="150" t="str">
        <f t="shared" si="2"/>
        <v>SÃO PAULO</v>
      </c>
      <c r="AK10" s="61" t="s">
        <v>60</v>
      </c>
    </row>
    <row r="11" spans="1:37" ht="30" customHeight="1">
      <c r="A11" s="215" t="s">
        <v>198</v>
      </c>
      <c r="B11" s="215">
        <v>2618314577</v>
      </c>
      <c r="C11" s="215" t="s">
        <v>123</v>
      </c>
      <c r="D11" s="215" t="s">
        <v>109</v>
      </c>
      <c r="E11" s="215" t="s">
        <v>5</v>
      </c>
      <c r="F11" s="215" t="s">
        <v>1432</v>
      </c>
      <c r="G11" s="215">
        <v>142</v>
      </c>
      <c r="H11" s="215" t="s">
        <v>318</v>
      </c>
      <c r="I11" s="215" t="s">
        <v>285</v>
      </c>
      <c r="J11" s="215" t="s">
        <v>1409</v>
      </c>
      <c r="K11" s="219" t="s">
        <v>1433</v>
      </c>
      <c r="L11" s="216">
        <v>46058.678472222222</v>
      </c>
      <c r="M11" s="216">
        <v>46058.682638888888</v>
      </c>
      <c r="N11" s="215" t="s">
        <v>1426</v>
      </c>
      <c r="O11" s="156" t="s">
        <v>205</v>
      </c>
      <c r="P11" s="142"/>
      <c r="Q11" s="143" t="s">
        <v>205</v>
      </c>
      <c r="R11" s="142"/>
      <c r="S11" s="143" t="s">
        <v>205</v>
      </c>
      <c r="T11" s="142"/>
      <c r="U11" s="143" t="s">
        <v>205</v>
      </c>
      <c r="V11" s="142"/>
      <c r="W11" s="143" t="s">
        <v>205</v>
      </c>
      <c r="X11" s="142"/>
      <c r="Y11" s="143" t="s">
        <v>205</v>
      </c>
      <c r="Z11" s="142"/>
      <c r="AA11" s="143" t="s">
        <v>205</v>
      </c>
      <c r="AB11" s="142"/>
      <c r="AC11" s="143" t="s">
        <v>205</v>
      </c>
      <c r="AD11" s="142"/>
      <c r="AE11" s="143" t="s">
        <v>205</v>
      </c>
      <c r="AF11" s="142" t="str">
        <f t="shared" si="1"/>
        <v>C</v>
      </c>
      <c r="AG11" s="190" t="str">
        <f t="shared" si="0"/>
        <v>UTILIZOU O PDA CORRETAMENTE</v>
      </c>
      <c r="AH11" s="143" t="s">
        <v>205</v>
      </c>
      <c r="AI11" s="150" t="s">
        <v>6</v>
      </c>
      <c r="AJ11" s="150" t="str">
        <f t="shared" si="2"/>
        <v>SÃO PAULO</v>
      </c>
      <c r="AK11" s="61" t="s">
        <v>60</v>
      </c>
    </row>
    <row r="12" spans="1:37" ht="30" customHeight="1">
      <c r="A12" s="215" t="s">
        <v>198</v>
      </c>
      <c r="B12" s="215">
        <v>2618310523</v>
      </c>
      <c r="C12" s="215" t="s">
        <v>121</v>
      </c>
      <c r="D12" s="215" t="s">
        <v>112</v>
      </c>
      <c r="E12" s="215" t="s">
        <v>5</v>
      </c>
      <c r="F12" s="215" t="s">
        <v>1434</v>
      </c>
      <c r="G12" s="215">
        <v>65</v>
      </c>
      <c r="H12" s="215" t="s">
        <v>318</v>
      </c>
      <c r="I12" s="215" t="s">
        <v>289</v>
      </c>
      <c r="J12" s="215" t="s">
        <v>1406</v>
      </c>
      <c r="K12" s="215" t="s">
        <v>1435</v>
      </c>
      <c r="L12" s="216">
        <v>46086.538194444445</v>
      </c>
      <c r="M12" s="216">
        <v>46086.538888888892</v>
      </c>
      <c r="N12" s="215" t="s">
        <v>217</v>
      </c>
      <c r="O12" s="156" t="s">
        <v>205</v>
      </c>
      <c r="P12" s="142"/>
      <c r="Q12" s="143" t="s">
        <v>205</v>
      </c>
      <c r="R12" s="142"/>
      <c r="S12" s="143" t="s">
        <v>205</v>
      </c>
      <c r="T12" s="142"/>
      <c r="U12" s="143" t="s">
        <v>62</v>
      </c>
      <c r="V12" s="142"/>
      <c r="W12" s="143" t="s">
        <v>62</v>
      </c>
      <c r="X12" s="142"/>
      <c r="Y12" s="143" t="s">
        <v>62</v>
      </c>
      <c r="Z12" s="142"/>
      <c r="AA12" s="143" t="s">
        <v>205</v>
      </c>
      <c r="AB12" s="142"/>
      <c r="AC12" s="143" t="s">
        <v>205</v>
      </c>
      <c r="AD12" s="142"/>
      <c r="AE12" s="143" t="s">
        <v>205</v>
      </c>
      <c r="AF12" s="142" t="str">
        <f t="shared" si="1"/>
        <v>C</v>
      </c>
      <c r="AG12" s="190" t="str">
        <f t="shared" si="0"/>
        <v>UTILIZOU O PDA CORRETAMENTE</v>
      </c>
      <c r="AH12" s="143" t="s">
        <v>205</v>
      </c>
      <c r="AI12" s="150" t="s">
        <v>6</v>
      </c>
      <c r="AJ12" s="150" t="str">
        <f t="shared" si="2"/>
        <v>SÃO PAULO</v>
      </c>
      <c r="AK12" s="62" t="s">
        <v>60</v>
      </c>
    </row>
    <row r="13" spans="1:37" ht="30" customHeight="1">
      <c r="A13" s="215" t="s">
        <v>198</v>
      </c>
      <c r="B13" s="215">
        <v>2618310766</v>
      </c>
      <c r="C13" s="215" t="s">
        <v>121</v>
      </c>
      <c r="D13" s="215" t="s">
        <v>112</v>
      </c>
      <c r="E13" s="215" t="s">
        <v>5</v>
      </c>
      <c r="F13" s="215" t="s">
        <v>458</v>
      </c>
      <c r="G13" s="215">
        <v>1321</v>
      </c>
      <c r="H13" s="215" t="s">
        <v>200</v>
      </c>
      <c r="I13" s="215" t="s">
        <v>274</v>
      </c>
      <c r="J13" s="215" t="s">
        <v>1406</v>
      </c>
      <c r="K13" s="215" t="s">
        <v>200</v>
      </c>
      <c r="L13" s="216">
        <v>46086.390972222223</v>
      </c>
      <c r="M13" s="216">
        <v>46086.39166666667</v>
      </c>
      <c r="N13" s="215" t="s">
        <v>217</v>
      </c>
      <c r="O13" s="156" t="s">
        <v>205</v>
      </c>
      <c r="P13" s="142"/>
      <c r="Q13" s="143" t="s">
        <v>205</v>
      </c>
      <c r="R13" s="142"/>
      <c r="S13" s="143" t="s">
        <v>205</v>
      </c>
      <c r="T13" s="142"/>
      <c r="U13" s="143" t="s">
        <v>62</v>
      </c>
      <c r="V13" s="142"/>
      <c r="W13" s="143" t="s">
        <v>62</v>
      </c>
      <c r="X13" s="142"/>
      <c r="Y13" s="143" t="s">
        <v>62</v>
      </c>
      <c r="Z13" s="142"/>
      <c r="AA13" s="143" t="s">
        <v>62</v>
      </c>
      <c r="AB13" s="142"/>
      <c r="AC13" s="143" t="s">
        <v>205</v>
      </c>
      <c r="AD13" s="142"/>
      <c r="AE13" s="143" t="s">
        <v>205</v>
      </c>
      <c r="AF13" s="142" t="str">
        <f t="shared" si="1"/>
        <v>C</v>
      </c>
      <c r="AG13" s="190" t="str">
        <f t="shared" si="0"/>
        <v>UTILIZOU O PDA CORRETAMENTE</v>
      </c>
      <c r="AH13" s="143" t="s">
        <v>205</v>
      </c>
      <c r="AI13" s="150" t="s">
        <v>6</v>
      </c>
      <c r="AJ13" s="150" t="str">
        <f t="shared" si="2"/>
        <v>SÃO PAULO</v>
      </c>
      <c r="AK13" s="61" t="s">
        <v>60</v>
      </c>
    </row>
    <row r="14" spans="1:37" ht="30" customHeight="1">
      <c r="A14" s="215" t="s">
        <v>198</v>
      </c>
      <c r="B14" s="215">
        <v>2618418261</v>
      </c>
      <c r="C14" s="215" t="s">
        <v>123</v>
      </c>
      <c r="D14" s="215" t="s">
        <v>109</v>
      </c>
      <c r="E14" s="215" t="s">
        <v>5</v>
      </c>
      <c r="F14" s="215" t="s">
        <v>583</v>
      </c>
      <c r="G14" s="215">
        <v>30</v>
      </c>
      <c r="H14" s="215"/>
      <c r="I14" s="215" t="s">
        <v>562</v>
      </c>
      <c r="J14" s="215" t="s">
        <v>1409</v>
      </c>
      <c r="K14" s="219" t="s">
        <v>1436</v>
      </c>
      <c r="L14" s="216">
        <v>46086.585416666669</v>
      </c>
      <c r="M14" s="216">
        <v>46086.588194444441</v>
      </c>
      <c r="N14" s="215" t="s">
        <v>1426</v>
      </c>
      <c r="O14" s="156" t="s">
        <v>205</v>
      </c>
      <c r="P14" s="142"/>
      <c r="Q14" s="143" t="s">
        <v>205</v>
      </c>
      <c r="R14" s="142"/>
      <c r="S14" s="143" t="s">
        <v>205</v>
      </c>
      <c r="T14" s="142"/>
      <c r="U14" s="143" t="s">
        <v>205</v>
      </c>
      <c r="V14" s="142"/>
      <c r="W14" s="143" t="s">
        <v>205</v>
      </c>
      <c r="X14" s="142"/>
      <c r="Y14" s="143" t="s">
        <v>205</v>
      </c>
      <c r="Z14" s="142"/>
      <c r="AA14" s="143" t="s">
        <v>205</v>
      </c>
      <c r="AB14" s="142"/>
      <c r="AC14" s="143" t="s">
        <v>205</v>
      </c>
      <c r="AD14" s="142"/>
      <c r="AE14" s="143" t="s">
        <v>205</v>
      </c>
      <c r="AF14" s="142" t="str">
        <f t="shared" si="1"/>
        <v>C</v>
      </c>
      <c r="AG14" s="190" t="str">
        <f t="shared" si="0"/>
        <v>UTILIZOU O PDA CORRETAMENTE</v>
      </c>
      <c r="AH14" s="143" t="s">
        <v>205</v>
      </c>
      <c r="AI14" s="150" t="s">
        <v>6</v>
      </c>
      <c r="AJ14" s="150" t="str">
        <f t="shared" si="2"/>
        <v>SÃO PAULO</v>
      </c>
      <c r="AK14" s="61" t="s">
        <v>60</v>
      </c>
    </row>
    <row r="15" spans="1:37" ht="30" customHeight="1">
      <c r="A15" s="215" t="s">
        <v>198</v>
      </c>
      <c r="B15" s="215">
        <v>2618418766</v>
      </c>
      <c r="C15" s="215" t="s">
        <v>121</v>
      </c>
      <c r="D15" s="215" t="s">
        <v>112</v>
      </c>
      <c r="E15" s="215" t="s">
        <v>5</v>
      </c>
      <c r="F15" s="215" t="s">
        <v>1437</v>
      </c>
      <c r="G15" s="215">
        <v>5680</v>
      </c>
      <c r="H15" s="215" t="s">
        <v>200</v>
      </c>
      <c r="I15" s="215" t="s">
        <v>260</v>
      </c>
      <c r="J15" s="215" t="s">
        <v>1406</v>
      </c>
      <c r="K15" s="219" t="s">
        <v>1438</v>
      </c>
      <c r="L15" s="216">
        <v>46086.661805555559</v>
      </c>
      <c r="M15" s="216">
        <v>46086.663888888892</v>
      </c>
      <c r="N15" s="215" t="s">
        <v>217</v>
      </c>
      <c r="O15" s="156" t="s">
        <v>205</v>
      </c>
      <c r="P15" s="142"/>
      <c r="Q15" s="143" t="s">
        <v>205</v>
      </c>
      <c r="R15" s="142"/>
      <c r="S15" s="143" t="s">
        <v>205</v>
      </c>
      <c r="T15" s="142"/>
      <c r="U15" s="143" t="s">
        <v>62</v>
      </c>
      <c r="V15" s="142"/>
      <c r="W15" s="143" t="s">
        <v>62</v>
      </c>
      <c r="X15" s="142"/>
      <c r="Y15" s="143" t="s">
        <v>62</v>
      </c>
      <c r="Z15" s="142"/>
      <c r="AA15" s="143" t="s">
        <v>62</v>
      </c>
      <c r="AB15" s="142"/>
      <c r="AC15" s="143" t="s">
        <v>205</v>
      </c>
      <c r="AD15" s="142"/>
      <c r="AE15" s="143" t="s">
        <v>205</v>
      </c>
      <c r="AF15" s="142" t="str">
        <f t="shared" si="1"/>
        <v>C</v>
      </c>
      <c r="AG15" s="190" t="str">
        <f t="shared" si="0"/>
        <v>UTILIZOU O PDA CORRETAMENTE</v>
      </c>
      <c r="AH15" s="143" t="s">
        <v>205</v>
      </c>
      <c r="AI15" s="150" t="s">
        <v>6</v>
      </c>
      <c r="AJ15" s="150" t="str">
        <f t="shared" si="2"/>
        <v>SÃO PAULO</v>
      </c>
      <c r="AK15" s="61" t="s">
        <v>60</v>
      </c>
    </row>
    <row r="16" spans="1:37" ht="30" customHeight="1">
      <c r="A16" s="215" t="s">
        <v>198</v>
      </c>
      <c r="B16" s="215">
        <v>2618419076</v>
      </c>
      <c r="C16" s="215" t="s">
        <v>123</v>
      </c>
      <c r="D16" s="215" t="s">
        <v>109</v>
      </c>
      <c r="E16" s="215" t="s">
        <v>5</v>
      </c>
      <c r="F16" s="215" t="s">
        <v>1439</v>
      </c>
      <c r="G16" s="215">
        <v>98</v>
      </c>
      <c r="H16" s="215"/>
      <c r="I16" s="215" t="s">
        <v>801</v>
      </c>
      <c r="J16" s="215" t="s">
        <v>1409</v>
      </c>
      <c r="K16" s="219" t="s">
        <v>1440</v>
      </c>
      <c r="L16" s="216">
        <v>46086.676388888889</v>
      </c>
      <c r="M16" s="216">
        <v>46086.681250000001</v>
      </c>
      <c r="N16" s="215" t="s">
        <v>1426</v>
      </c>
      <c r="O16" s="156" t="s">
        <v>205</v>
      </c>
      <c r="P16" s="142"/>
      <c r="Q16" s="143" t="s">
        <v>205</v>
      </c>
      <c r="R16" s="142"/>
      <c r="S16" s="143" t="s">
        <v>205</v>
      </c>
      <c r="T16" s="142"/>
      <c r="U16" s="143" t="s">
        <v>205</v>
      </c>
      <c r="V16" s="142"/>
      <c r="W16" s="143" t="s">
        <v>205</v>
      </c>
      <c r="X16" s="142"/>
      <c r="Y16" s="143" t="s">
        <v>205</v>
      </c>
      <c r="Z16" s="142"/>
      <c r="AA16" s="143" t="s">
        <v>205</v>
      </c>
      <c r="AB16" s="142"/>
      <c r="AC16" s="143" t="s">
        <v>205</v>
      </c>
      <c r="AD16" s="142"/>
      <c r="AE16" s="143" t="s">
        <v>205</v>
      </c>
      <c r="AF16" s="142" t="str">
        <f t="shared" si="1"/>
        <v>C</v>
      </c>
      <c r="AG16" s="190" t="str">
        <f t="shared" si="0"/>
        <v>UTILIZOU O PDA CORRETAMENTE</v>
      </c>
      <c r="AH16" s="143" t="s">
        <v>205</v>
      </c>
      <c r="AI16" s="150" t="s">
        <v>6</v>
      </c>
      <c r="AJ16" s="150" t="str">
        <f t="shared" si="2"/>
        <v>SÃO PAULO</v>
      </c>
      <c r="AK16" s="61" t="s">
        <v>60</v>
      </c>
    </row>
    <row r="17" spans="1:37" ht="30" customHeight="1">
      <c r="A17" s="215" t="s">
        <v>198</v>
      </c>
      <c r="B17" s="215">
        <v>2618416631</v>
      </c>
      <c r="C17" s="215" t="s">
        <v>123</v>
      </c>
      <c r="D17" s="215" t="s">
        <v>109</v>
      </c>
      <c r="E17" s="215" t="s">
        <v>5</v>
      </c>
      <c r="F17" s="215" t="s">
        <v>528</v>
      </c>
      <c r="G17" s="215">
        <v>416</v>
      </c>
      <c r="H17" s="215" t="s">
        <v>200</v>
      </c>
      <c r="I17" s="215" t="s">
        <v>1288</v>
      </c>
      <c r="J17" s="215" t="s">
        <v>1409</v>
      </c>
      <c r="K17" s="215" t="s">
        <v>1441</v>
      </c>
      <c r="L17" s="216">
        <v>46117.513194444444</v>
      </c>
      <c r="M17" s="216">
        <v>46117.522222222222</v>
      </c>
      <c r="N17" s="215" t="s">
        <v>1442</v>
      </c>
      <c r="O17" s="156" t="s">
        <v>205</v>
      </c>
      <c r="P17" s="142"/>
      <c r="Q17" s="143" t="s">
        <v>205</v>
      </c>
      <c r="R17" s="142"/>
      <c r="S17" s="143" t="s">
        <v>205</v>
      </c>
      <c r="T17" s="142"/>
      <c r="U17" s="143" t="s">
        <v>205</v>
      </c>
      <c r="V17" s="142"/>
      <c r="W17" s="143" t="s">
        <v>205</v>
      </c>
      <c r="X17" s="142"/>
      <c r="Y17" s="143" t="s">
        <v>205</v>
      </c>
      <c r="Z17" s="142"/>
      <c r="AA17" s="143" t="s">
        <v>205</v>
      </c>
      <c r="AB17" s="142"/>
      <c r="AC17" s="143" t="s">
        <v>205</v>
      </c>
      <c r="AD17" s="142"/>
      <c r="AE17" s="143" t="s">
        <v>205</v>
      </c>
      <c r="AF17" s="142" t="str">
        <f t="shared" si="1"/>
        <v>C</v>
      </c>
      <c r="AG17" s="190" t="str">
        <f t="shared" si="0"/>
        <v>UTILIZOU O PDA CORRETAMENTE</v>
      </c>
      <c r="AH17" s="143" t="s">
        <v>205</v>
      </c>
      <c r="AI17" s="150" t="s">
        <v>6</v>
      </c>
      <c r="AJ17" s="150" t="str">
        <f t="shared" si="2"/>
        <v>SÃO PAULO</v>
      </c>
      <c r="AK17" s="61" t="s">
        <v>60</v>
      </c>
    </row>
    <row r="18" spans="1:37" ht="30" customHeight="1">
      <c r="A18" s="215" t="s">
        <v>198</v>
      </c>
      <c r="B18" s="215">
        <v>2617935064</v>
      </c>
      <c r="C18" s="215" t="s">
        <v>1443</v>
      </c>
      <c r="D18" s="215" t="s">
        <v>112</v>
      </c>
      <c r="E18" s="215" t="s">
        <v>5</v>
      </c>
      <c r="F18" s="215" t="s">
        <v>1444</v>
      </c>
      <c r="G18" s="215">
        <v>26</v>
      </c>
      <c r="H18" s="215"/>
      <c r="I18" s="215" t="s">
        <v>649</v>
      </c>
      <c r="J18" s="215" t="s">
        <v>1445</v>
      </c>
      <c r="K18" s="219" t="s">
        <v>1446</v>
      </c>
      <c r="L18" s="216">
        <v>46117.350694444445</v>
      </c>
      <c r="M18" s="216">
        <v>46117.357638888891</v>
      </c>
      <c r="N18" s="215" t="s">
        <v>1426</v>
      </c>
      <c r="O18" s="156" t="s">
        <v>205</v>
      </c>
      <c r="P18" s="142"/>
      <c r="Q18" s="143" t="s">
        <v>205</v>
      </c>
      <c r="R18" s="142"/>
      <c r="S18" s="143" t="s">
        <v>205</v>
      </c>
      <c r="T18" s="142"/>
      <c r="U18" s="143" t="s">
        <v>205</v>
      </c>
      <c r="V18" s="142"/>
      <c r="W18" s="143" t="s">
        <v>205</v>
      </c>
      <c r="X18" s="142"/>
      <c r="Y18" s="143" t="s">
        <v>205</v>
      </c>
      <c r="Z18" s="142"/>
      <c r="AA18" s="143" t="s">
        <v>205</v>
      </c>
      <c r="AB18" s="142"/>
      <c r="AC18" s="143" t="s">
        <v>205</v>
      </c>
      <c r="AD18" s="142"/>
      <c r="AE18" s="143" t="s">
        <v>205</v>
      </c>
      <c r="AF18" s="142" t="str">
        <f t="shared" si="1"/>
        <v>C</v>
      </c>
      <c r="AG18" s="190" t="str">
        <f t="shared" si="0"/>
        <v>UTILIZOU O PDA CORRETAMENTE</v>
      </c>
      <c r="AH18" s="143" t="s">
        <v>205</v>
      </c>
      <c r="AI18" s="150" t="s">
        <v>6</v>
      </c>
      <c r="AJ18" s="150" t="str">
        <f t="shared" si="2"/>
        <v>SÃO PAULO</v>
      </c>
      <c r="AK18" s="61" t="s">
        <v>60</v>
      </c>
    </row>
    <row r="19" spans="1:37" ht="30" customHeight="1">
      <c r="A19" s="215" t="s">
        <v>198</v>
      </c>
      <c r="B19" s="215">
        <v>2618478895</v>
      </c>
      <c r="C19" s="215" t="s">
        <v>123</v>
      </c>
      <c r="D19" s="215" t="s">
        <v>109</v>
      </c>
      <c r="E19" s="215" t="s">
        <v>5</v>
      </c>
      <c r="F19" s="215" t="s">
        <v>534</v>
      </c>
      <c r="G19" s="215">
        <v>74</v>
      </c>
      <c r="H19" s="215" t="s">
        <v>318</v>
      </c>
      <c r="I19" s="215" t="s">
        <v>640</v>
      </c>
      <c r="J19" s="215" t="s">
        <v>1409</v>
      </c>
      <c r="K19" s="215" t="s">
        <v>1447</v>
      </c>
      <c r="L19" s="216">
        <v>46117.70208333333</v>
      </c>
      <c r="M19" s="216">
        <v>46117.710416666669</v>
      </c>
      <c r="N19" s="215" t="s">
        <v>1442</v>
      </c>
      <c r="O19" s="156" t="s">
        <v>205</v>
      </c>
      <c r="P19" s="142"/>
      <c r="Q19" s="143" t="s">
        <v>205</v>
      </c>
      <c r="R19" s="142"/>
      <c r="S19" s="143" t="s">
        <v>205</v>
      </c>
      <c r="T19" s="142"/>
      <c r="U19" s="143" t="s">
        <v>205</v>
      </c>
      <c r="V19" s="142"/>
      <c r="W19" s="143" t="s">
        <v>205</v>
      </c>
      <c r="X19" s="142"/>
      <c r="Y19" s="143" t="s">
        <v>205</v>
      </c>
      <c r="Z19" s="142"/>
      <c r="AA19" s="143" t="s">
        <v>205</v>
      </c>
      <c r="AB19" s="142"/>
      <c r="AC19" s="143" t="s">
        <v>205</v>
      </c>
      <c r="AD19" s="142"/>
      <c r="AE19" s="143" t="s">
        <v>205</v>
      </c>
      <c r="AF19" s="142" t="str">
        <f t="shared" si="1"/>
        <v>C</v>
      </c>
      <c r="AG19" s="190" t="str">
        <f t="shared" si="0"/>
        <v>UTILIZOU O PDA CORRETAMENTE</v>
      </c>
      <c r="AH19" s="143" t="s">
        <v>205</v>
      </c>
      <c r="AI19" s="150" t="s">
        <v>6</v>
      </c>
      <c r="AJ19" s="150" t="str">
        <f t="shared" si="2"/>
        <v>SÃO PAULO</v>
      </c>
      <c r="AK19" s="61" t="s">
        <v>60</v>
      </c>
    </row>
    <row r="20" spans="1:37" ht="30" customHeight="1">
      <c r="A20" s="215" t="s">
        <v>198</v>
      </c>
      <c r="B20" s="215">
        <v>2618432767</v>
      </c>
      <c r="C20" s="215" t="s">
        <v>116</v>
      </c>
      <c r="D20" s="215" t="s">
        <v>109</v>
      </c>
      <c r="E20" s="215" t="s">
        <v>5</v>
      </c>
      <c r="F20" s="215" t="s">
        <v>940</v>
      </c>
      <c r="G20" s="215">
        <v>3989</v>
      </c>
      <c r="H20" s="215"/>
      <c r="I20" s="215" t="s">
        <v>1173</v>
      </c>
      <c r="J20" s="215" t="s">
        <v>1448</v>
      </c>
      <c r="K20" s="219" t="s">
        <v>1449</v>
      </c>
      <c r="L20" s="216">
        <v>46147.665972222225</v>
      </c>
      <c r="M20" s="216">
        <v>46147.714583333334</v>
      </c>
      <c r="N20" s="215" t="s">
        <v>1426</v>
      </c>
      <c r="O20" s="163" t="s">
        <v>205</v>
      </c>
      <c r="P20" s="142"/>
      <c r="Q20" s="143" t="s">
        <v>205</v>
      </c>
      <c r="R20" s="142"/>
      <c r="S20" s="143" t="s">
        <v>205</v>
      </c>
      <c r="T20" s="142"/>
      <c r="U20" s="143" t="s">
        <v>205</v>
      </c>
      <c r="V20" s="142"/>
      <c r="W20" s="143" t="s">
        <v>205</v>
      </c>
      <c r="X20" s="142"/>
      <c r="Y20" s="143" t="s">
        <v>205</v>
      </c>
      <c r="Z20" s="142"/>
      <c r="AA20" s="143" t="s">
        <v>205</v>
      </c>
      <c r="AB20" s="142"/>
      <c r="AC20" s="143" t="s">
        <v>205</v>
      </c>
      <c r="AD20" s="142"/>
      <c r="AE20" s="143" t="s">
        <v>205</v>
      </c>
      <c r="AF20" s="142" t="str">
        <f t="shared" si="1"/>
        <v>C</v>
      </c>
      <c r="AG20" s="190" t="str">
        <f t="shared" si="0"/>
        <v>UTILIZOU O PDA CORRETAMENTE</v>
      </c>
      <c r="AH20" s="143" t="s">
        <v>205</v>
      </c>
      <c r="AI20" s="150" t="s">
        <v>6</v>
      </c>
      <c r="AJ20" s="150" t="str">
        <f t="shared" si="2"/>
        <v>SÃO PAULO</v>
      </c>
      <c r="AK20" s="61" t="s">
        <v>60</v>
      </c>
    </row>
    <row r="21" spans="1:37" ht="30" customHeight="1">
      <c r="A21" s="215" t="s">
        <v>198</v>
      </c>
      <c r="B21" s="215">
        <v>2618480379</v>
      </c>
      <c r="C21" s="215" t="s">
        <v>122</v>
      </c>
      <c r="D21" s="215" t="s">
        <v>111</v>
      </c>
      <c r="E21" s="215" t="s">
        <v>5</v>
      </c>
      <c r="F21" s="215" t="s">
        <v>1450</v>
      </c>
      <c r="G21" s="215">
        <v>131</v>
      </c>
      <c r="H21" s="215" t="s">
        <v>200</v>
      </c>
      <c r="I21" s="215" t="s">
        <v>438</v>
      </c>
      <c r="J21" s="215" t="s">
        <v>1451</v>
      </c>
      <c r="K21" s="215" t="s">
        <v>200</v>
      </c>
      <c r="L21" s="216">
        <v>46147.599305555559</v>
      </c>
      <c r="M21" s="216">
        <v>46147.654166666667</v>
      </c>
      <c r="N21" s="215" t="s">
        <v>1429</v>
      </c>
      <c r="O21" s="156" t="s">
        <v>205</v>
      </c>
      <c r="P21" s="165"/>
      <c r="Q21" s="143" t="s">
        <v>205</v>
      </c>
      <c r="R21" s="142"/>
      <c r="S21" s="143" t="s">
        <v>205</v>
      </c>
      <c r="T21" s="142"/>
      <c r="U21" s="143" t="s">
        <v>205</v>
      </c>
      <c r="V21" s="142"/>
      <c r="W21" s="143" t="s">
        <v>205</v>
      </c>
      <c r="X21" s="142"/>
      <c r="Y21" s="143" t="s">
        <v>205</v>
      </c>
      <c r="Z21" s="142"/>
      <c r="AA21" s="143" t="s">
        <v>205</v>
      </c>
      <c r="AB21" s="142"/>
      <c r="AC21" s="143" t="s">
        <v>205</v>
      </c>
      <c r="AD21" s="142"/>
      <c r="AE21" s="143" t="s">
        <v>205</v>
      </c>
      <c r="AF21" s="142" t="str">
        <f t="shared" si="1"/>
        <v>C</v>
      </c>
      <c r="AG21" s="190" t="str">
        <f t="shared" si="0"/>
        <v>UTILIZOU O PDA CORRETAMENTE</v>
      </c>
      <c r="AH21" s="143" t="s">
        <v>205</v>
      </c>
      <c r="AI21" s="150" t="s">
        <v>6</v>
      </c>
      <c r="AJ21" s="150" t="str">
        <f t="shared" si="2"/>
        <v>SÃO PAULO</v>
      </c>
      <c r="AK21" s="151" t="s">
        <v>60</v>
      </c>
    </row>
    <row r="22" spans="1:37" ht="30" customHeight="1">
      <c r="A22" s="215" t="s">
        <v>198</v>
      </c>
      <c r="B22" s="215">
        <v>2618416175</v>
      </c>
      <c r="C22" s="215" t="s">
        <v>116</v>
      </c>
      <c r="D22" s="215" t="s">
        <v>109</v>
      </c>
      <c r="E22" s="215" t="s">
        <v>5</v>
      </c>
      <c r="F22" s="215" t="s">
        <v>940</v>
      </c>
      <c r="G22" s="215">
        <v>4017</v>
      </c>
      <c r="H22" s="215" t="s">
        <v>226</v>
      </c>
      <c r="I22" s="215" t="s">
        <v>1173</v>
      </c>
      <c r="J22" s="215" t="s">
        <v>1448</v>
      </c>
      <c r="K22" s="219" t="s">
        <v>1449</v>
      </c>
      <c r="L22" s="216">
        <v>46147.587500000001</v>
      </c>
      <c r="M22" s="216">
        <v>46147.595138888886</v>
      </c>
      <c r="N22" s="215" t="s">
        <v>1426</v>
      </c>
      <c r="O22" s="156" t="s">
        <v>205</v>
      </c>
      <c r="P22" s="166"/>
      <c r="Q22" s="143" t="s">
        <v>205</v>
      </c>
      <c r="R22" s="56"/>
      <c r="S22" s="143" t="s">
        <v>205</v>
      </c>
      <c r="T22" s="56"/>
      <c r="U22" s="143" t="s">
        <v>205</v>
      </c>
      <c r="V22" s="56"/>
      <c r="W22" s="143" t="s">
        <v>205</v>
      </c>
      <c r="X22" s="56"/>
      <c r="Y22" s="143" t="s">
        <v>205</v>
      </c>
      <c r="Z22" s="56"/>
      <c r="AA22" s="143" t="s">
        <v>205</v>
      </c>
      <c r="AB22" s="56"/>
      <c r="AC22" s="143" t="s">
        <v>205</v>
      </c>
      <c r="AD22" s="56"/>
      <c r="AE22" s="143" t="s">
        <v>205</v>
      </c>
      <c r="AF22" s="142" t="str">
        <f t="shared" si="1"/>
        <v>C</v>
      </c>
      <c r="AG22" s="190" t="str">
        <f t="shared" si="0"/>
        <v>UTILIZOU O PDA CORRETAMENTE</v>
      </c>
      <c r="AH22" s="143" t="s">
        <v>205</v>
      </c>
      <c r="AI22" s="150" t="s">
        <v>6</v>
      </c>
      <c r="AJ22" s="150" t="str">
        <f t="shared" si="2"/>
        <v>SÃO PAULO</v>
      </c>
      <c r="AK22" s="151" t="s">
        <v>60</v>
      </c>
    </row>
    <row r="23" spans="1:37" ht="30" customHeight="1">
      <c r="A23" s="215" t="s">
        <v>198</v>
      </c>
      <c r="B23" s="215">
        <v>2618425836</v>
      </c>
      <c r="C23" s="215" t="s">
        <v>1452</v>
      </c>
      <c r="D23" s="215" t="s">
        <v>111</v>
      </c>
      <c r="E23" s="215" t="s">
        <v>5</v>
      </c>
      <c r="F23" s="215" t="s">
        <v>1453</v>
      </c>
      <c r="G23" s="215">
        <v>109</v>
      </c>
      <c r="H23" s="215" t="s">
        <v>200</v>
      </c>
      <c r="I23" s="215" t="s">
        <v>881</v>
      </c>
      <c r="J23" s="215" t="s">
        <v>1454</v>
      </c>
      <c r="K23" s="215" t="s">
        <v>1455</v>
      </c>
      <c r="L23" s="216">
        <v>46147.567361111112</v>
      </c>
      <c r="M23" s="216">
        <v>46147.67291666667</v>
      </c>
      <c r="N23" s="215" t="s">
        <v>1414</v>
      </c>
      <c r="O23" s="180" t="s">
        <v>205</v>
      </c>
      <c r="P23" s="56"/>
      <c r="Q23" s="164" t="s">
        <v>205</v>
      </c>
      <c r="R23" s="56"/>
      <c r="S23" s="164" t="s">
        <v>205</v>
      </c>
      <c r="T23" s="56"/>
      <c r="U23" s="164" t="s">
        <v>205</v>
      </c>
      <c r="V23" s="56"/>
      <c r="W23" s="164" t="s">
        <v>206</v>
      </c>
      <c r="X23" s="56"/>
      <c r="Y23" s="164" t="s">
        <v>62</v>
      </c>
      <c r="Z23" s="56"/>
      <c r="AA23" s="164" t="s">
        <v>205</v>
      </c>
      <c r="AB23" s="56"/>
      <c r="AC23" s="164" t="s">
        <v>205</v>
      </c>
      <c r="AD23" s="56"/>
      <c r="AE23" s="164" t="s">
        <v>205</v>
      </c>
      <c r="AF23" s="142" t="str">
        <f t="shared" si="1"/>
        <v>NC</v>
      </c>
      <c r="AG23" s="190" t="str">
        <f t="shared" si="0"/>
        <v>UTILIZOU O PDA CORRETAMENTE. NÃO HÁ FOTOS DE TODAS AS ETAPAS</v>
      </c>
      <c r="AH23" s="164" t="s">
        <v>205</v>
      </c>
      <c r="AI23" s="150" t="s">
        <v>6</v>
      </c>
      <c r="AJ23" s="150" t="str">
        <f t="shared" si="2"/>
        <v>SÃO PAULO</v>
      </c>
      <c r="AK23" s="151" t="s">
        <v>60</v>
      </c>
    </row>
    <row r="24" spans="1:37" ht="30" customHeight="1">
      <c r="A24" s="215" t="s">
        <v>198</v>
      </c>
      <c r="B24" s="215">
        <v>2618482327</v>
      </c>
      <c r="C24" s="215" t="s">
        <v>122</v>
      </c>
      <c r="D24" s="215" t="s">
        <v>111</v>
      </c>
      <c r="E24" s="215" t="s">
        <v>5</v>
      </c>
      <c r="F24" s="215" t="s">
        <v>1456</v>
      </c>
      <c r="G24" s="215">
        <v>600</v>
      </c>
      <c r="H24" s="215" t="s">
        <v>318</v>
      </c>
      <c r="I24" s="215" t="s">
        <v>1457</v>
      </c>
      <c r="J24" s="215" t="s">
        <v>1451</v>
      </c>
      <c r="K24" s="215" t="s">
        <v>1458</v>
      </c>
      <c r="L24" s="216">
        <v>46147.375</v>
      </c>
      <c r="M24" s="216">
        <v>46147.552777777775</v>
      </c>
      <c r="N24" s="215" t="s">
        <v>1414</v>
      </c>
      <c r="O24" s="156" t="s">
        <v>205</v>
      </c>
      <c r="P24" s="56"/>
      <c r="Q24" s="143" t="s">
        <v>205</v>
      </c>
      <c r="R24" s="56"/>
      <c r="S24" s="143" t="s">
        <v>205</v>
      </c>
      <c r="T24" s="56"/>
      <c r="U24" s="143" t="s">
        <v>205</v>
      </c>
      <c r="V24" s="56"/>
      <c r="W24" s="143" t="s">
        <v>205</v>
      </c>
      <c r="X24" s="56"/>
      <c r="Y24" s="143" t="s">
        <v>62</v>
      </c>
      <c r="Z24" s="56"/>
      <c r="AA24" s="143" t="s">
        <v>205</v>
      </c>
      <c r="AB24" s="56"/>
      <c r="AC24" s="143" t="s">
        <v>205</v>
      </c>
      <c r="AD24" s="56"/>
      <c r="AE24" s="143" t="s">
        <v>205</v>
      </c>
      <c r="AF24" s="142" t="str">
        <f t="shared" si="1"/>
        <v>C</v>
      </c>
      <c r="AG24" s="190" t="str">
        <f t="shared" si="0"/>
        <v>UTILIZOU O PDA CORRETAMENTE</v>
      </c>
      <c r="AH24" s="143" t="s">
        <v>205</v>
      </c>
      <c r="AI24" s="150" t="s">
        <v>6</v>
      </c>
      <c r="AJ24" s="150" t="str">
        <f t="shared" si="2"/>
        <v>SÃO PAULO</v>
      </c>
      <c r="AK24" s="151" t="s">
        <v>60</v>
      </c>
    </row>
    <row r="25" spans="1:37" ht="30" customHeight="1">
      <c r="A25" s="215" t="s">
        <v>198</v>
      </c>
      <c r="B25" s="215">
        <v>2618453629</v>
      </c>
      <c r="C25" s="215" t="s">
        <v>1443</v>
      </c>
      <c r="D25" s="215" t="s">
        <v>112</v>
      </c>
      <c r="E25" s="215" t="s">
        <v>5</v>
      </c>
      <c r="F25" s="215" t="s">
        <v>595</v>
      </c>
      <c r="G25" s="215">
        <v>134</v>
      </c>
      <c r="H25" s="215" t="s">
        <v>200</v>
      </c>
      <c r="I25" s="215" t="s">
        <v>397</v>
      </c>
      <c r="J25" s="215" t="s">
        <v>1445</v>
      </c>
      <c r="K25" s="219" t="s">
        <v>1459</v>
      </c>
      <c r="L25" s="216">
        <v>46147.350694444445</v>
      </c>
      <c r="M25" s="216">
        <v>46147.357638888891</v>
      </c>
      <c r="N25" s="215" t="s">
        <v>1411</v>
      </c>
      <c r="O25" s="156" t="s">
        <v>62</v>
      </c>
      <c r="P25" s="56"/>
      <c r="Q25" s="143" t="s">
        <v>62</v>
      </c>
      <c r="R25" s="56"/>
      <c r="S25" s="143" t="s">
        <v>62</v>
      </c>
      <c r="T25" s="56"/>
      <c r="U25" s="143" t="s">
        <v>62</v>
      </c>
      <c r="V25" s="56"/>
      <c r="W25" s="143" t="s">
        <v>62</v>
      </c>
      <c r="X25" s="56"/>
      <c r="Y25" s="143" t="s">
        <v>62</v>
      </c>
      <c r="Z25" s="56"/>
      <c r="AA25" s="143" t="s">
        <v>62</v>
      </c>
      <c r="AB25" s="56"/>
      <c r="AC25" s="143" t="s">
        <v>62</v>
      </c>
      <c r="AD25" s="56"/>
      <c r="AE25" s="143" t="s">
        <v>62</v>
      </c>
      <c r="AF25" s="142" t="str">
        <f t="shared" si="1"/>
        <v>NA</v>
      </c>
      <c r="AG25" s="190" t="str">
        <f t="shared" si="0"/>
        <v>NÃO AVALIADO POR FALHA DE SINCRONISMO</v>
      </c>
      <c r="AH25" s="143" t="s">
        <v>205</v>
      </c>
      <c r="AI25" s="150" t="s">
        <v>6</v>
      </c>
      <c r="AJ25" s="150" t="str">
        <f t="shared" si="2"/>
        <v>SÃO PAULO</v>
      </c>
      <c r="AK25" s="151" t="s">
        <v>60</v>
      </c>
    </row>
    <row r="26" spans="1:37" ht="30" customHeight="1">
      <c r="A26" s="215" t="s">
        <v>198</v>
      </c>
      <c r="B26" s="215">
        <v>2618454585</v>
      </c>
      <c r="C26" s="215" t="s">
        <v>1460</v>
      </c>
      <c r="D26" s="215" t="s">
        <v>112</v>
      </c>
      <c r="E26" s="215" t="s">
        <v>5</v>
      </c>
      <c r="F26" s="215" t="s">
        <v>404</v>
      </c>
      <c r="G26" s="215">
        <v>683</v>
      </c>
      <c r="H26" s="215" t="s">
        <v>226</v>
      </c>
      <c r="I26" s="215" t="s">
        <v>397</v>
      </c>
      <c r="J26" s="215" t="s">
        <v>1461</v>
      </c>
      <c r="K26" s="219" t="s">
        <v>1462</v>
      </c>
      <c r="L26" s="216">
        <v>46147.350694444445</v>
      </c>
      <c r="M26" s="216">
        <v>46147.357638888891</v>
      </c>
      <c r="N26" s="215" t="s">
        <v>1411</v>
      </c>
      <c r="O26" s="156" t="s">
        <v>62</v>
      </c>
      <c r="P26" s="56"/>
      <c r="Q26" s="143" t="s">
        <v>62</v>
      </c>
      <c r="R26" s="56"/>
      <c r="S26" s="143" t="s">
        <v>62</v>
      </c>
      <c r="T26" s="56"/>
      <c r="U26" s="143" t="s">
        <v>62</v>
      </c>
      <c r="V26" s="56"/>
      <c r="W26" s="143" t="s">
        <v>62</v>
      </c>
      <c r="X26" s="56"/>
      <c r="Y26" s="143" t="s">
        <v>62</v>
      </c>
      <c r="Z26" s="56"/>
      <c r="AA26" s="143" t="s">
        <v>62</v>
      </c>
      <c r="AB26" s="56"/>
      <c r="AC26" s="143" t="s">
        <v>62</v>
      </c>
      <c r="AD26" s="56"/>
      <c r="AE26" s="143" t="s">
        <v>62</v>
      </c>
      <c r="AF26" s="142" t="str">
        <f t="shared" si="1"/>
        <v>NA</v>
      </c>
      <c r="AG26" s="190" t="str">
        <f t="shared" si="0"/>
        <v>NÃO AVALIADO POR FALHA DE SINCRONISMO</v>
      </c>
      <c r="AH26" s="143" t="s">
        <v>205</v>
      </c>
      <c r="AI26" s="150" t="s">
        <v>6</v>
      </c>
      <c r="AJ26" s="150" t="str">
        <f t="shared" si="2"/>
        <v>SÃO PAULO</v>
      </c>
      <c r="AK26" s="151" t="s">
        <v>60</v>
      </c>
    </row>
    <row r="27" spans="1:37" ht="30" customHeight="1">
      <c r="A27" s="215" t="s">
        <v>198</v>
      </c>
      <c r="B27" s="215">
        <v>2618463888</v>
      </c>
      <c r="C27" s="215" t="s">
        <v>1460</v>
      </c>
      <c r="D27" s="215" t="s">
        <v>112</v>
      </c>
      <c r="E27" s="215" t="s">
        <v>5</v>
      </c>
      <c r="F27" s="215" t="s">
        <v>595</v>
      </c>
      <c r="G27" s="215">
        <v>63</v>
      </c>
      <c r="H27" s="215" t="s">
        <v>200</v>
      </c>
      <c r="I27" s="215" t="s">
        <v>397</v>
      </c>
      <c r="J27" s="215" t="s">
        <v>1461</v>
      </c>
      <c r="K27" s="219" t="s">
        <v>1463</v>
      </c>
      <c r="L27" s="216">
        <v>46147.350694444445</v>
      </c>
      <c r="M27" s="216">
        <v>46147.357638888891</v>
      </c>
      <c r="N27" s="215" t="s">
        <v>1411</v>
      </c>
      <c r="O27" s="156" t="s">
        <v>62</v>
      </c>
      <c r="P27" s="56"/>
      <c r="Q27" s="143" t="s">
        <v>62</v>
      </c>
      <c r="R27" s="56"/>
      <c r="S27" s="143" t="s">
        <v>62</v>
      </c>
      <c r="T27" s="56"/>
      <c r="U27" s="143" t="s">
        <v>62</v>
      </c>
      <c r="V27" s="56"/>
      <c r="W27" s="143" t="s">
        <v>62</v>
      </c>
      <c r="X27" s="56"/>
      <c r="Y27" s="143" t="s">
        <v>62</v>
      </c>
      <c r="Z27" s="56"/>
      <c r="AA27" s="143" t="s">
        <v>62</v>
      </c>
      <c r="AB27" s="56"/>
      <c r="AC27" s="143" t="s">
        <v>62</v>
      </c>
      <c r="AD27" s="56"/>
      <c r="AE27" s="143" t="s">
        <v>62</v>
      </c>
      <c r="AF27" s="142" t="str">
        <f t="shared" si="1"/>
        <v>NA</v>
      </c>
      <c r="AG27" s="190" t="str">
        <f t="shared" si="0"/>
        <v>NÃO AVALIADO POR FALHA DE SINCRONISMO</v>
      </c>
      <c r="AH27" s="143" t="s">
        <v>205</v>
      </c>
      <c r="AI27" s="150" t="s">
        <v>6</v>
      </c>
      <c r="AJ27" s="150" t="str">
        <f t="shared" si="2"/>
        <v>SÃO PAULO</v>
      </c>
      <c r="AK27" s="151" t="s">
        <v>60</v>
      </c>
    </row>
    <row r="28" spans="1:37" ht="30" customHeight="1">
      <c r="A28" s="215" t="s">
        <v>198</v>
      </c>
      <c r="B28" s="215">
        <v>2618454267</v>
      </c>
      <c r="C28" s="215" t="s">
        <v>1460</v>
      </c>
      <c r="D28" s="215" t="s">
        <v>112</v>
      </c>
      <c r="E28" s="215" t="s">
        <v>5</v>
      </c>
      <c r="F28" s="215" t="s">
        <v>404</v>
      </c>
      <c r="G28" s="215">
        <v>681</v>
      </c>
      <c r="H28" s="215" t="s">
        <v>226</v>
      </c>
      <c r="I28" s="215" t="s">
        <v>397</v>
      </c>
      <c r="J28" s="215" t="s">
        <v>1461</v>
      </c>
      <c r="K28" s="219" t="s">
        <v>1464</v>
      </c>
      <c r="L28" s="216">
        <v>46147.350694444445</v>
      </c>
      <c r="M28" s="216">
        <v>46147.357638888891</v>
      </c>
      <c r="N28" s="215" t="s">
        <v>1411</v>
      </c>
      <c r="O28" s="156" t="s">
        <v>62</v>
      </c>
      <c r="P28" s="56"/>
      <c r="Q28" s="143" t="s">
        <v>62</v>
      </c>
      <c r="R28" s="56"/>
      <c r="S28" s="143" t="s">
        <v>62</v>
      </c>
      <c r="T28" s="56"/>
      <c r="U28" s="143" t="s">
        <v>62</v>
      </c>
      <c r="V28" s="56"/>
      <c r="W28" s="143" t="s">
        <v>62</v>
      </c>
      <c r="X28" s="56"/>
      <c r="Y28" s="143" t="s">
        <v>62</v>
      </c>
      <c r="Z28" s="56"/>
      <c r="AA28" s="143" t="s">
        <v>62</v>
      </c>
      <c r="AB28" s="56"/>
      <c r="AC28" s="143" t="s">
        <v>62</v>
      </c>
      <c r="AD28" s="56"/>
      <c r="AE28" s="143" t="s">
        <v>62</v>
      </c>
      <c r="AF28" s="142" t="str">
        <f t="shared" si="1"/>
        <v>NA</v>
      </c>
      <c r="AG28" s="190" t="str">
        <f t="shared" si="0"/>
        <v>NÃO AVALIADO POR FALHA DE SINCRONISMO</v>
      </c>
      <c r="AH28" s="143" t="s">
        <v>205</v>
      </c>
      <c r="AI28" s="150" t="s">
        <v>6</v>
      </c>
      <c r="AJ28" s="150" t="str">
        <f t="shared" si="2"/>
        <v>SÃO PAULO</v>
      </c>
      <c r="AK28" s="151" t="s">
        <v>60</v>
      </c>
    </row>
    <row r="29" spans="1:37" ht="30" customHeight="1">
      <c r="A29" s="215" t="s">
        <v>198</v>
      </c>
      <c r="B29" s="215">
        <v>2618310695</v>
      </c>
      <c r="C29" s="215" t="s">
        <v>121</v>
      </c>
      <c r="D29" s="215" t="s">
        <v>112</v>
      </c>
      <c r="E29" s="215" t="s">
        <v>5</v>
      </c>
      <c r="F29" s="215" t="s">
        <v>1465</v>
      </c>
      <c r="G29" s="215">
        <v>201</v>
      </c>
      <c r="H29" s="215" t="s">
        <v>226</v>
      </c>
      <c r="I29" s="215" t="s">
        <v>215</v>
      </c>
      <c r="J29" s="215" t="s">
        <v>1406</v>
      </c>
      <c r="K29" s="215" t="s">
        <v>1466</v>
      </c>
      <c r="L29" s="216">
        <v>46147.470833333333</v>
      </c>
      <c r="M29" s="216">
        <v>46147.47152777778</v>
      </c>
      <c r="N29" s="215" t="s">
        <v>217</v>
      </c>
      <c r="O29" s="156" t="s">
        <v>205</v>
      </c>
      <c r="P29" s="56"/>
      <c r="Q29" s="143" t="s">
        <v>205</v>
      </c>
      <c r="R29" s="56"/>
      <c r="S29" s="143" t="s">
        <v>205</v>
      </c>
      <c r="T29" s="56"/>
      <c r="U29" s="143" t="s">
        <v>62</v>
      </c>
      <c r="V29" s="56"/>
      <c r="W29" s="143" t="s">
        <v>62</v>
      </c>
      <c r="X29" s="56"/>
      <c r="Y29" s="143" t="s">
        <v>62</v>
      </c>
      <c r="Z29" s="56"/>
      <c r="AA29" s="143" t="s">
        <v>62</v>
      </c>
      <c r="AB29" s="56"/>
      <c r="AC29" s="143" t="s">
        <v>205</v>
      </c>
      <c r="AD29" s="56"/>
      <c r="AE29" s="143" t="s">
        <v>205</v>
      </c>
      <c r="AF29" s="142" t="str">
        <f t="shared" si="1"/>
        <v>C</v>
      </c>
      <c r="AG29" s="190" t="str">
        <f t="shared" si="0"/>
        <v>UTILIZOU O PDA CORRETAMENTE</v>
      </c>
      <c r="AH29" s="143" t="s">
        <v>205</v>
      </c>
      <c r="AI29" s="150" t="s">
        <v>6</v>
      </c>
      <c r="AJ29" s="150" t="str">
        <f t="shared" si="2"/>
        <v>SÃO PAULO</v>
      </c>
      <c r="AK29" s="61" t="s">
        <v>60</v>
      </c>
    </row>
    <row r="30" spans="1:37" ht="30" customHeight="1">
      <c r="A30" s="215" t="s">
        <v>198</v>
      </c>
      <c r="B30" s="215">
        <v>2618310932</v>
      </c>
      <c r="C30" s="215" t="s">
        <v>121</v>
      </c>
      <c r="D30" s="215" t="s">
        <v>112</v>
      </c>
      <c r="E30" s="215" t="s">
        <v>5</v>
      </c>
      <c r="F30" s="215" t="s">
        <v>1467</v>
      </c>
      <c r="G30" s="215">
        <v>243</v>
      </c>
      <c r="H30" s="215"/>
      <c r="I30" s="215" t="s">
        <v>810</v>
      </c>
      <c r="J30" s="215" t="s">
        <v>1406</v>
      </c>
      <c r="K30" s="215"/>
      <c r="L30" s="216">
        <v>46147.397222222222</v>
      </c>
      <c r="M30" s="216">
        <v>46147.397916666669</v>
      </c>
      <c r="N30" s="215" t="s">
        <v>217</v>
      </c>
      <c r="O30" s="156" t="s">
        <v>205</v>
      </c>
      <c r="P30" s="56"/>
      <c r="Q30" s="143" t="s">
        <v>205</v>
      </c>
      <c r="R30" s="56"/>
      <c r="S30" s="143" t="s">
        <v>205</v>
      </c>
      <c r="T30" s="56"/>
      <c r="U30" s="143" t="s">
        <v>62</v>
      </c>
      <c r="V30" s="56"/>
      <c r="W30" s="143" t="s">
        <v>62</v>
      </c>
      <c r="X30" s="56"/>
      <c r="Y30" s="143" t="s">
        <v>62</v>
      </c>
      <c r="Z30" s="56"/>
      <c r="AA30" s="143" t="s">
        <v>62</v>
      </c>
      <c r="AB30" s="56"/>
      <c r="AC30" s="143" t="s">
        <v>239</v>
      </c>
      <c r="AD30" s="56" t="s">
        <v>1408</v>
      </c>
      <c r="AE30" s="143" t="s">
        <v>205</v>
      </c>
      <c r="AF30" s="142" t="str">
        <f t="shared" si="1"/>
        <v>NC</v>
      </c>
      <c r="AG30" s="190" t="str">
        <f t="shared" si="0"/>
        <v>UTILIZOU O PDA CORRETAMENTE. NÃO HÁ FOTOS DE TODAS AS ETAPAS</v>
      </c>
      <c r="AH30" s="143" t="s">
        <v>205</v>
      </c>
      <c r="AI30" s="150" t="s">
        <v>6</v>
      </c>
      <c r="AJ30" s="150" t="str">
        <f t="shared" si="2"/>
        <v>SÃO PAULO</v>
      </c>
      <c r="AK30" s="61" t="s">
        <v>60</v>
      </c>
    </row>
    <row r="31" spans="1:37" ht="30" customHeight="1">
      <c r="A31" s="215" t="s">
        <v>198</v>
      </c>
      <c r="B31" s="215">
        <v>2618416272</v>
      </c>
      <c r="C31" s="215" t="s">
        <v>121</v>
      </c>
      <c r="D31" s="215" t="s">
        <v>112</v>
      </c>
      <c r="E31" s="215" t="s">
        <v>5</v>
      </c>
      <c r="F31" s="215" t="s">
        <v>218</v>
      </c>
      <c r="G31" s="215">
        <v>99</v>
      </c>
      <c r="H31" s="215" t="s">
        <v>200</v>
      </c>
      <c r="I31" s="215" t="s">
        <v>219</v>
      </c>
      <c r="J31" s="215" t="s">
        <v>1406</v>
      </c>
      <c r="K31" s="215" t="s">
        <v>200</v>
      </c>
      <c r="L31" s="216">
        <v>46147.6875</v>
      </c>
      <c r="M31" s="216">
        <v>46147.688888888886</v>
      </c>
      <c r="N31" s="215" t="s">
        <v>217</v>
      </c>
      <c r="O31" s="156" t="s">
        <v>205</v>
      </c>
      <c r="P31" s="56"/>
      <c r="Q31" s="143" t="s">
        <v>205</v>
      </c>
      <c r="R31" s="56"/>
      <c r="S31" s="143" t="s">
        <v>205</v>
      </c>
      <c r="T31" s="56"/>
      <c r="U31" s="143" t="s">
        <v>62</v>
      </c>
      <c r="V31" s="56"/>
      <c r="W31" s="143" t="s">
        <v>62</v>
      </c>
      <c r="X31" s="56"/>
      <c r="Y31" s="143" t="s">
        <v>62</v>
      </c>
      <c r="Z31" s="56"/>
      <c r="AA31" s="143" t="s">
        <v>62</v>
      </c>
      <c r="AB31" s="56"/>
      <c r="AC31" s="143" t="s">
        <v>205</v>
      </c>
      <c r="AD31" s="56"/>
      <c r="AE31" s="143" t="s">
        <v>205</v>
      </c>
      <c r="AF31" s="142" t="str">
        <f t="shared" si="1"/>
        <v>C</v>
      </c>
      <c r="AG31" s="190" t="str">
        <f t="shared" si="0"/>
        <v>UTILIZOU O PDA CORRETAMENTE</v>
      </c>
      <c r="AH31" s="143" t="s">
        <v>205</v>
      </c>
      <c r="AI31" s="150" t="s">
        <v>6</v>
      </c>
      <c r="AJ31" s="150" t="str">
        <f t="shared" si="2"/>
        <v>SÃO PAULO</v>
      </c>
      <c r="AK31" s="61" t="s">
        <v>60</v>
      </c>
    </row>
    <row r="32" spans="1:37" ht="30" customHeight="1">
      <c r="A32" s="215" t="s">
        <v>198</v>
      </c>
      <c r="B32" s="215">
        <v>2618602841</v>
      </c>
      <c r="C32" s="215" t="s">
        <v>123</v>
      </c>
      <c r="D32" s="215" t="s">
        <v>109</v>
      </c>
      <c r="E32" s="215" t="s">
        <v>5</v>
      </c>
      <c r="F32" s="215" t="s">
        <v>1468</v>
      </c>
      <c r="G32" s="215">
        <v>618</v>
      </c>
      <c r="H32" s="215" t="s">
        <v>318</v>
      </c>
      <c r="I32" s="215" t="s">
        <v>343</v>
      </c>
      <c r="J32" s="215" t="s">
        <v>1409</v>
      </c>
      <c r="K32" s="219" t="s">
        <v>1469</v>
      </c>
      <c r="L32" s="216">
        <v>46147.378472222219</v>
      </c>
      <c r="M32" s="216">
        <v>46147.525000000001</v>
      </c>
      <c r="N32" s="215" t="s">
        <v>1429</v>
      </c>
      <c r="O32" s="156" t="s">
        <v>205</v>
      </c>
      <c r="P32" s="56"/>
      <c r="Q32" s="143" t="s">
        <v>205</v>
      </c>
      <c r="R32" s="56"/>
      <c r="S32" s="143" t="s">
        <v>205</v>
      </c>
      <c r="T32" s="56"/>
      <c r="U32" s="143" t="s">
        <v>205</v>
      </c>
      <c r="V32" s="56"/>
      <c r="W32" s="143" t="s">
        <v>205</v>
      </c>
      <c r="X32" s="56"/>
      <c r="Y32" s="143" t="s">
        <v>62</v>
      </c>
      <c r="Z32" s="56"/>
      <c r="AA32" s="143" t="s">
        <v>205</v>
      </c>
      <c r="AB32" s="56"/>
      <c r="AC32" s="143" t="s">
        <v>205</v>
      </c>
      <c r="AD32" s="56"/>
      <c r="AE32" s="143" t="s">
        <v>205</v>
      </c>
      <c r="AF32" s="142" t="str">
        <f t="shared" si="1"/>
        <v>C</v>
      </c>
      <c r="AG32" s="190" t="str">
        <f t="shared" si="0"/>
        <v>UTILIZOU O PDA CORRETAMENTE</v>
      </c>
      <c r="AH32" s="143" t="s">
        <v>205</v>
      </c>
      <c r="AI32" s="150" t="s">
        <v>6</v>
      </c>
      <c r="AJ32" s="150" t="str">
        <f t="shared" si="2"/>
        <v>SÃO PAULO</v>
      </c>
      <c r="AK32" s="61" t="s">
        <v>60</v>
      </c>
    </row>
    <row r="33" spans="1:37" ht="30" customHeight="1">
      <c r="A33" s="215" t="s">
        <v>198</v>
      </c>
      <c r="B33" s="215">
        <v>2618714138</v>
      </c>
      <c r="C33" s="215" t="s">
        <v>123</v>
      </c>
      <c r="D33" s="215" t="s">
        <v>109</v>
      </c>
      <c r="E33" s="215" t="s">
        <v>5</v>
      </c>
      <c r="F33" s="215" t="s">
        <v>1470</v>
      </c>
      <c r="G33" s="215">
        <v>235</v>
      </c>
      <c r="H33" s="215" t="s">
        <v>387</v>
      </c>
      <c r="I33" s="215" t="s">
        <v>1471</v>
      </c>
      <c r="J33" s="215" t="s">
        <v>1409</v>
      </c>
      <c r="K33" s="215" t="s">
        <v>1472</v>
      </c>
      <c r="L33" s="216">
        <v>46147.580555555556</v>
      </c>
      <c r="M33" s="216">
        <v>46147.584722222222</v>
      </c>
      <c r="N33" s="215" t="s">
        <v>1442</v>
      </c>
      <c r="O33" s="156" t="s">
        <v>205</v>
      </c>
      <c r="P33" s="56"/>
      <c r="Q33" s="143" t="s">
        <v>205</v>
      </c>
      <c r="R33" s="56"/>
      <c r="S33" s="143" t="s">
        <v>205</v>
      </c>
      <c r="T33" s="56"/>
      <c r="U33" s="143" t="s">
        <v>205</v>
      </c>
      <c r="V33" s="56"/>
      <c r="W33" s="143" t="s">
        <v>205</v>
      </c>
      <c r="X33" s="56"/>
      <c r="Y33" s="143" t="s">
        <v>205</v>
      </c>
      <c r="Z33" s="56"/>
      <c r="AA33" s="143" t="s">
        <v>205</v>
      </c>
      <c r="AB33" s="56"/>
      <c r="AC33" s="143" t="s">
        <v>205</v>
      </c>
      <c r="AD33" s="56"/>
      <c r="AE33" s="143" t="s">
        <v>205</v>
      </c>
      <c r="AF33" s="142" t="str">
        <f t="shared" si="1"/>
        <v>C</v>
      </c>
      <c r="AG33" s="190" t="str">
        <f t="shared" si="0"/>
        <v>UTILIZOU O PDA CORRETAMENTE</v>
      </c>
      <c r="AH33" s="143" t="s">
        <v>205</v>
      </c>
      <c r="AI33" s="150" t="s">
        <v>6</v>
      </c>
      <c r="AJ33" s="150" t="str">
        <f t="shared" si="2"/>
        <v>SÃO PAULO</v>
      </c>
      <c r="AK33" s="61" t="s">
        <v>60</v>
      </c>
    </row>
    <row r="34" spans="1:37" ht="30" customHeight="1">
      <c r="A34" s="215" t="s">
        <v>198</v>
      </c>
      <c r="B34" s="215">
        <v>2618714235</v>
      </c>
      <c r="C34" s="215" t="s">
        <v>116</v>
      </c>
      <c r="D34" s="215" t="s">
        <v>109</v>
      </c>
      <c r="E34" s="215" t="s">
        <v>5</v>
      </c>
      <c r="F34" s="215" t="s">
        <v>1470</v>
      </c>
      <c r="G34" s="215">
        <v>235</v>
      </c>
      <c r="H34" s="215" t="s">
        <v>387</v>
      </c>
      <c r="I34" s="215" t="s">
        <v>1471</v>
      </c>
      <c r="J34" s="215" t="s">
        <v>1448</v>
      </c>
      <c r="K34" s="215" t="s">
        <v>1473</v>
      </c>
      <c r="L34" s="216">
        <v>46147.57708333333</v>
      </c>
      <c r="M34" s="216">
        <v>46147.579861111109</v>
      </c>
      <c r="N34" s="215" t="s">
        <v>1442</v>
      </c>
      <c r="O34" s="156" t="s">
        <v>205</v>
      </c>
      <c r="P34" s="56"/>
      <c r="Q34" s="143" t="s">
        <v>205</v>
      </c>
      <c r="R34" s="56"/>
      <c r="S34" s="143" t="s">
        <v>205</v>
      </c>
      <c r="T34" s="56"/>
      <c r="U34" s="143" t="s">
        <v>205</v>
      </c>
      <c r="V34" s="56"/>
      <c r="W34" s="143" t="s">
        <v>205</v>
      </c>
      <c r="X34" s="56"/>
      <c r="Y34" s="143" t="s">
        <v>205</v>
      </c>
      <c r="Z34" s="56"/>
      <c r="AA34" s="143" t="s">
        <v>205</v>
      </c>
      <c r="AB34" s="56"/>
      <c r="AC34" s="143" t="s">
        <v>205</v>
      </c>
      <c r="AD34" s="143"/>
      <c r="AE34" s="143" t="s">
        <v>205</v>
      </c>
      <c r="AF34" s="142" t="str">
        <f t="shared" si="1"/>
        <v>C</v>
      </c>
      <c r="AG34" s="190" t="str">
        <f t="shared" si="0"/>
        <v>UTILIZOU O PDA CORRETAMENTE</v>
      </c>
      <c r="AH34" s="143" t="s">
        <v>205</v>
      </c>
      <c r="AI34" s="150" t="s">
        <v>6</v>
      </c>
      <c r="AJ34" s="150" t="str">
        <f t="shared" si="2"/>
        <v>SÃO PAULO</v>
      </c>
      <c r="AK34" s="61" t="s">
        <v>60</v>
      </c>
    </row>
    <row r="35" spans="1:37" ht="30" customHeight="1">
      <c r="A35" s="215" t="s">
        <v>198</v>
      </c>
      <c r="B35" s="215">
        <v>2618480877</v>
      </c>
      <c r="C35" s="215" t="s">
        <v>123</v>
      </c>
      <c r="D35" s="215" t="s">
        <v>109</v>
      </c>
      <c r="E35" s="215" t="s">
        <v>5</v>
      </c>
      <c r="F35" s="215" t="s">
        <v>1474</v>
      </c>
      <c r="G35" s="215">
        <v>60</v>
      </c>
      <c r="H35" s="215" t="s">
        <v>200</v>
      </c>
      <c r="I35" s="215" t="s">
        <v>1475</v>
      </c>
      <c r="J35" s="215" t="s">
        <v>1409</v>
      </c>
      <c r="K35" s="215" t="s">
        <v>1476</v>
      </c>
      <c r="L35" s="216">
        <v>46147.754166666666</v>
      </c>
      <c r="M35" s="216">
        <v>46147.761805555558</v>
      </c>
      <c r="N35" s="215" t="s">
        <v>1442</v>
      </c>
      <c r="O35" s="156" t="s">
        <v>205</v>
      </c>
      <c r="P35" s="56"/>
      <c r="Q35" s="143" t="s">
        <v>205</v>
      </c>
      <c r="R35" s="56"/>
      <c r="S35" s="143" t="s">
        <v>205</v>
      </c>
      <c r="T35" s="56"/>
      <c r="U35" s="143" t="s">
        <v>205</v>
      </c>
      <c r="V35" s="56"/>
      <c r="W35" s="143" t="s">
        <v>205</v>
      </c>
      <c r="X35" s="56"/>
      <c r="Y35" s="143" t="s">
        <v>205</v>
      </c>
      <c r="Z35" s="56"/>
      <c r="AA35" s="143" t="s">
        <v>205</v>
      </c>
      <c r="AB35" s="56"/>
      <c r="AC35" s="143" t="s">
        <v>205</v>
      </c>
      <c r="AD35" s="56"/>
      <c r="AE35" s="143" t="s">
        <v>205</v>
      </c>
      <c r="AF35" s="142" t="str">
        <f t="shared" si="1"/>
        <v>C</v>
      </c>
      <c r="AG35" s="190" t="str">
        <f t="shared" si="0"/>
        <v>UTILIZOU O PDA CORRETAMENTE</v>
      </c>
      <c r="AH35" s="143" t="s">
        <v>205</v>
      </c>
      <c r="AI35" s="150" t="s">
        <v>6</v>
      </c>
      <c r="AJ35" s="150" t="str">
        <f t="shared" si="2"/>
        <v>SÃO PAULO</v>
      </c>
      <c r="AK35" s="61" t="s">
        <v>60</v>
      </c>
    </row>
    <row r="36" spans="1:37" ht="30" customHeight="1">
      <c r="A36" s="215" t="s">
        <v>198</v>
      </c>
      <c r="B36" s="215">
        <v>2618623877</v>
      </c>
      <c r="C36" s="215" t="s">
        <v>1477</v>
      </c>
      <c r="D36" s="215" t="s">
        <v>109</v>
      </c>
      <c r="E36" s="215" t="s">
        <v>5</v>
      </c>
      <c r="F36" s="215" t="s">
        <v>1478</v>
      </c>
      <c r="G36" s="215">
        <v>1079</v>
      </c>
      <c r="H36" s="215"/>
      <c r="I36" s="215" t="s">
        <v>465</v>
      </c>
      <c r="J36" s="215" t="s">
        <v>1479</v>
      </c>
      <c r="K36" s="215" t="s">
        <v>1480</v>
      </c>
      <c r="L36" s="216">
        <v>46147.763194444444</v>
      </c>
      <c r="M36" s="216">
        <v>46147.770138888889</v>
      </c>
      <c r="N36" s="215" t="s">
        <v>1442</v>
      </c>
      <c r="O36" s="156" t="s">
        <v>205</v>
      </c>
      <c r="P36" s="56"/>
      <c r="Q36" s="143" t="s">
        <v>205</v>
      </c>
      <c r="R36" s="56"/>
      <c r="S36" s="143" t="s">
        <v>205</v>
      </c>
      <c r="T36" s="56"/>
      <c r="U36" s="143" t="s">
        <v>205</v>
      </c>
      <c r="V36" s="56"/>
      <c r="W36" s="143" t="s">
        <v>205</v>
      </c>
      <c r="X36" s="56"/>
      <c r="Y36" s="143" t="s">
        <v>62</v>
      </c>
      <c r="Z36" s="56"/>
      <c r="AA36" s="143" t="s">
        <v>205</v>
      </c>
      <c r="AB36" s="56"/>
      <c r="AC36" s="143" t="s">
        <v>205</v>
      </c>
      <c r="AD36" s="56"/>
      <c r="AE36" s="143" t="s">
        <v>205</v>
      </c>
      <c r="AF36" s="142" t="str">
        <f t="shared" si="1"/>
        <v>C</v>
      </c>
      <c r="AG36" s="190" t="str">
        <f t="shared" si="0"/>
        <v>UTILIZOU O PDA CORRETAMENTE</v>
      </c>
      <c r="AH36" s="143" t="s">
        <v>205</v>
      </c>
      <c r="AI36" s="150" t="s">
        <v>6</v>
      </c>
      <c r="AJ36" s="150" t="str">
        <f t="shared" si="2"/>
        <v>SÃO PAULO</v>
      </c>
      <c r="AK36" s="61" t="s">
        <v>60</v>
      </c>
    </row>
    <row r="37" spans="1:37" ht="30" customHeight="1">
      <c r="A37" s="215" t="s">
        <v>198</v>
      </c>
      <c r="B37" s="215">
        <v>2618753309</v>
      </c>
      <c r="C37" s="215" t="s">
        <v>1477</v>
      </c>
      <c r="D37" s="215" t="s">
        <v>109</v>
      </c>
      <c r="E37" s="215" t="s">
        <v>5</v>
      </c>
      <c r="F37" s="215" t="s">
        <v>1450</v>
      </c>
      <c r="G37" s="215">
        <v>131</v>
      </c>
      <c r="H37" s="215"/>
      <c r="I37" s="215" t="s">
        <v>438</v>
      </c>
      <c r="J37" s="215" t="s">
        <v>1479</v>
      </c>
      <c r="K37" s="219" t="s">
        <v>1481</v>
      </c>
      <c r="L37" s="216">
        <v>46147.660416666666</v>
      </c>
      <c r="M37" s="216">
        <v>46147.662499999999</v>
      </c>
      <c r="N37" s="215" t="s">
        <v>1429</v>
      </c>
      <c r="O37" s="156" t="s">
        <v>205</v>
      </c>
      <c r="P37" s="56"/>
      <c r="Q37" s="143" t="s">
        <v>239</v>
      </c>
      <c r="R37" s="56" t="s">
        <v>1482</v>
      </c>
      <c r="S37" s="143" t="s">
        <v>205</v>
      </c>
      <c r="T37" s="56"/>
      <c r="U37" s="143" t="s">
        <v>205</v>
      </c>
      <c r="V37" s="56"/>
      <c r="W37" s="143" t="s">
        <v>205</v>
      </c>
      <c r="X37" s="56"/>
      <c r="Y37" s="143" t="s">
        <v>62</v>
      </c>
      <c r="Z37" s="56"/>
      <c r="AA37" s="143" t="s">
        <v>205</v>
      </c>
      <c r="AB37" s="56"/>
      <c r="AC37" s="143" t="s">
        <v>205</v>
      </c>
      <c r="AD37" s="56"/>
      <c r="AE37" s="143" t="s">
        <v>205</v>
      </c>
      <c r="AF37" s="142" t="str">
        <f t="shared" si="1"/>
        <v>NC</v>
      </c>
      <c r="AG37" s="190" t="str">
        <f t="shared" si="0"/>
        <v>UTILIZOU O PDA CORRETAMENTE. NÃO HÁ FOTOS DE TODAS AS ETAPAS</v>
      </c>
      <c r="AH37" s="143" t="s">
        <v>205</v>
      </c>
      <c r="AI37" s="150" t="s">
        <v>6</v>
      </c>
      <c r="AJ37" s="150" t="str">
        <f t="shared" si="2"/>
        <v>SÃO PAULO</v>
      </c>
      <c r="AK37" s="61" t="s">
        <v>60</v>
      </c>
    </row>
    <row r="38" spans="1:37" ht="30" customHeight="1">
      <c r="A38" s="215" t="s">
        <v>198</v>
      </c>
      <c r="B38" s="215">
        <v>2618415803</v>
      </c>
      <c r="C38" s="215" t="s">
        <v>121</v>
      </c>
      <c r="D38" s="215" t="s">
        <v>112</v>
      </c>
      <c r="E38" s="215" t="s">
        <v>5</v>
      </c>
      <c r="F38" s="215" t="s">
        <v>1483</v>
      </c>
      <c r="G38" s="215">
        <v>66</v>
      </c>
      <c r="H38" s="215" t="s">
        <v>200</v>
      </c>
      <c r="I38" s="215" t="s">
        <v>260</v>
      </c>
      <c r="J38" s="215" t="s">
        <v>1406</v>
      </c>
      <c r="K38" s="215" t="s">
        <v>200</v>
      </c>
      <c r="L38" s="216">
        <v>46147.865972222222</v>
      </c>
      <c r="M38" s="216">
        <v>46147.890972222223</v>
      </c>
      <c r="N38" s="215" t="s">
        <v>297</v>
      </c>
      <c r="O38" s="156" t="s">
        <v>205</v>
      </c>
      <c r="P38" s="56"/>
      <c r="Q38" s="143" t="s">
        <v>205</v>
      </c>
      <c r="R38" s="56"/>
      <c r="S38" s="143" t="s">
        <v>206</v>
      </c>
      <c r="T38" s="56"/>
      <c r="U38" s="143" t="s">
        <v>62</v>
      </c>
      <c r="V38" s="56"/>
      <c r="W38" s="143" t="s">
        <v>62</v>
      </c>
      <c r="X38" s="56"/>
      <c r="Y38" s="143" t="s">
        <v>62</v>
      </c>
      <c r="Z38" s="56"/>
      <c r="AA38" s="143" t="s">
        <v>62</v>
      </c>
      <c r="AB38" s="56"/>
      <c r="AC38" s="143" t="s">
        <v>205</v>
      </c>
      <c r="AD38" s="56"/>
      <c r="AE38" s="143" t="s">
        <v>205</v>
      </c>
      <c r="AF38" s="142" t="str">
        <f t="shared" si="1"/>
        <v>NC</v>
      </c>
      <c r="AG38" s="190" t="str">
        <f t="shared" si="0"/>
        <v>UTILIZOU O PDA CORRETAMENTE. NÃO HÁ FOTOS DE TODAS AS ETAPAS</v>
      </c>
      <c r="AH38" s="143" t="s">
        <v>205</v>
      </c>
      <c r="AI38" s="150" t="s">
        <v>6</v>
      </c>
      <c r="AJ38" s="150" t="str">
        <f t="shared" si="2"/>
        <v>SÃO PAULO</v>
      </c>
      <c r="AK38" s="61" t="s">
        <v>60</v>
      </c>
    </row>
    <row r="39" spans="1:37" ht="30" customHeight="1">
      <c r="A39" s="215" t="s">
        <v>198</v>
      </c>
      <c r="B39" s="215">
        <v>2618415985</v>
      </c>
      <c r="C39" s="215" t="s">
        <v>121</v>
      </c>
      <c r="D39" s="215" t="s">
        <v>112</v>
      </c>
      <c r="E39" s="215" t="s">
        <v>5</v>
      </c>
      <c r="F39" s="215" t="s">
        <v>1484</v>
      </c>
      <c r="G39" s="215">
        <v>110</v>
      </c>
      <c r="H39" s="215" t="s">
        <v>318</v>
      </c>
      <c r="I39" s="215" t="s">
        <v>1485</v>
      </c>
      <c r="J39" s="215" t="s">
        <v>1406</v>
      </c>
      <c r="K39" s="215" t="s">
        <v>200</v>
      </c>
      <c r="L39" s="216">
        <v>46178.491666666669</v>
      </c>
      <c r="M39" s="216">
        <v>46178.492361111108</v>
      </c>
      <c r="N39" s="215" t="s">
        <v>217</v>
      </c>
      <c r="O39" s="156" t="s">
        <v>205</v>
      </c>
      <c r="P39" s="56"/>
      <c r="Q39" s="143" t="s">
        <v>205</v>
      </c>
      <c r="R39" s="56"/>
      <c r="S39" s="143" t="s">
        <v>205</v>
      </c>
      <c r="T39" s="56"/>
      <c r="U39" s="143" t="s">
        <v>62</v>
      </c>
      <c r="V39" s="56"/>
      <c r="W39" s="143" t="s">
        <v>62</v>
      </c>
      <c r="X39" s="56"/>
      <c r="Y39" s="143" t="s">
        <v>62</v>
      </c>
      <c r="Z39" s="56"/>
      <c r="AA39" s="143" t="s">
        <v>62</v>
      </c>
      <c r="AB39" s="56"/>
      <c r="AC39" s="143" t="s">
        <v>205</v>
      </c>
      <c r="AD39" s="56"/>
      <c r="AE39" s="143" t="s">
        <v>205</v>
      </c>
      <c r="AF39" s="142" t="str">
        <f t="shared" si="1"/>
        <v>C</v>
      </c>
      <c r="AG39" s="190" t="str">
        <f t="shared" si="0"/>
        <v>UTILIZOU O PDA CORRETAMENTE</v>
      </c>
      <c r="AH39" s="143" t="s">
        <v>205</v>
      </c>
      <c r="AI39" s="150" t="s">
        <v>6</v>
      </c>
      <c r="AJ39" s="150" t="str">
        <f t="shared" si="2"/>
        <v>SÃO PAULO</v>
      </c>
      <c r="AK39" s="61" t="s">
        <v>60</v>
      </c>
    </row>
    <row r="40" spans="1:37" ht="30" customHeight="1">
      <c r="A40" s="215" t="s">
        <v>198</v>
      </c>
      <c r="B40" s="215">
        <v>2618424973</v>
      </c>
      <c r="C40" s="215" t="s">
        <v>1486</v>
      </c>
      <c r="D40" s="215" t="s">
        <v>112</v>
      </c>
      <c r="E40" s="215" t="s">
        <v>5</v>
      </c>
      <c r="F40" s="215" t="s">
        <v>1437</v>
      </c>
      <c r="G40" s="215">
        <v>5696</v>
      </c>
      <c r="H40" s="215"/>
      <c r="I40" s="215" t="s">
        <v>260</v>
      </c>
      <c r="J40" s="215" t="s">
        <v>1487</v>
      </c>
      <c r="K40" s="215" t="s">
        <v>1466</v>
      </c>
      <c r="L40" s="216">
        <v>46178.428472222222</v>
      </c>
      <c r="M40" s="216">
        <v>46178.430555555555</v>
      </c>
      <c r="N40" s="215" t="s">
        <v>217</v>
      </c>
      <c r="O40" s="156" t="s">
        <v>205</v>
      </c>
      <c r="P40" s="56"/>
      <c r="Q40" s="143" t="s">
        <v>205</v>
      </c>
      <c r="R40" s="56"/>
      <c r="S40" s="143" t="s">
        <v>205</v>
      </c>
      <c r="T40" s="56"/>
      <c r="U40" s="143" t="s">
        <v>62</v>
      </c>
      <c r="V40" s="56"/>
      <c r="W40" s="143" t="s">
        <v>62</v>
      </c>
      <c r="X40" s="56"/>
      <c r="Y40" s="143" t="s">
        <v>62</v>
      </c>
      <c r="Z40" s="56"/>
      <c r="AA40" s="143" t="s">
        <v>62</v>
      </c>
      <c r="AB40" s="56"/>
      <c r="AC40" s="143" t="s">
        <v>205</v>
      </c>
      <c r="AD40" s="56"/>
      <c r="AE40" s="143" t="s">
        <v>205</v>
      </c>
      <c r="AF40" s="142" t="str">
        <f t="shared" si="1"/>
        <v>C</v>
      </c>
      <c r="AG40" s="190" t="str">
        <f t="shared" si="0"/>
        <v>UTILIZOU O PDA CORRETAMENTE</v>
      </c>
      <c r="AH40" s="143" t="s">
        <v>205</v>
      </c>
      <c r="AI40" s="150" t="s">
        <v>6</v>
      </c>
      <c r="AJ40" s="150" t="str">
        <f t="shared" si="2"/>
        <v>SÃO PAULO</v>
      </c>
      <c r="AK40" s="61" t="s">
        <v>60</v>
      </c>
    </row>
    <row r="41" spans="1:37" ht="30" customHeight="1">
      <c r="A41" s="215" t="s">
        <v>198</v>
      </c>
      <c r="B41" s="215">
        <v>2618691798</v>
      </c>
      <c r="C41" s="215" t="s">
        <v>1477</v>
      </c>
      <c r="D41" s="215" t="s">
        <v>109</v>
      </c>
      <c r="E41" s="215" t="s">
        <v>5</v>
      </c>
      <c r="F41" s="215" t="s">
        <v>721</v>
      </c>
      <c r="G41" s="215">
        <v>1123</v>
      </c>
      <c r="H41" s="215" t="s">
        <v>200</v>
      </c>
      <c r="I41" s="215" t="s">
        <v>589</v>
      </c>
      <c r="J41" s="215" t="s">
        <v>1479</v>
      </c>
      <c r="K41" s="215" t="s">
        <v>1488</v>
      </c>
      <c r="L41" s="216">
        <v>46178.510416666664</v>
      </c>
      <c r="M41" s="216">
        <v>46178.604166666664</v>
      </c>
      <c r="N41" s="215" t="s">
        <v>1442</v>
      </c>
      <c r="O41" s="156" t="s">
        <v>205</v>
      </c>
      <c r="P41" s="56"/>
      <c r="Q41" s="143" t="s">
        <v>205</v>
      </c>
      <c r="R41" s="56"/>
      <c r="S41" s="143" t="s">
        <v>205</v>
      </c>
      <c r="T41" s="56"/>
      <c r="U41" s="143" t="s">
        <v>205</v>
      </c>
      <c r="V41" s="56"/>
      <c r="W41" s="143" t="s">
        <v>205</v>
      </c>
      <c r="X41" s="56"/>
      <c r="Y41" s="143" t="s">
        <v>62</v>
      </c>
      <c r="Z41" s="56"/>
      <c r="AA41" s="143" t="s">
        <v>62</v>
      </c>
      <c r="AB41" s="56"/>
      <c r="AC41" s="143" t="s">
        <v>205</v>
      </c>
      <c r="AD41" s="56"/>
      <c r="AE41" s="143" t="s">
        <v>205</v>
      </c>
      <c r="AF41" s="142" t="str">
        <f t="shared" si="1"/>
        <v>C</v>
      </c>
      <c r="AG41" s="190" t="str">
        <f t="shared" si="0"/>
        <v>UTILIZOU O PDA CORRETAMENTE</v>
      </c>
      <c r="AH41" s="143" t="s">
        <v>205</v>
      </c>
      <c r="AI41" s="150" t="s">
        <v>6</v>
      </c>
      <c r="AJ41" s="150" t="str">
        <f t="shared" si="2"/>
        <v>SÃO PAULO</v>
      </c>
      <c r="AK41" s="61" t="s">
        <v>60</v>
      </c>
    </row>
    <row r="42" spans="1:37" ht="30" customHeight="1">
      <c r="A42" s="215" t="s">
        <v>198</v>
      </c>
      <c r="B42" s="215">
        <v>2618880846</v>
      </c>
      <c r="C42" s="215" t="s">
        <v>116</v>
      </c>
      <c r="D42" s="215" t="s">
        <v>109</v>
      </c>
      <c r="E42" s="215" t="s">
        <v>5</v>
      </c>
      <c r="F42" s="215" t="s">
        <v>940</v>
      </c>
      <c r="G42" s="215">
        <v>4049</v>
      </c>
      <c r="H42" s="215" t="s">
        <v>226</v>
      </c>
      <c r="I42" s="215" t="s">
        <v>289</v>
      </c>
      <c r="J42" s="215" t="s">
        <v>1448</v>
      </c>
      <c r="K42" s="219" t="s">
        <v>1489</v>
      </c>
      <c r="L42" s="216">
        <v>46178.477777777778</v>
      </c>
      <c r="M42" s="216">
        <v>46178.487500000003</v>
      </c>
      <c r="N42" s="215" t="s">
        <v>1426</v>
      </c>
      <c r="O42" s="156" t="s">
        <v>205</v>
      </c>
      <c r="P42" s="56"/>
      <c r="Q42" s="143" t="s">
        <v>205</v>
      </c>
      <c r="R42" s="56"/>
      <c r="S42" s="143" t="s">
        <v>205</v>
      </c>
      <c r="T42" s="56"/>
      <c r="U42" s="143" t="s">
        <v>205</v>
      </c>
      <c r="V42" s="56"/>
      <c r="W42" s="143" t="s">
        <v>205</v>
      </c>
      <c r="X42" s="56"/>
      <c r="Y42" s="143" t="s">
        <v>205</v>
      </c>
      <c r="Z42" s="56"/>
      <c r="AA42" s="143" t="s">
        <v>205</v>
      </c>
      <c r="AB42" s="56"/>
      <c r="AC42" s="143" t="s">
        <v>205</v>
      </c>
      <c r="AD42" s="56"/>
      <c r="AE42" s="143" t="s">
        <v>205</v>
      </c>
      <c r="AF42" s="142" t="str">
        <f t="shared" si="1"/>
        <v>C</v>
      </c>
      <c r="AG42" s="190" t="str">
        <f t="shared" si="0"/>
        <v>UTILIZOU O PDA CORRETAMENTE</v>
      </c>
      <c r="AH42" s="143" t="s">
        <v>205</v>
      </c>
      <c r="AI42" s="150" t="s">
        <v>6</v>
      </c>
      <c r="AJ42" s="150" t="str">
        <f t="shared" si="2"/>
        <v>SÃO PAULO</v>
      </c>
      <c r="AK42" s="61" t="s">
        <v>60</v>
      </c>
    </row>
    <row r="43" spans="1:37" ht="30" customHeight="1">
      <c r="A43" s="215" t="s">
        <v>198</v>
      </c>
      <c r="B43" s="215">
        <v>2618895290</v>
      </c>
      <c r="C43" s="215" t="s">
        <v>116</v>
      </c>
      <c r="D43" s="215" t="s">
        <v>109</v>
      </c>
      <c r="E43" s="215" t="s">
        <v>5</v>
      </c>
      <c r="F43" s="215" t="s">
        <v>940</v>
      </c>
      <c r="G43" s="215">
        <v>4153</v>
      </c>
      <c r="H43" s="215"/>
      <c r="I43" s="215" t="s">
        <v>1173</v>
      </c>
      <c r="J43" s="215" t="s">
        <v>1448</v>
      </c>
      <c r="K43" s="219" t="s">
        <v>1449</v>
      </c>
      <c r="L43" s="216">
        <v>46178.70208333333</v>
      </c>
      <c r="M43" s="216">
        <v>46178.704861111109</v>
      </c>
      <c r="N43" s="215" t="s">
        <v>1426</v>
      </c>
      <c r="O43" s="156" t="s">
        <v>205</v>
      </c>
      <c r="P43" s="56"/>
      <c r="Q43" s="143" t="s">
        <v>205</v>
      </c>
      <c r="R43" s="56"/>
      <c r="S43" s="143" t="s">
        <v>205</v>
      </c>
      <c r="T43" s="56"/>
      <c r="U43" s="143" t="s">
        <v>205</v>
      </c>
      <c r="V43" s="56"/>
      <c r="W43" s="143" t="s">
        <v>205</v>
      </c>
      <c r="X43" s="56"/>
      <c r="Y43" s="143" t="s">
        <v>205</v>
      </c>
      <c r="Z43" s="56"/>
      <c r="AA43" s="143" t="s">
        <v>205</v>
      </c>
      <c r="AB43" s="56"/>
      <c r="AC43" s="143" t="s">
        <v>205</v>
      </c>
      <c r="AD43" s="56"/>
      <c r="AE43" s="143" t="s">
        <v>205</v>
      </c>
      <c r="AF43" s="142" t="str">
        <f t="shared" si="1"/>
        <v>C</v>
      </c>
      <c r="AG43" s="190" t="str">
        <f t="shared" si="0"/>
        <v>UTILIZOU O PDA CORRETAMENTE</v>
      </c>
      <c r="AH43" s="143" t="s">
        <v>205</v>
      </c>
      <c r="AI43" s="150" t="s">
        <v>6</v>
      </c>
      <c r="AJ43" s="150" t="str">
        <f t="shared" si="2"/>
        <v>SÃO PAULO</v>
      </c>
      <c r="AK43" s="61" t="s">
        <v>60</v>
      </c>
    </row>
    <row r="44" spans="1:37" ht="30" customHeight="1">
      <c r="A44" s="215" t="s">
        <v>198</v>
      </c>
      <c r="B44" s="215">
        <v>2618879672</v>
      </c>
      <c r="C44" s="215" t="s">
        <v>1490</v>
      </c>
      <c r="D44" s="215" t="s">
        <v>111</v>
      </c>
      <c r="E44" s="215" t="s">
        <v>5</v>
      </c>
      <c r="F44" s="215" t="s">
        <v>1253</v>
      </c>
      <c r="G44" s="215">
        <v>344</v>
      </c>
      <c r="H44" s="215" t="s">
        <v>200</v>
      </c>
      <c r="I44" s="215" t="s">
        <v>246</v>
      </c>
      <c r="J44" s="215" t="s">
        <v>1491</v>
      </c>
      <c r="K44" s="219" t="s">
        <v>1492</v>
      </c>
      <c r="L44" s="216">
        <v>46178.731249999997</v>
      </c>
      <c r="M44" s="216">
        <v>46178.732638888891</v>
      </c>
      <c r="N44" s="215" t="s">
        <v>1429</v>
      </c>
      <c r="O44" s="156" t="s">
        <v>206</v>
      </c>
      <c r="P44" s="56"/>
      <c r="Q44" s="143" t="s">
        <v>206</v>
      </c>
      <c r="R44" s="56"/>
      <c r="S44" s="143" t="s">
        <v>206</v>
      </c>
      <c r="T44" s="56"/>
      <c r="U44" s="143" t="s">
        <v>206</v>
      </c>
      <c r="V44" s="56"/>
      <c r="W44" s="143" t="s">
        <v>206</v>
      </c>
      <c r="X44" s="56"/>
      <c r="Y44" s="143" t="s">
        <v>206</v>
      </c>
      <c r="Z44" s="56"/>
      <c r="AA44" s="143" t="s">
        <v>206</v>
      </c>
      <c r="AB44" s="56"/>
      <c r="AC44" s="143" t="s">
        <v>206</v>
      </c>
      <c r="AD44" s="56" t="s">
        <v>1493</v>
      </c>
      <c r="AE44" s="143" t="s">
        <v>239</v>
      </c>
      <c r="AF44" s="142" t="str">
        <f t="shared" si="1"/>
        <v>NC</v>
      </c>
      <c r="AG44" s="190" t="str">
        <f t="shared" si="0"/>
        <v>NÃO UTILIZOU O PDA</v>
      </c>
      <c r="AH44" s="143" t="s">
        <v>205</v>
      </c>
      <c r="AI44" s="150" t="s">
        <v>6</v>
      </c>
      <c r="AJ44" s="150" t="str">
        <f t="shared" si="2"/>
        <v>SÃO PAULO</v>
      </c>
      <c r="AK44" s="61" t="s">
        <v>60</v>
      </c>
    </row>
    <row r="45" spans="1:37" ht="30" customHeight="1">
      <c r="A45" s="215" t="s">
        <v>198</v>
      </c>
      <c r="B45" s="215">
        <v>2618867713</v>
      </c>
      <c r="C45" s="215" t="s">
        <v>1490</v>
      </c>
      <c r="D45" s="215" t="s">
        <v>111</v>
      </c>
      <c r="E45" s="215" t="s">
        <v>5</v>
      </c>
      <c r="F45" s="215" t="s">
        <v>1253</v>
      </c>
      <c r="G45" s="215">
        <v>350</v>
      </c>
      <c r="H45" s="215"/>
      <c r="I45" s="215" t="s">
        <v>246</v>
      </c>
      <c r="J45" s="215" t="s">
        <v>1491</v>
      </c>
      <c r="K45" s="219" t="s">
        <v>1494</v>
      </c>
      <c r="L45" s="216">
        <v>46178.736805555556</v>
      </c>
      <c r="M45" s="216">
        <v>46178.738194444442</v>
      </c>
      <c r="N45" s="215" t="s">
        <v>1429</v>
      </c>
      <c r="O45" s="156" t="s">
        <v>206</v>
      </c>
      <c r="P45" s="56"/>
      <c r="Q45" s="143" t="s">
        <v>206</v>
      </c>
      <c r="R45" s="56"/>
      <c r="S45" s="143" t="s">
        <v>206</v>
      </c>
      <c r="T45" s="56"/>
      <c r="U45" s="143" t="s">
        <v>206</v>
      </c>
      <c r="V45" s="56"/>
      <c r="W45" s="143" t="s">
        <v>206</v>
      </c>
      <c r="X45" s="56"/>
      <c r="Y45" s="143" t="s">
        <v>206</v>
      </c>
      <c r="Z45" s="56"/>
      <c r="AA45" s="143" t="s">
        <v>206</v>
      </c>
      <c r="AB45" s="56"/>
      <c r="AC45" s="143" t="s">
        <v>206</v>
      </c>
      <c r="AD45" s="56" t="s">
        <v>1493</v>
      </c>
      <c r="AE45" s="143" t="s">
        <v>239</v>
      </c>
      <c r="AF45" s="142" t="str">
        <f t="shared" si="1"/>
        <v>NC</v>
      </c>
      <c r="AG45" s="190" t="str">
        <f t="shared" si="0"/>
        <v>NÃO UTILIZOU O PDA</v>
      </c>
      <c r="AH45" s="143" t="s">
        <v>205</v>
      </c>
      <c r="AI45" s="150" t="s">
        <v>6</v>
      </c>
      <c r="AJ45" s="150" t="str">
        <f t="shared" si="2"/>
        <v>SÃO PAULO</v>
      </c>
      <c r="AK45" s="61" t="s">
        <v>60</v>
      </c>
    </row>
    <row r="46" spans="1:37" ht="30" customHeight="1">
      <c r="A46" s="215" t="s">
        <v>198</v>
      </c>
      <c r="B46" s="215">
        <v>2618867317</v>
      </c>
      <c r="C46" s="215" t="s">
        <v>1490</v>
      </c>
      <c r="D46" s="215" t="s">
        <v>111</v>
      </c>
      <c r="E46" s="215" t="s">
        <v>5</v>
      </c>
      <c r="F46" s="215" t="s">
        <v>1253</v>
      </c>
      <c r="G46" s="215">
        <v>320</v>
      </c>
      <c r="H46" s="215" t="s">
        <v>200</v>
      </c>
      <c r="I46" s="215" t="s">
        <v>246</v>
      </c>
      <c r="J46" s="215" t="s">
        <v>1491</v>
      </c>
      <c r="K46" s="219" t="s">
        <v>1494</v>
      </c>
      <c r="L46" s="216">
        <v>46178.740972222222</v>
      </c>
      <c r="M46" s="216">
        <v>46178.743055555555</v>
      </c>
      <c r="N46" s="215" t="s">
        <v>1429</v>
      </c>
      <c r="O46" s="159" t="s">
        <v>206</v>
      </c>
      <c r="P46" s="56"/>
      <c r="Q46" s="143" t="s">
        <v>206</v>
      </c>
      <c r="R46" s="56"/>
      <c r="S46" s="143" t="s">
        <v>206</v>
      </c>
      <c r="T46" s="56"/>
      <c r="U46" s="143" t="s">
        <v>206</v>
      </c>
      <c r="V46" s="56"/>
      <c r="W46" s="143" t="s">
        <v>206</v>
      </c>
      <c r="X46" s="56"/>
      <c r="Y46" s="143" t="s">
        <v>206</v>
      </c>
      <c r="Z46" s="56"/>
      <c r="AA46" s="143" t="s">
        <v>206</v>
      </c>
      <c r="AB46" s="56"/>
      <c r="AC46" s="143" t="s">
        <v>206</v>
      </c>
      <c r="AD46" s="56" t="s">
        <v>1493</v>
      </c>
      <c r="AE46" s="143" t="s">
        <v>239</v>
      </c>
      <c r="AF46" s="142" t="str">
        <f t="shared" si="1"/>
        <v>NC</v>
      </c>
      <c r="AG46" s="190" t="str">
        <f t="shared" si="0"/>
        <v>NÃO UTILIZOU O PDA</v>
      </c>
      <c r="AH46" s="143" t="s">
        <v>205</v>
      </c>
      <c r="AI46" s="150" t="s">
        <v>6</v>
      </c>
      <c r="AJ46" s="150" t="str">
        <f t="shared" ref="AJ46:AJ95" si="3">E46</f>
        <v>SÃO PAULO</v>
      </c>
      <c r="AK46" s="61" t="s">
        <v>60</v>
      </c>
    </row>
    <row r="47" spans="1:37" ht="30" customHeight="1">
      <c r="A47" s="215" t="s">
        <v>198</v>
      </c>
      <c r="B47" s="215">
        <v>2618867811</v>
      </c>
      <c r="C47" s="215" t="s">
        <v>1490</v>
      </c>
      <c r="D47" s="215" t="s">
        <v>111</v>
      </c>
      <c r="E47" s="215" t="s">
        <v>5</v>
      </c>
      <c r="F47" s="215" t="s">
        <v>1253</v>
      </c>
      <c r="G47" s="215">
        <v>358</v>
      </c>
      <c r="H47" s="215"/>
      <c r="I47" s="215" t="s">
        <v>246</v>
      </c>
      <c r="J47" s="215" t="s">
        <v>1491</v>
      </c>
      <c r="K47" s="219" t="s">
        <v>1495</v>
      </c>
      <c r="L47" s="216">
        <v>46178.738888888889</v>
      </c>
      <c r="M47" s="216">
        <v>46178.740972222222</v>
      </c>
      <c r="N47" s="215" t="s">
        <v>1429</v>
      </c>
      <c r="O47" s="156" t="s">
        <v>206</v>
      </c>
      <c r="P47" s="56"/>
      <c r="Q47" s="143" t="s">
        <v>206</v>
      </c>
      <c r="R47" s="56"/>
      <c r="S47" s="143" t="s">
        <v>206</v>
      </c>
      <c r="T47" s="56"/>
      <c r="U47" s="143" t="s">
        <v>206</v>
      </c>
      <c r="V47" s="56"/>
      <c r="W47" s="143" t="s">
        <v>206</v>
      </c>
      <c r="X47" s="56"/>
      <c r="Y47" s="143" t="s">
        <v>206</v>
      </c>
      <c r="Z47" s="56"/>
      <c r="AA47" s="143" t="s">
        <v>206</v>
      </c>
      <c r="AB47" s="56"/>
      <c r="AC47" s="143" t="s">
        <v>206</v>
      </c>
      <c r="AD47" s="56" t="s">
        <v>1493</v>
      </c>
      <c r="AE47" s="143" t="s">
        <v>239</v>
      </c>
      <c r="AF47" s="142" t="str">
        <f t="shared" si="1"/>
        <v>NC</v>
      </c>
      <c r="AG47" s="190" t="str">
        <f t="shared" si="0"/>
        <v>NÃO UTILIZOU O PDA</v>
      </c>
      <c r="AH47" s="143" t="s">
        <v>205</v>
      </c>
      <c r="AI47" s="150" t="s">
        <v>6</v>
      </c>
      <c r="AJ47" s="150" t="str">
        <f t="shared" si="3"/>
        <v>SÃO PAULO</v>
      </c>
      <c r="AK47" s="61" t="s">
        <v>60</v>
      </c>
    </row>
    <row r="48" spans="1:37" ht="30" customHeight="1">
      <c r="A48" s="215" t="s">
        <v>198</v>
      </c>
      <c r="B48" s="215">
        <v>2618867426</v>
      </c>
      <c r="C48" s="215" t="s">
        <v>1490</v>
      </c>
      <c r="D48" s="215" t="s">
        <v>111</v>
      </c>
      <c r="E48" s="215" t="s">
        <v>5</v>
      </c>
      <c r="F48" s="215" t="s">
        <v>1253</v>
      </c>
      <c r="G48" s="215">
        <v>324</v>
      </c>
      <c r="H48" s="215" t="s">
        <v>200</v>
      </c>
      <c r="I48" s="215" t="s">
        <v>246</v>
      </c>
      <c r="J48" s="215" t="s">
        <v>1491</v>
      </c>
      <c r="K48" s="219" t="s">
        <v>1492</v>
      </c>
      <c r="L48" s="216">
        <v>46178.734722222223</v>
      </c>
      <c r="M48" s="216">
        <v>46178.736805555556</v>
      </c>
      <c r="N48" s="215" t="s">
        <v>1429</v>
      </c>
      <c r="O48" s="156" t="s">
        <v>206</v>
      </c>
      <c r="P48" s="56"/>
      <c r="Q48" s="143" t="s">
        <v>206</v>
      </c>
      <c r="R48" s="56"/>
      <c r="S48" s="143" t="s">
        <v>206</v>
      </c>
      <c r="T48" s="56"/>
      <c r="U48" s="143" t="s">
        <v>206</v>
      </c>
      <c r="V48" s="56"/>
      <c r="W48" s="143" t="s">
        <v>206</v>
      </c>
      <c r="X48" s="56"/>
      <c r="Y48" s="143" t="s">
        <v>206</v>
      </c>
      <c r="Z48" s="56"/>
      <c r="AA48" s="143" t="s">
        <v>206</v>
      </c>
      <c r="AB48" s="56"/>
      <c r="AC48" s="143" t="s">
        <v>206</v>
      </c>
      <c r="AD48" s="56" t="s">
        <v>1493</v>
      </c>
      <c r="AE48" s="143" t="s">
        <v>239</v>
      </c>
      <c r="AF48" s="142" t="str">
        <f t="shared" si="1"/>
        <v>NC</v>
      </c>
      <c r="AG48" s="190" t="str">
        <f t="shared" si="0"/>
        <v>NÃO UTILIZOU O PDA</v>
      </c>
      <c r="AH48" s="143" t="s">
        <v>205</v>
      </c>
      <c r="AI48" s="150" t="s">
        <v>6</v>
      </c>
      <c r="AJ48" s="150" t="str">
        <f t="shared" si="3"/>
        <v>SÃO PAULO</v>
      </c>
      <c r="AK48" s="61" t="s">
        <v>60</v>
      </c>
    </row>
    <row r="49" spans="1:37" ht="30" customHeight="1">
      <c r="A49" s="215" t="s">
        <v>198</v>
      </c>
      <c r="B49" s="215">
        <v>2618867521</v>
      </c>
      <c r="C49" s="215" t="s">
        <v>1490</v>
      </c>
      <c r="D49" s="215" t="s">
        <v>111</v>
      </c>
      <c r="E49" s="215" t="s">
        <v>5</v>
      </c>
      <c r="F49" s="215" t="s">
        <v>1253</v>
      </c>
      <c r="G49" s="215">
        <v>326</v>
      </c>
      <c r="H49" s="215"/>
      <c r="I49" s="215" t="s">
        <v>427</v>
      </c>
      <c r="J49" s="215" t="s">
        <v>1491</v>
      </c>
      <c r="K49" s="219" t="s">
        <v>1492</v>
      </c>
      <c r="L49" s="216">
        <v>46178.73333333333</v>
      </c>
      <c r="M49" s="216">
        <v>46178.734722222223</v>
      </c>
      <c r="N49" s="215" t="s">
        <v>1429</v>
      </c>
      <c r="O49" s="156" t="s">
        <v>206</v>
      </c>
      <c r="P49" s="56"/>
      <c r="Q49" s="143" t="s">
        <v>206</v>
      </c>
      <c r="R49" s="56"/>
      <c r="S49" s="143" t="s">
        <v>206</v>
      </c>
      <c r="T49" s="56"/>
      <c r="U49" s="143" t="s">
        <v>206</v>
      </c>
      <c r="V49" s="56"/>
      <c r="W49" s="143" t="s">
        <v>206</v>
      </c>
      <c r="X49" s="56"/>
      <c r="Y49" s="143" t="s">
        <v>206</v>
      </c>
      <c r="Z49" s="56"/>
      <c r="AA49" s="143" t="s">
        <v>206</v>
      </c>
      <c r="AB49" s="56"/>
      <c r="AC49" s="143" t="s">
        <v>206</v>
      </c>
      <c r="AD49" s="56" t="s">
        <v>1493</v>
      </c>
      <c r="AE49" s="143" t="s">
        <v>239</v>
      </c>
      <c r="AF49" s="142" t="str">
        <f t="shared" si="1"/>
        <v>NC</v>
      </c>
      <c r="AG49" s="190" t="str">
        <f t="shared" si="0"/>
        <v>NÃO UTILIZOU O PDA</v>
      </c>
      <c r="AH49" s="143" t="s">
        <v>205</v>
      </c>
      <c r="AI49" s="150" t="s">
        <v>6</v>
      </c>
      <c r="AJ49" s="150" t="str">
        <f t="shared" si="3"/>
        <v>SÃO PAULO</v>
      </c>
      <c r="AK49" s="61" t="s">
        <v>60</v>
      </c>
    </row>
    <row r="50" spans="1:37" ht="30" customHeight="1">
      <c r="A50" s="215" t="s">
        <v>198</v>
      </c>
      <c r="B50" s="215">
        <v>2618452341</v>
      </c>
      <c r="C50" s="215" t="s">
        <v>122</v>
      </c>
      <c r="D50" s="215" t="s">
        <v>111</v>
      </c>
      <c r="E50" s="215" t="s">
        <v>5</v>
      </c>
      <c r="F50" s="215" t="s">
        <v>1296</v>
      </c>
      <c r="G50" s="215">
        <v>319</v>
      </c>
      <c r="H50" s="215" t="s">
        <v>200</v>
      </c>
      <c r="I50" s="215" t="s">
        <v>1297</v>
      </c>
      <c r="J50" s="215" t="s">
        <v>1451</v>
      </c>
      <c r="K50" s="215" t="s">
        <v>1496</v>
      </c>
      <c r="L50" s="216">
        <v>46178.678472222222</v>
      </c>
      <c r="M50" s="216">
        <v>46178.69027777778</v>
      </c>
      <c r="N50" s="215" t="s">
        <v>1442</v>
      </c>
      <c r="O50" s="156" t="s">
        <v>205</v>
      </c>
      <c r="P50" s="56"/>
      <c r="Q50" s="143" t="s">
        <v>205</v>
      </c>
      <c r="R50" s="56"/>
      <c r="S50" s="143" t="s">
        <v>205</v>
      </c>
      <c r="T50" s="56"/>
      <c r="U50" s="143" t="s">
        <v>205</v>
      </c>
      <c r="V50" s="56"/>
      <c r="W50" s="143" t="s">
        <v>62</v>
      </c>
      <c r="X50" s="56"/>
      <c r="Y50" s="143" t="s">
        <v>62</v>
      </c>
      <c r="Z50" s="56"/>
      <c r="AA50" s="143" t="s">
        <v>205</v>
      </c>
      <c r="AB50" s="56"/>
      <c r="AC50" s="143" t="s">
        <v>205</v>
      </c>
      <c r="AD50" s="56"/>
      <c r="AE50" s="143" t="s">
        <v>205</v>
      </c>
      <c r="AF50" s="142" t="str">
        <f t="shared" si="1"/>
        <v>C</v>
      </c>
      <c r="AG50" s="190" t="str">
        <f t="shared" si="0"/>
        <v>UTILIZOU O PDA CORRETAMENTE</v>
      </c>
      <c r="AH50" s="143" t="s">
        <v>205</v>
      </c>
      <c r="AI50" s="150" t="s">
        <v>6</v>
      </c>
      <c r="AJ50" s="150" t="str">
        <f t="shared" si="3"/>
        <v>SÃO PAULO</v>
      </c>
      <c r="AK50" s="61" t="s">
        <v>60</v>
      </c>
    </row>
    <row r="51" spans="1:37" ht="30" customHeight="1">
      <c r="A51" s="215" t="s">
        <v>198</v>
      </c>
      <c r="B51" s="215">
        <v>2618427777</v>
      </c>
      <c r="C51" s="215" t="s">
        <v>121</v>
      </c>
      <c r="D51" s="215" t="s">
        <v>112</v>
      </c>
      <c r="E51" s="215" t="s">
        <v>5</v>
      </c>
      <c r="F51" s="215" t="s">
        <v>1497</v>
      </c>
      <c r="G51" s="215">
        <v>908</v>
      </c>
      <c r="H51" s="215" t="s">
        <v>200</v>
      </c>
      <c r="I51" s="215" t="s">
        <v>246</v>
      </c>
      <c r="J51" s="215" t="s">
        <v>1406</v>
      </c>
      <c r="K51" s="215" t="s">
        <v>1498</v>
      </c>
      <c r="L51" s="216">
        <v>46178.90625</v>
      </c>
      <c r="M51" s="216">
        <v>46178.933333333334</v>
      </c>
      <c r="N51" s="215" t="s">
        <v>297</v>
      </c>
      <c r="O51" s="156" t="s">
        <v>205</v>
      </c>
      <c r="P51" s="56"/>
      <c r="Q51" s="143" t="s">
        <v>205</v>
      </c>
      <c r="R51" s="56"/>
      <c r="S51" s="143" t="s">
        <v>206</v>
      </c>
      <c r="T51" s="56"/>
      <c r="U51" s="143" t="s">
        <v>62</v>
      </c>
      <c r="V51" s="56"/>
      <c r="W51" s="143" t="s">
        <v>62</v>
      </c>
      <c r="X51" s="56"/>
      <c r="Y51" s="143" t="s">
        <v>62</v>
      </c>
      <c r="Z51" s="56"/>
      <c r="AA51" s="143" t="s">
        <v>62</v>
      </c>
      <c r="AB51" s="56"/>
      <c r="AC51" s="143" t="s">
        <v>239</v>
      </c>
      <c r="AD51" s="56" t="s">
        <v>1499</v>
      </c>
      <c r="AE51" s="143" t="s">
        <v>205</v>
      </c>
      <c r="AF51" s="142" t="str">
        <f t="shared" si="1"/>
        <v>NC</v>
      </c>
      <c r="AG51" s="190" t="str">
        <f t="shared" si="0"/>
        <v>UTILIZOU O PDA CORRETAMENTE. NÃO HÁ FOTOS DE TODAS AS ETAPAS</v>
      </c>
      <c r="AH51" s="143"/>
      <c r="AI51" s="150" t="s">
        <v>6</v>
      </c>
      <c r="AJ51" s="150" t="str">
        <f t="shared" si="3"/>
        <v>SÃO PAULO</v>
      </c>
      <c r="AK51" s="61" t="s">
        <v>60</v>
      </c>
    </row>
    <row r="52" spans="1:37" ht="30" customHeight="1">
      <c r="A52" s="215" t="s">
        <v>198</v>
      </c>
      <c r="B52" s="215">
        <v>2615945385</v>
      </c>
      <c r="C52" s="215" t="s">
        <v>118</v>
      </c>
      <c r="D52" s="215" t="s">
        <v>110</v>
      </c>
      <c r="E52" s="215" t="s">
        <v>5</v>
      </c>
      <c r="F52" s="215" t="s">
        <v>1500</v>
      </c>
      <c r="G52" s="215">
        <v>744</v>
      </c>
      <c r="H52" s="215"/>
      <c r="I52" s="215" t="s">
        <v>491</v>
      </c>
      <c r="J52" s="215" t="s">
        <v>118</v>
      </c>
      <c r="K52" s="219" t="s">
        <v>1501</v>
      </c>
      <c r="L52" s="216">
        <v>46208.34375</v>
      </c>
      <c r="M52" s="216">
        <v>46208.350694444445</v>
      </c>
      <c r="N52" s="215" t="s">
        <v>1411</v>
      </c>
      <c r="O52" s="156" t="s">
        <v>205</v>
      </c>
      <c r="P52" s="56"/>
      <c r="Q52" s="143" t="s">
        <v>205</v>
      </c>
      <c r="R52" s="56"/>
      <c r="S52" s="143" t="s">
        <v>205</v>
      </c>
      <c r="T52" s="56"/>
      <c r="U52" s="143" t="s">
        <v>205</v>
      </c>
      <c r="V52" s="56"/>
      <c r="W52" s="143" t="s">
        <v>205</v>
      </c>
      <c r="X52" s="56"/>
      <c r="Y52" s="143" t="s">
        <v>62</v>
      </c>
      <c r="Z52" s="56"/>
      <c r="AA52" s="143" t="s">
        <v>205</v>
      </c>
      <c r="AB52" s="56"/>
      <c r="AC52" s="143" t="s">
        <v>205</v>
      </c>
      <c r="AD52" s="56"/>
      <c r="AE52" s="143" t="s">
        <v>205</v>
      </c>
      <c r="AF52" s="142" t="str">
        <f t="shared" si="1"/>
        <v>C</v>
      </c>
      <c r="AG52" s="190" t="str">
        <f t="shared" si="0"/>
        <v>UTILIZOU O PDA CORRETAMENTE</v>
      </c>
      <c r="AH52" s="143" t="s">
        <v>205</v>
      </c>
      <c r="AI52" s="150" t="s">
        <v>6</v>
      </c>
      <c r="AJ52" s="150" t="str">
        <f t="shared" si="3"/>
        <v>SÃO PAULO</v>
      </c>
      <c r="AK52" s="61" t="s">
        <v>60</v>
      </c>
    </row>
    <row r="53" spans="1:37" ht="30" customHeight="1">
      <c r="A53" s="215" t="s">
        <v>198</v>
      </c>
      <c r="B53" s="215">
        <v>2618603424</v>
      </c>
      <c r="C53" s="215" t="s">
        <v>116</v>
      </c>
      <c r="D53" s="215" t="s">
        <v>109</v>
      </c>
      <c r="E53" s="215" t="s">
        <v>5</v>
      </c>
      <c r="F53" s="215" t="s">
        <v>1502</v>
      </c>
      <c r="G53" s="215">
        <v>2037</v>
      </c>
      <c r="H53" s="215" t="s">
        <v>226</v>
      </c>
      <c r="I53" s="215" t="s">
        <v>369</v>
      </c>
      <c r="J53" s="215" t="s">
        <v>1448</v>
      </c>
      <c r="K53" s="219" t="s">
        <v>1449</v>
      </c>
      <c r="L53" s="216">
        <v>46208.747916666667</v>
      </c>
      <c r="M53" s="216">
        <v>46208.753472222219</v>
      </c>
      <c r="N53" s="215" t="s">
        <v>1426</v>
      </c>
      <c r="O53" s="156" t="s">
        <v>205</v>
      </c>
      <c r="P53" s="56"/>
      <c r="Q53" s="143" t="s">
        <v>205</v>
      </c>
      <c r="R53" s="56"/>
      <c r="S53" s="143" t="s">
        <v>205</v>
      </c>
      <c r="T53" s="56"/>
      <c r="U53" s="143" t="s">
        <v>205</v>
      </c>
      <c r="V53" s="56"/>
      <c r="W53" s="143" t="s">
        <v>205</v>
      </c>
      <c r="X53" s="56"/>
      <c r="Y53" s="143" t="s">
        <v>205</v>
      </c>
      <c r="Z53" s="56"/>
      <c r="AA53" s="143" t="s">
        <v>205</v>
      </c>
      <c r="AB53" s="56"/>
      <c r="AC53" s="143" t="s">
        <v>205</v>
      </c>
      <c r="AD53" s="56"/>
      <c r="AE53" s="143" t="s">
        <v>205</v>
      </c>
      <c r="AF53" s="142" t="str">
        <f t="shared" si="1"/>
        <v>C</v>
      </c>
      <c r="AG53" s="190" t="str">
        <f t="shared" si="0"/>
        <v>UTILIZOU O PDA CORRETAMENTE</v>
      </c>
      <c r="AH53" s="143" t="s">
        <v>205</v>
      </c>
      <c r="AI53" s="150" t="s">
        <v>6</v>
      </c>
      <c r="AJ53" s="150" t="str">
        <f t="shared" si="3"/>
        <v>SÃO PAULO</v>
      </c>
      <c r="AK53" s="61" t="s">
        <v>60</v>
      </c>
    </row>
    <row r="54" spans="1:37" ht="30" customHeight="1">
      <c r="A54" s="215" t="s">
        <v>198</v>
      </c>
      <c r="B54" s="215">
        <v>2618896102</v>
      </c>
      <c r="C54" s="215" t="s">
        <v>120</v>
      </c>
      <c r="D54" s="215" t="s">
        <v>110</v>
      </c>
      <c r="E54" s="215" t="s">
        <v>5</v>
      </c>
      <c r="F54" s="215" t="s">
        <v>526</v>
      </c>
      <c r="G54" s="215">
        <v>2439</v>
      </c>
      <c r="H54" s="215"/>
      <c r="I54" s="215" t="s">
        <v>343</v>
      </c>
      <c r="J54" s="215" t="s">
        <v>120</v>
      </c>
      <c r="K54" s="215" t="s">
        <v>1503</v>
      </c>
      <c r="L54" s="216">
        <v>46208.663194444445</v>
      </c>
      <c r="M54" s="216">
        <v>46208.675694444442</v>
      </c>
      <c r="N54" s="215" t="s">
        <v>1442</v>
      </c>
      <c r="O54" s="156" t="s">
        <v>205</v>
      </c>
      <c r="P54" s="56"/>
      <c r="Q54" s="143" t="s">
        <v>205</v>
      </c>
      <c r="R54" s="56"/>
      <c r="S54" s="143" t="s">
        <v>205</v>
      </c>
      <c r="T54" s="56"/>
      <c r="U54" s="143" t="s">
        <v>205</v>
      </c>
      <c r="V54" s="56"/>
      <c r="W54" s="143" t="s">
        <v>205</v>
      </c>
      <c r="X54" s="56"/>
      <c r="Y54" s="143" t="s">
        <v>205</v>
      </c>
      <c r="Z54" s="56"/>
      <c r="AA54" s="143" t="s">
        <v>205</v>
      </c>
      <c r="AB54" s="56"/>
      <c r="AC54" s="143" t="s">
        <v>205</v>
      </c>
      <c r="AD54" s="56"/>
      <c r="AE54" s="143" t="s">
        <v>205</v>
      </c>
      <c r="AF54" s="142" t="str">
        <f t="shared" si="1"/>
        <v>C</v>
      </c>
      <c r="AG54" s="190" t="str">
        <f t="shared" si="0"/>
        <v>UTILIZOU O PDA CORRETAMENTE</v>
      </c>
      <c r="AH54" s="143" t="s">
        <v>205</v>
      </c>
      <c r="AI54" s="150" t="s">
        <v>6</v>
      </c>
      <c r="AJ54" s="150" t="str">
        <f t="shared" si="3"/>
        <v>SÃO PAULO</v>
      </c>
      <c r="AK54" s="61" t="s">
        <v>60</v>
      </c>
    </row>
    <row r="55" spans="1:37" ht="30" customHeight="1">
      <c r="A55" s="215" t="s">
        <v>198</v>
      </c>
      <c r="B55" s="215">
        <v>2618863533</v>
      </c>
      <c r="C55" s="215" t="s">
        <v>123</v>
      </c>
      <c r="D55" s="215" t="s">
        <v>109</v>
      </c>
      <c r="E55" s="215" t="s">
        <v>5</v>
      </c>
      <c r="F55" s="215" t="s">
        <v>1504</v>
      </c>
      <c r="G55" s="215">
        <v>165</v>
      </c>
      <c r="H55" s="215" t="s">
        <v>200</v>
      </c>
      <c r="I55" s="215" t="s">
        <v>1505</v>
      </c>
      <c r="J55" s="215" t="s">
        <v>1409</v>
      </c>
      <c r="K55" s="215" t="s">
        <v>1506</v>
      </c>
      <c r="L55" s="216">
        <v>46208.601388888892</v>
      </c>
      <c r="M55" s="216">
        <v>46208.60833333333</v>
      </c>
      <c r="N55" s="215" t="s">
        <v>1442</v>
      </c>
      <c r="O55" s="156" t="s">
        <v>205</v>
      </c>
      <c r="P55" s="56"/>
      <c r="Q55" s="143" t="s">
        <v>205</v>
      </c>
      <c r="R55" s="56"/>
      <c r="S55" s="143" t="s">
        <v>205</v>
      </c>
      <c r="T55" s="56"/>
      <c r="U55" s="143" t="s">
        <v>205</v>
      </c>
      <c r="V55" s="56"/>
      <c r="W55" s="143" t="s">
        <v>205</v>
      </c>
      <c r="X55" s="56"/>
      <c r="Y55" s="143" t="s">
        <v>205</v>
      </c>
      <c r="Z55" s="56"/>
      <c r="AA55" s="143" t="s">
        <v>205</v>
      </c>
      <c r="AB55" s="56"/>
      <c r="AC55" s="143" t="s">
        <v>205</v>
      </c>
      <c r="AD55" s="56"/>
      <c r="AE55" s="143" t="s">
        <v>205</v>
      </c>
      <c r="AF55" s="142" t="str">
        <f t="shared" si="1"/>
        <v>C</v>
      </c>
      <c r="AG55" s="190" t="str">
        <f t="shared" si="0"/>
        <v>UTILIZOU O PDA CORRETAMENTE</v>
      </c>
      <c r="AH55" s="143" t="s">
        <v>205</v>
      </c>
      <c r="AI55" s="150" t="s">
        <v>6</v>
      </c>
      <c r="AJ55" s="150" t="str">
        <f t="shared" si="3"/>
        <v>SÃO PAULO</v>
      </c>
      <c r="AK55" s="61" t="s">
        <v>60</v>
      </c>
    </row>
    <row r="56" spans="1:37" ht="30" customHeight="1">
      <c r="A56" s="215" t="s">
        <v>198</v>
      </c>
      <c r="B56" s="215">
        <v>2618478456</v>
      </c>
      <c r="C56" s="215" t="s">
        <v>121</v>
      </c>
      <c r="D56" s="215" t="s">
        <v>112</v>
      </c>
      <c r="E56" s="215" t="s">
        <v>5</v>
      </c>
      <c r="F56" s="215" t="s">
        <v>1356</v>
      </c>
      <c r="G56" s="215">
        <v>269</v>
      </c>
      <c r="H56" s="215"/>
      <c r="I56" s="215" t="s">
        <v>280</v>
      </c>
      <c r="J56" s="215" t="s">
        <v>1406</v>
      </c>
      <c r="K56" s="215"/>
      <c r="L56" s="216">
        <v>46208.664583333331</v>
      </c>
      <c r="M56" s="216">
        <v>46208.665277777778</v>
      </c>
      <c r="N56" s="215" t="s">
        <v>217</v>
      </c>
      <c r="O56" s="156" t="s">
        <v>205</v>
      </c>
      <c r="P56" s="56"/>
      <c r="Q56" s="143" t="s">
        <v>205</v>
      </c>
      <c r="R56" s="56"/>
      <c r="S56" s="143" t="s">
        <v>205</v>
      </c>
      <c r="T56" s="56"/>
      <c r="U56" s="143" t="s">
        <v>62</v>
      </c>
      <c r="V56" s="56"/>
      <c r="W56" s="143" t="s">
        <v>62</v>
      </c>
      <c r="X56" s="56"/>
      <c r="Y56" s="143" t="s">
        <v>62</v>
      </c>
      <c r="Z56" s="56"/>
      <c r="AA56" s="143" t="s">
        <v>62</v>
      </c>
      <c r="AB56" s="56"/>
      <c r="AC56" s="143" t="s">
        <v>205</v>
      </c>
      <c r="AD56" s="56"/>
      <c r="AE56" s="143" t="s">
        <v>205</v>
      </c>
      <c r="AF56" s="142" t="str">
        <f t="shared" si="1"/>
        <v>C</v>
      </c>
      <c r="AG56" s="190" t="str">
        <f t="shared" si="0"/>
        <v>UTILIZOU O PDA CORRETAMENTE</v>
      </c>
      <c r="AH56" s="143" t="s">
        <v>205</v>
      </c>
      <c r="AI56" s="150" t="s">
        <v>6</v>
      </c>
      <c r="AJ56" s="150" t="str">
        <f t="shared" si="3"/>
        <v>SÃO PAULO</v>
      </c>
      <c r="AK56" s="61" t="s">
        <v>60</v>
      </c>
    </row>
    <row r="57" spans="1:37" ht="30" customHeight="1">
      <c r="A57" s="215" t="s">
        <v>198</v>
      </c>
      <c r="B57" s="215">
        <v>2619139335</v>
      </c>
      <c r="C57" s="215" t="s">
        <v>123</v>
      </c>
      <c r="D57" s="215" t="s">
        <v>109</v>
      </c>
      <c r="E57" s="215" t="s">
        <v>5</v>
      </c>
      <c r="F57" s="215" t="s">
        <v>1232</v>
      </c>
      <c r="G57" s="215">
        <v>1072</v>
      </c>
      <c r="H57" s="215" t="s">
        <v>226</v>
      </c>
      <c r="I57" s="215" t="s">
        <v>219</v>
      </c>
      <c r="J57" s="215" t="s">
        <v>1409</v>
      </c>
      <c r="K57" s="219" t="s">
        <v>1507</v>
      </c>
      <c r="L57" s="216">
        <v>46208.427083333336</v>
      </c>
      <c r="M57" s="216">
        <v>46208.434027777781</v>
      </c>
      <c r="N57" s="215" t="s">
        <v>1411</v>
      </c>
      <c r="O57" s="156" t="s">
        <v>62</v>
      </c>
      <c r="P57" s="56"/>
      <c r="Q57" s="143" t="s">
        <v>62</v>
      </c>
      <c r="R57" s="56"/>
      <c r="S57" s="143" t="s">
        <v>62</v>
      </c>
      <c r="T57" s="56"/>
      <c r="U57" s="143" t="s">
        <v>62</v>
      </c>
      <c r="V57" s="56"/>
      <c r="W57" s="143" t="s">
        <v>62</v>
      </c>
      <c r="X57" s="56"/>
      <c r="Y57" s="143" t="s">
        <v>62</v>
      </c>
      <c r="Z57" s="56"/>
      <c r="AA57" s="143" t="s">
        <v>62</v>
      </c>
      <c r="AB57" s="56"/>
      <c r="AC57" s="143" t="s">
        <v>62</v>
      </c>
      <c r="AD57" s="56"/>
      <c r="AE57" s="143" t="s">
        <v>62</v>
      </c>
      <c r="AF57" s="142" t="str">
        <f t="shared" si="1"/>
        <v>NA</v>
      </c>
      <c r="AG57" s="190" t="str">
        <f t="shared" si="0"/>
        <v>NÃO AVALIADO POR FALHA DE SINCRONISMO</v>
      </c>
      <c r="AH57" s="143" t="s">
        <v>205</v>
      </c>
      <c r="AI57" s="150" t="s">
        <v>6</v>
      </c>
      <c r="AJ57" s="150" t="str">
        <f t="shared" si="3"/>
        <v>SÃO PAULO</v>
      </c>
      <c r="AK57" s="61" t="s">
        <v>60</v>
      </c>
    </row>
    <row r="58" spans="1:37" ht="30" customHeight="1">
      <c r="A58" s="215" t="s">
        <v>198</v>
      </c>
      <c r="B58" s="215">
        <v>2619178344</v>
      </c>
      <c r="C58" s="215" t="s">
        <v>1443</v>
      </c>
      <c r="D58" s="215" t="s">
        <v>112</v>
      </c>
      <c r="E58" s="215" t="s">
        <v>5</v>
      </c>
      <c r="F58" s="215" t="s">
        <v>1502</v>
      </c>
      <c r="G58" s="215">
        <v>2036</v>
      </c>
      <c r="H58" s="215" t="s">
        <v>409</v>
      </c>
      <c r="I58" s="215" t="s">
        <v>369</v>
      </c>
      <c r="J58" s="215" t="s">
        <v>1445</v>
      </c>
      <c r="K58" s="219" t="s">
        <v>1508</v>
      </c>
      <c r="L58" s="216">
        <v>46208.716666666667</v>
      </c>
      <c r="M58" s="216">
        <v>46208.72152777778</v>
      </c>
      <c r="N58" s="215" t="s">
        <v>1426</v>
      </c>
      <c r="O58" s="156" t="s">
        <v>205</v>
      </c>
      <c r="P58" s="56"/>
      <c r="Q58" s="143" t="s">
        <v>205</v>
      </c>
      <c r="R58" s="56"/>
      <c r="S58" s="143" t="s">
        <v>205</v>
      </c>
      <c r="T58" s="56"/>
      <c r="U58" s="143" t="s">
        <v>205</v>
      </c>
      <c r="V58" s="56"/>
      <c r="W58" s="143" t="s">
        <v>205</v>
      </c>
      <c r="X58" s="56"/>
      <c r="Y58" s="143" t="s">
        <v>205</v>
      </c>
      <c r="Z58" s="56"/>
      <c r="AA58" s="143" t="s">
        <v>205</v>
      </c>
      <c r="AB58" s="56"/>
      <c r="AC58" s="143" t="s">
        <v>205</v>
      </c>
      <c r="AD58" s="56"/>
      <c r="AE58" s="143" t="s">
        <v>205</v>
      </c>
      <c r="AF58" s="142" t="str">
        <f t="shared" si="1"/>
        <v>C</v>
      </c>
      <c r="AG58" s="190" t="str">
        <f t="shared" si="0"/>
        <v>UTILIZOU O PDA CORRETAMENTE</v>
      </c>
      <c r="AH58" s="143" t="s">
        <v>205</v>
      </c>
      <c r="AI58" s="150" t="s">
        <v>6</v>
      </c>
      <c r="AJ58" s="150" t="str">
        <f t="shared" si="3"/>
        <v>SÃO PAULO</v>
      </c>
      <c r="AK58" s="61" t="s">
        <v>60</v>
      </c>
    </row>
    <row r="59" spans="1:37" ht="30" customHeight="1">
      <c r="A59" s="215" t="s">
        <v>198</v>
      </c>
      <c r="B59" s="215">
        <v>2618927253</v>
      </c>
      <c r="C59" s="215" t="s">
        <v>121</v>
      </c>
      <c r="D59" s="215" t="s">
        <v>112</v>
      </c>
      <c r="E59" s="215" t="s">
        <v>5</v>
      </c>
      <c r="F59" s="215" t="s">
        <v>1509</v>
      </c>
      <c r="G59" s="215">
        <v>55</v>
      </c>
      <c r="H59" s="215"/>
      <c r="I59" s="215" t="s">
        <v>1510</v>
      </c>
      <c r="J59" s="215" t="s">
        <v>1511</v>
      </c>
      <c r="K59" s="215"/>
      <c r="L59" s="216">
        <v>46239.038194444445</v>
      </c>
      <c r="M59" s="216">
        <v>46239.038194444445</v>
      </c>
      <c r="N59" s="215" t="s">
        <v>297</v>
      </c>
      <c r="O59" s="156" t="s">
        <v>205</v>
      </c>
      <c r="P59" s="56"/>
      <c r="Q59" s="143" t="s">
        <v>205</v>
      </c>
      <c r="R59" s="56"/>
      <c r="S59" s="143" t="s">
        <v>206</v>
      </c>
      <c r="T59" s="56"/>
      <c r="U59" s="143" t="s">
        <v>62</v>
      </c>
      <c r="V59" s="56"/>
      <c r="W59" s="143" t="s">
        <v>62</v>
      </c>
      <c r="X59" s="56"/>
      <c r="Y59" s="143" t="s">
        <v>62</v>
      </c>
      <c r="Z59" s="56"/>
      <c r="AA59" s="143" t="s">
        <v>62</v>
      </c>
      <c r="AB59" s="56"/>
      <c r="AC59" s="143" t="s">
        <v>239</v>
      </c>
      <c r="AD59" s="56" t="s">
        <v>1419</v>
      </c>
      <c r="AE59" s="143" t="s">
        <v>205</v>
      </c>
      <c r="AF59" s="142" t="str">
        <f t="shared" si="1"/>
        <v>NC</v>
      </c>
      <c r="AG59" s="190" t="str">
        <f t="shared" si="0"/>
        <v>UTILIZOU O PDA CORRETAMENTE. NÃO HÁ FOTOS DE TODAS AS ETAPAS</v>
      </c>
      <c r="AH59" s="143" t="s">
        <v>205</v>
      </c>
      <c r="AI59" s="150" t="s">
        <v>6</v>
      </c>
      <c r="AJ59" s="150" t="str">
        <f t="shared" si="3"/>
        <v>SÃO PAULO</v>
      </c>
      <c r="AK59" s="61" t="s">
        <v>60</v>
      </c>
    </row>
    <row r="60" spans="1:37" ht="30" customHeight="1">
      <c r="A60" s="215" t="s">
        <v>198</v>
      </c>
      <c r="B60" s="215">
        <v>2619135657</v>
      </c>
      <c r="C60" s="215" t="s">
        <v>121</v>
      </c>
      <c r="D60" s="215" t="s">
        <v>112</v>
      </c>
      <c r="E60" s="215" t="s">
        <v>5</v>
      </c>
      <c r="F60" s="215" t="s">
        <v>513</v>
      </c>
      <c r="G60" s="215">
        <v>2052</v>
      </c>
      <c r="H60" s="215" t="s">
        <v>1512</v>
      </c>
      <c r="I60" s="215" t="s">
        <v>251</v>
      </c>
      <c r="J60" s="215" t="s">
        <v>1511</v>
      </c>
      <c r="K60" s="215" t="s">
        <v>1513</v>
      </c>
      <c r="L60" s="216">
        <v>46208.907638888886</v>
      </c>
      <c r="M60" s="216">
        <v>46208.942361111112</v>
      </c>
      <c r="N60" s="215" t="s">
        <v>297</v>
      </c>
      <c r="O60" s="156" t="s">
        <v>205</v>
      </c>
      <c r="P60" s="56"/>
      <c r="Q60" s="143" t="s">
        <v>205</v>
      </c>
      <c r="R60" s="56"/>
      <c r="S60" s="143" t="s">
        <v>206</v>
      </c>
      <c r="T60" s="56"/>
      <c r="U60" s="143" t="s">
        <v>62</v>
      </c>
      <c r="V60" s="56"/>
      <c r="W60" s="143" t="s">
        <v>62</v>
      </c>
      <c r="X60" s="56"/>
      <c r="Y60" s="143" t="s">
        <v>62</v>
      </c>
      <c r="Z60" s="56"/>
      <c r="AA60" s="143" t="s">
        <v>62</v>
      </c>
      <c r="AB60" s="56"/>
      <c r="AC60" s="143" t="s">
        <v>239</v>
      </c>
      <c r="AD60" s="56" t="s">
        <v>1408</v>
      </c>
      <c r="AE60" s="143" t="s">
        <v>239</v>
      </c>
      <c r="AF60" s="142" t="str">
        <f t="shared" si="1"/>
        <v>NC</v>
      </c>
      <c r="AG60" s="190" t="str">
        <f t="shared" si="0"/>
        <v>NÃO UTILIZOU O PDA</v>
      </c>
      <c r="AH60" s="143"/>
      <c r="AI60" s="150" t="s">
        <v>6</v>
      </c>
      <c r="AJ60" s="150" t="str">
        <f t="shared" si="3"/>
        <v>SÃO PAULO</v>
      </c>
      <c r="AK60" s="61" t="s">
        <v>60</v>
      </c>
    </row>
    <row r="61" spans="1:37" ht="30" customHeight="1">
      <c r="A61" s="215" t="s">
        <v>198</v>
      </c>
      <c r="B61" s="215">
        <v>2619206172</v>
      </c>
      <c r="C61" s="215" t="s">
        <v>1477</v>
      </c>
      <c r="D61" s="215" t="s">
        <v>109</v>
      </c>
      <c r="E61" s="215" t="s">
        <v>5</v>
      </c>
      <c r="F61" s="215" t="s">
        <v>458</v>
      </c>
      <c r="G61" s="215">
        <v>1313</v>
      </c>
      <c r="H61" s="215" t="s">
        <v>226</v>
      </c>
      <c r="I61" s="215" t="s">
        <v>448</v>
      </c>
      <c r="J61" s="215" t="s">
        <v>1479</v>
      </c>
      <c r="K61" s="219" t="s">
        <v>1514</v>
      </c>
      <c r="L61" s="216">
        <v>46208.708333333336</v>
      </c>
      <c r="M61" s="216">
        <v>46208.709027777775</v>
      </c>
      <c r="N61" s="215" t="s">
        <v>221</v>
      </c>
      <c r="O61" s="156" t="s">
        <v>205</v>
      </c>
      <c r="P61" s="56"/>
      <c r="Q61" s="143" t="s">
        <v>205</v>
      </c>
      <c r="R61" s="56"/>
      <c r="S61" s="143" t="s">
        <v>205</v>
      </c>
      <c r="T61" s="56"/>
      <c r="U61" s="143" t="s">
        <v>205</v>
      </c>
      <c r="V61" s="56"/>
      <c r="W61" s="143" t="s">
        <v>205</v>
      </c>
      <c r="X61" s="56"/>
      <c r="Y61" s="143" t="s">
        <v>62</v>
      </c>
      <c r="Z61" s="56"/>
      <c r="AA61" s="143" t="s">
        <v>205</v>
      </c>
      <c r="AB61" s="56"/>
      <c r="AC61" s="143" t="s">
        <v>239</v>
      </c>
      <c r="AD61" s="56" t="s">
        <v>1408</v>
      </c>
      <c r="AE61" s="143" t="s">
        <v>239</v>
      </c>
      <c r="AF61" s="142" t="str">
        <f t="shared" si="1"/>
        <v>NC</v>
      </c>
      <c r="AG61" s="190" t="str">
        <f t="shared" si="0"/>
        <v>NÃO UTILIZOU O PDA</v>
      </c>
      <c r="AH61" s="143" t="s">
        <v>205</v>
      </c>
      <c r="AI61" s="150" t="s">
        <v>6</v>
      </c>
      <c r="AJ61" s="150" t="str">
        <f t="shared" si="3"/>
        <v>SÃO PAULO</v>
      </c>
      <c r="AK61" s="61" t="s">
        <v>60</v>
      </c>
    </row>
    <row r="62" spans="1:37" ht="30" customHeight="1">
      <c r="A62" s="215" t="s">
        <v>198</v>
      </c>
      <c r="B62" s="215">
        <v>2618889610</v>
      </c>
      <c r="C62" s="215" t="s">
        <v>123</v>
      </c>
      <c r="D62" s="215" t="s">
        <v>109</v>
      </c>
      <c r="E62" s="215" t="s">
        <v>5</v>
      </c>
      <c r="F62" s="215" t="s">
        <v>1515</v>
      </c>
      <c r="G62" s="215">
        <v>83</v>
      </c>
      <c r="H62" s="215" t="s">
        <v>318</v>
      </c>
      <c r="I62" s="215" t="s">
        <v>1516</v>
      </c>
      <c r="J62" s="215" t="s">
        <v>1409</v>
      </c>
      <c r="K62" s="215" t="s">
        <v>1517</v>
      </c>
      <c r="L62" s="216">
        <v>46239.267361111109</v>
      </c>
      <c r="M62" s="216">
        <v>46239.274305555555</v>
      </c>
      <c r="N62" s="215" t="s">
        <v>1442</v>
      </c>
      <c r="O62" s="156" t="s">
        <v>205</v>
      </c>
      <c r="P62" s="56"/>
      <c r="Q62" s="143" t="s">
        <v>205</v>
      </c>
      <c r="R62" s="56"/>
      <c r="S62" s="143" t="s">
        <v>205</v>
      </c>
      <c r="T62" s="56"/>
      <c r="U62" s="143" t="s">
        <v>205</v>
      </c>
      <c r="V62" s="56"/>
      <c r="W62" s="143" t="s">
        <v>205</v>
      </c>
      <c r="X62" s="56"/>
      <c r="Y62" s="143" t="s">
        <v>205</v>
      </c>
      <c r="Z62" s="56"/>
      <c r="AA62" s="143" t="s">
        <v>205</v>
      </c>
      <c r="AB62" s="56"/>
      <c r="AC62" s="143" t="s">
        <v>205</v>
      </c>
      <c r="AD62" s="56"/>
      <c r="AE62" s="143" t="s">
        <v>205</v>
      </c>
      <c r="AF62" s="142" t="str">
        <f t="shared" si="1"/>
        <v>C</v>
      </c>
      <c r="AG62" s="190" t="str">
        <f t="shared" si="0"/>
        <v>UTILIZOU O PDA CORRETAMENTE</v>
      </c>
      <c r="AH62" s="143" t="s">
        <v>205</v>
      </c>
      <c r="AI62" s="150" t="s">
        <v>6</v>
      </c>
      <c r="AJ62" s="150" t="str">
        <f t="shared" si="3"/>
        <v>SÃO PAULO</v>
      </c>
      <c r="AK62" s="61" t="s">
        <v>60</v>
      </c>
    </row>
    <row r="63" spans="1:37" ht="30" customHeight="1">
      <c r="A63" s="215" t="s">
        <v>198</v>
      </c>
      <c r="B63" s="215">
        <v>2619136408</v>
      </c>
      <c r="C63" s="215" t="s">
        <v>123</v>
      </c>
      <c r="D63" s="215" t="s">
        <v>109</v>
      </c>
      <c r="E63" s="215" t="s">
        <v>5</v>
      </c>
      <c r="F63" s="215" t="s">
        <v>1518</v>
      </c>
      <c r="G63" s="215">
        <v>1150</v>
      </c>
      <c r="H63" s="215" t="s">
        <v>200</v>
      </c>
      <c r="I63" s="215" t="s">
        <v>1519</v>
      </c>
      <c r="J63" s="215" t="s">
        <v>1409</v>
      </c>
      <c r="K63" s="215" t="s">
        <v>1520</v>
      </c>
      <c r="L63" s="216">
        <v>46239.74722222222</v>
      </c>
      <c r="M63" s="216">
        <v>46239.755555555559</v>
      </c>
      <c r="N63" s="215" t="s">
        <v>1442</v>
      </c>
      <c r="O63" s="156" t="s">
        <v>205</v>
      </c>
      <c r="P63" s="56"/>
      <c r="Q63" s="143" t="s">
        <v>205</v>
      </c>
      <c r="R63" s="56"/>
      <c r="S63" s="143" t="s">
        <v>205</v>
      </c>
      <c r="T63" s="56"/>
      <c r="U63" s="143" t="s">
        <v>205</v>
      </c>
      <c r="V63" s="56"/>
      <c r="W63" s="143" t="s">
        <v>205</v>
      </c>
      <c r="X63" s="56"/>
      <c r="Y63" s="143" t="s">
        <v>205</v>
      </c>
      <c r="Z63" s="56"/>
      <c r="AA63" s="143" t="s">
        <v>205</v>
      </c>
      <c r="AB63" s="56"/>
      <c r="AC63" s="143" t="s">
        <v>205</v>
      </c>
      <c r="AD63" s="56"/>
      <c r="AE63" s="143" t="s">
        <v>205</v>
      </c>
      <c r="AF63" s="142" t="str">
        <f t="shared" si="1"/>
        <v>C</v>
      </c>
      <c r="AG63" s="190" t="str">
        <f t="shared" si="0"/>
        <v>UTILIZOU O PDA CORRETAMENTE</v>
      </c>
      <c r="AH63" s="143" t="s">
        <v>205</v>
      </c>
      <c r="AI63" s="150" t="s">
        <v>6</v>
      </c>
      <c r="AJ63" s="150" t="str">
        <f t="shared" si="3"/>
        <v>SÃO PAULO</v>
      </c>
      <c r="AK63" s="62" t="s">
        <v>60</v>
      </c>
    </row>
    <row r="64" spans="1:37" ht="30" customHeight="1">
      <c r="A64" s="215" t="s">
        <v>198</v>
      </c>
      <c r="B64" s="215">
        <v>2619136746</v>
      </c>
      <c r="C64" s="215" t="s">
        <v>123</v>
      </c>
      <c r="D64" s="215" t="s">
        <v>109</v>
      </c>
      <c r="E64" s="215" t="s">
        <v>5</v>
      </c>
      <c r="F64" s="215" t="s">
        <v>1437</v>
      </c>
      <c r="G64" s="215">
        <v>5680</v>
      </c>
      <c r="H64" s="215"/>
      <c r="I64" s="215" t="s">
        <v>260</v>
      </c>
      <c r="J64" s="215" t="s">
        <v>1409</v>
      </c>
      <c r="K64" s="219" t="s">
        <v>1521</v>
      </c>
      <c r="L64" s="216">
        <v>46239.4375</v>
      </c>
      <c r="M64" s="216">
        <v>46239.700694444444</v>
      </c>
      <c r="N64" s="215" t="s">
        <v>1414</v>
      </c>
      <c r="O64" s="156" t="s">
        <v>205</v>
      </c>
      <c r="P64" s="56"/>
      <c r="Q64" s="143" t="s">
        <v>205</v>
      </c>
      <c r="R64" s="56"/>
      <c r="S64" s="143" t="s">
        <v>205</v>
      </c>
      <c r="T64" s="56"/>
      <c r="U64" s="143" t="s">
        <v>205</v>
      </c>
      <c r="V64" s="56"/>
      <c r="W64" s="143" t="s">
        <v>205</v>
      </c>
      <c r="X64" s="56"/>
      <c r="Y64" s="143" t="s">
        <v>62</v>
      </c>
      <c r="Z64" s="56"/>
      <c r="AA64" s="143" t="s">
        <v>205</v>
      </c>
      <c r="AB64" s="56"/>
      <c r="AC64" s="143" t="s">
        <v>205</v>
      </c>
      <c r="AD64" s="56"/>
      <c r="AE64" s="143" t="s">
        <v>205</v>
      </c>
      <c r="AF64" s="142" t="str">
        <f t="shared" si="1"/>
        <v>C</v>
      </c>
      <c r="AG64" s="190" t="str">
        <f t="shared" si="0"/>
        <v>UTILIZOU O PDA CORRETAMENTE</v>
      </c>
      <c r="AH64" s="143" t="s">
        <v>205</v>
      </c>
      <c r="AI64" s="150" t="s">
        <v>6</v>
      </c>
      <c r="AJ64" s="150" t="str">
        <f t="shared" si="3"/>
        <v>SÃO PAULO</v>
      </c>
      <c r="AK64" s="152" t="s">
        <v>60</v>
      </c>
    </row>
    <row r="65" spans="1:37" ht="30" customHeight="1">
      <c r="A65" s="215" t="s">
        <v>198</v>
      </c>
      <c r="B65" s="215">
        <v>2618443876</v>
      </c>
      <c r="C65" s="215" t="s">
        <v>121</v>
      </c>
      <c r="D65" s="215" t="s">
        <v>112</v>
      </c>
      <c r="E65" s="215" t="s">
        <v>5</v>
      </c>
      <c r="F65" s="215" t="s">
        <v>1522</v>
      </c>
      <c r="G65" s="215">
        <v>0</v>
      </c>
      <c r="H65" s="215" t="s">
        <v>200</v>
      </c>
      <c r="I65" s="215" t="s">
        <v>607</v>
      </c>
      <c r="J65" s="215" t="s">
        <v>1406</v>
      </c>
      <c r="K65" s="215" t="s">
        <v>200</v>
      </c>
      <c r="L65" s="216">
        <v>46239.45</v>
      </c>
      <c r="M65" s="216">
        <v>46239.450694444444</v>
      </c>
      <c r="N65" s="215" t="s">
        <v>217</v>
      </c>
      <c r="O65" s="156" t="s">
        <v>205</v>
      </c>
      <c r="P65" s="56"/>
      <c r="Q65" s="143" t="s">
        <v>205</v>
      </c>
      <c r="R65" s="56"/>
      <c r="S65" s="143" t="s">
        <v>205</v>
      </c>
      <c r="T65" s="56"/>
      <c r="U65" s="143" t="s">
        <v>62</v>
      </c>
      <c r="V65" s="56"/>
      <c r="W65" s="143" t="s">
        <v>62</v>
      </c>
      <c r="X65" s="56"/>
      <c r="Y65" s="143" t="s">
        <v>62</v>
      </c>
      <c r="Z65" s="56"/>
      <c r="AA65" s="143" t="s">
        <v>62</v>
      </c>
      <c r="AB65" s="56"/>
      <c r="AC65" s="143" t="s">
        <v>205</v>
      </c>
      <c r="AD65" s="56"/>
      <c r="AE65" s="143" t="s">
        <v>205</v>
      </c>
      <c r="AF65" s="142" t="str">
        <f t="shared" si="1"/>
        <v>C</v>
      </c>
      <c r="AG65" s="190" t="str">
        <f t="shared" ref="AG65:AG112" si="4">IF(AND(AE65="C",AF65="C"),"UTILIZOU O PDA CORRETAMENTE",IF(AND(AE65="C",AF65="NC"),"UTILIZOU O PDA CORRETAMENTE. NÃO HÁ FOTOS DE TODAS AS ETAPAS",IF(AND(AE65="NC",AF65="NC"),"NÃO UTILIZOU O PDA",IF(AND(AE65="NA",AF65="NA"),"NÃO AVALIADO POR FALHA DE SINCRONISMO"))))</f>
        <v>UTILIZOU O PDA CORRETAMENTE</v>
      </c>
      <c r="AH65" s="143" t="s">
        <v>205</v>
      </c>
      <c r="AI65" s="150" t="s">
        <v>6</v>
      </c>
      <c r="AJ65" s="150" t="str">
        <f t="shared" si="3"/>
        <v>SÃO PAULO</v>
      </c>
      <c r="AK65" s="61" t="s">
        <v>60</v>
      </c>
    </row>
    <row r="66" spans="1:37" ht="30" customHeight="1">
      <c r="A66" s="215" t="s">
        <v>198</v>
      </c>
      <c r="B66" s="215">
        <v>2618454421</v>
      </c>
      <c r="C66" s="215" t="s">
        <v>121</v>
      </c>
      <c r="D66" s="215" t="s">
        <v>112</v>
      </c>
      <c r="E66" s="215" t="s">
        <v>5</v>
      </c>
      <c r="F66" s="215" t="s">
        <v>1523</v>
      </c>
      <c r="G66" s="215">
        <v>52</v>
      </c>
      <c r="H66" s="215" t="s">
        <v>226</v>
      </c>
      <c r="I66" s="215" t="s">
        <v>562</v>
      </c>
      <c r="J66" s="215" t="s">
        <v>1406</v>
      </c>
      <c r="K66" s="215" t="s">
        <v>1524</v>
      </c>
      <c r="L66" s="216">
        <v>46239.5</v>
      </c>
      <c r="M66" s="216">
        <v>46239.500694444447</v>
      </c>
      <c r="N66" s="215" t="s">
        <v>217</v>
      </c>
      <c r="O66" s="156" t="s">
        <v>205</v>
      </c>
      <c r="P66" s="56"/>
      <c r="Q66" s="143" t="s">
        <v>205</v>
      </c>
      <c r="R66" s="56"/>
      <c r="S66" s="143" t="s">
        <v>205</v>
      </c>
      <c r="T66" s="56"/>
      <c r="U66" s="143" t="s">
        <v>62</v>
      </c>
      <c r="V66" s="56"/>
      <c r="W66" s="143" t="s">
        <v>62</v>
      </c>
      <c r="X66" s="56"/>
      <c r="Y66" s="143" t="s">
        <v>62</v>
      </c>
      <c r="Z66" s="56"/>
      <c r="AA66" s="143" t="s">
        <v>62</v>
      </c>
      <c r="AB66" s="56"/>
      <c r="AC66" s="143" t="s">
        <v>205</v>
      </c>
      <c r="AD66" s="56"/>
      <c r="AE66" s="143" t="s">
        <v>205</v>
      </c>
      <c r="AF66" s="142" t="str">
        <f t="shared" ref="AF66:AF112" si="5">IF(AND(O66="",Q66="",S66="",U66="",W66="",Y66="",AA66="",AC66=""),"",IF(OR(AND(O66&lt;&gt;"NA",O66&lt;&gt;"C",O66&lt;&gt;"NC",O66&lt;&gt;"SF",O66&lt;&gt;""),AND(Q66&lt;&gt;"NA",Q66&lt;&gt;"C",Q66&lt;&gt;"NC",Q66&lt;&gt;"SF",Q66&lt;&gt;""),AND(S66&lt;&gt;"NA",S66&lt;&gt;"C",S66&lt;&gt;"NC",S66&lt;&gt;"SF",S66&lt;&gt;""),AND(U66&lt;&gt;"NA",U66&lt;&gt;"C",U66&lt;&gt;"NC",U66&lt;&gt;"SF",U66&lt;&gt;""),AND(W66&lt;&gt;"NA",W66&lt;&gt;"C",W66&lt;&gt;"NC",W66&lt;&gt;"SF",W66&lt;&gt;""),AND(Y66&lt;&gt;"NA",Y66&lt;&gt;"C",Y66&lt;&gt;"NC",Y66&lt;&gt;"SF",Y66&lt;&gt;""),AND(AA66&lt;&gt;"NA",AA66&lt;&gt;"C",AA66&lt;&gt;"NC",AA66&lt;&gt;"SF",AA66&lt;&gt;""),AND(AC66&lt;&gt;"NA",AC66&lt;&gt;"C",AC66&lt;&gt;"NC",AC66&lt;&gt;"SF",AC66&lt;&gt;"")),"FALSO",IF(AND(O66="NA",Q66="NA",S66="NA",U66="NA",W66="NA",Y66="NA",AA66="NA",AC66="NA"),"NA",IF(OR(O66="NC",Q66="NC",S66="NC",U66="NC",W66="NC",Y66="NC",AA66="NC",AC66="NC",O66="SF",Q66="SF",S66="SF",U66="SF",W66="SF",Y66="SF",AA66="SF",AC66="SF"),"NC",IF(OR(O66="C",Q66="C",S66="C",U66="C",W66="C",Y66="C",AA66="C",AC66="C"),"C","")))))</f>
        <v>C</v>
      </c>
      <c r="AG66" s="190" t="str">
        <f t="shared" si="4"/>
        <v>UTILIZOU O PDA CORRETAMENTE</v>
      </c>
      <c r="AH66" s="143"/>
      <c r="AI66" s="150" t="s">
        <v>6</v>
      </c>
      <c r="AJ66" s="150" t="str">
        <f t="shared" si="3"/>
        <v>SÃO PAULO</v>
      </c>
      <c r="AK66" s="61" t="s">
        <v>60</v>
      </c>
    </row>
    <row r="67" spans="1:37" ht="30" customHeight="1">
      <c r="A67" s="215" t="s">
        <v>198</v>
      </c>
      <c r="B67" s="215">
        <v>2619140556</v>
      </c>
      <c r="C67" s="215" t="s">
        <v>121</v>
      </c>
      <c r="D67" s="215" t="s">
        <v>112</v>
      </c>
      <c r="E67" s="215" t="s">
        <v>5</v>
      </c>
      <c r="F67" s="215" t="s">
        <v>595</v>
      </c>
      <c r="G67" s="215">
        <v>134</v>
      </c>
      <c r="H67" s="215" t="s">
        <v>200</v>
      </c>
      <c r="I67" s="215" t="s">
        <v>397</v>
      </c>
      <c r="J67" s="215" t="s">
        <v>1406</v>
      </c>
      <c r="K67" s="215" t="s">
        <v>1525</v>
      </c>
      <c r="L67" s="216">
        <v>46239.568055555559</v>
      </c>
      <c r="M67" s="216">
        <v>46239.570138888892</v>
      </c>
      <c r="N67" s="215" t="s">
        <v>217</v>
      </c>
      <c r="O67" s="156" t="s">
        <v>206</v>
      </c>
      <c r="P67" s="59"/>
      <c r="Q67" s="143" t="s">
        <v>206</v>
      </c>
      <c r="R67" s="59"/>
      <c r="S67" s="143" t="s">
        <v>206</v>
      </c>
      <c r="T67" s="59"/>
      <c r="U67" s="143" t="s">
        <v>206</v>
      </c>
      <c r="V67" s="59"/>
      <c r="W67" s="143" t="s">
        <v>206</v>
      </c>
      <c r="X67" s="59"/>
      <c r="Y67" s="143" t="s">
        <v>206</v>
      </c>
      <c r="Z67" s="59"/>
      <c r="AA67" s="143" t="s">
        <v>206</v>
      </c>
      <c r="AB67" s="59"/>
      <c r="AC67" s="143" t="s">
        <v>206</v>
      </c>
      <c r="AD67" s="59"/>
      <c r="AE67" s="143" t="s">
        <v>239</v>
      </c>
      <c r="AF67" s="142" t="str">
        <f t="shared" si="5"/>
        <v>NC</v>
      </c>
      <c r="AG67" s="190" t="str">
        <f t="shared" si="4"/>
        <v>NÃO UTILIZOU O PDA</v>
      </c>
      <c r="AH67" s="143"/>
      <c r="AI67" s="150" t="s">
        <v>6</v>
      </c>
      <c r="AJ67" s="150" t="str">
        <f t="shared" si="3"/>
        <v>SÃO PAULO</v>
      </c>
      <c r="AK67" s="61" t="s">
        <v>60</v>
      </c>
    </row>
    <row r="68" spans="1:37" ht="30" customHeight="1">
      <c r="A68" s="215" t="s">
        <v>198</v>
      </c>
      <c r="B68" s="215">
        <v>2619161243</v>
      </c>
      <c r="C68" s="215" t="s">
        <v>1526</v>
      </c>
      <c r="D68" s="215" t="s">
        <v>112</v>
      </c>
      <c r="E68" s="215" t="s">
        <v>5</v>
      </c>
      <c r="F68" s="215" t="s">
        <v>736</v>
      </c>
      <c r="G68" s="215">
        <v>114</v>
      </c>
      <c r="H68" s="215"/>
      <c r="I68" s="215" t="s">
        <v>737</v>
      </c>
      <c r="J68" s="215" t="s">
        <v>1527</v>
      </c>
      <c r="K68" s="219" t="s">
        <v>1528</v>
      </c>
      <c r="L68" s="216">
        <v>46239.350694444445</v>
      </c>
      <c r="M68" s="216">
        <v>46239.357638888891</v>
      </c>
      <c r="N68" s="215" t="s">
        <v>1426</v>
      </c>
      <c r="O68" s="156" t="s">
        <v>62</v>
      </c>
      <c r="P68" s="92"/>
      <c r="Q68" s="143" t="s">
        <v>62</v>
      </c>
      <c r="R68" s="92"/>
      <c r="S68" s="143" t="s">
        <v>62</v>
      </c>
      <c r="T68" s="92"/>
      <c r="U68" s="143" t="s">
        <v>62</v>
      </c>
      <c r="V68" s="92"/>
      <c r="W68" s="143" t="s">
        <v>62</v>
      </c>
      <c r="X68" s="92"/>
      <c r="Y68" s="143" t="s">
        <v>62</v>
      </c>
      <c r="Z68" s="92"/>
      <c r="AA68" s="143" t="s">
        <v>62</v>
      </c>
      <c r="AB68" s="92"/>
      <c r="AC68" s="143" t="s">
        <v>62</v>
      </c>
      <c r="AD68" s="92"/>
      <c r="AE68" s="143" t="s">
        <v>62</v>
      </c>
      <c r="AF68" s="142" t="str">
        <f t="shared" si="5"/>
        <v>NA</v>
      </c>
      <c r="AG68" s="190" t="str">
        <f t="shared" si="4"/>
        <v>NÃO AVALIADO POR FALHA DE SINCRONISMO</v>
      </c>
      <c r="AH68" s="143"/>
      <c r="AI68" s="153" t="s">
        <v>6</v>
      </c>
      <c r="AJ68" s="150" t="str">
        <f t="shared" si="3"/>
        <v>SÃO PAULO</v>
      </c>
      <c r="AK68" s="154" t="s">
        <v>60</v>
      </c>
    </row>
    <row r="69" spans="1:37" ht="30" customHeight="1">
      <c r="A69" s="215" t="s">
        <v>198</v>
      </c>
      <c r="B69" s="215">
        <v>2619159224</v>
      </c>
      <c r="C69" s="215" t="s">
        <v>117</v>
      </c>
      <c r="D69" s="215" t="s">
        <v>112</v>
      </c>
      <c r="E69" s="215" t="s">
        <v>5</v>
      </c>
      <c r="F69" s="215" t="s">
        <v>736</v>
      </c>
      <c r="G69" s="215">
        <v>114</v>
      </c>
      <c r="H69" s="215" t="s">
        <v>200</v>
      </c>
      <c r="I69" s="215" t="s">
        <v>737</v>
      </c>
      <c r="J69" s="215" t="s">
        <v>1529</v>
      </c>
      <c r="K69" s="219" t="s">
        <v>1530</v>
      </c>
      <c r="L69" s="216">
        <v>46239.350694444445</v>
      </c>
      <c r="M69" s="216">
        <v>46239.357638888891</v>
      </c>
      <c r="N69" s="215" t="s">
        <v>1426</v>
      </c>
      <c r="O69" s="156" t="s">
        <v>62</v>
      </c>
      <c r="P69" s="92"/>
      <c r="Q69" s="143" t="s">
        <v>62</v>
      </c>
      <c r="R69" s="92"/>
      <c r="S69" s="143" t="s">
        <v>62</v>
      </c>
      <c r="T69" s="92"/>
      <c r="U69" s="143" t="s">
        <v>62</v>
      </c>
      <c r="V69" s="92"/>
      <c r="W69" s="143" t="s">
        <v>62</v>
      </c>
      <c r="X69" s="92"/>
      <c r="Y69" s="143" t="s">
        <v>62</v>
      </c>
      <c r="Z69" s="92"/>
      <c r="AA69" s="143" t="s">
        <v>62</v>
      </c>
      <c r="AB69" s="92"/>
      <c r="AC69" s="143" t="s">
        <v>62</v>
      </c>
      <c r="AD69" s="92"/>
      <c r="AE69" s="143" t="s">
        <v>62</v>
      </c>
      <c r="AF69" s="142" t="str">
        <f t="shared" si="5"/>
        <v>NA</v>
      </c>
      <c r="AG69" s="190" t="str">
        <f t="shared" si="4"/>
        <v>NÃO AVALIADO POR FALHA DE SINCRONISMO</v>
      </c>
      <c r="AH69" s="143"/>
      <c r="AI69" s="153" t="s">
        <v>6</v>
      </c>
      <c r="AJ69" s="150" t="str">
        <f t="shared" si="3"/>
        <v>SÃO PAULO</v>
      </c>
      <c r="AK69" s="154" t="s">
        <v>60</v>
      </c>
    </row>
    <row r="70" spans="1:37" ht="30" customHeight="1">
      <c r="A70" s="215" t="s">
        <v>198</v>
      </c>
      <c r="B70" s="215">
        <v>2619333073</v>
      </c>
      <c r="C70" s="215" t="s">
        <v>1477</v>
      </c>
      <c r="D70" s="215" t="s">
        <v>109</v>
      </c>
      <c r="E70" s="215" t="s">
        <v>5</v>
      </c>
      <c r="F70" s="215" t="s">
        <v>1515</v>
      </c>
      <c r="G70" s="215">
        <v>87</v>
      </c>
      <c r="H70" s="215" t="s">
        <v>200</v>
      </c>
      <c r="I70" s="215" t="s">
        <v>1516</v>
      </c>
      <c r="J70" s="215" t="s">
        <v>1479</v>
      </c>
      <c r="K70" s="215" t="s">
        <v>1531</v>
      </c>
      <c r="L70" s="216">
        <v>46239.756944444445</v>
      </c>
      <c r="M70" s="216">
        <v>46239.759722222225</v>
      </c>
      <c r="N70" s="215" t="s">
        <v>1442</v>
      </c>
      <c r="O70" s="156" t="s">
        <v>205</v>
      </c>
      <c r="P70" s="92"/>
      <c r="Q70" s="143" t="s">
        <v>205</v>
      </c>
      <c r="R70" s="92"/>
      <c r="S70" s="143" t="s">
        <v>205</v>
      </c>
      <c r="T70" s="92"/>
      <c r="U70" s="143" t="s">
        <v>205</v>
      </c>
      <c r="V70" s="92"/>
      <c r="W70" s="143" t="s">
        <v>205</v>
      </c>
      <c r="X70" s="92"/>
      <c r="Y70" s="143" t="s">
        <v>205</v>
      </c>
      <c r="Z70" s="92"/>
      <c r="AA70" s="143" t="s">
        <v>205</v>
      </c>
      <c r="AB70" s="92"/>
      <c r="AC70" s="143" t="s">
        <v>205</v>
      </c>
      <c r="AD70" s="92"/>
      <c r="AE70" s="143" t="s">
        <v>205</v>
      </c>
      <c r="AF70" s="142" t="str">
        <f t="shared" si="5"/>
        <v>C</v>
      </c>
      <c r="AG70" s="190" t="str">
        <f t="shared" si="4"/>
        <v>UTILIZOU O PDA CORRETAMENTE</v>
      </c>
      <c r="AH70" s="143" t="s">
        <v>205</v>
      </c>
      <c r="AI70" s="153" t="s">
        <v>6</v>
      </c>
      <c r="AJ70" s="150" t="str">
        <f t="shared" si="3"/>
        <v>SÃO PAULO</v>
      </c>
      <c r="AK70" s="154" t="s">
        <v>60</v>
      </c>
    </row>
    <row r="71" spans="1:37" ht="30" customHeight="1">
      <c r="A71" s="215" t="s">
        <v>198</v>
      </c>
      <c r="B71" s="215">
        <v>2619328677</v>
      </c>
      <c r="C71" s="215" t="s">
        <v>1490</v>
      </c>
      <c r="D71" s="215" t="s">
        <v>111</v>
      </c>
      <c r="E71" s="215" t="s">
        <v>5</v>
      </c>
      <c r="F71" s="215" t="s">
        <v>1253</v>
      </c>
      <c r="G71" s="215">
        <v>240</v>
      </c>
      <c r="H71" s="215"/>
      <c r="I71" s="215" t="s">
        <v>246</v>
      </c>
      <c r="J71" s="215" t="s">
        <v>1491</v>
      </c>
      <c r="K71" s="219" t="s">
        <v>1532</v>
      </c>
      <c r="L71" s="216">
        <v>46239.697222222225</v>
      </c>
      <c r="M71" s="216">
        <v>46239.698611111111</v>
      </c>
      <c r="N71" s="215" t="s">
        <v>1429</v>
      </c>
      <c r="O71" s="156" t="s">
        <v>206</v>
      </c>
      <c r="P71" s="92"/>
      <c r="Q71" s="143" t="s">
        <v>206</v>
      </c>
      <c r="R71" s="92"/>
      <c r="S71" s="143" t="s">
        <v>206</v>
      </c>
      <c r="T71" s="92"/>
      <c r="U71" s="143" t="s">
        <v>206</v>
      </c>
      <c r="V71" s="92"/>
      <c r="W71" s="143" t="s">
        <v>206</v>
      </c>
      <c r="X71" s="92"/>
      <c r="Y71" s="143" t="s">
        <v>206</v>
      </c>
      <c r="Z71" s="92"/>
      <c r="AA71" s="143" t="s">
        <v>206</v>
      </c>
      <c r="AB71" s="92"/>
      <c r="AC71" s="143" t="s">
        <v>206</v>
      </c>
      <c r="AD71" s="56" t="s">
        <v>1493</v>
      </c>
      <c r="AE71" s="143" t="s">
        <v>239</v>
      </c>
      <c r="AF71" s="142" t="str">
        <f t="shared" si="5"/>
        <v>NC</v>
      </c>
      <c r="AG71" s="190" t="str">
        <f t="shared" si="4"/>
        <v>NÃO UTILIZOU O PDA</v>
      </c>
      <c r="AH71" s="143" t="s">
        <v>205</v>
      </c>
      <c r="AI71" s="153" t="s">
        <v>6</v>
      </c>
      <c r="AJ71" s="150" t="str">
        <f t="shared" si="3"/>
        <v>SÃO PAULO</v>
      </c>
      <c r="AK71" s="154" t="s">
        <v>60</v>
      </c>
    </row>
    <row r="72" spans="1:37" ht="30" customHeight="1">
      <c r="A72" s="215" t="s">
        <v>198</v>
      </c>
      <c r="B72" s="215">
        <v>2619326448</v>
      </c>
      <c r="C72" s="215" t="s">
        <v>1490</v>
      </c>
      <c r="D72" s="215" t="s">
        <v>111</v>
      </c>
      <c r="E72" s="215" t="s">
        <v>5</v>
      </c>
      <c r="F72" s="215" t="s">
        <v>1253</v>
      </c>
      <c r="G72" s="215">
        <v>266</v>
      </c>
      <c r="H72" s="215" t="s">
        <v>200</v>
      </c>
      <c r="I72" s="215" t="s">
        <v>246</v>
      </c>
      <c r="J72" s="215" t="s">
        <v>1491</v>
      </c>
      <c r="K72" s="219" t="s">
        <v>1533</v>
      </c>
      <c r="L72" s="216">
        <v>46239.698611111111</v>
      </c>
      <c r="M72" s="216">
        <v>46239.7</v>
      </c>
      <c r="N72" s="215" t="s">
        <v>1429</v>
      </c>
      <c r="O72" s="157" t="s">
        <v>206</v>
      </c>
      <c r="P72" s="92"/>
      <c r="Q72" s="145" t="s">
        <v>206</v>
      </c>
      <c r="R72" s="92"/>
      <c r="S72" s="145" t="s">
        <v>206</v>
      </c>
      <c r="T72" s="92"/>
      <c r="U72" s="145" t="s">
        <v>206</v>
      </c>
      <c r="V72" s="92"/>
      <c r="W72" s="145" t="s">
        <v>206</v>
      </c>
      <c r="X72" s="92"/>
      <c r="Y72" s="145" t="s">
        <v>206</v>
      </c>
      <c r="Z72" s="92"/>
      <c r="AA72" s="145" t="s">
        <v>206</v>
      </c>
      <c r="AB72" s="92"/>
      <c r="AC72" s="145" t="s">
        <v>206</v>
      </c>
      <c r="AD72" s="56" t="s">
        <v>1493</v>
      </c>
      <c r="AE72" s="145" t="s">
        <v>239</v>
      </c>
      <c r="AF72" s="142" t="str">
        <f t="shared" si="5"/>
        <v>NC</v>
      </c>
      <c r="AG72" s="190" t="str">
        <f t="shared" si="4"/>
        <v>NÃO UTILIZOU O PDA</v>
      </c>
      <c r="AH72" s="145" t="s">
        <v>205</v>
      </c>
      <c r="AI72" s="153" t="s">
        <v>6</v>
      </c>
      <c r="AJ72" s="150" t="str">
        <f t="shared" si="3"/>
        <v>SÃO PAULO</v>
      </c>
      <c r="AK72" s="154" t="s">
        <v>60</v>
      </c>
    </row>
    <row r="73" spans="1:37" ht="30" customHeight="1">
      <c r="A73" s="215" t="s">
        <v>198</v>
      </c>
      <c r="B73" s="215">
        <v>2619325898</v>
      </c>
      <c r="C73" s="215" t="s">
        <v>1490</v>
      </c>
      <c r="D73" s="215" t="s">
        <v>111</v>
      </c>
      <c r="E73" s="215" t="s">
        <v>5</v>
      </c>
      <c r="F73" s="215" t="s">
        <v>1253</v>
      </c>
      <c r="G73" s="215">
        <v>252</v>
      </c>
      <c r="H73" s="215"/>
      <c r="I73" s="215" t="s">
        <v>246</v>
      </c>
      <c r="J73" s="215" t="s">
        <v>1491</v>
      </c>
      <c r="K73" s="219" t="s">
        <v>1534</v>
      </c>
      <c r="L73" s="216">
        <v>46239.69027777778</v>
      </c>
      <c r="M73" s="216">
        <v>46239.695138888892</v>
      </c>
      <c r="N73" s="215" t="s">
        <v>1429</v>
      </c>
      <c r="O73" s="157" t="s">
        <v>206</v>
      </c>
      <c r="P73" s="92"/>
      <c r="Q73" s="145" t="s">
        <v>206</v>
      </c>
      <c r="R73" s="92"/>
      <c r="S73" s="145" t="s">
        <v>206</v>
      </c>
      <c r="T73" s="92"/>
      <c r="U73" s="145" t="s">
        <v>206</v>
      </c>
      <c r="V73" s="92"/>
      <c r="W73" s="145" t="s">
        <v>206</v>
      </c>
      <c r="X73" s="92"/>
      <c r="Y73" s="145" t="s">
        <v>206</v>
      </c>
      <c r="Z73" s="92"/>
      <c r="AA73" s="145" t="s">
        <v>206</v>
      </c>
      <c r="AB73" s="92"/>
      <c r="AC73" s="145" t="s">
        <v>206</v>
      </c>
      <c r="AD73" s="56" t="s">
        <v>1493</v>
      </c>
      <c r="AE73" s="145" t="s">
        <v>239</v>
      </c>
      <c r="AF73" s="142" t="str">
        <f t="shared" si="5"/>
        <v>NC</v>
      </c>
      <c r="AG73" s="190" t="str">
        <f t="shared" si="4"/>
        <v>NÃO UTILIZOU O PDA</v>
      </c>
      <c r="AH73" s="145" t="s">
        <v>205</v>
      </c>
      <c r="AI73" s="153" t="s">
        <v>6</v>
      </c>
      <c r="AJ73" s="150" t="str">
        <f t="shared" si="3"/>
        <v>SÃO PAULO</v>
      </c>
      <c r="AK73" s="154" t="s">
        <v>60</v>
      </c>
    </row>
    <row r="74" spans="1:37" ht="30" customHeight="1">
      <c r="A74" s="215" t="s">
        <v>198</v>
      </c>
      <c r="B74" s="215">
        <v>2619328435</v>
      </c>
      <c r="C74" s="215" t="s">
        <v>1490</v>
      </c>
      <c r="D74" s="215" t="s">
        <v>111</v>
      </c>
      <c r="E74" s="215" t="s">
        <v>5</v>
      </c>
      <c r="F74" s="215" t="s">
        <v>1253</v>
      </c>
      <c r="G74" s="215">
        <v>244</v>
      </c>
      <c r="H74" s="215" t="s">
        <v>200</v>
      </c>
      <c r="I74" s="215" t="s">
        <v>246</v>
      </c>
      <c r="J74" s="215" t="s">
        <v>1491</v>
      </c>
      <c r="K74" s="219" t="s">
        <v>1535</v>
      </c>
      <c r="L74" s="216">
        <v>46239.684027777781</v>
      </c>
      <c r="M74" s="216">
        <v>46239.69027777778</v>
      </c>
      <c r="N74" s="215" t="s">
        <v>1429</v>
      </c>
      <c r="O74" s="157" t="s">
        <v>206</v>
      </c>
      <c r="P74" s="92"/>
      <c r="Q74" s="145" t="s">
        <v>206</v>
      </c>
      <c r="R74" s="92"/>
      <c r="S74" s="145" t="s">
        <v>206</v>
      </c>
      <c r="T74" s="92"/>
      <c r="U74" s="145" t="s">
        <v>206</v>
      </c>
      <c r="V74" s="92"/>
      <c r="W74" s="145" t="s">
        <v>206</v>
      </c>
      <c r="X74" s="92"/>
      <c r="Y74" s="145" t="s">
        <v>206</v>
      </c>
      <c r="Z74" s="92"/>
      <c r="AA74" s="145" t="s">
        <v>206</v>
      </c>
      <c r="AB74" s="92"/>
      <c r="AC74" s="145" t="s">
        <v>206</v>
      </c>
      <c r="AD74" s="56" t="s">
        <v>1493</v>
      </c>
      <c r="AE74" s="145" t="s">
        <v>239</v>
      </c>
      <c r="AF74" s="142" t="str">
        <f t="shared" si="5"/>
        <v>NC</v>
      </c>
      <c r="AG74" s="190" t="str">
        <f t="shared" si="4"/>
        <v>NÃO UTILIZOU O PDA</v>
      </c>
      <c r="AH74" s="145" t="s">
        <v>205</v>
      </c>
      <c r="AI74" s="153" t="s">
        <v>6</v>
      </c>
      <c r="AJ74" s="150" t="str">
        <f t="shared" si="3"/>
        <v>SÃO PAULO</v>
      </c>
      <c r="AK74" s="154" t="s">
        <v>60</v>
      </c>
    </row>
    <row r="75" spans="1:37" ht="30" customHeight="1">
      <c r="A75" s="215" t="s">
        <v>198</v>
      </c>
      <c r="B75" s="215">
        <v>2619325165</v>
      </c>
      <c r="C75" s="215" t="s">
        <v>1490</v>
      </c>
      <c r="D75" s="215" t="s">
        <v>111</v>
      </c>
      <c r="E75" s="215" t="s">
        <v>5</v>
      </c>
      <c r="F75" s="215" t="s">
        <v>1253</v>
      </c>
      <c r="G75" s="215">
        <v>254</v>
      </c>
      <c r="H75" s="215"/>
      <c r="I75" s="215" t="s">
        <v>246</v>
      </c>
      <c r="J75" s="215" t="s">
        <v>1491</v>
      </c>
      <c r="K75" s="219" t="s">
        <v>1536</v>
      </c>
      <c r="L75" s="216">
        <v>46239.679861111108</v>
      </c>
      <c r="M75" s="216">
        <v>46239.683333333334</v>
      </c>
      <c r="N75" s="215" t="s">
        <v>1429</v>
      </c>
      <c r="O75" s="157" t="s">
        <v>206</v>
      </c>
      <c r="P75" s="92"/>
      <c r="Q75" s="145" t="s">
        <v>206</v>
      </c>
      <c r="R75" s="92"/>
      <c r="S75" s="145" t="s">
        <v>206</v>
      </c>
      <c r="T75" s="92"/>
      <c r="U75" s="145" t="s">
        <v>206</v>
      </c>
      <c r="V75" s="92"/>
      <c r="W75" s="145" t="s">
        <v>206</v>
      </c>
      <c r="X75" s="92"/>
      <c r="Y75" s="145" t="s">
        <v>206</v>
      </c>
      <c r="Z75" s="92"/>
      <c r="AA75" s="145" t="s">
        <v>206</v>
      </c>
      <c r="AB75" s="92"/>
      <c r="AC75" s="145" t="s">
        <v>206</v>
      </c>
      <c r="AD75" s="56" t="s">
        <v>1493</v>
      </c>
      <c r="AE75" s="145" t="s">
        <v>239</v>
      </c>
      <c r="AF75" s="142" t="str">
        <f t="shared" si="5"/>
        <v>NC</v>
      </c>
      <c r="AG75" s="190" t="str">
        <f t="shared" si="4"/>
        <v>NÃO UTILIZOU O PDA</v>
      </c>
      <c r="AH75" s="145" t="s">
        <v>205</v>
      </c>
      <c r="AI75" s="153" t="s">
        <v>6</v>
      </c>
      <c r="AJ75" s="150" t="str">
        <f t="shared" si="3"/>
        <v>SÃO PAULO</v>
      </c>
      <c r="AK75" s="154" t="s">
        <v>60</v>
      </c>
    </row>
    <row r="76" spans="1:37" ht="30" customHeight="1">
      <c r="A76" s="215" t="s">
        <v>198</v>
      </c>
      <c r="B76" s="215">
        <v>2619325603</v>
      </c>
      <c r="C76" s="215" t="s">
        <v>1490</v>
      </c>
      <c r="D76" s="215" t="s">
        <v>111</v>
      </c>
      <c r="E76" s="215" t="s">
        <v>5</v>
      </c>
      <c r="F76" s="215" t="s">
        <v>1253</v>
      </c>
      <c r="G76" s="215">
        <v>259</v>
      </c>
      <c r="H76" s="215" t="s">
        <v>226</v>
      </c>
      <c r="I76" s="215" t="s">
        <v>246</v>
      </c>
      <c r="J76" s="215" t="s">
        <v>1491</v>
      </c>
      <c r="K76" s="219" t="s">
        <v>1536</v>
      </c>
      <c r="L76" s="216">
        <v>46239.677083333336</v>
      </c>
      <c r="M76" s="216">
        <v>46239.679861111108</v>
      </c>
      <c r="N76" s="215" t="s">
        <v>1429</v>
      </c>
      <c r="O76" s="157" t="s">
        <v>206</v>
      </c>
      <c r="P76" s="92"/>
      <c r="Q76" s="145" t="s">
        <v>206</v>
      </c>
      <c r="R76" s="92"/>
      <c r="S76" s="145" t="s">
        <v>206</v>
      </c>
      <c r="T76" s="92"/>
      <c r="U76" s="145" t="s">
        <v>206</v>
      </c>
      <c r="V76" s="92"/>
      <c r="W76" s="145" t="s">
        <v>206</v>
      </c>
      <c r="X76" s="92"/>
      <c r="Y76" s="145" t="s">
        <v>206</v>
      </c>
      <c r="Z76" s="92"/>
      <c r="AA76" s="145" t="s">
        <v>206</v>
      </c>
      <c r="AB76" s="92"/>
      <c r="AC76" s="145" t="s">
        <v>206</v>
      </c>
      <c r="AD76" s="56" t="s">
        <v>1493</v>
      </c>
      <c r="AE76" s="145" t="s">
        <v>239</v>
      </c>
      <c r="AF76" s="142" t="str">
        <f t="shared" si="5"/>
        <v>NC</v>
      </c>
      <c r="AG76" s="190" t="str">
        <f t="shared" si="4"/>
        <v>NÃO UTILIZOU O PDA</v>
      </c>
      <c r="AH76" s="145" t="s">
        <v>205</v>
      </c>
      <c r="AI76" s="153" t="s">
        <v>6</v>
      </c>
      <c r="AJ76" s="150" t="str">
        <f t="shared" si="3"/>
        <v>SÃO PAULO</v>
      </c>
      <c r="AK76" s="154" t="s">
        <v>60</v>
      </c>
    </row>
    <row r="77" spans="1:37" ht="30" customHeight="1">
      <c r="A77" s="215" t="s">
        <v>198</v>
      </c>
      <c r="B77" s="215">
        <v>2619326694</v>
      </c>
      <c r="C77" s="215" t="s">
        <v>1490</v>
      </c>
      <c r="D77" s="215" t="s">
        <v>111</v>
      </c>
      <c r="E77" s="215" t="s">
        <v>5</v>
      </c>
      <c r="F77" s="215" t="s">
        <v>1253</v>
      </c>
      <c r="G77" s="215">
        <v>247</v>
      </c>
      <c r="H77" s="215" t="s">
        <v>226</v>
      </c>
      <c r="I77" s="215" t="s">
        <v>427</v>
      </c>
      <c r="J77" s="215" t="s">
        <v>1491</v>
      </c>
      <c r="K77" s="219" t="s">
        <v>1536</v>
      </c>
      <c r="L77" s="216">
        <v>46239.67291666667</v>
      </c>
      <c r="M77" s="216">
        <v>46239.676388888889</v>
      </c>
      <c r="N77" s="215" t="s">
        <v>1429</v>
      </c>
      <c r="O77" s="157" t="s">
        <v>206</v>
      </c>
      <c r="P77" s="92"/>
      <c r="Q77" s="145" t="s">
        <v>206</v>
      </c>
      <c r="R77" s="92"/>
      <c r="S77" s="145" t="s">
        <v>206</v>
      </c>
      <c r="T77" s="92"/>
      <c r="U77" s="145" t="s">
        <v>206</v>
      </c>
      <c r="V77" s="92"/>
      <c r="W77" s="145" t="s">
        <v>206</v>
      </c>
      <c r="X77" s="92"/>
      <c r="Y77" s="145" t="s">
        <v>206</v>
      </c>
      <c r="Z77" s="92"/>
      <c r="AA77" s="145" t="s">
        <v>206</v>
      </c>
      <c r="AB77" s="92"/>
      <c r="AC77" s="145" t="s">
        <v>206</v>
      </c>
      <c r="AD77" s="56" t="s">
        <v>1493</v>
      </c>
      <c r="AE77" s="145" t="s">
        <v>239</v>
      </c>
      <c r="AF77" s="142" t="str">
        <f t="shared" si="5"/>
        <v>NC</v>
      </c>
      <c r="AG77" s="190" t="str">
        <f t="shared" si="4"/>
        <v>NÃO UTILIZOU O PDA</v>
      </c>
      <c r="AH77" s="145" t="s">
        <v>205</v>
      </c>
      <c r="AI77" s="153" t="s">
        <v>6</v>
      </c>
      <c r="AJ77" s="150" t="str">
        <f t="shared" si="3"/>
        <v>SÃO PAULO</v>
      </c>
      <c r="AK77" s="154" t="s">
        <v>60</v>
      </c>
    </row>
    <row r="78" spans="1:37" ht="30" customHeight="1">
      <c r="A78" s="215" t="s">
        <v>198</v>
      </c>
      <c r="B78" s="215">
        <v>2619326180</v>
      </c>
      <c r="C78" s="215" t="s">
        <v>1490</v>
      </c>
      <c r="D78" s="215" t="s">
        <v>111</v>
      </c>
      <c r="E78" s="215" t="s">
        <v>5</v>
      </c>
      <c r="F78" s="215" t="s">
        <v>1253</v>
      </c>
      <c r="G78" s="215">
        <v>264</v>
      </c>
      <c r="H78" s="215" t="s">
        <v>200</v>
      </c>
      <c r="I78" s="215" t="s">
        <v>246</v>
      </c>
      <c r="J78" s="215" t="s">
        <v>1491</v>
      </c>
      <c r="K78" s="219" t="s">
        <v>1536</v>
      </c>
      <c r="L78" s="216">
        <v>46239.667361111111</v>
      </c>
      <c r="M78" s="216">
        <v>46239.67291666667</v>
      </c>
      <c r="N78" s="215" t="s">
        <v>1429</v>
      </c>
      <c r="O78" s="157" t="s">
        <v>206</v>
      </c>
      <c r="P78" s="92"/>
      <c r="Q78" s="145" t="s">
        <v>206</v>
      </c>
      <c r="R78" s="92"/>
      <c r="S78" s="145" t="s">
        <v>206</v>
      </c>
      <c r="T78" s="92"/>
      <c r="U78" s="145" t="s">
        <v>206</v>
      </c>
      <c r="V78" s="92"/>
      <c r="W78" s="145" t="s">
        <v>206</v>
      </c>
      <c r="X78" s="92"/>
      <c r="Y78" s="145" t="s">
        <v>206</v>
      </c>
      <c r="Z78" s="92"/>
      <c r="AA78" s="145" t="s">
        <v>206</v>
      </c>
      <c r="AB78" s="92"/>
      <c r="AC78" s="145" t="s">
        <v>206</v>
      </c>
      <c r="AD78" s="56" t="s">
        <v>1493</v>
      </c>
      <c r="AE78" s="145" t="s">
        <v>239</v>
      </c>
      <c r="AF78" s="142" t="str">
        <f t="shared" si="5"/>
        <v>NC</v>
      </c>
      <c r="AG78" s="190" t="str">
        <f t="shared" si="4"/>
        <v>NÃO UTILIZOU O PDA</v>
      </c>
      <c r="AH78" s="145" t="s">
        <v>205</v>
      </c>
      <c r="AI78" s="153" t="s">
        <v>6</v>
      </c>
      <c r="AJ78" s="150" t="str">
        <f t="shared" si="3"/>
        <v>SÃO PAULO</v>
      </c>
      <c r="AK78" s="154" t="s">
        <v>60</v>
      </c>
    </row>
    <row r="79" spans="1:37" ht="30" customHeight="1">
      <c r="A79" s="215" t="s">
        <v>198</v>
      </c>
      <c r="B79" s="215">
        <v>2619341441</v>
      </c>
      <c r="C79" s="215" t="s">
        <v>1477</v>
      </c>
      <c r="D79" s="215" t="s">
        <v>109</v>
      </c>
      <c r="E79" s="215" t="s">
        <v>5</v>
      </c>
      <c r="F79" s="215" t="s">
        <v>452</v>
      </c>
      <c r="G79" s="215">
        <v>339</v>
      </c>
      <c r="H79" s="215" t="s">
        <v>214</v>
      </c>
      <c r="I79" s="215" t="s">
        <v>215</v>
      </c>
      <c r="J79" s="215" t="s">
        <v>1479</v>
      </c>
      <c r="K79" s="219" t="s">
        <v>1537</v>
      </c>
      <c r="L79" s="216">
        <v>46239.522916666669</v>
      </c>
      <c r="M79" s="216">
        <v>46239.524305555555</v>
      </c>
      <c r="N79" s="215" t="s">
        <v>1411</v>
      </c>
      <c r="O79" s="157" t="s">
        <v>205</v>
      </c>
      <c r="P79" s="92"/>
      <c r="Q79" s="145" t="s">
        <v>205</v>
      </c>
      <c r="R79" s="92"/>
      <c r="S79" s="145" t="s">
        <v>205</v>
      </c>
      <c r="T79" s="92"/>
      <c r="U79" s="145" t="s">
        <v>205</v>
      </c>
      <c r="V79" s="92"/>
      <c r="W79" s="145" t="s">
        <v>205</v>
      </c>
      <c r="X79" s="92"/>
      <c r="Y79" s="145" t="s">
        <v>62</v>
      </c>
      <c r="Z79" s="92"/>
      <c r="AA79" s="145" t="s">
        <v>205</v>
      </c>
      <c r="AB79" s="92"/>
      <c r="AC79" s="145" t="s">
        <v>205</v>
      </c>
      <c r="AD79" s="92"/>
      <c r="AE79" s="145" t="s">
        <v>205</v>
      </c>
      <c r="AF79" s="142" t="str">
        <f t="shared" si="5"/>
        <v>C</v>
      </c>
      <c r="AG79" s="190" t="str">
        <f t="shared" si="4"/>
        <v>UTILIZOU O PDA CORRETAMENTE</v>
      </c>
      <c r="AH79" s="145" t="s">
        <v>205</v>
      </c>
      <c r="AI79" s="153" t="s">
        <v>6</v>
      </c>
      <c r="AJ79" s="150" t="str">
        <f t="shared" si="3"/>
        <v>SÃO PAULO</v>
      </c>
      <c r="AK79" s="154" t="s">
        <v>60</v>
      </c>
    </row>
    <row r="80" spans="1:37" ht="30" customHeight="1">
      <c r="A80" s="215" t="s">
        <v>198</v>
      </c>
      <c r="B80" s="215">
        <v>2619355723</v>
      </c>
      <c r="C80" s="215" t="s">
        <v>123</v>
      </c>
      <c r="D80" s="215" t="s">
        <v>109</v>
      </c>
      <c r="E80" s="215" t="s">
        <v>5</v>
      </c>
      <c r="F80" s="215" t="s">
        <v>1439</v>
      </c>
      <c r="G80" s="215">
        <v>350</v>
      </c>
      <c r="H80" s="215" t="s">
        <v>226</v>
      </c>
      <c r="I80" s="215" t="s">
        <v>801</v>
      </c>
      <c r="J80" s="215" t="s">
        <v>1409</v>
      </c>
      <c r="K80" s="219" t="s">
        <v>1538</v>
      </c>
      <c r="L80" s="216">
        <v>46239.651388888888</v>
      </c>
      <c r="M80" s="216">
        <v>46239.655555555553</v>
      </c>
      <c r="N80" s="215" t="s">
        <v>1426</v>
      </c>
      <c r="O80" s="157" t="s">
        <v>205</v>
      </c>
      <c r="P80" s="92"/>
      <c r="Q80" s="145" t="s">
        <v>205</v>
      </c>
      <c r="R80" s="92"/>
      <c r="S80" s="145" t="s">
        <v>205</v>
      </c>
      <c r="T80" s="92"/>
      <c r="U80" s="145" t="s">
        <v>205</v>
      </c>
      <c r="V80" s="92"/>
      <c r="W80" s="145" t="s">
        <v>205</v>
      </c>
      <c r="X80" s="92"/>
      <c r="Y80" s="145" t="s">
        <v>205</v>
      </c>
      <c r="Z80" s="92"/>
      <c r="AA80" s="145" t="s">
        <v>205</v>
      </c>
      <c r="AB80" s="92"/>
      <c r="AC80" s="145" t="s">
        <v>205</v>
      </c>
      <c r="AD80" s="92"/>
      <c r="AE80" s="145" t="s">
        <v>205</v>
      </c>
      <c r="AF80" s="142" t="str">
        <f t="shared" si="5"/>
        <v>C</v>
      </c>
      <c r="AG80" s="190" t="str">
        <f t="shared" si="4"/>
        <v>UTILIZOU O PDA CORRETAMENTE</v>
      </c>
      <c r="AH80" s="145" t="s">
        <v>205</v>
      </c>
      <c r="AI80" s="153" t="s">
        <v>6</v>
      </c>
      <c r="AJ80" s="150" t="str">
        <f t="shared" si="3"/>
        <v>SÃO PAULO</v>
      </c>
      <c r="AK80" s="154" t="s">
        <v>60</v>
      </c>
    </row>
    <row r="81" spans="1:37" ht="30" customHeight="1">
      <c r="A81" s="215" t="s">
        <v>198</v>
      </c>
      <c r="B81" s="215">
        <v>2619331422</v>
      </c>
      <c r="C81" s="215" t="s">
        <v>1452</v>
      </c>
      <c r="D81" s="215" t="s">
        <v>111</v>
      </c>
      <c r="E81" s="215" t="s">
        <v>5</v>
      </c>
      <c r="F81" s="215" t="s">
        <v>1539</v>
      </c>
      <c r="G81" s="215">
        <v>68</v>
      </c>
      <c r="H81" s="215"/>
      <c r="I81" s="215" t="s">
        <v>1505</v>
      </c>
      <c r="J81" s="215" t="s">
        <v>1454</v>
      </c>
      <c r="K81" s="215" t="s">
        <v>1540</v>
      </c>
      <c r="L81" s="216">
        <v>46270.491666666669</v>
      </c>
      <c r="M81" s="216">
        <v>46270.598611111112</v>
      </c>
      <c r="N81" s="215" t="s">
        <v>1442</v>
      </c>
      <c r="O81" s="157" t="s">
        <v>205</v>
      </c>
      <c r="P81" s="92"/>
      <c r="Q81" s="145" t="s">
        <v>205</v>
      </c>
      <c r="R81" s="92"/>
      <c r="S81" s="145" t="s">
        <v>205</v>
      </c>
      <c r="T81" s="92"/>
      <c r="U81" s="145" t="s">
        <v>205</v>
      </c>
      <c r="V81" s="92"/>
      <c r="W81" s="145" t="s">
        <v>62</v>
      </c>
      <c r="X81" s="92"/>
      <c r="Y81" s="145" t="s">
        <v>62</v>
      </c>
      <c r="Z81" s="92"/>
      <c r="AA81" s="145" t="s">
        <v>205</v>
      </c>
      <c r="AB81" s="92"/>
      <c r="AC81" s="145" t="s">
        <v>205</v>
      </c>
      <c r="AD81" s="92"/>
      <c r="AE81" s="145" t="s">
        <v>205</v>
      </c>
      <c r="AF81" s="142" t="str">
        <f t="shared" si="5"/>
        <v>C</v>
      </c>
      <c r="AG81" s="190" t="str">
        <f t="shared" si="4"/>
        <v>UTILIZOU O PDA CORRETAMENTE</v>
      </c>
      <c r="AH81" s="145" t="s">
        <v>205</v>
      </c>
      <c r="AI81" s="153" t="s">
        <v>6</v>
      </c>
      <c r="AJ81" s="150" t="str">
        <f t="shared" si="3"/>
        <v>SÃO PAULO</v>
      </c>
      <c r="AK81" s="154" t="s">
        <v>60</v>
      </c>
    </row>
    <row r="82" spans="1:37" ht="30" customHeight="1">
      <c r="A82" s="215" t="s">
        <v>198</v>
      </c>
      <c r="B82" s="215">
        <v>2619301240</v>
      </c>
      <c r="C82" s="215" t="s">
        <v>123</v>
      </c>
      <c r="D82" s="215" t="s">
        <v>109</v>
      </c>
      <c r="E82" s="215" t="s">
        <v>5</v>
      </c>
      <c r="F82" s="215" t="s">
        <v>452</v>
      </c>
      <c r="G82" s="215">
        <v>1178</v>
      </c>
      <c r="H82" s="215" t="s">
        <v>226</v>
      </c>
      <c r="I82" s="215" t="s">
        <v>215</v>
      </c>
      <c r="J82" s="215" t="s">
        <v>1409</v>
      </c>
      <c r="K82" s="215" t="s">
        <v>1541</v>
      </c>
      <c r="L82" s="216">
        <v>46270.597222222219</v>
      </c>
      <c r="M82" s="216">
        <v>46270.720138888886</v>
      </c>
      <c r="N82" s="215" t="s">
        <v>1414</v>
      </c>
      <c r="O82" s="157" t="s">
        <v>205</v>
      </c>
      <c r="P82" s="92"/>
      <c r="Q82" s="145" t="s">
        <v>205</v>
      </c>
      <c r="R82" s="92"/>
      <c r="S82" s="145" t="s">
        <v>205</v>
      </c>
      <c r="T82" s="92"/>
      <c r="U82" s="145" t="s">
        <v>205</v>
      </c>
      <c r="V82" s="92"/>
      <c r="W82" s="145" t="s">
        <v>205</v>
      </c>
      <c r="X82" s="92"/>
      <c r="Y82" s="145" t="s">
        <v>62</v>
      </c>
      <c r="Z82" s="92"/>
      <c r="AA82" s="145" t="s">
        <v>205</v>
      </c>
      <c r="AB82" s="92"/>
      <c r="AC82" s="145" t="s">
        <v>205</v>
      </c>
      <c r="AD82" s="92"/>
      <c r="AE82" s="145" t="s">
        <v>205</v>
      </c>
      <c r="AF82" s="142" t="str">
        <f t="shared" si="5"/>
        <v>C</v>
      </c>
      <c r="AG82" s="190" t="str">
        <f t="shared" si="4"/>
        <v>UTILIZOU O PDA CORRETAMENTE</v>
      </c>
      <c r="AH82" s="145" t="s">
        <v>205</v>
      </c>
      <c r="AI82" s="153" t="s">
        <v>6</v>
      </c>
      <c r="AJ82" s="150" t="str">
        <f t="shared" si="3"/>
        <v>SÃO PAULO</v>
      </c>
      <c r="AK82" s="154" t="s">
        <v>60</v>
      </c>
    </row>
    <row r="83" spans="1:37" ht="30" customHeight="1">
      <c r="A83" s="215" t="s">
        <v>198</v>
      </c>
      <c r="B83" s="215">
        <v>2619142359</v>
      </c>
      <c r="C83" s="215" t="s">
        <v>118</v>
      </c>
      <c r="D83" s="215" t="s">
        <v>110</v>
      </c>
      <c r="E83" s="215" t="s">
        <v>5</v>
      </c>
      <c r="F83" s="215" t="s">
        <v>880</v>
      </c>
      <c r="G83" s="215">
        <v>168</v>
      </c>
      <c r="H83" s="215"/>
      <c r="I83" s="215" t="s">
        <v>643</v>
      </c>
      <c r="J83" s="215" t="s">
        <v>118</v>
      </c>
      <c r="K83" s="215" t="s">
        <v>1542</v>
      </c>
      <c r="L83" s="216">
        <v>46270.431944444441</v>
      </c>
      <c r="M83" s="216">
        <v>46270.442361111112</v>
      </c>
      <c r="N83" s="215" t="s">
        <v>1442</v>
      </c>
      <c r="O83" s="157" t="s">
        <v>205</v>
      </c>
      <c r="P83" s="92"/>
      <c r="Q83" s="145" t="s">
        <v>205</v>
      </c>
      <c r="R83" s="92"/>
      <c r="S83" s="145" t="s">
        <v>205</v>
      </c>
      <c r="T83" s="92"/>
      <c r="U83" s="145" t="s">
        <v>205</v>
      </c>
      <c r="V83" s="92"/>
      <c r="W83" s="145" t="s">
        <v>205</v>
      </c>
      <c r="X83" s="92"/>
      <c r="Y83" s="145" t="s">
        <v>205</v>
      </c>
      <c r="Z83" s="92"/>
      <c r="AA83" s="145" t="s">
        <v>205</v>
      </c>
      <c r="AB83" s="92"/>
      <c r="AC83" s="145" t="s">
        <v>205</v>
      </c>
      <c r="AD83" s="92"/>
      <c r="AE83" s="145" t="s">
        <v>205</v>
      </c>
      <c r="AF83" s="142" t="str">
        <f t="shared" si="5"/>
        <v>C</v>
      </c>
      <c r="AG83" s="190" t="str">
        <f t="shared" si="4"/>
        <v>UTILIZOU O PDA CORRETAMENTE</v>
      </c>
      <c r="AH83" s="145" t="s">
        <v>205</v>
      </c>
      <c r="AI83" s="153" t="s">
        <v>6</v>
      </c>
      <c r="AJ83" s="150" t="str">
        <f t="shared" si="3"/>
        <v>SÃO PAULO</v>
      </c>
      <c r="AK83" s="154" t="s">
        <v>60</v>
      </c>
    </row>
    <row r="84" spans="1:37" ht="30" customHeight="1">
      <c r="A84" s="215" t="s">
        <v>198</v>
      </c>
      <c r="B84" s="215">
        <v>2619328932</v>
      </c>
      <c r="C84" s="215" t="s">
        <v>122</v>
      </c>
      <c r="D84" s="215" t="s">
        <v>111</v>
      </c>
      <c r="E84" s="215" t="s">
        <v>5</v>
      </c>
      <c r="F84" s="215" t="s">
        <v>609</v>
      </c>
      <c r="G84" s="215">
        <v>8</v>
      </c>
      <c r="H84" s="215" t="s">
        <v>226</v>
      </c>
      <c r="I84" s="215" t="s">
        <v>346</v>
      </c>
      <c r="J84" s="215" t="s">
        <v>1451</v>
      </c>
      <c r="K84" s="215" t="s">
        <v>1543</v>
      </c>
      <c r="L84" s="216">
        <v>46270.628472222219</v>
      </c>
      <c r="M84" s="216">
        <v>46270.645833333336</v>
      </c>
      <c r="N84" s="215" t="s">
        <v>1442</v>
      </c>
      <c r="O84" s="157" t="s">
        <v>205</v>
      </c>
      <c r="P84" s="92"/>
      <c r="Q84" s="145" t="s">
        <v>205</v>
      </c>
      <c r="R84" s="92"/>
      <c r="S84" s="145" t="s">
        <v>205</v>
      </c>
      <c r="T84" s="92"/>
      <c r="U84" s="145" t="s">
        <v>62</v>
      </c>
      <c r="V84" s="92"/>
      <c r="W84" s="145" t="s">
        <v>62</v>
      </c>
      <c r="X84" s="92"/>
      <c r="Y84" s="145" t="s">
        <v>62</v>
      </c>
      <c r="Z84" s="92"/>
      <c r="AA84" s="145" t="s">
        <v>205</v>
      </c>
      <c r="AB84" s="92"/>
      <c r="AC84" s="145" t="s">
        <v>205</v>
      </c>
      <c r="AD84" s="92"/>
      <c r="AE84" s="145" t="s">
        <v>205</v>
      </c>
      <c r="AF84" s="142" t="str">
        <f t="shared" si="5"/>
        <v>C</v>
      </c>
      <c r="AG84" s="190" t="str">
        <f t="shared" si="4"/>
        <v>UTILIZOU O PDA CORRETAMENTE</v>
      </c>
      <c r="AH84" s="145"/>
      <c r="AI84" s="153" t="s">
        <v>6</v>
      </c>
      <c r="AJ84" s="150" t="str">
        <f t="shared" si="3"/>
        <v>SÃO PAULO</v>
      </c>
      <c r="AK84" s="154" t="s">
        <v>60</v>
      </c>
    </row>
    <row r="85" spans="1:37" ht="30" customHeight="1">
      <c r="A85" s="215" t="s">
        <v>198</v>
      </c>
      <c r="B85" s="215">
        <v>2619210812</v>
      </c>
      <c r="C85" s="215" t="s">
        <v>110</v>
      </c>
      <c r="D85" s="215" t="s">
        <v>110</v>
      </c>
      <c r="E85" s="215" t="s">
        <v>5</v>
      </c>
      <c r="F85" s="215" t="s">
        <v>668</v>
      </c>
      <c r="G85" s="215">
        <v>75</v>
      </c>
      <c r="H85" s="215" t="s">
        <v>387</v>
      </c>
      <c r="I85" s="215" t="s">
        <v>624</v>
      </c>
      <c r="J85" s="215" t="s">
        <v>110</v>
      </c>
      <c r="K85" s="215" t="s">
        <v>1544</v>
      </c>
      <c r="L85" s="216">
        <v>46270.371527777781</v>
      </c>
      <c r="M85" s="216">
        <v>46270.455555555556</v>
      </c>
      <c r="N85" s="215" t="s">
        <v>1414</v>
      </c>
      <c r="O85" s="157" t="s">
        <v>205</v>
      </c>
      <c r="P85" s="92"/>
      <c r="Q85" s="145" t="s">
        <v>205</v>
      </c>
      <c r="R85" s="92"/>
      <c r="S85" s="145" t="s">
        <v>205</v>
      </c>
      <c r="T85" s="92"/>
      <c r="U85" s="145" t="s">
        <v>205</v>
      </c>
      <c r="V85" s="92"/>
      <c r="W85" s="145" t="s">
        <v>205</v>
      </c>
      <c r="X85" s="92"/>
      <c r="Y85" s="145" t="s">
        <v>62</v>
      </c>
      <c r="Z85" s="92"/>
      <c r="AA85" s="145" t="s">
        <v>205</v>
      </c>
      <c r="AB85" s="92"/>
      <c r="AC85" s="145" t="s">
        <v>205</v>
      </c>
      <c r="AD85" s="92"/>
      <c r="AE85" s="145" t="s">
        <v>205</v>
      </c>
      <c r="AF85" s="142" t="str">
        <f t="shared" si="5"/>
        <v>C</v>
      </c>
      <c r="AG85" s="190" t="str">
        <f t="shared" si="4"/>
        <v>UTILIZOU O PDA CORRETAMENTE</v>
      </c>
      <c r="AH85" s="145" t="s">
        <v>205</v>
      </c>
      <c r="AI85" s="153" t="s">
        <v>6</v>
      </c>
      <c r="AJ85" s="150" t="str">
        <f t="shared" si="3"/>
        <v>SÃO PAULO</v>
      </c>
      <c r="AK85" s="154" t="s">
        <v>60</v>
      </c>
    </row>
    <row r="86" spans="1:37" ht="30" customHeight="1">
      <c r="A86" s="215" t="s">
        <v>198</v>
      </c>
      <c r="B86" s="215">
        <v>2619212038</v>
      </c>
      <c r="C86" s="215" t="s">
        <v>1490</v>
      </c>
      <c r="D86" s="215" t="s">
        <v>111</v>
      </c>
      <c r="E86" s="215" t="s">
        <v>5</v>
      </c>
      <c r="F86" s="215" t="s">
        <v>731</v>
      </c>
      <c r="G86" s="215">
        <v>80</v>
      </c>
      <c r="H86" s="215" t="s">
        <v>226</v>
      </c>
      <c r="I86" s="215" t="s">
        <v>732</v>
      </c>
      <c r="J86" s="215" t="s">
        <v>1491</v>
      </c>
      <c r="K86" s="219" t="s">
        <v>1545</v>
      </c>
      <c r="L86" s="216">
        <v>46270.53125</v>
      </c>
      <c r="M86" s="216">
        <v>46270.53402777778</v>
      </c>
      <c r="N86" s="215" t="s">
        <v>1414</v>
      </c>
      <c r="O86" s="157" t="s">
        <v>206</v>
      </c>
      <c r="P86" s="92"/>
      <c r="Q86" s="145" t="s">
        <v>206</v>
      </c>
      <c r="R86" s="92"/>
      <c r="S86" s="145" t="s">
        <v>206</v>
      </c>
      <c r="T86" s="92"/>
      <c r="U86" s="145" t="s">
        <v>206</v>
      </c>
      <c r="V86" s="92"/>
      <c r="W86" s="145" t="s">
        <v>206</v>
      </c>
      <c r="X86" s="92"/>
      <c r="Y86" s="145" t="s">
        <v>206</v>
      </c>
      <c r="Z86" s="92"/>
      <c r="AA86" s="145" t="s">
        <v>206</v>
      </c>
      <c r="AB86" s="92"/>
      <c r="AC86" s="145" t="s">
        <v>206</v>
      </c>
      <c r="AD86" s="56" t="s">
        <v>1546</v>
      </c>
      <c r="AE86" s="145" t="s">
        <v>239</v>
      </c>
      <c r="AF86" s="142" t="str">
        <f t="shared" si="5"/>
        <v>NC</v>
      </c>
      <c r="AG86" s="190" t="str">
        <f t="shared" si="4"/>
        <v>NÃO UTILIZOU O PDA</v>
      </c>
      <c r="AH86" s="145" t="s">
        <v>205</v>
      </c>
      <c r="AI86" s="153" t="s">
        <v>6</v>
      </c>
      <c r="AJ86" s="150" t="str">
        <f t="shared" si="3"/>
        <v>SÃO PAULO</v>
      </c>
      <c r="AK86" s="154" t="s">
        <v>60</v>
      </c>
    </row>
    <row r="87" spans="1:37" ht="30" customHeight="1">
      <c r="A87" s="215" t="s">
        <v>198</v>
      </c>
      <c r="B87" s="215">
        <v>2619212381</v>
      </c>
      <c r="C87" s="215" t="s">
        <v>1490</v>
      </c>
      <c r="D87" s="215" t="s">
        <v>111</v>
      </c>
      <c r="E87" s="215" t="s">
        <v>5</v>
      </c>
      <c r="F87" s="215" t="s">
        <v>731</v>
      </c>
      <c r="G87" s="215">
        <v>68</v>
      </c>
      <c r="H87" s="215" t="s">
        <v>226</v>
      </c>
      <c r="I87" s="215" t="s">
        <v>732</v>
      </c>
      <c r="J87" s="215" t="s">
        <v>1491</v>
      </c>
      <c r="K87" s="219" t="s">
        <v>1545</v>
      </c>
      <c r="L87" s="216">
        <v>46270.529166666667</v>
      </c>
      <c r="M87" s="216">
        <v>46270.53125</v>
      </c>
      <c r="N87" s="215" t="s">
        <v>1414</v>
      </c>
      <c r="O87" s="157" t="s">
        <v>206</v>
      </c>
      <c r="P87" s="92"/>
      <c r="Q87" s="145" t="s">
        <v>206</v>
      </c>
      <c r="R87" s="92"/>
      <c r="S87" s="145" t="s">
        <v>206</v>
      </c>
      <c r="T87" s="92"/>
      <c r="U87" s="145" t="s">
        <v>206</v>
      </c>
      <c r="V87" s="92"/>
      <c r="W87" s="145" t="s">
        <v>206</v>
      </c>
      <c r="X87" s="92"/>
      <c r="Y87" s="145" t="s">
        <v>206</v>
      </c>
      <c r="Z87" s="92"/>
      <c r="AA87" s="145" t="s">
        <v>206</v>
      </c>
      <c r="AB87" s="92"/>
      <c r="AC87" s="145" t="s">
        <v>206</v>
      </c>
      <c r="AD87" s="56" t="s">
        <v>1546</v>
      </c>
      <c r="AE87" s="145" t="s">
        <v>239</v>
      </c>
      <c r="AF87" s="142" t="str">
        <f t="shared" si="5"/>
        <v>NC</v>
      </c>
      <c r="AG87" s="190" t="str">
        <f t="shared" si="4"/>
        <v>NÃO UTILIZOU O PDA</v>
      </c>
      <c r="AH87" s="145" t="s">
        <v>205</v>
      </c>
      <c r="AI87" s="153" t="s">
        <v>6</v>
      </c>
      <c r="AJ87" s="150" t="str">
        <f t="shared" si="3"/>
        <v>SÃO PAULO</v>
      </c>
      <c r="AK87" s="154" t="s">
        <v>60</v>
      </c>
    </row>
    <row r="88" spans="1:37" ht="30" customHeight="1">
      <c r="A88" s="215" t="s">
        <v>198</v>
      </c>
      <c r="B88" s="215">
        <v>2619211813</v>
      </c>
      <c r="C88" s="215" t="s">
        <v>1490</v>
      </c>
      <c r="D88" s="215" t="s">
        <v>111</v>
      </c>
      <c r="E88" s="215" t="s">
        <v>5</v>
      </c>
      <c r="F88" s="215" t="s">
        <v>731</v>
      </c>
      <c r="G88" s="215">
        <v>96</v>
      </c>
      <c r="H88" s="215" t="s">
        <v>200</v>
      </c>
      <c r="I88" s="215" t="s">
        <v>732</v>
      </c>
      <c r="J88" s="215" t="s">
        <v>1491</v>
      </c>
      <c r="K88" s="219" t="s">
        <v>1545</v>
      </c>
      <c r="L88" s="216">
        <v>46270.53402777778</v>
      </c>
      <c r="M88" s="216">
        <v>46270.536111111112</v>
      </c>
      <c r="N88" s="215" t="s">
        <v>1414</v>
      </c>
      <c r="O88" s="157" t="s">
        <v>206</v>
      </c>
      <c r="P88" s="92"/>
      <c r="Q88" s="145" t="s">
        <v>206</v>
      </c>
      <c r="R88" s="92"/>
      <c r="S88" s="145" t="s">
        <v>206</v>
      </c>
      <c r="T88" s="92"/>
      <c r="U88" s="145" t="s">
        <v>206</v>
      </c>
      <c r="V88" s="92"/>
      <c r="W88" s="145" t="s">
        <v>206</v>
      </c>
      <c r="X88" s="92"/>
      <c r="Y88" s="145" t="s">
        <v>206</v>
      </c>
      <c r="Z88" s="92"/>
      <c r="AA88" s="145" t="s">
        <v>206</v>
      </c>
      <c r="AB88" s="92"/>
      <c r="AC88" s="145" t="s">
        <v>206</v>
      </c>
      <c r="AD88" s="56" t="s">
        <v>1546</v>
      </c>
      <c r="AE88" s="145" t="s">
        <v>239</v>
      </c>
      <c r="AF88" s="142" t="str">
        <f t="shared" si="5"/>
        <v>NC</v>
      </c>
      <c r="AG88" s="190" t="str">
        <f t="shared" si="4"/>
        <v>NÃO UTILIZOU O PDA</v>
      </c>
      <c r="AH88" s="145" t="s">
        <v>205</v>
      </c>
      <c r="AI88" s="153" t="s">
        <v>6</v>
      </c>
      <c r="AJ88" s="150" t="str">
        <f t="shared" si="3"/>
        <v>SÃO PAULO</v>
      </c>
      <c r="AK88" s="154" t="s">
        <v>60</v>
      </c>
    </row>
    <row r="89" spans="1:37" ht="30" customHeight="1">
      <c r="A89" s="215" t="s">
        <v>198</v>
      </c>
      <c r="B89" s="215">
        <v>2619211440</v>
      </c>
      <c r="C89" s="215" t="s">
        <v>1490</v>
      </c>
      <c r="D89" s="215" t="s">
        <v>111</v>
      </c>
      <c r="E89" s="215" t="s">
        <v>5</v>
      </c>
      <c r="F89" s="215" t="s">
        <v>731</v>
      </c>
      <c r="G89" s="215">
        <v>106</v>
      </c>
      <c r="H89" s="215"/>
      <c r="I89" s="215" t="s">
        <v>732</v>
      </c>
      <c r="J89" s="215" t="s">
        <v>1491</v>
      </c>
      <c r="K89" s="219" t="s">
        <v>1545</v>
      </c>
      <c r="L89" s="216">
        <v>46270.527777777781</v>
      </c>
      <c r="M89" s="216">
        <v>46270.529166666667</v>
      </c>
      <c r="N89" s="215" t="s">
        <v>1414</v>
      </c>
      <c r="O89" s="157" t="s">
        <v>206</v>
      </c>
      <c r="P89" s="92"/>
      <c r="Q89" s="145" t="s">
        <v>206</v>
      </c>
      <c r="R89" s="92"/>
      <c r="S89" s="145" t="s">
        <v>206</v>
      </c>
      <c r="T89" s="92"/>
      <c r="U89" s="145" t="s">
        <v>206</v>
      </c>
      <c r="V89" s="92"/>
      <c r="W89" s="145" t="s">
        <v>206</v>
      </c>
      <c r="X89" s="92"/>
      <c r="Y89" s="145" t="s">
        <v>206</v>
      </c>
      <c r="Z89" s="92"/>
      <c r="AA89" s="145" t="s">
        <v>206</v>
      </c>
      <c r="AB89" s="92"/>
      <c r="AC89" s="145" t="s">
        <v>206</v>
      </c>
      <c r="AD89" s="56" t="s">
        <v>1546</v>
      </c>
      <c r="AE89" s="145" t="s">
        <v>239</v>
      </c>
      <c r="AF89" s="142" t="str">
        <f t="shared" si="5"/>
        <v>NC</v>
      </c>
      <c r="AG89" s="190" t="str">
        <f t="shared" si="4"/>
        <v>NÃO UTILIZOU O PDA</v>
      </c>
      <c r="AH89" s="145" t="s">
        <v>205</v>
      </c>
      <c r="AI89" s="153" t="s">
        <v>6</v>
      </c>
      <c r="AJ89" s="150" t="str">
        <f t="shared" si="3"/>
        <v>SÃO PAULO</v>
      </c>
      <c r="AK89" s="154" t="s">
        <v>60</v>
      </c>
    </row>
    <row r="90" spans="1:37" ht="30" customHeight="1">
      <c r="A90" s="215" t="s">
        <v>198</v>
      </c>
      <c r="B90" s="269">
        <v>2619211924</v>
      </c>
      <c r="C90" s="215" t="s">
        <v>1490</v>
      </c>
      <c r="D90" s="215" t="s">
        <v>111</v>
      </c>
      <c r="E90" s="215" t="s">
        <v>5</v>
      </c>
      <c r="F90" s="215" t="s">
        <v>731</v>
      </c>
      <c r="G90" s="215">
        <v>88</v>
      </c>
      <c r="H90" s="215" t="s">
        <v>226</v>
      </c>
      <c r="I90" s="215" t="s">
        <v>732</v>
      </c>
      <c r="J90" s="215" t="s">
        <v>1491</v>
      </c>
      <c r="K90" s="219" t="s">
        <v>1545</v>
      </c>
      <c r="L90" s="216">
        <v>46270.525694444441</v>
      </c>
      <c r="M90" s="216">
        <v>46270.527777777781</v>
      </c>
      <c r="N90" s="215" t="s">
        <v>1414</v>
      </c>
      <c r="O90" s="157" t="s">
        <v>206</v>
      </c>
      <c r="P90" s="92"/>
      <c r="Q90" s="145" t="s">
        <v>206</v>
      </c>
      <c r="R90" s="92"/>
      <c r="S90" s="145" t="s">
        <v>206</v>
      </c>
      <c r="T90" s="92"/>
      <c r="U90" s="145" t="s">
        <v>206</v>
      </c>
      <c r="V90" s="92"/>
      <c r="W90" s="145" t="s">
        <v>206</v>
      </c>
      <c r="X90" s="92"/>
      <c r="Y90" s="145" t="s">
        <v>206</v>
      </c>
      <c r="Z90" s="92"/>
      <c r="AA90" s="145" t="s">
        <v>206</v>
      </c>
      <c r="AB90" s="92"/>
      <c r="AC90" s="145" t="s">
        <v>206</v>
      </c>
      <c r="AD90" s="56" t="s">
        <v>1546</v>
      </c>
      <c r="AE90" s="145" t="s">
        <v>239</v>
      </c>
      <c r="AF90" s="142" t="str">
        <f t="shared" si="5"/>
        <v>NC</v>
      </c>
      <c r="AG90" s="190" t="str">
        <f t="shared" si="4"/>
        <v>NÃO UTILIZOU O PDA</v>
      </c>
      <c r="AH90" s="145" t="s">
        <v>205</v>
      </c>
      <c r="AI90" s="153" t="s">
        <v>6</v>
      </c>
      <c r="AJ90" s="150" t="str">
        <f t="shared" si="3"/>
        <v>SÃO PAULO</v>
      </c>
      <c r="AK90" s="154" t="s">
        <v>60</v>
      </c>
    </row>
    <row r="91" spans="1:37" ht="30" customHeight="1">
      <c r="A91" s="215" t="s">
        <v>198</v>
      </c>
      <c r="B91" s="215">
        <v>2619467330</v>
      </c>
      <c r="C91" s="215" t="s">
        <v>123</v>
      </c>
      <c r="D91" s="215" t="s">
        <v>109</v>
      </c>
      <c r="E91" s="215" t="s">
        <v>5</v>
      </c>
      <c r="F91" s="215" t="s">
        <v>488</v>
      </c>
      <c r="G91" s="215">
        <v>178</v>
      </c>
      <c r="H91" s="215" t="s">
        <v>226</v>
      </c>
      <c r="I91" s="215" t="s">
        <v>412</v>
      </c>
      <c r="J91" s="215" t="s">
        <v>1409</v>
      </c>
      <c r="K91" s="215" t="s">
        <v>1520</v>
      </c>
      <c r="L91" s="216">
        <v>46300.461805555555</v>
      </c>
      <c r="M91" s="216">
        <v>46300.537499999999</v>
      </c>
      <c r="N91" s="215" t="s">
        <v>1442</v>
      </c>
      <c r="O91" s="157" t="s">
        <v>205</v>
      </c>
      <c r="P91" s="92"/>
      <c r="Q91" s="145" t="s">
        <v>205</v>
      </c>
      <c r="R91" s="92"/>
      <c r="S91" s="145" t="s">
        <v>205</v>
      </c>
      <c r="T91" s="92"/>
      <c r="U91" s="145" t="s">
        <v>205</v>
      </c>
      <c r="V91" s="92"/>
      <c r="W91" s="145" t="s">
        <v>205</v>
      </c>
      <c r="X91" s="92"/>
      <c r="Y91" s="145" t="s">
        <v>205</v>
      </c>
      <c r="Z91" s="92"/>
      <c r="AA91" s="145" t="s">
        <v>205</v>
      </c>
      <c r="AB91" s="92"/>
      <c r="AC91" s="145" t="s">
        <v>205</v>
      </c>
      <c r="AD91" s="92"/>
      <c r="AE91" s="145" t="s">
        <v>205</v>
      </c>
      <c r="AF91" s="142" t="str">
        <f t="shared" si="5"/>
        <v>C</v>
      </c>
      <c r="AG91" s="190" t="str">
        <f t="shared" si="4"/>
        <v>UTILIZOU O PDA CORRETAMENTE</v>
      </c>
      <c r="AH91" s="145" t="s">
        <v>205</v>
      </c>
      <c r="AI91" s="153" t="s">
        <v>6</v>
      </c>
      <c r="AJ91" s="150" t="str">
        <f t="shared" si="3"/>
        <v>SÃO PAULO</v>
      </c>
      <c r="AK91" s="154" t="s">
        <v>60</v>
      </c>
    </row>
    <row r="92" spans="1:37" ht="30" customHeight="1">
      <c r="A92" s="215" t="s">
        <v>198</v>
      </c>
      <c r="B92" s="215">
        <v>2619467792</v>
      </c>
      <c r="C92" s="215" t="s">
        <v>123</v>
      </c>
      <c r="D92" s="215" t="s">
        <v>109</v>
      </c>
      <c r="E92" s="215" t="s">
        <v>5</v>
      </c>
      <c r="F92" s="215" t="s">
        <v>513</v>
      </c>
      <c r="G92" s="215">
        <v>1850</v>
      </c>
      <c r="H92" s="215" t="s">
        <v>250</v>
      </c>
      <c r="I92" s="215" t="s">
        <v>251</v>
      </c>
      <c r="J92" s="215" t="s">
        <v>1409</v>
      </c>
      <c r="K92" s="215" t="s">
        <v>1547</v>
      </c>
      <c r="L92" s="216">
        <v>46300.436111111114</v>
      </c>
      <c r="M92" s="216">
        <v>46300.624305555553</v>
      </c>
      <c r="N92" s="215" t="s">
        <v>1414</v>
      </c>
      <c r="O92" s="157" t="s">
        <v>62</v>
      </c>
      <c r="P92" s="92"/>
      <c r="Q92" s="145" t="s">
        <v>62</v>
      </c>
      <c r="R92" s="92"/>
      <c r="S92" s="145" t="s">
        <v>62</v>
      </c>
      <c r="T92" s="92"/>
      <c r="U92" s="145" t="s">
        <v>62</v>
      </c>
      <c r="V92" s="92"/>
      <c r="W92" s="145" t="s">
        <v>62</v>
      </c>
      <c r="X92" s="92"/>
      <c r="Y92" s="145" t="s">
        <v>62</v>
      </c>
      <c r="Z92" s="92"/>
      <c r="AA92" s="145" t="s">
        <v>62</v>
      </c>
      <c r="AB92" s="92"/>
      <c r="AC92" s="145" t="s">
        <v>62</v>
      </c>
      <c r="AD92" s="92"/>
      <c r="AE92" s="145" t="s">
        <v>62</v>
      </c>
      <c r="AF92" s="142" t="str">
        <f t="shared" si="5"/>
        <v>NA</v>
      </c>
      <c r="AG92" s="190" t="str">
        <f t="shared" si="4"/>
        <v>NÃO AVALIADO POR FALHA DE SINCRONISMO</v>
      </c>
      <c r="AH92" s="145" t="s">
        <v>205</v>
      </c>
      <c r="AI92" s="153" t="s">
        <v>6</v>
      </c>
      <c r="AJ92" s="150" t="str">
        <f t="shared" si="3"/>
        <v>SÃO PAULO</v>
      </c>
      <c r="AK92" s="154" t="s">
        <v>60</v>
      </c>
    </row>
    <row r="93" spans="1:37" ht="30" customHeight="1">
      <c r="A93" s="215" t="s">
        <v>198</v>
      </c>
      <c r="B93" s="215">
        <v>2619779302</v>
      </c>
      <c r="C93" s="215" t="s">
        <v>1477</v>
      </c>
      <c r="D93" s="215" t="s">
        <v>109</v>
      </c>
      <c r="E93" s="215" t="s">
        <v>5</v>
      </c>
      <c r="F93" s="215" t="s">
        <v>1548</v>
      </c>
      <c r="G93" s="215">
        <v>73</v>
      </c>
      <c r="H93" s="215" t="s">
        <v>318</v>
      </c>
      <c r="I93" s="215" t="s">
        <v>427</v>
      </c>
      <c r="J93" s="215" t="s">
        <v>1479</v>
      </c>
      <c r="K93" s="215" t="s">
        <v>1549</v>
      </c>
      <c r="L93" s="216">
        <v>46300.677777777775</v>
      </c>
      <c r="M93" s="216">
        <v>46300.679861111108</v>
      </c>
      <c r="N93" s="215" t="s">
        <v>1442</v>
      </c>
      <c r="O93" s="157" t="s">
        <v>205</v>
      </c>
      <c r="P93" s="92"/>
      <c r="Q93" s="145" t="s">
        <v>205</v>
      </c>
      <c r="R93" s="92"/>
      <c r="S93" s="145" t="s">
        <v>205</v>
      </c>
      <c r="T93" s="92"/>
      <c r="U93" s="145" t="s">
        <v>205</v>
      </c>
      <c r="V93" s="92"/>
      <c r="W93" s="145" t="s">
        <v>205</v>
      </c>
      <c r="X93" s="92"/>
      <c r="Y93" s="145" t="s">
        <v>205</v>
      </c>
      <c r="Z93" s="92"/>
      <c r="AA93" s="145" t="s">
        <v>205</v>
      </c>
      <c r="AB93" s="92"/>
      <c r="AC93" s="145" t="s">
        <v>205</v>
      </c>
      <c r="AD93" s="92"/>
      <c r="AE93" s="145" t="s">
        <v>205</v>
      </c>
      <c r="AF93" s="142" t="str">
        <f t="shared" si="5"/>
        <v>C</v>
      </c>
      <c r="AG93" s="190" t="str">
        <f t="shared" si="4"/>
        <v>UTILIZOU O PDA CORRETAMENTE</v>
      </c>
      <c r="AH93" s="145" t="s">
        <v>205</v>
      </c>
      <c r="AI93" s="153" t="s">
        <v>6</v>
      </c>
      <c r="AJ93" s="150" t="str">
        <f t="shared" si="3"/>
        <v>SÃO PAULO</v>
      </c>
      <c r="AK93" s="154" t="s">
        <v>60</v>
      </c>
    </row>
    <row r="94" spans="1:37" ht="30" customHeight="1">
      <c r="A94" s="228" t="s">
        <v>198</v>
      </c>
      <c r="B94" s="228">
        <v>2619780312</v>
      </c>
      <c r="C94" s="228" t="s">
        <v>116</v>
      </c>
      <c r="D94" s="228" t="s">
        <v>109</v>
      </c>
      <c r="E94" s="228" t="s">
        <v>5</v>
      </c>
      <c r="F94" s="228" t="s">
        <v>1548</v>
      </c>
      <c r="G94" s="228">
        <v>64</v>
      </c>
      <c r="H94" s="228"/>
      <c r="I94" s="228" t="s">
        <v>246</v>
      </c>
      <c r="J94" s="228" t="s">
        <v>1448</v>
      </c>
      <c r="K94" s="228" t="s">
        <v>1550</v>
      </c>
      <c r="L94" s="230">
        <v>46300.674305555556</v>
      </c>
      <c r="M94" s="230">
        <v>46300.676388888889</v>
      </c>
      <c r="N94" s="228" t="s">
        <v>1442</v>
      </c>
      <c r="O94" s="157" t="s">
        <v>205</v>
      </c>
      <c r="P94" s="92"/>
      <c r="Q94" s="145" t="s">
        <v>205</v>
      </c>
      <c r="R94" s="92"/>
      <c r="S94" s="145" t="s">
        <v>205</v>
      </c>
      <c r="T94" s="92"/>
      <c r="U94" s="145" t="s">
        <v>205</v>
      </c>
      <c r="V94" s="92"/>
      <c r="W94" s="145" t="s">
        <v>205</v>
      </c>
      <c r="X94" s="92"/>
      <c r="Y94" s="145" t="s">
        <v>205</v>
      </c>
      <c r="Z94" s="92"/>
      <c r="AA94" s="145" t="s">
        <v>205</v>
      </c>
      <c r="AB94" s="92"/>
      <c r="AC94" s="145" t="s">
        <v>205</v>
      </c>
      <c r="AD94" s="92"/>
      <c r="AE94" s="145" t="s">
        <v>205</v>
      </c>
      <c r="AF94" s="142" t="str">
        <f t="shared" si="5"/>
        <v>C</v>
      </c>
      <c r="AG94" s="190" t="str">
        <f t="shared" si="4"/>
        <v>UTILIZOU O PDA CORRETAMENTE</v>
      </c>
      <c r="AH94" s="145" t="s">
        <v>205</v>
      </c>
      <c r="AI94" s="153" t="s">
        <v>6</v>
      </c>
      <c r="AJ94" s="150" t="str">
        <f t="shared" si="3"/>
        <v>SÃO PAULO</v>
      </c>
      <c r="AK94" s="154" t="s">
        <v>60</v>
      </c>
    </row>
    <row r="95" spans="1:37" ht="30" customHeight="1">
      <c r="A95" s="215" t="s">
        <v>198</v>
      </c>
      <c r="B95" s="215">
        <v>2618695275</v>
      </c>
      <c r="C95" s="215" t="s">
        <v>121</v>
      </c>
      <c r="D95" s="215" t="s">
        <v>112</v>
      </c>
      <c r="E95" s="215" t="s">
        <v>5</v>
      </c>
      <c r="F95" s="215" t="s">
        <v>1551</v>
      </c>
      <c r="G95" s="215">
        <v>27</v>
      </c>
      <c r="H95" s="215" t="s">
        <v>226</v>
      </c>
      <c r="I95" s="215" t="s">
        <v>274</v>
      </c>
      <c r="J95" s="215" t="s">
        <v>1406</v>
      </c>
      <c r="K95" s="215" t="s">
        <v>1466</v>
      </c>
      <c r="L95" s="216">
        <v>46331.405555555553</v>
      </c>
      <c r="M95" s="216">
        <v>46331.40902777778</v>
      </c>
      <c r="N95" s="215" t="s">
        <v>217</v>
      </c>
      <c r="O95" s="157" t="s">
        <v>205</v>
      </c>
      <c r="P95" s="92"/>
      <c r="Q95" s="145" t="s">
        <v>205</v>
      </c>
      <c r="R95" s="92"/>
      <c r="S95" s="145" t="s">
        <v>205</v>
      </c>
      <c r="T95" s="92"/>
      <c r="U95" s="145" t="s">
        <v>205</v>
      </c>
      <c r="V95" s="92"/>
      <c r="W95" s="145" t="s">
        <v>62</v>
      </c>
      <c r="X95" s="92"/>
      <c r="Y95" s="145" t="s">
        <v>62</v>
      </c>
      <c r="Z95" s="92"/>
      <c r="AA95" s="145" t="s">
        <v>205</v>
      </c>
      <c r="AB95" s="92"/>
      <c r="AC95" s="145" t="s">
        <v>205</v>
      </c>
      <c r="AD95" s="92"/>
      <c r="AE95" s="145" t="s">
        <v>205</v>
      </c>
      <c r="AF95" s="142" t="str">
        <f t="shared" si="5"/>
        <v>C</v>
      </c>
      <c r="AG95" s="190" t="str">
        <f t="shared" si="4"/>
        <v>UTILIZOU O PDA CORRETAMENTE</v>
      </c>
      <c r="AH95" s="145"/>
      <c r="AI95" s="153" t="s">
        <v>6</v>
      </c>
      <c r="AJ95" s="150" t="str">
        <f t="shared" si="3"/>
        <v>SÃO PAULO</v>
      </c>
      <c r="AK95" s="154" t="s">
        <v>60</v>
      </c>
    </row>
    <row r="96" spans="1:37" ht="30" customHeight="1">
      <c r="A96" s="215" t="s">
        <v>198</v>
      </c>
      <c r="B96" s="215">
        <v>2618450531</v>
      </c>
      <c r="C96" s="215" t="s">
        <v>117</v>
      </c>
      <c r="D96" s="215" t="s">
        <v>112</v>
      </c>
      <c r="E96" s="215" t="s">
        <v>5</v>
      </c>
      <c r="F96" s="215" t="s">
        <v>1095</v>
      </c>
      <c r="G96" s="215">
        <v>620</v>
      </c>
      <c r="H96" s="215"/>
      <c r="I96" s="215" t="s">
        <v>1096</v>
      </c>
      <c r="J96" s="215" t="s">
        <v>1529</v>
      </c>
      <c r="K96" s="219" t="s">
        <v>1552</v>
      </c>
      <c r="L96" s="216">
        <v>46331.350694444445</v>
      </c>
      <c r="M96" s="216">
        <v>46331.357638888891</v>
      </c>
      <c r="N96" s="215" t="s">
        <v>204</v>
      </c>
      <c r="O96" s="157" t="s">
        <v>62</v>
      </c>
      <c r="P96" s="92"/>
      <c r="Q96" s="145" t="s">
        <v>62</v>
      </c>
      <c r="R96" s="92"/>
      <c r="S96" s="145" t="s">
        <v>62</v>
      </c>
      <c r="T96" s="92"/>
      <c r="U96" s="145" t="s">
        <v>62</v>
      </c>
      <c r="V96" s="92"/>
      <c r="W96" s="145" t="s">
        <v>62</v>
      </c>
      <c r="X96" s="92"/>
      <c r="Y96" s="145" t="s">
        <v>62</v>
      </c>
      <c r="Z96" s="92"/>
      <c r="AA96" s="145" t="s">
        <v>62</v>
      </c>
      <c r="AB96" s="92"/>
      <c r="AC96" s="145" t="s">
        <v>62</v>
      </c>
      <c r="AD96" s="92"/>
      <c r="AE96" s="145" t="s">
        <v>62</v>
      </c>
      <c r="AF96" s="142" t="str">
        <f t="shared" si="5"/>
        <v>NA</v>
      </c>
      <c r="AG96" s="190" t="str">
        <f t="shared" si="4"/>
        <v>NÃO AVALIADO POR FALHA DE SINCRONISMO</v>
      </c>
      <c r="AH96" s="145"/>
      <c r="AI96" s="153" t="s">
        <v>6</v>
      </c>
      <c r="AJ96" s="150" t="str">
        <f t="shared" ref="AJ96:AJ136" si="6">E96</f>
        <v>SÃO PAULO</v>
      </c>
      <c r="AK96" s="154" t="s">
        <v>60</v>
      </c>
    </row>
    <row r="97" spans="1:37" ht="30" customHeight="1">
      <c r="A97" s="215" t="s">
        <v>198</v>
      </c>
      <c r="B97" s="215">
        <v>2618965547</v>
      </c>
      <c r="C97" s="215" t="s">
        <v>1443</v>
      </c>
      <c r="D97" s="215" t="s">
        <v>112</v>
      </c>
      <c r="E97" s="215" t="s">
        <v>5</v>
      </c>
      <c r="F97" s="215" t="s">
        <v>1502</v>
      </c>
      <c r="G97" s="215">
        <v>2037</v>
      </c>
      <c r="H97" s="215" t="s">
        <v>226</v>
      </c>
      <c r="I97" s="215" t="s">
        <v>369</v>
      </c>
      <c r="J97" s="215" t="s">
        <v>1445</v>
      </c>
      <c r="K97" s="219" t="s">
        <v>1553</v>
      </c>
      <c r="L97" s="216">
        <v>46331.350694444445</v>
      </c>
      <c r="M97" s="216">
        <v>46331.357638888891</v>
      </c>
      <c r="N97" s="215" t="s">
        <v>1426</v>
      </c>
      <c r="O97" s="157" t="s">
        <v>205</v>
      </c>
      <c r="P97" s="92"/>
      <c r="Q97" s="145" t="s">
        <v>205</v>
      </c>
      <c r="R97" s="92"/>
      <c r="S97" s="145" t="s">
        <v>205</v>
      </c>
      <c r="T97" s="92"/>
      <c r="U97" s="145" t="s">
        <v>205</v>
      </c>
      <c r="V97" s="92"/>
      <c r="W97" s="145" t="s">
        <v>205</v>
      </c>
      <c r="X97" s="92"/>
      <c r="Y97" s="145" t="s">
        <v>205</v>
      </c>
      <c r="Z97" s="92"/>
      <c r="AA97" s="145" t="s">
        <v>205</v>
      </c>
      <c r="AB97" s="92"/>
      <c r="AC97" s="145" t="s">
        <v>205</v>
      </c>
      <c r="AD97" s="92"/>
      <c r="AE97" s="145" t="s">
        <v>205</v>
      </c>
      <c r="AF97" s="142" t="str">
        <f t="shared" si="5"/>
        <v>C</v>
      </c>
      <c r="AG97" s="190" t="str">
        <f t="shared" si="4"/>
        <v>UTILIZOU O PDA CORRETAMENTE</v>
      </c>
      <c r="AH97" s="145" t="s">
        <v>205</v>
      </c>
      <c r="AI97" s="153" t="s">
        <v>6</v>
      </c>
      <c r="AJ97" s="150" t="str">
        <f t="shared" si="6"/>
        <v>SÃO PAULO</v>
      </c>
      <c r="AK97" s="154" t="s">
        <v>60</v>
      </c>
    </row>
    <row r="98" spans="1:37" ht="30" customHeight="1">
      <c r="A98" s="215" t="s">
        <v>198</v>
      </c>
      <c r="B98" s="215">
        <v>2619780377</v>
      </c>
      <c r="C98" s="215" t="s">
        <v>123</v>
      </c>
      <c r="D98" s="215" t="s">
        <v>109</v>
      </c>
      <c r="E98" s="215" t="s">
        <v>5</v>
      </c>
      <c r="F98" s="215" t="s">
        <v>571</v>
      </c>
      <c r="G98" s="215">
        <v>293</v>
      </c>
      <c r="H98" s="215" t="s">
        <v>226</v>
      </c>
      <c r="I98" s="215" t="s">
        <v>572</v>
      </c>
      <c r="J98" s="215" t="s">
        <v>1409</v>
      </c>
      <c r="K98" s="215" t="s">
        <v>1554</v>
      </c>
      <c r="L98" s="216">
        <v>46331.424305555556</v>
      </c>
      <c r="M98" s="216">
        <v>46331.477083333331</v>
      </c>
      <c r="N98" s="215" t="s">
        <v>1442</v>
      </c>
      <c r="O98" s="157" t="s">
        <v>205</v>
      </c>
      <c r="P98" s="92"/>
      <c r="Q98" s="145" t="s">
        <v>205</v>
      </c>
      <c r="R98" s="92"/>
      <c r="S98" s="145" t="s">
        <v>205</v>
      </c>
      <c r="T98" s="92"/>
      <c r="U98" s="145" t="s">
        <v>205</v>
      </c>
      <c r="V98" s="92"/>
      <c r="W98" s="145" t="s">
        <v>205</v>
      </c>
      <c r="X98" s="92"/>
      <c r="Y98" s="145" t="s">
        <v>62</v>
      </c>
      <c r="Z98" s="92"/>
      <c r="AA98" s="145" t="s">
        <v>205</v>
      </c>
      <c r="AB98" s="92"/>
      <c r="AC98" s="145" t="s">
        <v>205</v>
      </c>
      <c r="AD98" s="92"/>
      <c r="AE98" s="145" t="s">
        <v>205</v>
      </c>
      <c r="AF98" s="142" t="str">
        <f t="shared" si="5"/>
        <v>C</v>
      </c>
      <c r="AG98" s="190" t="str">
        <f t="shared" si="4"/>
        <v>UTILIZOU O PDA CORRETAMENTE</v>
      </c>
      <c r="AH98" s="145" t="s">
        <v>205</v>
      </c>
      <c r="AI98" s="153" t="s">
        <v>6</v>
      </c>
      <c r="AJ98" s="150" t="str">
        <f t="shared" si="6"/>
        <v>SÃO PAULO</v>
      </c>
      <c r="AK98" s="154" t="s">
        <v>60</v>
      </c>
    </row>
    <row r="99" spans="1:37" ht="30" customHeight="1">
      <c r="A99" s="215" t="s">
        <v>198</v>
      </c>
      <c r="B99" s="215">
        <v>2619829330</v>
      </c>
      <c r="C99" s="215" t="s">
        <v>121</v>
      </c>
      <c r="D99" s="215" t="s">
        <v>112</v>
      </c>
      <c r="E99" s="215" t="s">
        <v>5</v>
      </c>
      <c r="F99" s="215" t="s">
        <v>1555</v>
      </c>
      <c r="G99" s="215">
        <v>230</v>
      </c>
      <c r="H99" s="215"/>
      <c r="I99" s="215" t="s">
        <v>649</v>
      </c>
      <c r="J99" s="215" t="s">
        <v>1406</v>
      </c>
      <c r="K99" s="215" t="s">
        <v>1556</v>
      </c>
      <c r="L99" s="216">
        <v>46331.615277777775</v>
      </c>
      <c r="M99" s="216">
        <v>46331.615972222222</v>
      </c>
      <c r="N99" s="215" t="s">
        <v>217</v>
      </c>
      <c r="O99" s="157" t="s">
        <v>205</v>
      </c>
      <c r="P99" s="92"/>
      <c r="Q99" s="145" t="s">
        <v>205</v>
      </c>
      <c r="R99" s="92"/>
      <c r="S99" s="145" t="s">
        <v>205</v>
      </c>
      <c r="T99" s="92"/>
      <c r="U99" s="145" t="s">
        <v>62</v>
      </c>
      <c r="V99" s="92"/>
      <c r="W99" s="145" t="s">
        <v>62</v>
      </c>
      <c r="X99" s="92"/>
      <c r="Y99" s="145" t="s">
        <v>62</v>
      </c>
      <c r="Z99" s="92"/>
      <c r="AA99" s="145" t="s">
        <v>62</v>
      </c>
      <c r="AB99" s="92"/>
      <c r="AC99" s="145" t="s">
        <v>205</v>
      </c>
      <c r="AD99" s="92"/>
      <c r="AE99" s="145" t="s">
        <v>205</v>
      </c>
      <c r="AF99" s="142" t="str">
        <f t="shared" si="5"/>
        <v>C</v>
      </c>
      <c r="AG99" s="190" t="str">
        <f t="shared" si="4"/>
        <v>UTILIZOU O PDA CORRETAMENTE</v>
      </c>
      <c r="AH99" s="145" t="s">
        <v>205</v>
      </c>
      <c r="AI99" s="153" t="s">
        <v>6</v>
      </c>
      <c r="AJ99" s="150" t="str">
        <f t="shared" si="6"/>
        <v>SÃO PAULO</v>
      </c>
      <c r="AK99" s="154" t="s">
        <v>60</v>
      </c>
    </row>
    <row r="100" spans="1:37" ht="30" customHeight="1">
      <c r="A100" s="215" t="s">
        <v>198</v>
      </c>
      <c r="B100" s="215">
        <v>2617957887</v>
      </c>
      <c r="C100" s="215" t="s">
        <v>118</v>
      </c>
      <c r="D100" s="215" t="s">
        <v>110</v>
      </c>
      <c r="E100" s="215" t="s">
        <v>5</v>
      </c>
      <c r="F100" s="215" t="s">
        <v>1557</v>
      </c>
      <c r="G100" s="215">
        <v>285</v>
      </c>
      <c r="H100" s="215" t="s">
        <v>200</v>
      </c>
      <c r="I100" s="215" t="s">
        <v>1558</v>
      </c>
      <c r="J100" s="215" t="s">
        <v>118</v>
      </c>
      <c r="K100" s="215" t="s">
        <v>1559</v>
      </c>
      <c r="L100" s="216">
        <v>46331.70208333333</v>
      </c>
      <c r="M100" s="216">
        <v>46331.709027777775</v>
      </c>
      <c r="N100" s="215" t="s">
        <v>1442</v>
      </c>
      <c r="O100" s="157" t="s">
        <v>205</v>
      </c>
      <c r="P100" s="92"/>
      <c r="Q100" s="145" t="s">
        <v>205</v>
      </c>
      <c r="R100" s="92"/>
      <c r="S100" s="145" t="s">
        <v>205</v>
      </c>
      <c r="T100" s="92"/>
      <c r="U100" s="145" t="s">
        <v>205</v>
      </c>
      <c r="V100" s="92"/>
      <c r="W100" s="145" t="s">
        <v>205</v>
      </c>
      <c r="X100" s="92"/>
      <c r="Y100" s="145" t="s">
        <v>205</v>
      </c>
      <c r="Z100" s="92"/>
      <c r="AA100" s="145" t="s">
        <v>205</v>
      </c>
      <c r="AB100" s="92"/>
      <c r="AC100" s="145" t="s">
        <v>205</v>
      </c>
      <c r="AD100" s="92"/>
      <c r="AE100" s="145" t="s">
        <v>205</v>
      </c>
      <c r="AF100" s="142" t="str">
        <f t="shared" si="5"/>
        <v>C</v>
      </c>
      <c r="AG100" s="190" t="str">
        <f t="shared" si="4"/>
        <v>UTILIZOU O PDA CORRETAMENTE</v>
      </c>
      <c r="AH100" s="145" t="s">
        <v>205</v>
      </c>
      <c r="AI100" s="153" t="s">
        <v>6</v>
      </c>
      <c r="AJ100" s="150" t="str">
        <f t="shared" si="6"/>
        <v>SÃO PAULO</v>
      </c>
      <c r="AK100" s="154" t="s">
        <v>60</v>
      </c>
    </row>
    <row r="101" spans="1:37" ht="30" customHeight="1">
      <c r="A101" s="228" t="s">
        <v>198</v>
      </c>
      <c r="B101" s="228">
        <v>2619332992</v>
      </c>
      <c r="C101" s="228" t="s">
        <v>121</v>
      </c>
      <c r="D101" s="228" t="s">
        <v>112</v>
      </c>
      <c r="E101" s="228" t="s">
        <v>5</v>
      </c>
      <c r="F101" s="228" t="s">
        <v>1560</v>
      </c>
      <c r="G101" s="228">
        <v>265</v>
      </c>
      <c r="H101" s="228"/>
      <c r="I101" s="228" t="s">
        <v>1561</v>
      </c>
      <c r="J101" s="228" t="s">
        <v>1406</v>
      </c>
      <c r="K101" s="228"/>
      <c r="L101" s="230">
        <v>46331.925000000003</v>
      </c>
      <c r="M101" s="230">
        <v>46331.939583333333</v>
      </c>
      <c r="N101" s="228" t="s">
        <v>297</v>
      </c>
      <c r="O101" s="157" t="s">
        <v>205</v>
      </c>
      <c r="P101" s="92"/>
      <c r="Q101" s="145" t="s">
        <v>205</v>
      </c>
      <c r="R101" s="92"/>
      <c r="S101" s="145" t="s">
        <v>206</v>
      </c>
      <c r="T101" s="92"/>
      <c r="U101" s="145" t="s">
        <v>62</v>
      </c>
      <c r="V101" s="92"/>
      <c r="W101" s="145" t="s">
        <v>62</v>
      </c>
      <c r="X101" s="92"/>
      <c r="Y101" s="145" t="s">
        <v>62</v>
      </c>
      <c r="Z101" s="92"/>
      <c r="AA101" s="145" t="s">
        <v>206</v>
      </c>
      <c r="AB101" s="92"/>
      <c r="AC101" s="145" t="s">
        <v>206</v>
      </c>
      <c r="AD101" s="92"/>
      <c r="AE101" s="145" t="s">
        <v>205</v>
      </c>
      <c r="AF101" s="142" t="str">
        <f t="shared" si="5"/>
        <v>NC</v>
      </c>
      <c r="AG101" s="190" t="str">
        <f t="shared" si="4"/>
        <v>UTILIZOU O PDA CORRETAMENTE. NÃO HÁ FOTOS DE TODAS AS ETAPAS</v>
      </c>
      <c r="AH101" s="145"/>
      <c r="AI101" s="153" t="s">
        <v>6</v>
      </c>
      <c r="AJ101" s="150" t="str">
        <f t="shared" si="6"/>
        <v>SÃO PAULO</v>
      </c>
      <c r="AK101" s="154" t="s">
        <v>60</v>
      </c>
    </row>
    <row r="102" spans="1:37" ht="30" customHeight="1">
      <c r="A102" s="215" t="s">
        <v>198</v>
      </c>
      <c r="B102" s="215">
        <v>2619205507</v>
      </c>
      <c r="C102" s="215" t="s">
        <v>1486</v>
      </c>
      <c r="D102" s="215" t="s">
        <v>112</v>
      </c>
      <c r="E102" s="215" t="s">
        <v>5</v>
      </c>
      <c r="F102" s="215" t="s">
        <v>292</v>
      </c>
      <c r="G102" s="215">
        <v>1589</v>
      </c>
      <c r="H102" s="215" t="s">
        <v>200</v>
      </c>
      <c r="I102" s="215" t="s">
        <v>260</v>
      </c>
      <c r="J102" s="215" t="s">
        <v>1487</v>
      </c>
      <c r="K102" s="215" t="s">
        <v>1562</v>
      </c>
      <c r="L102" s="216">
        <v>46361.002083333333</v>
      </c>
      <c r="M102" s="216">
        <v>46361.021527777775</v>
      </c>
      <c r="N102" s="215" t="s">
        <v>297</v>
      </c>
      <c r="O102" s="157" t="s">
        <v>205</v>
      </c>
      <c r="P102" s="92"/>
      <c r="Q102" s="145" t="s">
        <v>205</v>
      </c>
      <c r="R102" s="92"/>
      <c r="S102" s="145" t="s">
        <v>62</v>
      </c>
      <c r="T102" s="92"/>
      <c r="U102" s="145" t="s">
        <v>62</v>
      </c>
      <c r="V102" s="92"/>
      <c r="W102" s="145" t="s">
        <v>62</v>
      </c>
      <c r="X102" s="92"/>
      <c r="Y102" s="145" t="s">
        <v>62</v>
      </c>
      <c r="Z102" s="92"/>
      <c r="AA102" s="145" t="s">
        <v>62</v>
      </c>
      <c r="AB102" s="92"/>
      <c r="AC102" s="145" t="s">
        <v>239</v>
      </c>
      <c r="AD102" s="92" t="s">
        <v>1563</v>
      </c>
      <c r="AE102" s="145" t="s">
        <v>205</v>
      </c>
      <c r="AF102" s="142" t="str">
        <f t="shared" si="5"/>
        <v>NC</v>
      </c>
      <c r="AG102" s="190" t="str">
        <f t="shared" si="4"/>
        <v>UTILIZOU O PDA CORRETAMENTE. NÃO HÁ FOTOS DE TODAS AS ETAPAS</v>
      </c>
      <c r="AH102" s="145"/>
      <c r="AI102" s="153" t="s">
        <v>6</v>
      </c>
      <c r="AJ102" s="150" t="str">
        <f t="shared" si="6"/>
        <v>SÃO PAULO</v>
      </c>
      <c r="AK102" s="154" t="s">
        <v>60</v>
      </c>
    </row>
    <row r="103" spans="1:37" ht="30" customHeight="1">
      <c r="A103" s="215" t="s">
        <v>198</v>
      </c>
      <c r="B103" s="215">
        <v>2619789205</v>
      </c>
      <c r="C103" s="215" t="s">
        <v>119</v>
      </c>
      <c r="D103" s="215" t="s">
        <v>110</v>
      </c>
      <c r="E103" s="215" t="s">
        <v>5</v>
      </c>
      <c r="F103" s="215" t="s">
        <v>1564</v>
      </c>
      <c r="G103" s="215">
        <v>780</v>
      </c>
      <c r="H103" s="215"/>
      <c r="I103" s="215" t="s">
        <v>397</v>
      </c>
      <c r="J103" s="215" t="s">
        <v>119</v>
      </c>
      <c r="K103" s="219" t="s">
        <v>1565</v>
      </c>
      <c r="L103" s="216">
        <v>46361.709722222222</v>
      </c>
      <c r="M103" s="216">
        <v>46361.714583333334</v>
      </c>
      <c r="N103" s="215" t="s">
        <v>1426</v>
      </c>
      <c r="O103" s="157" t="s">
        <v>205</v>
      </c>
      <c r="P103" s="92"/>
      <c r="Q103" s="145" t="s">
        <v>205</v>
      </c>
      <c r="R103" s="92"/>
      <c r="S103" s="145" t="s">
        <v>205</v>
      </c>
      <c r="T103" s="92"/>
      <c r="U103" s="145" t="s">
        <v>205</v>
      </c>
      <c r="V103" s="92"/>
      <c r="W103" s="145" t="s">
        <v>205</v>
      </c>
      <c r="X103" s="92"/>
      <c r="Y103" s="145" t="s">
        <v>205</v>
      </c>
      <c r="Z103" s="92"/>
      <c r="AA103" s="145" t="s">
        <v>205</v>
      </c>
      <c r="AB103" s="92"/>
      <c r="AC103" s="145" t="s">
        <v>205</v>
      </c>
      <c r="AD103" s="92"/>
      <c r="AE103" s="145" t="s">
        <v>205</v>
      </c>
      <c r="AF103" s="142" t="str">
        <f t="shared" si="5"/>
        <v>C</v>
      </c>
      <c r="AG103" s="190" t="str">
        <f t="shared" si="4"/>
        <v>UTILIZOU O PDA CORRETAMENTE</v>
      </c>
      <c r="AH103" s="145" t="s">
        <v>205</v>
      </c>
      <c r="AI103" s="153" t="s">
        <v>6</v>
      </c>
      <c r="AJ103" s="150" t="str">
        <f t="shared" si="6"/>
        <v>SÃO PAULO</v>
      </c>
      <c r="AK103" s="154" t="s">
        <v>60</v>
      </c>
    </row>
    <row r="104" spans="1:37" ht="30" customHeight="1">
      <c r="A104" s="215" t="s">
        <v>198</v>
      </c>
      <c r="B104" s="215">
        <v>2619817051</v>
      </c>
      <c r="C104" s="215" t="s">
        <v>123</v>
      </c>
      <c r="D104" s="215" t="s">
        <v>109</v>
      </c>
      <c r="E104" s="215" t="s">
        <v>5</v>
      </c>
      <c r="F104" s="215" t="s">
        <v>1566</v>
      </c>
      <c r="G104" s="215">
        <v>397</v>
      </c>
      <c r="H104" s="215" t="s">
        <v>226</v>
      </c>
      <c r="I104" s="215" t="s">
        <v>1144</v>
      </c>
      <c r="J104" s="215" t="s">
        <v>1409</v>
      </c>
      <c r="K104" s="219" t="s">
        <v>1567</v>
      </c>
      <c r="L104" s="216">
        <v>46361.579861111109</v>
      </c>
      <c r="M104" s="216">
        <v>46361.659722222219</v>
      </c>
      <c r="N104" s="215" t="s">
        <v>1426</v>
      </c>
      <c r="O104" s="157" t="s">
        <v>205</v>
      </c>
      <c r="P104" s="92"/>
      <c r="Q104" s="145" t="s">
        <v>205</v>
      </c>
      <c r="R104" s="92"/>
      <c r="S104" s="145" t="s">
        <v>205</v>
      </c>
      <c r="T104" s="92"/>
      <c r="U104" s="145" t="s">
        <v>205</v>
      </c>
      <c r="V104" s="92"/>
      <c r="W104" s="145" t="s">
        <v>205</v>
      </c>
      <c r="X104" s="92"/>
      <c r="Y104" s="145" t="s">
        <v>205</v>
      </c>
      <c r="Z104" s="92"/>
      <c r="AA104" s="145" t="s">
        <v>205</v>
      </c>
      <c r="AB104" s="92"/>
      <c r="AC104" s="145" t="s">
        <v>205</v>
      </c>
      <c r="AD104" s="92"/>
      <c r="AE104" s="145" t="s">
        <v>205</v>
      </c>
      <c r="AF104" s="142" t="str">
        <f t="shared" si="5"/>
        <v>C</v>
      </c>
      <c r="AG104" s="190" t="str">
        <f t="shared" si="4"/>
        <v>UTILIZOU O PDA CORRETAMENTE</v>
      </c>
      <c r="AH104" s="145" t="s">
        <v>205</v>
      </c>
      <c r="AI104" s="153" t="s">
        <v>6</v>
      </c>
      <c r="AJ104" s="150" t="str">
        <f t="shared" si="6"/>
        <v>SÃO PAULO</v>
      </c>
      <c r="AK104" s="154" t="s">
        <v>60</v>
      </c>
    </row>
    <row r="105" spans="1:37" ht="30" customHeight="1">
      <c r="A105" s="215" t="s">
        <v>198</v>
      </c>
      <c r="B105" s="215">
        <v>2619832434</v>
      </c>
      <c r="C105" s="215" t="s">
        <v>1477</v>
      </c>
      <c r="D105" s="215" t="s">
        <v>109</v>
      </c>
      <c r="E105" s="215" t="s">
        <v>5</v>
      </c>
      <c r="F105" s="215" t="s">
        <v>695</v>
      </c>
      <c r="G105" s="215">
        <v>1294</v>
      </c>
      <c r="H105" s="215" t="s">
        <v>318</v>
      </c>
      <c r="I105" s="215" t="s">
        <v>448</v>
      </c>
      <c r="J105" s="215" t="s">
        <v>1479</v>
      </c>
      <c r="K105" s="219" t="s">
        <v>1568</v>
      </c>
      <c r="L105" s="216">
        <v>46361.652777777781</v>
      </c>
      <c r="M105" s="216">
        <v>46361.74722222222</v>
      </c>
      <c r="N105" s="215" t="s">
        <v>1442</v>
      </c>
      <c r="O105" s="157" t="s">
        <v>205</v>
      </c>
      <c r="P105" s="92"/>
      <c r="Q105" s="145" t="s">
        <v>205</v>
      </c>
      <c r="R105" s="92"/>
      <c r="S105" s="145" t="s">
        <v>205</v>
      </c>
      <c r="T105" s="92"/>
      <c r="U105" s="145" t="s">
        <v>205</v>
      </c>
      <c r="V105" s="92"/>
      <c r="W105" s="145" t="s">
        <v>205</v>
      </c>
      <c r="X105" s="92"/>
      <c r="Y105" s="145" t="s">
        <v>205</v>
      </c>
      <c r="Z105" s="92"/>
      <c r="AA105" s="145" t="s">
        <v>205</v>
      </c>
      <c r="AB105" s="92"/>
      <c r="AC105" s="145" t="s">
        <v>205</v>
      </c>
      <c r="AD105" s="92"/>
      <c r="AE105" s="145" t="s">
        <v>205</v>
      </c>
      <c r="AF105" s="142" t="str">
        <f t="shared" si="5"/>
        <v>C</v>
      </c>
      <c r="AG105" s="190" t="str">
        <f t="shared" si="4"/>
        <v>UTILIZOU O PDA CORRETAMENTE</v>
      </c>
      <c r="AH105" s="145" t="s">
        <v>205</v>
      </c>
      <c r="AI105" s="153" t="s">
        <v>6</v>
      </c>
      <c r="AJ105" s="150" t="str">
        <f t="shared" si="6"/>
        <v>SÃO PAULO</v>
      </c>
      <c r="AK105" s="154" t="s">
        <v>60</v>
      </c>
    </row>
    <row r="106" spans="1:37" ht="30" customHeight="1">
      <c r="A106" s="215" t="s">
        <v>198</v>
      </c>
      <c r="B106" s="215">
        <v>2619815278</v>
      </c>
      <c r="C106" s="215" t="s">
        <v>123</v>
      </c>
      <c r="D106" s="215" t="s">
        <v>109</v>
      </c>
      <c r="E106" s="215" t="s">
        <v>5</v>
      </c>
      <c r="F106" s="215" t="s">
        <v>1465</v>
      </c>
      <c r="G106" s="215">
        <v>18</v>
      </c>
      <c r="H106" s="215" t="s">
        <v>1569</v>
      </c>
      <c r="I106" s="215" t="s">
        <v>215</v>
      </c>
      <c r="J106" s="215" t="s">
        <v>1409</v>
      </c>
      <c r="K106" s="219" t="s">
        <v>1570</v>
      </c>
      <c r="L106" s="216">
        <v>46361.365277777775</v>
      </c>
      <c r="M106" s="216">
        <v>46361.512499999997</v>
      </c>
      <c r="N106" s="215" t="s">
        <v>1442</v>
      </c>
      <c r="O106" s="157" t="s">
        <v>205</v>
      </c>
      <c r="P106" s="92"/>
      <c r="Q106" s="145" t="s">
        <v>205</v>
      </c>
      <c r="R106" s="92"/>
      <c r="S106" s="145" t="s">
        <v>205</v>
      </c>
      <c r="T106" s="92"/>
      <c r="U106" s="145" t="s">
        <v>205</v>
      </c>
      <c r="V106" s="92"/>
      <c r="W106" s="145" t="s">
        <v>205</v>
      </c>
      <c r="X106" s="92"/>
      <c r="Y106" s="145" t="s">
        <v>205</v>
      </c>
      <c r="Z106" s="92"/>
      <c r="AA106" s="145" t="s">
        <v>205</v>
      </c>
      <c r="AB106" s="92"/>
      <c r="AC106" s="145" t="s">
        <v>205</v>
      </c>
      <c r="AD106" s="92"/>
      <c r="AE106" s="145" t="s">
        <v>205</v>
      </c>
      <c r="AF106" s="142" t="str">
        <f t="shared" si="5"/>
        <v>C</v>
      </c>
      <c r="AG106" s="190" t="str">
        <f t="shared" si="4"/>
        <v>UTILIZOU O PDA CORRETAMENTE</v>
      </c>
      <c r="AH106" s="145" t="s">
        <v>205</v>
      </c>
      <c r="AI106" s="153" t="s">
        <v>6</v>
      </c>
      <c r="AJ106" s="150" t="str">
        <f t="shared" si="6"/>
        <v>SÃO PAULO</v>
      </c>
      <c r="AK106" s="154" t="s">
        <v>60</v>
      </c>
    </row>
    <row r="107" spans="1:37" ht="30" customHeight="1">
      <c r="A107" s="215" t="s">
        <v>198</v>
      </c>
      <c r="B107" s="215">
        <v>2619201085</v>
      </c>
      <c r="C107" s="215" t="s">
        <v>1486</v>
      </c>
      <c r="D107" s="215" t="s">
        <v>112</v>
      </c>
      <c r="E107" s="215" t="s">
        <v>5</v>
      </c>
      <c r="F107" s="215" t="s">
        <v>292</v>
      </c>
      <c r="G107" s="215">
        <v>0</v>
      </c>
      <c r="H107" s="215"/>
      <c r="I107" s="215" t="s">
        <v>260</v>
      </c>
      <c r="J107" s="215" t="s">
        <v>1571</v>
      </c>
      <c r="K107" s="215"/>
      <c r="L107" s="216">
        <v>46361.625694444447</v>
      </c>
      <c r="M107" s="216">
        <v>46361.626388888886</v>
      </c>
      <c r="N107" s="215" t="s">
        <v>217</v>
      </c>
      <c r="O107" s="157" t="s">
        <v>205</v>
      </c>
      <c r="P107" s="92"/>
      <c r="Q107" s="145" t="s">
        <v>205</v>
      </c>
      <c r="R107" s="92"/>
      <c r="S107" s="145" t="s">
        <v>205</v>
      </c>
      <c r="T107" s="92"/>
      <c r="U107" s="145" t="s">
        <v>62</v>
      </c>
      <c r="V107" s="92"/>
      <c r="W107" s="145" t="s">
        <v>62</v>
      </c>
      <c r="X107" s="92"/>
      <c r="Y107" s="145" t="s">
        <v>62</v>
      </c>
      <c r="Z107" s="92"/>
      <c r="AA107" s="145" t="s">
        <v>62</v>
      </c>
      <c r="AB107" s="92"/>
      <c r="AC107" s="145" t="s">
        <v>205</v>
      </c>
      <c r="AD107" s="92"/>
      <c r="AE107" s="145" t="s">
        <v>205</v>
      </c>
      <c r="AF107" s="142" t="str">
        <f t="shared" si="5"/>
        <v>C</v>
      </c>
      <c r="AG107" s="190" t="str">
        <f t="shared" si="4"/>
        <v>UTILIZOU O PDA CORRETAMENTE</v>
      </c>
      <c r="AH107" s="145" t="s">
        <v>205</v>
      </c>
      <c r="AI107" s="153" t="s">
        <v>6</v>
      </c>
      <c r="AJ107" s="150" t="str">
        <f t="shared" si="6"/>
        <v>SÃO PAULO</v>
      </c>
      <c r="AK107" s="154" t="s">
        <v>60</v>
      </c>
    </row>
    <row r="108" spans="1:37" ht="30" customHeight="1">
      <c r="A108" s="215" t="s">
        <v>198</v>
      </c>
      <c r="B108" s="215">
        <v>2619826445</v>
      </c>
      <c r="C108" s="215" t="s">
        <v>121</v>
      </c>
      <c r="D108" s="215" t="s">
        <v>112</v>
      </c>
      <c r="E108" s="215" t="s">
        <v>5</v>
      </c>
      <c r="F108" s="215" t="s">
        <v>1572</v>
      </c>
      <c r="G108" s="215">
        <v>798</v>
      </c>
      <c r="H108" s="215" t="s">
        <v>387</v>
      </c>
      <c r="I108" s="215" t="s">
        <v>1519</v>
      </c>
      <c r="J108" s="215" t="s">
        <v>1406</v>
      </c>
      <c r="K108" s="215" t="s">
        <v>200</v>
      </c>
      <c r="L108" s="216">
        <v>46361.350694444445</v>
      </c>
      <c r="M108" s="216">
        <v>46361.357638888891</v>
      </c>
      <c r="N108" s="215" t="s">
        <v>217</v>
      </c>
      <c r="O108" s="157" t="s">
        <v>205</v>
      </c>
      <c r="P108" s="92"/>
      <c r="Q108" s="145" t="s">
        <v>205</v>
      </c>
      <c r="R108" s="92"/>
      <c r="S108" s="145" t="s">
        <v>205</v>
      </c>
      <c r="T108" s="92"/>
      <c r="U108" s="145" t="s">
        <v>62</v>
      </c>
      <c r="V108" s="92"/>
      <c r="W108" s="145" t="s">
        <v>62</v>
      </c>
      <c r="X108" s="92"/>
      <c r="Y108" s="145" t="s">
        <v>62</v>
      </c>
      <c r="Z108" s="92"/>
      <c r="AA108" s="145" t="s">
        <v>62</v>
      </c>
      <c r="AB108" s="92"/>
      <c r="AC108" s="145" t="s">
        <v>205</v>
      </c>
      <c r="AD108" s="92"/>
      <c r="AE108" s="145" t="s">
        <v>205</v>
      </c>
      <c r="AF108" s="142" t="str">
        <f t="shared" si="5"/>
        <v>C</v>
      </c>
      <c r="AG108" s="190" t="str">
        <f t="shared" si="4"/>
        <v>UTILIZOU O PDA CORRETAMENTE</v>
      </c>
      <c r="AH108" s="145"/>
      <c r="AI108" s="153" t="s">
        <v>6</v>
      </c>
      <c r="AJ108" s="150" t="str">
        <f t="shared" si="6"/>
        <v>SÃO PAULO</v>
      </c>
      <c r="AK108" s="154" t="s">
        <v>60</v>
      </c>
    </row>
    <row r="109" spans="1:37" ht="30" customHeight="1">
      <c r="A109" s="215" t="s">
        <v>198</v>
      </c>
      <c r="B109" s="215">
        <v>2619846429</v>
      </c>
      <c r="C109" s="215" t="s">
        <v>123</v>
      </c>
      <c r="D109" s="215" t="s">
        <v>109</v>
      </c>
      <c r="E109" s="215" t="s">
        <v>5</v>
      </c>
      <c r="F109" s="215" t="s">
        <v>1393</v>
      </c>
      <c r="G109" s="215">
        <v>534</v>
      </c>
      <c r="H109" s="215" t="s">
        <v>318</v>
      </c>
      <c r="I109" s="215" t="s">
        <v>1394</v>
      </c>
      <c r="J109" s="215" t="s">
        <v>1409</v>
      </c>
      <c r="K109" s="219" t="s">
        <v>1573</v>
      </c>
      <c r="L109" s="216">
        <v>46361.421527777777</v>
      </c>
      <c r="M109" s="216">
        <v>46361.426388888889</v>
      </c>
      <c r="N109" s="215" t="s">
        <v>1426</v>
      </c>
      <c r="O109" s="157" t="s">
        <v>205</v>
      </c>
      <c r="P109" s="92"/>
      <c r="Q109" s="145" t="s">
        <v>205</v>
      </c>
      <c r="R109" s="92"/>
      <c r="S109" s="145" t="s">
        <v>205</v>
      </c>
      <c r="T109" s="92"/>
      <c r="U109" s="145" t="s">
        <v>205</v>
      </c>
      <c r="V109" s="92"/>
      <c r="W109" s="145" t="s">
        <v>205</v>
      </c>
      <c r="X109" s="92"/>
      <c r="Y109" s="145" t="s">
        <v>62</v>
      </c>
      <c r="Z109" s="92"/>
      <c r="AA109" s="145" t="s">
        <v>205</v>
      </c>
      <c r="AB109" s="92"/>
      <c r="AC109" s="145" t="s">
        <v>205</v>
      </c>
      <c r="AD109" s="92"/>
      <c r="AE109" s="145" t="s">
        <v>205</v>
      </c>
      <c r="AF109" s="142" t="str">
        <f t="shared" si="5"/>
        <v>C</v>
      </c>
      <c r="AG109" s="190" t="str">
        <f t="shared" si="4"/>
        <v>UTILIZOU O PDA CORRETAMENTE</v>
      </c>
      <c r="AH109" s="145" t="s">
        <v>205</v>
      </c>
      <c r="AI109" s="153" t="s">
        <v>6</v>
      </c>
      <c r="AJ109" s="150" t="str">
        <f t="shared" si="6"/>
        <v>SÃO PAULO</v>
      </c>
      <c r="AK109" s="154" t="s">
        <v>60</v>
      </c>
    </row>
    <row r="110" spans="1:37" ht="30" customHeight="1">
      <c r="A110" s="215" t="s">
        <v>198</v>
      </c>
      <c r="B110" s="215">
        <v>2619959107</v>
      </c>
      <c r="C110" s="215" t="s">
        <v>121</v>
      </c>
      <c r="D110" s="215" t="s">
        <v>112</v>
      </c>
      <c r="E110" s="215" t="s">
        <v>5</v>
      </c>
      <c r="F110" s="215" t="s">
        <v>1574</v>
      </c>
      <c r="G110" s="215">
        <v>246</v>
      </c>
      <c r="H110" s="215"/>
      <c r="I110" s="215" t="s">
        <v>1575</v>
      </c>
      <c r="J110" s="215" t="s">
        <v>1406</v>
      </c>
      <c r="K110" s="215"/>
      <c r="L110" s="216">
        <v>46361.473611111112</v>
      </c>
      <c r="M110" s="216">
        <v>46361.476388888892</v>
      </c>
      <c r="N110" s="215" t="s">
        <v>217</v>
      </c>
      <c r="O110" s="157" t="s">
        <v>205</v>
      </c>
      <c r="P110" s="92"/>
      <c r="Q110" s="145" t="s">
        <v>205</v>
      </c>
      <c r="R110" s="92"/>
      <c r="S110" s="145" t="s">
        <v>205</v>
      </c>
      <c r="T110" s="92"/>
      <c r="U110" s="145" t="s">
        <v>205</v>
      </c>
      <c r="V110" s="92"/>
      <c r="W110" s="145" t="s">
        <v>62</v>
      </c>
      <c r="X110" s="92"/>
      <c r="Y110" s="145" t="s">
        <v>62</v>
      </c>
      <c r="Z110" s="92"/>
      <c r="AA110" s="145" t="s">
        <v>205</v>
      </c>
      <c r="AB110" s="92"/>
      <c r="AC110" s="145" t="s">
        <v>205</v>
      </c>
      <c r="AD110" s="92"/>
      <c r="AE110" s="145" t="s">
        <v>205</v>
      </c>
      <c r="AF110" s="142" t="str">
        <f t="shared" si="5"/>
        <v>C</v>
      </c>
      <c r="AG110" s="190" t="str">
        <f t="shared" si="4"/>
        <v>UTILIZOU O PDA CORRETAMENTE</v>
      </c>
      <c r="AH110" s="145"/>
      <c r="AI110" s="153" t="s">
        <v>6</v>
      </c>
      <c r="AJ110" s="150" t="str">
        <f t="shared" si="6"/>
        <v>SÃO PAULO</v>
      </c>
      <c r="AK110" s="154" t="s">
        <v>60</v>
      </c>
    </row>
    <row r="111" spans="1:37" ht="30" customHeight="1">
      <c r="A111" s="215" t="s">
        <v>198</v>
      </c>
      <c r="B111" s="215">
        <v>2619778493</v>
      </c>
      <c r="C111" s="215" t="s">
        <v>121</v>
      </c>
      <c r="D111" s="215" t="s">
        <v>112</v>
      </c>
      <c r="E111" s="215" t="s">
        <v>5</v>
      </c>
      <c r="F111" s="215" t="s">
        <v>1373</v>
      </c>
      <c r="G111" s="215">
        <v>660</v>
      </c>
      <c r="H111" s="215" t="s">
        <v>200</v>
      </c>
      <c r="I111" s="215" t="s">
        <v>260</v>
      </c>
      <c r="J111" s="215" t="s">
        <v>1406</v>
      </c>
      <c r="K111" s="215" t="s">
        <v>1576</v>
      </c>
      <c r="L111" s="216">
        <v>46361.948611111111</v>
      </c>
      <c r="M111" s="216">
        <v>46361.980555555558</v>
      </c>
      <c r="N111" s="215" t="s">
        <v>297</v>
      </c>
      <c r="O111" s="157" t="s">
        <v>205</v>
      </c>
      <c r="P111" s="92"/>
      <c r="Q111" s="145" t="s">
        <v>205</v>
      </c>
      <c r="R111" s="92"/>
      <c r="S111" s="145" t="s">
        <v>206</v>
      </c>
      <c r="T111" s="92"/>
      <c r="U111" s="145" t="s">
        <v>62</v>
      </c>
      <c r="V111" s="92"/>
      <c r="W111" s="145" t="s">
        <v>62</v>
      </c>
      <c r="X111" s="92"/>
      <c r="Y111" s="145" t="s">
        <v>62</v>
      </c>
      <c r="Z111" s="92"/>
      <c r="AA111" s="145" t="s">
        <v>62</v>
      </c>
      <c r="AB111" s="92"/>
      <c r="AC111" s="145" t="s">
        <v>205</v>
      </c>
      <c r="AD111" s="92"/>
      <c r="AE111" s="145" t="s">
        <v>205</v>
      </c>
      <c r="AF111" s="142" t="str">
        <f t="shared" si="5"/>
        <v>NC</v>
      </c>
      <c r="AG111" s="190" t="str">
        <f t="shared" si="4"/>
        <v>UTILIZOU O PDA CORRETAMENTE. NÃO HÁ FOTOS DE TODAS AS ETAPAS</v>
      </c>
      <c r="AH111" s="145"/>
      <c r="AI111" s="153" t="s">
        <v>6</v>
      </c>
      <c r="AJ111" s="150" t="str">
        <f t="shared" si="6"/>
        <v>SÃO PAULO</v>
      </c>
      <c r="AK111" s="154" t="s">
        <v>60</v>
      </c>
    </row>
    <row r="112" spans="1:37" ht="30" customHeight="1">
      <c r="A112" s="228" t="s">
        <v>198</v>
      </c>
      <c r="B112" s="228">
        <v>2619301315</v>
      </c>
      <c r="C112" s="228" t="s">
        <v>121</v>
      </c>
      <c r="D112" s="228" t="s">
        <v>112</v>
      </c>
      <c r="E112" s="228" t="s">
        <v>5</v>
      </c>
      <c r="F112" s="228" t="s">
        <v>513</v>
      </c>
      <c r="G112" s="228">
        <v>3147</v>
      </c>
      <c r="H112" s="228"/>
      <c r="I112" s="228" t="s">
        <v>251</v>
      </c>
      <c r="J112" s="228" t="s">
        <v>1406</v>
      </c>
      <c r="K112" s="228" t="s">
        <v>1562</v>
      </c>
      <c r="L112" s="230">
        <v>46361.830555555556</v>
      </c>
      <c r="M112" s="230">
        <v>46361.910416666666</v>
      </c>
      <c r="N112" s="228" t="s">
        <v>297</v>
      </c>
      <c r="O112" s="157" t="s">
        <v>205</v>
      </c>
      <c r="P112" s="92"/>
      <c r="Q112" s="145" t="s">
        <v>205</v>
      </c>
      <c r="R112" s="92"/>
      <c r="S112" s="145" t="s">
        <v>206</v>
      </c>
      <c r="T112" s="92"/>
      <c r="U112" s="145" t="s">
        <v>62</v>
      </c>
      <c r="V112" s="92"/>
      <c r="W112" s="145" t="s">
        <v>62</v>
      </c>
      <c r="X112" s="92"/>
      <c r="Y112" s="145" t="s">
        <v>62</v>
      </c>
      <c r="Z112" s="92"/>
      <c r="AA112" s="145" t="s">
        <v>62</v>
      </c>
      <c r="AB112" s="92"/>
      <c r="AC112" s="145" t="s">
        <v>205</v>
      </c>
      <c r="AD112" s="92"/>
      <c r="AE112" s="145" t="s">
        <v>205</v>
      </c>
      <c r="AF112" s="142" t="str">
        <f t="shared" si="5"/>
        <v>NC</v>
      </c>
      <c r="AG112" s="190" t="str">
        <f t="shared" si="4"/>
        <v>UTILIZOU O PDA CORRETAMENTE. NÃO HÁ FOTOS DE TODAS AS ETAPAS</v>
      </c>
      <c r="AH112" s="145"/>
      <c r="AI112" s="153" t="s">
        <v>6</v>
      </c>
      <c r="AJ112" s="150" t="str">
        <f t="shared" si="6"/>
        <v>SÃO PAULO</v>
      </c>
      <c r="AK112" s="154" t="s">
        <v>60</v>
      </c>
    </row>
    <row r="113" spans="1:37" s="202" customFormat="1" ht="30" customHeight="1">
      <c r="A113" s="215" t="s">
        <v>198</v>
      </c>
      <c r="B113" s="215">
        <v>2620051440</v>
      </c>
      <c r="C113" s="215" t="s">
        <v>123</v>
      </c>
      <c r="D113" s="215" t="s">
        <v>109</v>
      </c>
      <c r="E113" s="215" t="s">
        <v>5</v>
      </c>
      <c r="F113" s="215" t="s">
        <v>1577</v>
      </c>
      <c r="G113" s="215">
        <v>95</v>
      </c>
      <c r="H113" s="215" t="s">
        <v>387</v>
      </c>
      <c r="I113" s="215" t="s">
        <v>1246</v>
      </c>
      <c r="J113" s="215" t="s">
        <v>1409</v>
      </c>
      <c r="K113" s="219" t="s">
        <v>1578</v>
      </c>
      <c r="L113" s="215" t="s">
        <v>1579</v>
      </c>
      <c r="M113" s="215" t="s">
        <v>1580</v>
      </c>
      <c r="N113" s="215" t="s">
        <v>1426</v>
      </c>
      <c r="O113" s="203" t="s">
        <v>205</v>
      </c>
      <c r="P113" s="204"/>
      <c r="Q113" s="203" t="s">
        <v>205</v>
      </c>
      <c r="R113" s="204"/>
      <c r="S113" s="203" t="s">
        <v>205</v>
      </c>
      <c r="T113" s="204"/>
      <c r="U113" s="203" t="s">
        <v>205</v>
      </c>
      <c r="V113" s="204"/>
      <c r="W113" s="203" t="s">
        <v>205</v>
      </c>
      <c r="X113" s="204"/>
      <c r="Y113" s="203" t="s">
        <v>205</v>
      </c>
      <c r="Z113" s="204"/>
      <c r="AA113" s="203" t="s">
        <v>205</v>
      </c>
      <c r="AB113" s="204"/>
      <c r="AC113" s="203" t="s">
        <v>205</v>
      </c>
      <c r="AD113" s="204"/>
      <c r="AE113" s="203" t="s">
        <v>205</v>
      </c>
      <c r="AF113" s="202" t="str">
        <f t="shared" ref="AF113:AF169" si="7">IF(AND(O113="",Q113="",S113="",U113="",W113="",Y113="",AA113="",AC113=""),"",IF(OR(AND(O113&lt;&gt;"NA",O113&lt;&gt;"C",O113&lt;&gt;"NC",O113&lt;&gt;"SF",O113&lt;&gt;""),AND(Q113&lt;&gt;"NA",Q113&lt;&gt;"C",Q113&lt;&gt;"NC",Q113&lt;&gt;"SF",Q113&lt;&gt;""),AND(S113&lt;&gt;"NA",S113&lt;&gt;"C",S113&lt;&gt;"NC",S113&lt;&gt;"SF",S113&lt;&gt;""),AND(U113&lt;&gt;"NA",U113&lt;&gt;"C",U113&lt;&gt;"NC",U113&lt;&gt;"SF",U113&lt;&gt;""),AND(W113&lt;&gt;"NA",W113&lt;&gt;"C",W113&lt;&gt;"NC",W113&lt;&gt;"SF",W113&lt;&gt;""),AND(Y113&lt;&gt;"NA",Y113&lt;&gt;"C",Y113&lt;&gt;"NC",Y113&lt;&gt;"SF",Y113&lt;&gt;""),AND(AA113&lt;&gt;"NA",AA113&lt;&gt;"C",AA113&lt;&gt;"NC",AA113&lt;&gt;"SF",AA113&lt;&gt;""),AND(AC113&lt;&gt;"NA",AC113&lt;&gt;"C",AC113&lt;&gt;"NC",AC113&lt;&gt;"SF",AC113&lt;&gt;"")),"FALSO",IF(AND(O113="NA",Q113="NA",S113="NA",U113="NA",W113="NA",Y113="NA",AA113="NA",AC113="NA"),"NA",IF(OR(O113="NC",Q113="NC",S113="NC",U113="NC",W113="NC",Y113="NC",AA113="NC",AC113="NC",O113="SF",Q113="SF",S113="SF",U113="SF",W113="SF",Y113="SF",AA113="SF",AC113="SF"),"NC",IF(OR(O113="C",Q113="C",S113="C",U113="C",W113="C",Y113="C",AA113="C",AC113="C"),"C","")))))</f>
        <v>C</v>
      </c>
      <c r="AG113" s="217" t="str">
        <f t="shared" ref="AG113:AG168" si="8">IF(AND(AE113="C",AF113="C"),"UTILIZOU O PDA CORRETAMENTE",IF(AND(AE113="C",AF113="NC"),"UTILIZOU O PDA CORRETAMENTE. NÃO HÁ FOTOS DE TODAS AS ETAPAS",IF(AND(AE113="NC",AF113="NC"),"NÃO UTILIZOU O PDA",IF(AND(AE113="NA",AF113="NA"),"NÃO AVALIADO POR FALHA DE SINCRONISMO"))))</f>
        <v>UTILIZOU O PDA CORRETAMENTE</v>
      </c>
      <c r="AH113" s="203" t="s">
        <v>205</v>
      </c>
      <c r="AI113" s="218" t="s">
        <v>6</v>
      </c>
      <c r="AJ113" s="218" t="str">
        <f t="shared" si="6"/>
        <v>SÃO PAULO</v>
      </c>
      <c r="AK113" s="257" t="s">
        <v>60</v>
      </c>
    </row>
    <row r="114" spans="1:37" s="202" customFormat="1" ht="30" customHeight="1">
      <c r="A114" s="215" t="s">
        <v>198</v>
      </c>
      <c r="B114" s="215">
        <v>2619939181</v>
      </c>
      <c r="C114" s="215" t="s">
        <v>123</v>
      </c>
      <c r="D114" s="215" t="s">
        <v>109</v>
      </c>
      <c r="E114" s="215" t="s">
        <v>5</v>
      </c>
      <c r="F114" s="215" t="s">
        <v>1581</v>
      </c>
      <c r="G114" s="215">
        <v>13</v>
      </c>
      <c r="H114" s="215" t="s">
        <v>318</v>
      </c>
      <c r="I114" s="215" t="s">
        <v>1016</v>
      </c>
      <c r="J114" s="215" t="s">
        <v>1409</v>
      </c>
      <c r="K114" s="219" t="s">
        <v>1582</v>
      </c>
      <c r="L114" s="215" t="s">
        <v>1583</v>
      </c>
      <c r="M114" s="215" t="s">
        <v>1584</v>
      </c>
      <c r="N114" s="215" t="s">
        <v>1426</v>
      </c>
      <c r="O114" s="203" t="s">
        <v>205</v>
      </c>
      <c r="P114" s="204"/>
      <c r="Q114" s="203" t="s">
        <v>205</v>
      </c>
      <c r="R114" s="204"/>
      <c r="S114" s="203" t="s">
        <v>205</v>
      </c>
      <c r="T114" s="204"/>
      <c r="U114" s="203" t="s">
        <v>205</v>
      </c>
      <c r="V114" s="204"/>
      <c r="W114" s="203" t="s">
        <v>205</v>
      </c>
      <c r="X114" s="204"/>
      <c r="Y114" s="203" t="s">
        <v>205</v>
      </c>
      <c r="Z114" s="204"/>
      <c r="AA114" s="203" t="s">
        <v>205</v>
      </c>
      <c r="AB114" s="204"/>
      <c r="AC114" s="203" t="s">
        <v>205</v>
      </c>
      <c r="AD114" s="204"/>
      <c r="AE114" s="203" t="s">
        <v>205</v>
      </c>
      <c r="AF114" s="202" t="str">
        <f t="shared" si="7"/>
        <v>C</v>
      </c>
      <c r="AG114" s="217" t="str">
        <f t="shared" si="8"/>
        <v>UTILIZOU O PDA CORRETAMENTE</v>
      </c>
      <c r="AH114" s="203" t="s">
        <v>205</v>
      </c>
      <c r="AI114" s="218" t="s">
        <v>6</v>
      </c>
      <c r="AJ114" s="218" t="str">
        <f t="shared" si="6"/>
        <v>SÃO PAULO</v>
      </c>
      <c r="AK114" s="257" t="s">
        <v>60</v>
      </c>
    </row>
    <row r="115" spans="1:37" s="202" customFormat="1" ht="30" customHeight="1">
      <c r="A115" s="215" t="s">
        <v>198</v>
      </c>
      <c r="B115" s="215">
        <v>2619844777</v>
      </c>
      <c r="C115" s="215" t="s">
        <v>118</v>
      </c>
      <c r="D115" s="215" t="s">
        <v>110</v>
      </c>
      <c r="E115" s="215" t="s">
        <v>5</v>
      </c>
      <c r="F115" s="215" t="s">
        <v>829</v>
      </c>
      <c r="G115" s="215">
        <v>270</v>
      </c>
      <c r="H115" s="215"/>
      <c r="I115" s="215" t="s">
        <v>830</v>
      </c>
      <c r="J115" s="215" t="s">
        <v>118</v>
      </c>
      <c r="K115" s="219" t="s">
        <v>1585</v>
      </c>
      <c r="L115" s="215" t="s">
        <v>1586</v>
      </c>
      <c r="M115" s="215" t="s">
        <v>1587</v>
      </c>
      <c r="N115" s="215" t="s">
        <v>1426</v>
      </c>
      <c r="O115" s="203" t="s">
        <v>205</v>
      </c>
      <c r="P115" s="204"/>
      <c r="Q115" s="203" t="s">
        <v>205</v>
      </c>
      <c r="R115" s="204"/>
      <c r="S115" s="203" t="s">
        <v>205</v>
      </c>
      <c r="T115" s="204"/>
      <c r="U115" s="203" t="s">
        <v>205</v>
      </c>
      <c r="V115" s="204"/>
      <c r="W115" s="203" t="s">
        <v>205</v>
      </c>
      <c r="X115" s="204"/>
      <c r="Y115" s="203" t="s">
        <v>205</v>
      </c>
      <c r="Z115" s="204"/>
      <c r="AA115" s="203" t="s">
        <v>205</v>
      </c>
      <c r="AB115" s="204"/>
      <c r="AC115" s="203" t="s">
        <v>205</v>
      </c>
      <c r="AD115" s="204"/>
      <c r="AE115" s="203" t="s">
        <v>205</v>
      </c>
      <c r="AF115" s="202" t="str">
        <f t="shared" si="7"/>
        <v>C</v>
      </c>
      <c r="AG115" s="217" t="str">
        <f t="shared" si="8"/>
        <v>UTILIZOU O PDA CORRETAMENTE</v>
      </c>
      <c r="AH115" s="203" t="s">
        <v>205</v>
      </c>
      <c r="AI115" s="218" t="s">
        <v>6</v>
      </c>
      <c r="AJ115" s="218" t="str">
        <f t="shared" si="6"/>
        <v>SÃO PAULO</v>
      </c>
      <c r="AK115" s="257" t="s">
        <v>60</v>
      </c>
    </row>
    <row r="116" spans="1:37" s="202" customFormat="1" ht="30" customHeight="1">
      <c r="A116" s="215" t="s">
        <v>198</v>
      </c>
      <c r="B116" s="215">
        <v>2619840317</v>
      </c>
      <c r="C116" s="215" t="s">
        <v>120</v>
      </c>
      <c r="D116" s="215" t="s">
        <v>110</v>
      </c>
      <c r="E116" s="215" t="s">
        <v>5</v>
      </c>
      <c r="F116" s="215" t="s">
        <v>880</v>
      </c>
      <c r="G116" s="215">
        <v>164</v>
      </c>
      <c r="H116" s="215" t="s">
        <v>200</v>
      </c>
      <c r="I116" s="215" t="s">
        <v>881</v>
      </c>
      <c r="J116" s="215" t="s">
        <v>120</v>
      </c>
      <c r="K116" s="215" t="s">
        <v>1542</v>
      </c>
      <c r="L116" s="215" t="s">
        <v>1588</v>
      </c>
      <c r="M116" s="215" t="s">
        <v>1589</v>
      </c>
      <c r="N116" s="215" t="s">
        <v>1442</v>
      </c>
      <c r="O116" s="203" t="s">
        <v>205</v>
      </c>
      <c r="P116" s="204"/>
      <c r="Q116" s="203" t="s">
        <v>205</v>
      </c>
      <c r="R116" s="204"/>
      <c r="S116" s="203" t="s">
        <v>205</v>
      </c>
      <c r="T116" s="204"/>
      <c r="U116" s="203" t="s">
        <v>205</v>
      </c>
      <c r="V116" s="204"/>
      <c r="W116" s="203" t="s">
        <v>205</v>
      </c>
      <c r="X116" s="204"/>
      <c r="Y116" s="203" t="s">
        <v>205</v>
      </c>
      <c r="Z116" s="204"/>
      <c r="AA116" s="203" t="s">
        <v>205</v>
      </c>
      <c r="AB116" s="204"/>
      <c r="AC116" s="203" t="s">
        <v>205</v>
      </c>
      <c r="AD116" s="204"/>
      <c r="AE116" s="203" t="s">
        <v>205</v>
      </c>
      <c r="AF116" s="202" t="str">
        <f t="shared" si="7"/>
        <v>C</v>
      </c>
      <c r="AG116" s="217" t="str">
        <f t="shared" si="8"/>
        <v>UTILIZOU O PDA CORRETAMENTE</v>
      </c>
      <c r="AH116" s="203" t="s">
        <v>205</v>
      </c>
      <c r="AI116" s="218" t="s">
        <v>6</v>
      </c>
      <c r="AJ116" s="218" t="str">
        <f t="shared" si="6"/>
        <v>SÃO PAULO</v>
      </c>
      <c r="AK116" s="257" t="s">
        <v>60</v>
      </c>
    </row>
    <row r="117" spans="1:37" s="202" customFormat="1" ht="30" customHeight="1">
      <c r="A117" s="215" t="s">
        <v>198</v>
      </c>
      <c r="B117" s="215">
        <v>2618424664</v>
      </c>
      <c r="C117" s="215" t="s">
        <v>1590</v>
      </c>
      <c r="D117" s="215" t="s">
        <v>110</v>
      </c>
      <c r="E117" s="215" t="s">
        <v>5</v>
      </c>
      <c r="F117" s="215" t="s">
        <v>1591</v>
      </c>
      <c r="G117" s="215">
        <v>450</v>
      </c>
      <c r="H117" s="215" t="s">
        <v>226</v>
      </c>
      <c r="I117" s="215" t="s">
        <v>1516</v>
      </c>
      <c r="J117" s="215" t="s">
        <v>1592</v>
      </c>
      <c r="K117" s="215" t="s">
        <v>1593</v>
      </c>
      <c r="L117" s="215" t="s">
        <v>1594</v>
      </c>
      <c r="M117" s="215" t="s">
        <v>1595</v>
      </c>
      <c r="N117" s="215" t="s">
        <v>1442</v>
      </c>
      <c r="O117" s="203" t="s">
        <v>206</v>
      </c>
      <c r="P117" s="204"/>
      <c r="Q117" s="203" t="s">
        <v>205</v>
      </c>
      <c r="R117" s="204"/>
      <c r="S117" s="203" t="s">
        <v>205</v>
      </c>
      <c r="T117" s="204"/>
      <c r="U117" s="203" t="s">
        <v>205</v>
      </c>
      <c r="V117" s="204"/>
      <c r="W117" s="203" t="s">
        <v>205</v>
      </c>
      <c r="X117" s="204"/>
      <c r="Y117" s="203" t="s">
        <v>205</v>
      </c>
      <c r="Z117" s="204"/>
      <c r="AA117" s="203" t="s">
        <v>205</v>
      </c>
      <c r="AB117" s="204"/>
      <c r="AC117" s="203" t="s">
        <v>205</v>
      </c>
      <c r="AD117" s="204"/>
      <c r="AE117" s="203" t="s">
        <v>205</v>
      </c>
      <c r="AF117" s="202" t="str">
        <f t="shared" si="7"/>
        <v>NC</v>
      </c>
      <c r="AG117" s="217" t="str">
        <f t="shared" si="8"/>
        <v>UTILIZOU O PDA CORRETAMENTE. NÃO HÁ FOTOS DE TODAS AS ETAPAS</v>
      </c>
      <c r="AH117" s="203" t="s">
        <v>205</v>
      </c>
      <c r="AI117" s="218" t="s">
        <v>6</v>
      </c>
      <c r="AJ117" s="218" t="str">
        <f t="shared" si="6"/>
        <v>SÃO PAULO</v>
      </c>
      <c r="AK117" s="257" t="s">
        <v>60</v>
      </c>
    </row>
    <row r="118" spans="1:37" s="202" customFormat="1" ht="30" customHeight="1">
      <c r="A118" s="215" t="s">
        <v>198</v>
      </c>
      <c r="B118" s="215">
        <v>2619794134</v>
      </c>
      <c r="C118" s="215" t="s">
        <v>121</v>
      </c>
      <c r="D118" s="215" t="s">
        <v>112</v>
      </c>
      <c r="E118" s="215" t="s">
        <v>5</v>
      </c>
      <c r="F118" s="215" t="s">
        <v>1596</v>
      </c>
      <c r="G118" s="215">
        <v>146</v>
      </c>
      <c r="H118" s="215" t="s">
        <v>226</v>
      </c>
      <c r="I118" s="215" t="s">
        <v>246</v>
      </c>
      <c r="J118" s="215" t="s">
        <v>1406</v>
      </c>
      <c r="K118" s="215" t="s">
        <v>200</v>
      </c>
      <c r="L118" s="215" t="s">
        <v>1597</v>
      </c>
      <c r="M118" s="215" t="s">
        <v>1598</v>
      </c>
      <c r="N118" s="215" t="s">
        <v>217</v>
      </c>
      <c r="O118" s="203" t="s">
        <v>205</v>
      </c>
      <c r="P118" s="204"/>
      <c r="Q118" s="203" t="s">
        <v>205</v>
      </c>
      <c r="R118" s="204"/>
      <c r="S118" s="203" t="s">
        <v>205</v>
      </c>
      <c r="T118" s="204"/>
      <c r="U118" s="203" t="s">
        <v>62</v>
      </c>
      <c r="V118" s="204"/>
      <c r="W118" s="203" t="s">
        <v>62</v>
      </c>
      <c r="X118" s="204"/>
      <c r="Y118" s="203" t="s">
        <v>62</v>
      </c>
      <c r="Z118" s="204"/>
      <c r="AA118" s="203" t="s">
        <v>62</v>
      </c>
      <c r="AB118" s="204"/>
      <c r="AC118" s="203" t="s">
        <v>205</v>
      </c>
      <c r="AD118" s="204"/>
      <c r="AE118" s="203" t="s">
        <v>205</v>
      </c>
      <c r="AF118" s="202" t="str">
        <f t="shared" si="7"/>
        <v>C</v>
      </c>
      <c r="AG118" s="217" t="str">
        <f t="shared" si="8"/>
        <v>UTILIZOU O PDA CORRETAMENTE</v>
      </c>
      <c r="AH118" s="203" t="s">
        <v>205</v>
      </c>
      <c r="AI118" s="218" t="s">
        <v>6</v>
      </c>
      <c r="AJ118" s="218" t="str">
        <f t="shared" si="6"/>
        <v>SÃO PAULO</v>
      </c>
      <c r="AK118" s="257" t="s">
        <v>60</v>
      </c>
    </row>
    <row r="119" spans="1:37" s="202" customFormat="1" ht="30" customHeight="1">
      <c r="A119" s="215" t="s">
        <v>198</v>
      </c>
      <c r="B119" s="215">
        <v>2619975560</v>
      </c>
      <c r="C119" s="215" t="s">
        <v>1486</v>
      </c>
      <c r="D119" s="215" t="s">
        <v>112</v>
      </c>
      <c r="E119" s="215" t="s">
        <v>5</v>
      </c>
      <c r="F119" s="215" t="s">
        <v>1599</v>
      </c>
      <c r="G119" s="215">
        <v>6500</v>
      </c>
      <c r="H119" s="215"/>
      <c r="I119" s="215" t="s">
        <v>626</v>
      </c>
      <c r="J119" s="215" t="s">
        <v>1487</v>
      </c>
      <c r="K119" s="215" t="s">
        <v>1600</v>
      </c>
      <c r="L119" s="215" t="s">
        <v>1601</v>
      </c>
      <c r="M119" s="215" t="s">
        <v>1602</v>
      </c>
      <c r="N119" s="215" t="s">
        <v>217</v>
      </c>
      <c r="O119" s="203" t="s">
        <v>205</v>
      </c>
      <c r="P119" s="204"/>
      <c r="Q119" s="203" t="s">
        <v>205</v>
      </c>
      <c r="R119" s="204"/>
      <c r="S119" s="203" t="s">
        <v>205</v>
      </c>
      <c r="T119" s="204"/>
      <c r="U119" s="203" t="s">
        <v>62</v>
      </c>
      <c r="V119" s="204"/>
      <c r="W119" s="203" t="s">
        <v>62</v>
      </c>
      <c r="X119" s="204"/>
      <c r="Y119" s="203" t="s">
        <v>62</v>
      </c>
      <c r="Z119" s="204"/>
      <c r="AA119" s="203" t="s">
        <v>62</v>
      </c>
      <c r="AB119" s="204"/>
      <c r="AC119" s="203" t="s">
        <v>205</v>
      </c>
      <c r="AD119" s="204"/>
      <c r="AE119" s="203" t="s">
        <v>205</v>
      </c>
      <c r="AF119" s="202" t="str">
        <f t="shared" si="7"/>
        <v>C</v>
      </c>
      <c r="AG119" s="217" t="str">
        <f t="shared" si="8"/>
        <v>UTILIZOU O PDA CORRETAMENTE</v>
      </c>
      <c r="AH119" s="203" t="s">
        <v>205</v>
      </c>
      <c r="AI119" s="218" t="s">
        <v>6</v>
      </c>
      <c r="AJ119" s="218" t="str">
        <f t="shared" si="6"/>
        <v>SÃO PAULO</v>
      </c>
      <c r="AK119" s="257" t="s">
        <v>60</v>
      </c>
    </row>
    <row r="120" spans="1:37" s="202" customFormat="1" ht="30" customHeight="1">
      <c r="A120" s="215" t="s">
        <v>198</v>
      </c>
      <c r="B120" s="215">
        <v>2620125709</v>
      </c>
      <c r="C120" s="215" t="s">
        <v>121</v>
      </c>
      <c r="D120" s="215" t="s">
        <v>112</v>
      </c>
      <c r="E120" s="215" t="s">
        <v>5</v>
      </c>
      <c r="F120" s="215" t="s">
        <v>1603</v>
      </c>
      <c r="G120" s="215">
        <v>144</v>
      </c>
      <c r="H120" s="215" t="s">
        <v>200</v>
      </c>
      <c r="I120" s="215" t="s">
        <v>426</v>
      </c>
      <c r="J120" s="215" t="s">
        <v>1406</v>
      </c>
      <c r="K120" s="215" t="s">
        <v>1466</v>
      </c>
      <c r="L120" s="215" t="s">
        <v>666</v>
      </c>
      <c r="M120" s="215" t="s">
        <v>1604</v>
      </c>
      <c r="N120" s="215" t="s">
        <v>217</v>
      </c>
      <c r="O120" s="203" t="s">
        <v>205</v>
      </c>
      <c r="P120" s="204"/>
      <c r="Q120" s="203" t="s">
        <v>205</v>
      </c>
      <c r="R120" s="204"/>
      <c r="S120" s="203" t="s">
        <v>205</v>
      </c>
      <c r="T120" s="204"/>
      <c r="U120" s="203" t="s">
        <v>205</v>
      </c>
      <c r="V120" s="204"/>
      <c r="W120" s="203" t="s">
        <v>62</v>
      </c>
      <c r="X120" s="204"/>
      <c r="Y120" s="203" t="s">
        <v>62</v>
      </c>
      <c r="Z120" s="204"/>
      <c r="AA120" s="203" t="s">
        <v>205</v>
      </c>
      <c r="AB120" s="204"/>
      <c r="AC120" s="203" t="s">
        <v>205</v>
      </c>
      <c r="AD120" s="204"/>
      <c r="AE120" s="203" t="s">
        <v>205</v>
      </c>
      <c r="AF120" s="202" t="str">
        <f t="shared" si="7"/>
        <v>C</v>
      </c>
      <c r="AG120" s="217" t="str">
        <f t="shared" si="8"/>
        <v>UTILIZOU O PDA CORRETAMENTE</v>
      </c>
      <c r="AH120" s="203" t="s">
        <v>205</v>
      </c>
      <c r="AI120" s="218" t="s">
        <v>6</v>
      </c>
      <c r="AJ120" s="218" t="str">
        <f t="shared" si="6"/>
        <v>SÃO PAULO</v>
      </c>
      <c r="AK120" s="257" t="s">
        <v>60</v>
      </c>
    </row>
    <row r="121" spans="1:37" s="202" customFormat="1" ht="30" customHeight="1">
      <c r="A121" s="215" t="s">
        <v>198</v>
      </c>
      <c r="B121" s="215">
        <v>2620208544</v>
      </c>
      <c r="C121" s="215" t="s">
        <v>1477</v>
      </c>
      <c r="D121" s="215" t="s">
        <v>109</v>
      </c>
      <c r="E121" s="215" t="s">
        <v>5</v>
      </c>
      <c r="F121" s="215" t="s">
        <v>1605</v>
      </c>
      <c r="G121" s="215">
        <v>291</v>
      </c>
      <c r="H121" s="215"/>
      <c r="I121" s="215" t="s">
        <v>1606</v>
      </c>
      <c r="J121" s="215" t="s">
        <v>1479</v>
      </c>
      <c r="K121" s="215" t="s">
        <v>1607</v>
      </c>
      <c r="L121" s="215" t="s">
        <v>1608</v>
      </c>
      <c r="M121" s="215" t="s">
        <v>1609</v>
      </c>
      <c r="N121" s="215" t="s">
        <v>1442</v>
      </c>
      <c r="O121" s="203" t="s">
        <v>205</v>
      </c>
      <c r="P121" s="204"/>
      <c r="Q121" s="203" t="s">
        <v>205</v>
      </c>
      <c r="R121" s="204"/>
      <c r="S121" s="203" t="s">
        <v>205</v>
      </c>
      <c r="T121" s="204"/>
      <c r="U121" s="203" t="s">
        <v>205</v>
      </c>
      <c r="V121" s="204"/>
      <c r="W121" s="203" t="s">
        <v>205</v>
      </c>
      <c r="X121" s="204"/>
      <c r="Y121" s="203" t="s">
        <v>62</v>
      </c>
      <c r="Z121" s="204"/>
      <c r="AA121" s="203" t="s">
        <v>205</v>
      </c>
      <c r="AB121" s="204"/>
      <c r="AC121" s="203" t="s">
        <v>205</v>
      </c>
      <c r="AD121" s="204"/>
      <c r="AE121" s="203" t="s">
        <v>205</v>
      </c>
      <c r="AF121" s="202" t="str">
        <f t="shared" si="7"/>
        <v>C</v>
      </c>
      <c r="AG121" s="217" t="str">
        <f t="shared" si="8"/>
        <v>UTILIZOU O PDA CORRETAMENTE</v>
      </c>
      <c r="AH121" s="203"/>
      <c r="AI121" s="218" t="s">
        <v>6</v>
      </c>
      <c r="AJ121" s="218" t="str">
        <f t="shared" si="6"/>
        <v>SÃO PAULO</v>
      </c>
      <c r="AK121" s="257" t="s">
        <v>60</v>
      </c>
    </row>
    <row r="122" spans="1:37" s="202" customFormat="1" ht="30" customHeight="1">
      <c r="A122" s="215" t="s">
        <v>198</v>
      </c>
      <c r="B122" s="215">
        <v>2620072538</v>
      </c>
      <c r="C122" s="215" t="s">
        <v>1526</v>
      </c>
      <c r="D122" s="215" t="s">
        <v>112</v>
      </c>
      <c r="E122" s="215" t="s">
        <v>5</v>
      </c>
      <c r="F122" s="215" t="s">
        <v>736</v>
      </c>
      <c r="G122" s="215">
        <v>114</v>
      </c>
      <c r="H122" s="215" t="s">
        <v>1610</v>
      </c>
      <c r="I122" s="215" t="s">
        <v>260</v>
      </c>
      <c r="J122" s="215" t="s">
        <v>1527</v>
      </c>
      <c r="K122" s="219" t="s">
        <v>1611</v>
      </c>
      <c r="L122" s="215" t="s">
        <v>734</v>
      </c>
      <c r="M122" s="215" t="s">
        <v>735</v>
      </c>
      <c r="N122" s="215" t="s">
        <v>1426</v>
      </c>
      <c r="O122" s="203" t="s">
        <v>62</v>
      </c>
      <c r="P122" s="204"/>
      <c r="Q122" s="203" t="s">
        <v>62</v>
      </c>
      <c r="R122" s="204"/>
      <c r="S122" s="203" t="s">
        <v>62</v>
      </c>
      <c r="T122" s="204"/>
      <c r="U122" s="203" t="s">
        <v>62</v>
      </c>
      <c r="V122" s="204"/>
      <c r="W122" s="203" t="s">
        <v>62</v>
      </c>
      <c r="X122" s="204"/>
      <c r="Y122" s="203" t="s">
        <v>62</v>
      </c>
      <c r="Z122" s="204"/>
      <c r="AA122" s="203" t="s">
        <v>62</v>
      </c>
      <c r="AB122" s="204"/>
      <c r="AC122" s="203" t="s">
        <v>62</v>
      </c>
      <c r="AD122" s="204"/>
      <c r="AE122" s="203" t="s">
        <v>62</v>
      </c>
      <c r="AF122" s="202" t="str">
        <f t="shared" si="7"/>
        <v>NA</v>
      </c>
      <c r="AG122" s="217" t="str">
        <f t="shared" si="8"/>
        <v>NÃO AVALIADO POR FALHA DE SINCRONISMO</v>
      </c>
      <c r="AH122" s="203"/>
      <c r="AI122" s="218" t="s">
        <v>6</v>
      </c>
      <c r="AJ122" s="218" t="str">
        <f t="shared" si="6"/>
        <v>SÃO PAULO</v>
      </c>
      <c r="AK122" s="257" t="s">
        <v>60</v>
      </c>
    </row>
    <row r="123" spans="1:37" s="202" customFormat="1" ht="30" customHeight="1">
      <c r="A123" s="215" t="s">
        <v>198</v>
      </c>
      <c r="B123" s="215">
        <v>2620068999</v>
      </c>
      <c r="C123" s="215" t="s">
        <v>117</v>
      </c>
      <c r="D123" s="215" t="s">
        <v>112</v>
      </c>
      <c r="E123" s="215" t="s">
        <v>5</v>
      </c>
      <c r="F123" s="215" t="s">
        <v>736</v>
      </c>
      <c r="G123" s="215">
        <v>114</v>
      </c>
      <c r="H123" s="215" t="s">
        <v>1610</v>
      </c>
      <c r="I123" s="215" t="s">
        <v>260</v>
      </c>
      <c r="J123" s="215" t="s">
        <v>1529</v>
      </c>
      <c r="K123" s="219" t="s">
        <v>1612</v>
      </c>
      <c r="L123" s="215" t="s">
        <v>1613</v>
      </c>
      <c r="M123" s="215" t="s">
        <v>734</v>
      </c>
      <c r="N123" s="215" t="s">
        <v>1426</v>
      </c>
      <c r="O123" s="203" t="s">
        <v>62</v>
      </c>
      <c r="P123" s="204"/>
      <c r="Q123" s="203" t="s">
        <v>62</v>
      </c>
      <c r="R123" s="204"/>
      <c r="S123" s="203" t="s">
        <v>62</v>
      </c>
      <c r="T123" s="204"/>
      <c r="U123" s="203" t="s">
        <v>62</v>
      </c>
      <c r="V123" s="204"/>
      <c r="W123" s="203" t="s">
        <v>62</v>
      </c>
      <c r="X123" s="204"/>
      <c r="Y123" s="203" t="s">
        <v>62</v>
      </c>
      <c r="Z123" s="204"/>
      <c r="AA123" s="203" t="s">
        <v>62</v>
      </c>
      <c r="AB123" s="204"/>
      <c r="AC123" s="203" t="s">
        <v>62</v>
      </c>
      <c r="AD123" s="204"/>
      <c r="AE123" s="203" t="s">
        <v>62</v>
      </c>
      <c r="AF123" s="202" t="str">
        <f t="shared" si="7"/>
        <v>NA</v>
      </c>
      <c r="AG123" s="217" t="str">
        <f t="shared" si="8"/>
        <v>NÃO AVALIADO POR FALHA DE SINCRONISMO</v>
      </c>
      <c r="AH123" s="203"/>
      <c r="AI123" s="218" t="s">
        <v>6</v>
      </c>
      <c r="AJ123" s="218" t="str">
        <f t="shared" si="6"/>
        <v>SÃO PAULO</v>
      </c>
      <c r="AK123" s="257" t="s">
        <v>60</v>
      </c>
    </row>
    <row r="124" spans="1:37" s="202" customFormat="1" ht="30" customHeight="1">
      <c r="A124" s="215" t="s">
        <v>198</v>
      </c>
      <c r="B124" s="215">
        <v>2619819207</v>
      </c>
      <c r="C124" s="215" t="s">
        <v>1526</v>
      </c>
      <c r="D124" s="215" t="s">
        <v>112</v>
      </c>
      <c r="E124" s="215" t="s">
        <v>5</v>
      </c>
      <c r="F124" s="215" t="s">
        <v>736</v>
      </c>
      <c r="G124" s="215">
        <v>114</v>
      </c>
      <c r="H124" s="215"/>
      <c r="I124" s="215" t="s">
        <v>737</v>
      </c>
      <c r="J124" s="215" t="s">
        <v>1527</v>
      </c>
      <c r="K124" s="219" t="s">
        <v>1614</v>
      </c>
      <c r="L124" s="215" t="s">
        <v>734</v>
      </c>
      <c r="M124" s="215" t="s">
        <v>735</v>
      </c>
      <c r="N124" s="215" t="s">
        <v>1426</v>
      </c>
      <c r="O124" s="203" t="s">
        <v>62</v>
      </c>
      <c r="P124" s="204"/>
      <c r="Q124" s="203" t="s">
        <v>62</v>
      </c>
      <c r="R124" s="204"/>
      <c r="S124" s="203" t="s">
        <v>62</v>
      </c>
      <c r="T124" s="204"/>
      <c r="U124" s="203" t="s">
        <v>62</v>
      </c>
      <c r="V124" s="204"/>
      <c r="W124" s="203" t="s">
        <v>62</v>
      </c>
      <c r="X124" s="204"/>
      <c r="Y124" s="203" t="s">
        <v>62</v>
      </c>
      <c r="Z124" s="204"/>
      <c r="AA124" s="203" t="s">
        <v>62</v>
      </c>
      <c r="AB124" s="204"/>
      <c r="AC124" s="203" t="s">
        <v>62</v>
      </c>
      <c r="AD124" s="204"/>
      <c r="AE124" s="203" t="s">
        <v>62</v>
      </c>
      <c r="AF124" s="202" t="str">
        <f t="shared" si="7"/>
        <v>NA</v>
      </c>
      <c r="AG124" s="217" t="str">
        <f t="shared" si="8"/>
        <v>NÃO AVALIADO POR FALHA DE SINCRONISMO</v>
      </c>
      <c r="AH124" s="203"/>
      <c r="AI124" s="218" t="s">
        <v>6</v>
      </c>
      <c r="AJ124" s="218" t="str">
        <f t="shared" si="6"/>
        <v>SÃO PAULO</v>
      </c>
      <c r="AK124" s="257" t="s">
        <v>60</v>
      </c>
    </row>
    <row r="125" spans="1:37" s="202" customFormat="1" ht="30" customHeight="1">
      <c r="A125" s="215" t="s">
        <v>198</v>
      </c>
      <c r="B125" s="215">
        <v>2619818930</v>
      </c>
      <c r="C125" s="215" t="s">
        <v>117</v>
      </c>
      <c r="D125" s="215" t="s">
        <v>112</v>
      </c>
      <c r="E125" s="215" t="s">
        <v>5</v>
      </c>
      <c r="F125" s="215" t="s">
        <v>736</v>
      </c>
      <c r="G125" s="215">
        <v>114</v>
      </c>
      <c r="H125" s="215" t="s">
        <v>200</v>
      </c>
      <c r="I125" s="215" t="s">
        <v>737</v>
      </c>
      <c r="J125" s="215" t="s">
        <v>1529</v>
      </c>
      <c r="K125" s="219" t="s">
        <v>1612</v>
      </c>
      <c r="L125" s="215" t="s">
        <v>734</v>
      </c>
      <c r="M125" s="215" t="s">
        <v>735</v>
      </c>
      <c r="N125" s="215" t="s">
        <v>1426</v>
      </c>
      <c r="O125" s="203" t="s">
        <v>62</v>
      </c>
      <c r="P125" s="204"/>
      <c r="Q125" s="203" t="s">
        <v>62</v>
      </c>
      <c r="R125" s="204"/>
      <c r="S125" s="203" t="s">
        <v>62</v>
      </c>
      <c r="T125" s="204"/>
      <c r="U125" s="203" t="s">
        <v>62</v>
      </c>
      <c r="V125" s="204"/>
      <c r="W125" s="203" t="s">
        <v>62</v>
      </c>
      <c r="X125" s="204"/>
      <c r="Y125" s="203" t="s">
        <v>62</v>
      </c>
      <c r="Z125" s="204"/>
      <c r="AA125" s="203" t="s">
        <v>62</v>
      </c>
      <c r="AB125" s="204"/>
      <c r="AC125" s="203" t="s">
        <v>62</v>
      </c>
      <c r="AD125" s="204"/>
      <c r="AE125" s="203" t="s">
        <v>62</v>
      </c>
      <c r="AF125" s="202" t="str">
        <f t="shared" si="7"/>
        <v>NA</v>
      </c>
      <c r="AG125" s="217" t="str">
        <f t="shared" si="8"/>
        <v>NÃO AVALIADO POR FALHA DE SINCRONISMO</v>
      </c>
      <c r="AH125" s="203"/>
      <c r="AI125" s="218" t="s">
        <v>6</v>
      </c>
      <c r="AJ125" s="218" t="str">
        <f t="shared" si="6"/>
        <v>SÃO PAULO</v>
      </c>
      <c r="AK125" s="257" t="s">
        <v>60</v>
      </c>
    </row>
    <row r="126" spans="1:37" s="202" customFormat="1" ht="30" customHeight="1">
      <c r="A126" s="215" t="s">
        <v>198</v>
      </c>
      <c r="B126" s="215">
        <v>2620195143</v>
      </c>
      <c r="C126" s="215" t="s">
        <v>1490</v>
      </c>
      <c r="D126" s="215" t="s">
        <v>111</v>
      </c>
      <c r="E126" s="215" t="s">
        <v>5</v>
      </c>
      <c r="F126" s="215" t="s">
        <v>1253</v>
      </c>
      <c r="G126" s="215">
        <v>232</v>
      </c>
      <c r="H126" s="215"/>
      <c r="I126" s="215" t="s">
        <v>246</v>
      </c>
      <c r="J126" s="215" t="s">
        <v>1491</v>
      </c>
      <c r="K126" s="219" t="s">
        <v>1532</v>
      </c>
      <c r="L126" s="215" t="s">
        <v>1615</v>
      </c>
      <c r="M126" s="215" t="s">
        <v>1616</v>
      </c>
      <c r="N126" s="215" t="s">
        <v>1429</v>
      </c>
      <c r="O126" s="203" t="s">
        <v>206</v>
      </c>
      <c r="P126" s="204"/>
      <c r="Q126" s="203" t="s">
        <v>206</v>
      </c>
      <c r="R126" s="204"/>
      <c r="S126" s="203" t="s">
        <v>206</v>
      </c>
      <c r="T126" s="204"/>
      <c r="U126" s="203" t="s">
        <v>206</v>
      </c>
      <c r="V126" s="204"/>
      <c r="W126" s="203" t="s">
        <v>206</v>
      </c>
      <c r="X126" s="204"/>
      <c r="Y126" s="203" t="s">
        <v>206</v>
      </c>
      <c r="Z126" s="204"/>
      <c r="AA126" s="203" t="s">
        <v>206</v>
      </c>
      <c r="AB126" s="204"/>
      <c r="AC126" s="203" t="s">
        <v>206</v>
      </c>
      <c r="AD126" s="56" t="s">
        <v>1493</v>
      </c>
      <c r="AE126" s="203" t="s">
        <v>239</v>
      </c>
      <c r="AF126" s="202" t="str">
        <f t="shared" si="7"/>
        <v>NC</v>
      </c>
      <c r="AG126" s="217" t="str">
        <f t="shared" si="8"/>
        <v>NÃO UTILIZOU O PDA</v>
      </c>
      <c r="AH126" s="203" t="s">
        <v>205</v>
      </c>
      <c r="AI126" s="218" t="s">
        <v>6</v>
      </c>
      <c r="AJ126" s="218" t="str">
        <f t="shared" si="6"/>
        <v>SÃO PAULO</v>
      </c>
      <c r="AK126" s="257" t="s">
        <v>60</v>
      </c>
    </row>
    <row r="127" spans="1:37" s="202" customFormat="1" ht="30" customHeight="1">
      <c r="A127" s="215" t="s">
        <v>198</v>
      </c>
      <c r="B127" s="215">
        <v>2620195057</v>
      </c>
      <c r="C127" s="215" t="s">
        <v>1490</v>
      </c>
      <c r="D127" s="215" t="s">
        <v>111</v>
      </c>
      <c r="E127" s="215" t="s">
        <v>5</v>
      </c>
      <c r="F127" s="215" t="s">
        <v>1253</v>
      </c>
      <c r="G127" s="215">
        <v>228</v>
      </c>
      <c r="H127" s="215" t="s">
        <v>200</v>
      </c>
      <c r="I127" s="215" t="s">
        <v>246</v>
      </c>
      <c r="J127" s="215" t="s">
        <v>1491</v>
      </c>
      <c r="K127" s="219" t="s">
        <v>1532</v>
      </c>
      <c r="L127" s="215" t="s">
        <v>775</v>
      </c>
      <c r="M127" s="215" t="s">
        <v>776</v>
      </c>
      <c r="N127" s="215" t="s">
        <v>1429</v>
      </c>
      <c r="O127" s="203" t="s">
        <v>206</v>
      </c>
      <c r="P127" s="204"/>
      <c r="Q127" s="203" t="s">
        <v>206</v>
      </c>
      <c r="R127" s="204"/>
      <c r="S127" s="203" t="s">
        <v>206</v>
      </c>
      <c r="T127" s="204"/>
      <c r="U127" s="203" t="s">
        <v>206</v>
      </c>
      <c r="V127" s="204"/>
      <c r="W127" s="203" t="s">
        <v>206</v>
      </c>
      <c r="X127" s="204"/>
      <c r="Y127" s="203" t="s">
        <v>206</v>
      </c>
      <c r="Z127" s="204"/>
      <c r="AA127" s="203" t="s">
        <v>206</v>
      </c>
      <c r="AB127" s="204"/>
      <c r="AC127" s="203" t="s">
        <v>206</v>
      </c>
      <c r="AD127" s="56" t="s">
        <v>1493</v>
      </c>
      <c r="AE127" s="203" t="s">
        <v>239</v>
      </c>
      <c r="AF127" s="202" t="str">
        <f t="shared" si="7"/>
        <v>NC</v>
      </c>
      <c r="AG127" s="217" t="str">
        <f t="shared" si="8"/>
        <v>NÃO UTILIZOU O PDA</v>
      </c>
      <c r="AH127" s="203" t="s">
        <v>205</v>
      </c>
      <c r="AI127" s="218" t="s">
        <v>6</v>
      </c>
      <c r="AJ127" s="218" t="str">
        <f t="shared" si="6"/>
        <v>SÃO PAULO</v>
      </c>
      <c r="AK127" s="257" t="s">
        <v>60</v>
      </c>
    </row>
    <row r="128" spans="1:37" s="202" customFormat="1" ht="30" customHeight="1">
      <c r="A128" s="215" t="s">
        <v>198</v>
      </c>
      <c r="B128" s="215">
        <v>2620195838</v>
      </c>
      <c r="C128" s="215" t="s">
        <v>1490</v>
      </c>
      <c r="D128" s="215" t="s">
        <v>111</v>
      </c>
      <c r="E128" s="215" t="s">
        <v>5</v>
      </c>
      <c r="F128" s="215" t="s">
        <v>1253</v>
      </c>
      <c r="G128" s="215">
        <v>218</v>
      </c>
      <c r="H128" s="215"/>
      <c r="I128" s="215" t="s">
        <v>427</v>
      </c>
      <c r="J128" s="215" t="s">
        <v>1491</v>
      </c>
      <c r="K128" s="219" t="s">
        <v>1532</v>
      </c>
      <c r="L128" s="215" t="s">
        <v>1617</v>
      </c>
      <c r="M128" s="215" t="s">
        <v>1598</v>
      </c>
      <c r="N128" s="215" t="s">
        <v>1429</v>
      </c>
      <c r="O128" s="203" t="s">
        <v>206</v>
      </c>
      <c r="P128" s="204"/>
      <c r="Q128" s="203" t="s">
        <v>206</v>
      </c>
      <c r="R128" s="204"/>
      <c r="S128" s="203" t="s">
        <v>206</v>
      </c>
      <c r="T128" s="204"/>
      <c r="U128" s="203" t="s">
        <v>206</v>
      </c>
      <c r="V128" s="204"/>
      <c r="W128" s="203" t="s">
        <v>206</v>
      </c>
      <c r="X128" s="204"/>
      <c r="Y128" s="203" t="s">
        <v>206</v>
      </c>
      <c r="Z128" s="204"/>
      <c r="AA128" s="203" t="s">
        <v>206</v>
      </c>
      <c r="AB128" s="204"/>
      <c r="AC128" s="203" t="s">
        <v>206</v>
      </c>
      <c r="AD128" s="56" t="s">
        <v>1493</v>
      </c>
      <c r="AE128" s="203" t="s">
        <v>239</v>
      </c>
      <c r="AF128" s="202" t="str">
        <f t="shared" si="7"/>
        <v>NC</v>
      </c>
      <c r="AG128" s="217" t="str">
        <f t="shared" si="8"/>
        <v>NÃO UTILIZOU O PDA</v>
      </c>
      <c r="AH128" s="203" t="s">
        <v>205</v>
      </c>
      <c r="AI128" s="218" t="s">
        <v>6</v>
      </c>
      <c r="AJ128" s="218" t="str">
        <f t="shared" si="6"/>
        <v>SÃO PAULO</v>
      </c>
      <c r="AK128" s="257" t="s">
        <v>60</v>
      </c>
    </row>
    <row r="129" spans="1:37" s="202" customFormat="1" ht="30" customHeight="1">
      <c r="A129" s="215" t="s">
        <v>198</v>
      </c>
      <c r="B129" s="215">
        <v>2620195395</v>
      </c>
      <c r="C129" s="215" t="s">
        <v>1490</v>
      </c>
      <c r="D129" s="215" t="s">
        <v>111</v>
      </c>
      <c r="E129" s="215" t="s">
        <v>5</v>
      </c>
      <c r="F129" s="215" t="s">
        <v>1253</v>
      </c>
      <c r="G129" s="215">
        <v>198</v>
      </c>
      <c r="H129" s="215" t="s">
        <v>226</v>
      </c>
      <c r="I129" s="215" t="s">
        <v>246</v>
      </c>
      <c r="J129" s="215" t="s">
        <v>1491</v>
      </c>
      <c r="K129" s="219" t="s">
        <v>1618</v>
      </c>
      <c r="L129" s="215" t="s">
        <v>1616</v>
      </c>
      <c r="M129" s="215" t="s">
        <v>1619</v>
      </c>
      <c r="N129" s="215" t="s">
        <v>1429</v>
      </c>
      <c r="O129" s="203" t="s">
        <v>206</v>
      </c>
      <c r="P129" s="204"/>
      <c r="Q129" s="203" t="s">
        <v>206</v>
      </c>
      <c r="R129" s="204"/>
      <c r="S129" s="203" t="s">
        <v>206</v>
      </c>
      <c r="T129" s="204"/>
      <c r="U129" s="203" t="s">
        <v>206</v>
      </c>
      <c r="V129" s="204"/>
      <c r="W129" s="203" t="s">
        <v>206</v>
      </c>
      <c r="X129" s="204"/>
      <c r="Y129" s="203" t="s">
        <v>206</v>
      </c>
      <c r="Z129" s="204"/>
      <c r="AA129" s="203" t="s">
        <v>206</v>
      </c>
      <c r="AB129" s="204"/>
      <c r="AC129" s="203" t="s">
        <v>206</v>
      </c>
      <c r="AD129" s="56" t="s">
        <v>1493</v>
      </c>
      <c r="AE129" s="203" t="s">
        <v>239</v>
      </c>
      <c r="AF129" s="202" t="str">
        <f t="shared" si="7"/>
        <v>NC</v>
      </c>
      <c r="AG129" s="217" t="str">
        <f t="shared" si="8"/>
        <v>NÃO UTILIZOU O PDA</v>
      </c>
      <c r="AH129" s="203" t="s">
        <v>205</v>
      </c>
      <c r="AI129" s="218" t="s">
        <v>6</v>
      </c>
      <c r="AJ129" s="218" t="str">
        <f t="shared" si="6"/>
        <v>SÃO PAULO</v>
      </c>
      <c r="AK129" s="257" t="s">
        <v>60</v>
      </c>
    </row>
    <row r="130" spans="1:37" s="202" customFormat="1" ht="30" customHeight="1">
      <c r="A130" s="215" t="s">
        <v>198</v>
      </c>
      <c r="B130" s="215">
        <v>2620194844</v>
      </c>
      <c r="C130" s="215" t="s">
        <v>1490</v>
      </c>
      <c r="D130" s="215" t="s">
        <v>111</v>
      </c>
      <c r="E130" s="215" t="s">
        <v>5</v>
      </c>
      <c r="F130" s="215" t="s">
        <v>1253</v>
      </c>
      <c r="G130" s="215">
        <v>222</v>
      </c>
      <c r="H130" s="215"/>
      <c r="I130" s="215" t="s">
        <v>246</v>
      </c>
      <c r="J130" s="215" t="s">
        <v>1491</v>
      </c>
      <c r="K130" s="219" t="s">
        <v>1532</v>
      </c>
      <c r="L130" s="215" t="s">
        <v>1620</v>
      </c>
      <c r="M130" s="215" t="s">
        <v>1621</v>
      </c>
      <c r="N130" s="215" t="s">
        <v>1429</v>
      </c>
      <c r="O130" s="203" t="s">
        <v>206</v>
      </c>
      <c r="P130" s="204"/>
      <c r="Q130" s="203" t="s">
        <v>206</v>
      </c>
      <c r="R130" s="204"/>
      <c r="S130" s="203" t="s">
        <v>206</v>
      </c>
      <c r="T130" s="204"/>
      <c r="U130" s="203" t="s">
        <v>206</v>
      </c>
      <c r="V130" s="204"/>
      <c r="W130" s="203" t="s">
        <v>206</v>
      </c>
      <c r="X130" s="204"/>
      <c r="Y130" s="203" t="s">
        <v>206</v>
      </c>
      <c r="Z130" s="204"/>
      <c r="AA130" s="203" t="s">
        <v>206</v>
      </c>
      <c r="AB130" s="204"/>
      <c r="AC130" s="203" t="s">
        <v>206</v>
      </c>
      <c r="AD130" s="56" t="s">
        <v>1493</v>
      </c>
      <c r="AE130" s="203" t="s">
        <v>239</v>
      </c>
      <c r="AF130" s="202" t="str">
        <f t="shared" si="7"/>
        <v>NC</v>
      </c>
      <c r="AG130" s="217" t="str">
        <f t="shared" si="8"/>
        <v>NÃO UTILIZOU O PDA</v>
      </c>
      <c r="AH130" s="203" t="s">
        <v>205</v>
      </c>
      <c r="AI130" s="218" t="s">
        <v>6</v>
      </c>
      <c r="AJ130" s="218" t="str">
        <f t="shared" si="6"/>
        <v>SÃO PAULO</v>
      </c>
      <c r="AK130" s="257" t="s">
        <v>60</v>
      </c>
    </row>
    <row r="131" spans="1:37" s="202" customFormat="1" ht="30" customHeight="1">
      <c r="A131" s="215" t="s">
        <v>198</v>
      </c>
      <c r="B131" s="215">
        <v>2620195274</v>
      </c>
      <c r="C131" s="215" t="s">
        <v>1490</v>
      </c>
      <c r="D131" s="215" t="s">
        <v>111</v>
      </c>
      <c r="E131" s="215" t="s">
        <v>5</v>
      </c>
      <c r="F131" s="215" t="s">
        <v>1253</v>
      </c>
      <c r="G131" s="215">
        <v>190</v>
      </c>
      <c r="H131" s="215" t="s">
        <v>226</v>
      </c>
      <c r="I131" s="215" t="s">
        <v>246</v>
      </c>
      <c r="J131" s="215" t="s">
        <v>1491</v>
      </c>
      <c r="K131" s="219" t="s">
        <v>1532</v>
      </c>
      <c r="L131" s="215" t="s">
        <v>1621</v>
      </c>
      <c r="M131" s="215" t="s">
        <v>1622</v>
      </c>
      <c r="N131" s="215" t="s">
        <v>1429</v>
      </c>
      <c r="O131" s="203" t="s">
        <v>206</v>
      </c>
      <c r="P131" s="204"/>
      <c r="Q131" s="203" t="s">
        <v>206</v>
      </c>
      <c r="R131" s="204"/>
      <c r="S131" s="203" t="s">
        <v>206</v>
      </c>
      <c r="T131" s="204"/>
      <c r="U131" s="203" t="s">
        <v>206</v>
      </c>
      <c r="V131" s="204"/>
      <c r="W131" s="203" t="s">
        <v>206</v>
      </c>
      <c r="X131" s="204"/>
      <c r="Y131" s="203" t="s">
        <v>206</v>
      </c>
      <c r="Z131" s="204"/>
      <c r="AA131" s="203" t="s">
        <v>206</v>
      </c>
      <c r="AB131" s="204"/>
      <c r="AC131" s="203" t="s">
        <v>206</v>
      </c>
      <c r="AD131" s="56" t="s">
        <v>1493</v>
      </c>
      <c r="AE131" s="203" t="s">
        <v>239</v>
      </c>
      <c r="AF131" s="202" t="str">
        <f t="shared" si="7"/>
        <v>NC</v>
      </c>
      <c r="AG131" s="217" t="str">
        <f t="shared" si="8"/>
        <v>NÃO UTILIZOU O PDA</v>
      </c>
      <c r="AH131" s="203" t="s">
        <v>205</v>
      </c>
      <c r="AI131" s="218" t="s">
        <v>6</v>
      </c>
      <c r="AJ131" s="218" t="str">
        <f t="shared" si="6"/>
        <v>SÃO PAULO</v>
      </c>
      <c r="AK131" s="257" t="s">
        <v>60</v>
      </c>
    </row>
    <row r="132" spans="1:37" s="202" customFormat="1" ht="30" customHeight="1">
      <c r="A132" s="215" t="s">
        <v>198</v>
      </c>
      <c r="B132" s="215">
        <v>2620195538</v>
      </c>
      <c r="C132" s="215" t="s">
        <v>1490</v>
      </c>
      <c r="D132" s="215" t="s">
        <v>111</v>
      </c>
      <c r="E132" s="215" t="s">
        <v>5</v>
      </c>
      <c r="F132" s="215" t="s">
        <v>1253</v>
      </c>
      <c r="G132" s="215">
        <v>206</v>
      </c>
      <c r="H132" s="215"/>
      <c r="I132" s="215" t="s">
        <v>246</v>
      </c>
      <c r="J132" s="215" t="s">
        <v>1491</v>
      </c>
      <c r="K132" s="219" t="s">
        <v>1532</v>
      </c>
      <c r="L132" s="215" t="s">
        <v>1598</v>
      </c>
      <c r="M132" s="215" t="s">
        <v>1620</v>
      </c>
      <c r="N132" s="215" t="s">
        <v>1429</v>
      </c>
      <c r="O132" s="203" t="s">
        <v>206</v>
      </c>
      <c r="P132" s="204"/>
      <c r="Q132" s="203" t="s">
        <v>206</v>
      </c>
      <c r="R132" s="204"/>
      <c r="S132" s="203" t="s">
        <v>206</v>
      </c>
      <c r="T132" s="204"/>
      <c r="U132" s="203" t="s">
        <v>206</v>
      </c>
      <c r="V132" s="204"/>
      <c r="W132" s="203" t="s">
        <v>206</v>
      </c>
      <c r="X132" s="204"/>
      <c r="Y132" s="203" t="s">
        <v>206</v>
      </c>
      <c r="Z132" s="204"/>
      <c r="AA132" s="203" t="s">
        <v>206</v>
      </c>
      <c r="AB132" s="204"/>
      <c r="AC132" s="203" t="s">
        <v>206</v>
      </c>
      <c r="AD132" s="56" t="s">
        <v>1493</v>
      </c>
      <c r="AE132" s="203" t="s">
        <v>239</v>
      </c>
      <c r="AF132" s="202" t="str">
        <f t="shared" si="7"/>
        <v>NC</v>
      </c>
      <c r="AG132" s="217" t="str">
        <f t="shared" si="8"/>
        <v>NÃO UTILIZOU O PDA</v>
      </c>
      <c r="AH132" s="203" t="s">
        <v>205</v>
      </c>
      <c r="AI132" s="218" t="s">
        <v>6</v>
      </c>
      <c r="AJ132" s="218" t="str">
        <f t="shared" si="6"/>
        <v>SÃO PAULO</v>
      </c>
      <c r="AK132" s="257" t="s">
        <v>60</v>
      </c>
    </row>
    <row r="133" spans="1:37" s="202" customFormat="1" ht="30" customHeight="1">
      <c r="A133" s="215" t="s">
        <v>198</v>
      </c>
      <c r="B133" s="215">
        <v>2620195706</v>
      </c>
      <c r="C133" s="215" t="s">
        <v>1490</v>
      </c>
      <c r="D133" s="215" t="s">
        <v>111</v>
      </c>
      <c r="E133" s="215" t="s">
        <v>5</v>
      </c>
      <c r="F133" s="215" t="s">
        <v>1253</v>
      </c>
      <c r="G133" s="215">
        <v>214</v>
      </c>
      <c r="H133" s="215" t="s">
        <v>200</v>
      </c>
      <c r="I133" s="215" t="s">
        <v>246</v>
      </c>
      <c r="J133" s="215" t="s">
        <v>1491</v>
      </c>
      <c r="K133" s="219" t="s">
        <v>1532</v>
      </c>
      <c r="L133" s="215" t="s">
        <v>1623</v>
      </c>
      <c r="M133" s="215" t="s">
        <v>1624</v>
      </c>
      <c r="N133" s="215" t="s">
        <v>1429</v>
      </c>
      <c r="O133" s="203" t="s">
        <v>206</v>
      </c>
      <c r="P133" s="204"/>
      <c r="Q133" s="203" t="s">
        <v>206</v>
      </c>
      <c r="R133" s="204"/>
      <c r="S133" s="203" t="s">
        <v>206</v>
      </c>
      <c r="T133" s="204"/>
      <c r="U133" s="203" t="s">
        <v>206</v>
      </c>
      <c r="V133" s="204"/>
      <c r="W133" s="203" t="s">
        <v>206</v>
      </c>
      <c r="X133" s="204"/>
      <c r="Y133" s="203" t="s">
        <v>206</v>
      </c>
      <c r="Z133" s="204"/>
      <c r="AA133" s="203" t="s">
        <v>206</v>
      </c>
      <c r="AB133" s="204"/>
      <c r="AC133" s="203" t="s">
        <v>206</v>
      </c>
      <c r="AD133" s="56" t="s">
        <v>1493</v>
      </c>
      <c r="AE133" s="203" t="s">
        <v>239</v>
      </c>
      <c r="AF133" s="202" t="str">
        <f t="shared" si="7"/>
        <v>NC</v>
      </c>
      <c r="AG133" s="217" t="str">
        <f t="shared" si="8"/>
        <v>NÃO UTILIZOU O PDA</v>
      </c>
      <c r="AH133" s="203" t="s">
        <v>205</v>
      </c>
      <c r="AI133" s="218" t="s">
        <v>6</v>
      </c>
      <c r="AJ133" s="218" t="str">
        <f t="shared" si="6"/>
        <v>SÃO PAULO</v>
      </c>
      <c r="AK133" s="257" t="s">
        <v>60</v>
      </c>
    </row>
    <row r="134" spans="1:37" s="202" customFormat="1" ht="30" customHeight="1">
      <c r="A134" s="228" t="s">
        <v>198</v>
      </c>
      <c r="B134" s="228">
        <v>2619820031</v>
      </c>
      <c r="C134" s="228" t="s">
        <v>121</v>
      </c>
      <c r="D134" s="228" t="s">
        <v>112</v>
      </c>
      <c r="E134" s="228" t="s">
        <v>5</v>
      </c>
      <c r="F134" s="228" t="s">
        <v>1625</v>
      </c>
      <c r="G134" s="228">
        <v>2687</v>
      </c>
      <c r="H134" s="228"/>
      <c r="I134" s="228" t="s">
        <v>289</v>
      </c>
      <c r="J134" s="228" t="s">
        <v>1406</v>
      </c>
      <c r="K134" s="228" t="s">
        <v>1626</v>
      </c>
      <c r="L134" s="228" t="s">
        <v>1627</v>
      </c>
      <c r="M134" s="228" t="s">
        <v>1628</v>
      </c>
      <c r="N134" s="228" t="s">
        <v>297</v>
      </c>
      <c r="O134" s="203" t="s">
        <v>205</v>
      </c>
      <c r="P134" s="204"/>
      <c r="Q134" s="203" t="s">
        <v>205</v>
      </c>
      <c r="R134" s="204"/>
      <c r="S134" s="203" t="s">
        <v>206</v>
      </c>
      <c r="T134" s="204"/>
      <c r="U134" s="203" t="s">
        <v>62</v>
      </c>
      <c r="V134" s="204"/>
      <c r="W134" s="203" t="s">
        <v>62</v>
      </c>
      <c r="X134" s="204"/>
      <c r="Y134" s="203" t="s">
        <v>62</v>
      </c>
      <c r="Z134" s="204"/>
      <c r="AA134" s="203" t="s">
        <v>62</v>
      </c>
      <c r="AB134" s="204"/>
      <c r="AC134" s="203" t="s">
        <v>239</v>
      </c>
      <c r="AD134" s="204" t="s">
        <v>1408</v>
      </c>
      <c r="AE134" s="203" t="s">
        <v>205</v>
      </c>
      <c r="AF134" s="202" t="str">
        <f t="shared" si="7"/>
        <v>NC</v>
      </c>
      <c r="AG134" s="217" t="str">
        <f t="shared" si="8"/>
        <v>UTILIZOU O PDA CORRETAMENTE. NÃO HÁ FOTOS DE TODAS AS ETAPAS</v>
      </c>
      <c r="AH134" s="203" t="s">
        <v>205</v>
      </c>
      <c r="AI134" s="218" t="s">
        <v>6</v>
      </c>
      <c r="AJ134" s="218" t="str">
        <f t="shared" si="6"/>
        <v>SÃO PAULO</v>
      </c>
      <c r="AK134" s="257" t="s">
        <v>60</v>
      </c>
    </row>
    <row r="135" spans="1:37" ht="30" customHeight="1">
      <c r="A135" s="215" t="s">
        <v>198</v>
      </c>
      <c r="B135" s="215">
        <v>2619356921</v>
      </c>
      <c r="C135" s="215" t="s">
        <v>121</v>
      </c>
      <c r="D135" s="215" t="s">
        <v>112</v>
      </c>
      <c r="E135" s="215" t="s">
        <v>5</v>
      </c>
      <c r="F135" s="215" t="s">
        <v>1629</v>
      </c>
      <c r="G135" s="215">
        <v>2839</v>
      </c>
      <c r="H135" s="215" t="s">
        <v>200</v>
      </c>
      <c r="I135" s="215" t="s">
        <v>448</v>
      </c>
      <c r="J135" s="215" t="s">
        <v>1406</v>
      </c>
      <c r="K135" s="215" t="s">
        <v>200</v>
      </c>
      <c r="L135" s="215" t="s">
        <v>1630</v>
      </c>
      <c r="M135" s="215" t="s">
        <v>1631</v>
      </c>
      <c r="N135" s="215" t="s">
        <v>297</v>
      </c>
      <c r="O135" s="231" t="s">
        <v>205</v>
      </c>
      <c r="P135" s="225"/>
      <c r="Q135" s="224" t="s">
        <v>205</v>
      </c>
      <c r="R135" s="225"/>
      <c r="S135" s="224" t="s">
        <v>206</v>
      </c>
      <c r="T135" s="225"/>
      <c r="U135" s="224" t="s">
        <v>62</v>
      </c>
      <c r="V135" s="225"/>
      <c r="W135" s="224" t="s">
        <v>62</v>
      </c>
      <c r="X135" s="225"/>
      <c r="Y135" s="224" t="s">
        <v>62</v>
      </c>
      <c r="Z135" s="225"/>
      <c r="AA135" s="224" t="s">
        <v>62</v>
      </c>
      <c r="AB135" s="225"/>
      <c r="AC135" s="224" t="s">
        <v>239</v>
      </c>
      <c r="AD135" s="204" t="s">
        <v>1408</v>
      </c>
      <c r="AE135" s="224" t="s">
        <v>205</v>
      </c>
      <c r="AF135" s="181" t="str">
        <f t="shared" si="7"/>
        <v>NC</v>
      </c>
      <c r="AG135" s="190" t="str">
        <f t="shared" si="8"/>
        <v>UTILIZOU O PDA CORRETAMENTE. NÃO HÁ FOTOS DE TODAS AS ETAPAS</v>
      </c>
      <c r="AH135" s="224" t="s">
        <v>205</v>
      </c>
      <c r="AI135" s="233" t="s">
        <v>6</v>
      </c>
      <c r="AJ135" s="184" t="str">
        <f t="shared" si="6"/>
        <v>SÃO PAULO</v>
      </c>
      <c r="AK135" s="258" t="s">
        <v>60</v>
      </c>
    </row>
    <row r="136" spans="1:37" ht="30" customHeight="1">
      <c r="A136" s="215" t="s">
        <v>198</v>
      </c>
      <c r="B136" s="215">
        <v>2620183866</v>
      </c>
      <c r="C136" s="215" t="s">
        <v>123</v>
      </c>
      <c r="D136" s="215" t="s">
        <v>109</v>
      </c>
      <c r="E136" s="215" t="s">
        <v>5</v>
      </c>
      <c r="F136" s="215" t="s">
        <v>1632</v>
      </c>
      <c r="G136" s="215">
        <v>150</v>
      </c>
      <c r="H136" s="215" t="s">
        <v>226</v>
      </c>
      <c r="I136" s="215" t="s">
        <v>1633</v>
      </c>
      <c r="J136" s="215" t="s">
        <v>1409</v>
      </c>
      <c r="K136" s="215" t="s">
        <v>1634</v>
      </c>
      <c r="L136" s="215" t="s">
        <v>1635</v>
      </c>
      <c r="M136" s="215" t="s">
        <v>1636</v>
      </c>
      <c r="N136" s="215" t="s">
        <v>1442</v>
      </c>
      <c r="O136" s="157" t="s">
        <v>205</v>
      </c>
      <c r="P136" s="92"/>
      <c r="Q136" s="145" t="s">
        <v>205</v>
      </c>
      <c r="R136" s="92"/>
      <c r="S136" s="145" t="s">
        <v>205</v>
      </c>
      <c r="T136" s="92"/>
      <c r="U136" s="145" t="s">
        <v>205</v>
      </c>
      <c r="V136" s="92"/>
      <c r="W136" s="145" t="s">
        <v>205</v>
      </c>
      <c r="X136" s="92"/>
      <c r="Y136" s="145" t="s">
        <v>205</v>
      </c>
      <c r="Z136" s="92"/>
      <c r="AA136" s="145" t="s">
        <v>205</v>
      </c>
      <c r="AB136" s="92"/>
      <c r="AC136" s="145" t="s">
        <v>205</v>
      </c>
      <c r="AD136" s="92"/>
      <c r="AE136" s="145" t="s">
        <v>205</v>
      </c>
      <c r="AF136" s="142" t="str">
        <f t="shared" si="7"/>
        <v>C</v>
      </c>
      <c r="AG136" s="190" t="str">
        <f t="shared" si="8"/>
        <v>UTILIZOU O PDA CORRETAMENTE</v>
      </c>
      <c r="AH136" s="145" t="s">
        <v>205</v>
      </c>
      <c r="AI136" s="153" t="s">
        <v>6</v>
      </c>
      <c r="AJ136" s="150" t="str">
        <f t="shared" si="6"/>
        <v>SÃO PAULO</v>
      </c>
      <c r="AK136" s="154" t="s">
        <v>60</v>
      </c>
    </row>
    <row r="137" spans="1:37" ht="30" customHeight="1">
      <c r="A137" s="215" t="s">
        <v>198</v>
      </c>
      <c r="B137" s="215">
        <v>2620214234</v>
      </c>
      <c r="C137" s="215" t="s">
        <v>120</v>
      </c>
      <c r="D137" s="215" t="s">
        <v>110</v>
      </c>
      <c r="E137" s="215" t="s">
        <v>5</v>
      </c>
      <c r="F137" s="215" t="s">
        <v>829</v>
      </c>
      <c r="G137" s="215">
        <v>272</v>
      </c>
      <c r="H137" s="215" t="s">
        <v>200</v>
      </c>
      <c r="I137" s="215" t="s">
        <v>830</v>
      </c>
      <c r="J137" s="215" t="s">
        <v>120</v>
      </c>
      <c r="K137" s="219" t="s">
        <v>1637</v>
      </c>
      <c r="L137" s="215" t="s">
        <v>1638</v>
      </c>
      <c r="M137" s="215" t="s">
        <v>1639</v>
      </c>
      <c r="N137" s="215" t="s">
        <v>1426</v>
      </c>
      <c r="O137" s="157" t="s">
        <v>205</v>
      </c>
      <c r="P137" s="92"/>
      <c r="Q137" s="145" t="s">
        <v>205</v>
      </c>
      <c r="R137" s="92"/>
      <c r="S137" s="145" t="s">
        <v>205</v>
      </c>
      <c r="T137" s="92"/>
      <c r="U137" s="145" t="s">
        <v>205</v>
      </c>
      <c r="V137" s="92"/>
      <c r="W137" s="145" t="s">
        <v>205</v>
      </c>
      <c r="X137" s="92"/>
      <c r="Y137" s="145" t="s">
        <v>205</v>
      </c>
      <c r="Z137" s="92"/>
      <c r="AA137" s="145" t="s">
        <v>205</v>
      </c>
      <c r="AB137" s="92"/>
      <c r="AC137" s="145" t="s">
        <v>205</v>
      </c>
      <c r="AD137" s="92"/>
      <c r="AE137" s="145" t="s">
        <v>205</v>
      </c>
      <c r="AF137" s="142" t="str">
        <f t="shared" si="7"/>
        <v>C</v>
      </c>
      <c r="AG137" s="190" t="str">
        <f t="shared" si="8"/>
        <v>UTILIZOU O PDA CORRETAMENTE</v>
      </c>
      <c r="AH137" s="145" t="s">
        <v>205</v>
      </c>
      <c r="AI137" s="153" t="s">
        <v>6</v>
      </c>
      <c r="AJ137" s="150" t="str">
        <f t="shared" ref="AJ137:AJ198" si="9">E137</f>
        <v>SÃO PAULO</v>
      </c>
      <c r="AK137" s="154" t="s">
        <v>60</v>
      </c>
    </row>
    <row r="138" spans="1:37" ht="30" customHeight="1">
      <c r="A138" s="215" t="s">
        <v>198</v>
      </c>
      <c r="B138" s="215">
        <v>2620214624</v>
      </c>
      <c r="C138" s="215" t="s">
        <v>120</v>
      </c>
      <c r="D138" s="215" t="s">
        <v>110</v>
      </c>
      <c r="E138" s="215" t="s">
        <v>5</v>
      </c>
      <c r="F138" s="215" t="s">
        <v>829</v>
      </c>
      <c r="G138" s="215">
        <v>274</v>
      </c>
      <c r="H138" s="215"/>
      <c r="I138" s="215" t="s">
        <v>830</v>
      </c>
      <c r="J138" s="215" t="s">
        <v>120</v>
      </c>
      <c r="K138" s="219" t="s">
        <v>1637</v>
      </c>
      <c r="L138" s="215" t="s">
        <v>1640</v>
      </c>
      <c r="M138" s="215" t="s">
        <v>1641</v>
      </c>
      <c r="N138" s="215" t="s">
        <v>1426</v>
      </c>
      <c r="O138" s="157" t="s">
        <v>205</v>
      </c>
      <c r="P138" s="92"/>
      <c r="Q138" s="145" t="s">
        <v>205</v>
      </c>
      <c r="R138" s="92"/>
      <c r="S138" s="145" t="s">
        <v>205</v>
      </c>
      <c r="T138" s="92"/>
      <c r="U138" s="145" t="s">
        <v>205</v>
      </c>
      <c r="V138" s="92"/>
      <c r="W138" s="145" t="s">
        <v>205</v>
      </c>
      <c r="X138" s="92"/>
      <c r="Y138" s="145" t="s">
        <v>205</v>
      </c>
      <c r="Z138" s="92"/>
      <c r="AA138" s="145" t="s">
        <v>205</v>
      </c>
      <c r="AB138" s="92"/>
      <c r="AC138" s="145" t="s">
        <v>205</v>
      </c>
      <c r="AD138" s="92"/>
      <c r="AE138" s="145" t="s">
        <v>205</v>
      </c>
      <c r="AF138" s="142" t="str">
        <f t="shared" si="7"/>
        <v>C</v>
      </c>
      <c r="AG138" s="190" t="str">
        <f t="shared" si="8"/>
        <v>UTILIZOU O PDA CORRETAMENTE</v>
      </c>
      <c r="AH138" s="145" t="s">
        <v>205</v>
      </c>
      <c r="AI138" s="153" t="s">
        <v>6</v>
      </c>
      <c r="AJ138" s="150" t="str">
        <f t="shared" si="9"/>
        <v>SÃO PAULO</v>
      </c>
      <c r="AK138" s="154" t="s">
        <v>60</v>
      </c>
    </row>
    <row r="139" spans="1:37" ht="30" customHeight="1">
      <c r="A139" s="215" t="s">
        <v>198</v>
      </c>
      <c r="B139" s="215">
        <v>2620183974</v>
      </c>
      <c r="C139" s="215" t="s">
        <v>116</v>
      </c>
      <c r="D139" s="215" t="s">
        <v>109</v>
      </c>
      <c r="E139" s="215" t="s">
        <v>5</v>
      </c>
      <c r="F139" s="215" t="s">
        <v>1306</v>
      </c>
      <c r="G139" s="215">
        <v>6698</v>
      </c>
      <c r="H139" s="215" t="s">
        <v>226</v>
      </c>
      <c r="I139" s="215" t="s">
        <v>1642</v>
      </c>
      <c r="J139" s="215" t="s">
        <v>1448</v>
      </c>
      <c r="K139" s="219" t="s">
        <v>1643</v>
      </c>
      <c r="L139" s="215" t="s">
        <v>1644</v>
      </c>
      <c r="M139" s="215" t="s">
        <v>1645</v>
      </c>
      <c r="N139" s="215" t="s">
        <v>1426</v>
      </c>
      <c r="O139" s="157" t="s">
        <v>205</v>
      </c>
      <c r="P139" s="92"/>
      <c r="Q139" s="145" t="s">
        <v>205</v>
      </c>
      <c r="R139" s="92"/>
      <c r="S139" s="145" t="s">
        <v>205</v>
      </c>
      <c r="T139" s="92"/>
      <c r="U139" s="145" t="s">
        <v>205</v>
      </c>
      <c r="V139" s="92"/>
      <c r="W139" s="145" t="s">
        <v>205</v>
      </c>
      <c r="X139" s="92"/>
      <c r="Y139" s="145" t="s">
        <v>205</v>
      </c>
      <c r="Z139" s="92"/>
      <c r="AA139" s="145" t="s">
        <v>205</v>
      </c>
      <c r="AB139" s="92"/>
      <c r="AC139" s="145" t="s">
        <v>205</v>
      </c>
      <c r="AD139" s="92"/>
      <c r="AE139" s="145" t="s">
        <v>205</v>
      </c>
      <c r="AF139" s="142" t="str">
        <f t="shared" si="7"/>
        <v>C</v>
      </c>
      <c r="AG139" s="190" t="str">
        <f t="shared" si="8"/>
        <v>UTILIZOU O PDA CORRETAMENTE</v>
      </c>
      <c r="AH139" s="145" t="s">
        <v>205</v>
      </c>
      <c r="AI139" s="153" t="s">
        <v>6</v>
      </c>
      <c r="AJ139" s="150" t="str">
        <f t="shared" si="9"/>
        <v>SÃO PAULO</v>
      </c>
      <c r="AK139" s="154" t="s">
        <v>60</v>
      </c>
    </row>
    <row r="140" spans="1:37" ht="30" customHeight="1">
      <c r="A140" s="215" t="s">
        <v>198</v>
      </c>
      <c r="B140" s="215">
        <v>2620251923</v>
      </c>
      <c r="C140" s="215" t="s">
        <v>1490</v>
      </c>
      <c r="D140" s="215" t="s">
        <v>111</v>
      </c>
      <c r="E140" s="215" t="s">
        <v>5</v>
      </c>
      <c r="F140" s="215" t="s">
        <v>1253</v>
      </c>
      <c r="G140" s="215">
        <v>126</v>
      </c>
      <c r="H140" s="215" t="s">
        <v>226</v>
      </c>
      <c r="I140" s="215" t="s">
        <v>246</v>
      </c>
      <c r="J140" s="215" t="s">
        <v>1491</v>
      </c>
      <c r="K140" s="219" t="s">
        <v>1646</v>
      </c>
      <c r="L140" s="215" t="s">
        <v>1647</v>
      </c>
      <c r="M140" s="215" t="s">
        <v>1648</v>
      </c>
      <c r="N140" s="215" t="s">
        <v>1429</v>
      </c>
      <c r="O140" s="157" t="s">
        <v>206</v>
      </c>
      <c r="P140" s="92"/>
      <c r="Q140" s="145" t="s">
        <v>206</v>
      </c>
      <c r="R140" s="92"/>
      <c r="S140" s="145" t="s">
        <v>206</v>
      </c>
      <c r="T140" s="92"/>
      <c r="U140" s="145" t="s">
        <v>206</v>
      </c>
      <c r="V140" s="92"/>
      <c r="W140" s="145" t="s">
        <v>206</v>
      </c>
      <c r="X140" s="92"/>
      <c r="Y140" s="145" t="s">
        <v>206</v>
      </c>
      <c r="Z140" s="92"/>
      <c r="AA140" s="145" t="s">
        <v>206</v>
      </c>
      <c r="AB140" s="92"/>
      <c r="AC140" s="145" t="s">
        <v>206</v>
      </c>
      <c r="AD140" s="56" t="s">
        <v>1493</v>
      </c>
      <c r="AE140" s="145" t="s">
        <v>239</v>
      </c>
      <c r="AF140" s="142" t="str">
        <f t="shared" si="7"/>
        <v>NC</v>
      </c>
      <c r="AG140" s="190" t="str">
        <f t="shared" si="8"/>
        <v>NÃO UTILIZOU O PDA</v>
      </c>
      <c r="AH140" s="145" t="s">
        <v>205</v>
      </c>
      <c r="AI140" s="153" t="s">
        <v>6</v>
      </c>
      <c r="AJ140" s="150" t="str">
        <f t="shared" si="9"/>
        <v>SÃO PAULO</v>
      </c>
      <c r="AK140" s="154" t="s">
        <v>60</v>
      </c>
    </row>
    <row r="141" spans="1:37" ht="30" customHeight="1">
      <c r="A141" s="215" t="s">
        <v>198</v>
      </c>
      <c r="B141" s="215">
        <v>2620252105</v>
      </c>
      <c r="C141" s="215" t="s">
        <v>1490</v>
      </c>
      <c r="D141" s="215" t="s">
        <v>111</v>
      </c>
      <c r="E141" s="215" t="s">
        <v>5</v>
      </c>
      <c r="F141" s="215" t="s">
        <v>1253</v>
      </c>
      <c r="G141" s="215">
        <v>132</v>
      </c>
      <c r="H141" s="215" t="s">
        <v>200</v>
      </c>
      <c r="I141" s="215" t="s">
        <v>246</v>
      </c>
      <c r="J141" s="215" t="s">
        <v>1491</v>
      </c>
      <c r="K141" s="219" t="s">
        <v>1495</v>
      </c>
      <c r="L141" s="215" t="s">
        <v>1649</v>
      </c>
      <c r="M141" s="215" t="s">
        <v>1650</v>
      </c>
      <c r="N141" s="215" t="s">
        <v>1429</v>
      </c>
      <c r="O141" s="157" t="s">
        <v>206</v>
      </c>
      <c r="P141" s="92"/>
      <c r="Q141" s="145" t="s">
        <v>206</v>
      </c>
      <c r="R141" s="92"/>
      <c r="S141" s="145" t="s">
        <v>206</v>
      </c>
      <c r="T141" s="92"/>
      <c r="U141" s="145" t="s">
        <v>206</v>
      </c>
      <c r="V141" s="92"/>
      <c r="W141" s="145" t="s">
        <v>206</v>
      </c>
      <c r="X141" s="92"/>
      <c r="Y141" s="145" t="s">
        <v>206</v>
      </c>
      <c r="Z141" s="92"/>
      <c r="AA141" s="145" t="s">
        <v>206</v>
      </c>
      <c r="AB141" s="92"/>
      <c r="AC141" s="145" t="s">
        <v>206</v>
      </c>
      <c r="AD141" s="56" t="s">
        <v>1493</v>
      </c>
      <c r="AE141" s="145" t="s">
        <v>239</v>
      </c>
      <c r="AF141" s="142" t="str">
        <f t="shared" si="7"/>
        <v>NC</v>
      </c>
      <c r="AG141" s="190" t="str">
        <f t="shared" si="8"/>
        <v>NÃO UTILIZOU O PDA</v>
      </c>
      <c r="AH141" s="145" t="s">
        <v>205</v>
      </c>
      <c r="AI141" s="153" t="s">
        <v>6</v>
      </c>
      <c r="AJ141" s="150" t="str">
        <f t="shared" si="9"/>
        <v>SÃO PAULO</v>
      </c>
      <c r="AK141" s="154" t="s">
        <v>60</v>
      </c>
    </row>
    <row r="142" spans="1:37" ht="30" customHeight="1">
      <c r="A142" s="215" t="s">
        <v>198</v>
      </c>
      <c r="B142" s="215">
        <v>2620252151</v>
      </c>
      <c r="C142" s="215" t="s">
        <v>1490</v>
      </c>
      <c r="D142" s="215" t="s">
        <v>111</v>
      </c>
      <c r="E142" s="215" t="s">
        <v>5</v>
      </c>
      <c r="F142" s="215" t="s">
        <v>1253</v>
      </c>
      <c r="G142" s="215">
        <v>138</v>
      </c>
      <c r="H142" s="215"/>
      <c r="I142" s="215" t="s">
        <v>246</v>
      </c>
      <c r="J142" s="215" t="s">
        <v>1491</v>
      </c>
      <c r="K142" s="219" t="s">
        <v>1532</v>
      </c>
      <c r="L142" s="215" t="s">
        <v>1651</v>
      </c>
      <c r="M142" s="215" t="s">
        <v>1652</v>
      </c>
      <c r="N142" s="215" t="s">
        <v>1429</v>
      </c>
      <c r="O142" s="157" t="s">
        <v>206</v>
      </c>
      <c r="P142" s="92"/>
      <c r="Q142" s="145" t="s">
        <v>206</v>
      </c>
      <c r="R142" s="92"/>
      <c r="S142" s="145" t="s">
        <v>206</v>
      </c>
      <c r="T142" s="92"/>
      <c r="U142" s="145" t="s">
        <v>206</v>
      </c>
      <c r="V142" s="92"/>
      <c r="W142" s="145" t="s">
        <v>206</v>
      </c>
      <c r="X142" s="92"/>
      <c r="Y142" s="145" t="s">
        <v>206</v>
      </c>
      <c r="Z142" s="92"/>
      <c r="AA142" s="145" t="s">
        <v>206</v>
      </c>
      <c r="AB142" s="92"/>
      <c r="AC142" s="145" t="s">
        <v>206</v>
      </c>
      <c r="AD142" s="56" t="s">
        <v>1493</v>
      </c>
      <c r="AE142" s="145" t="s">
        <v>239</v>
      </c>
      <c r="AF142" s="142" t="str">
        <f t="shared" si="7"/>
        <v>NC</v>
      </c>
      <c r="AG142" s="190" t="str">
        <f t="shared" si="8"/>
        <v>NÃO UTILIZOU O PDA</v>
      </c>
      <c r="AH142" s="145" t="s">
        <v>205</v>
      </c>
      <c r="AI142" s="153" t="s">
        <v>6</v>
      </c>
      <c r="AJ142" s="150" t="str">
        <f t="shared" si="9"/>
        <v>SÃO PAULO</v>
      </c>
      <c r="AK142" s="154" t="s">
        <v>60</v>
      </c>
    </row>
    <row r="143" spans="1:37" ht="30" customHeight="1">
      <c r="A143" s="215" t="s">
        <v>198</v>
      </c>
      <c r="B143" s="215">
        <v>2620252297</v>
      </c>
      <c r="C143" s="215" t="s">
        <v>1490</v>
      </c>
      <c r="D143" s="215" t="s">
        <v>111</v>
      </c>
      <c r="E143" s="215" t="s">
        <v>5</v>
      </c>
      <c r="F143" s="215" t="s">
        <v>1253</v>
      </c>
      <c r="G143" s="215">
        <v>158</v>
      </c>
      <c r="H143" s="215" t="s">
        <v>200</v>
      </c>
      <c r="I143" s="215" t="s">
        <v>246</v>
      </c>
      <c r="J143" s="215" t="s">
        <v>1491</v>
      </c>
      <c r="K143" s="219" t="s">
        <v>1653</v>
      </c>
      <c r="L143" s="215" t="s">
        <v>1654</v>
      </c>
      <c r="M143" s="215" t="s">
        <v>1655</v>
      </c>
      <c r="N143" s="215" t="s">
        <v>1429</v>
      </c>
      <c r="O143" s="157" t="s">
        <v>206</v>
      </c>
      <c r="P143" s="92"/>
      <c r="Q143" s="145" t="s">
        <v>206</v>
      </c>
      <c r="R143" s="92"/>
      <c r="S143" s="145" t="s">
        <v>206</v>
      </c>
      <c r="T143" s="92"/>
      <c r="U143" s="145" t="s">
        <v>206</v>
      </c>
      <c r="V143" s="92"/>
      <c r="W143" s="145" t="s">
        <v>206</v>
      </c>
      <c r="X143" s="92"/>
      <c r="Y143" s="145" t="s">
        <v>206</v>
      </c>
      <c r="Z143" s="92"/>
      <c r="AA143" s="145" t="s">
        <v>206</v>
      </c>
      <c r="AB143" s="92"/>
      <c r="AC143" s="145" t="s">
        <v>206</v>
      </c>
      <c r="AD143" s="56" t="s">
        <v>1493</v>
      </c>
      <c r="AE143" s="145" t="s">
        <v>239</v>
      </c>
      <c r="AF143" s="142" t="str">
        <f t="shared" si="7"/>
        <v>NC</v>
      </c>
      <c r="AG143" s="190" t="str">
        <f t="shared" si="8"/>
        <v>NÃO UTILIZOU O PDA</v>
      </c>
      <c r="AH143" s="145" t="s">
        <v>205</v>
      </c>
      <c r="AI143" s="153" t="s">
        <v>6</v>
      </c>
      <c r="AJ143" s="150" t="str">
        <f t="shared" si="9"/>
        <v>SÃO PAULO</v>
      </c>
      <c r="AK143" s="154" t="s">
        <v>60</v>
      </c>
    </row>
    <row r="144" spans="1:37" ht="30" customHeight="1">
      <c r="A144" s="215" t="s">
        <v>198</v>
      </c>
      <c r="B144" s="215">
        <v>2620252227</v>
      </c>
      <c r="C144" s="215" t="s">
        <v>1490</v>
      </c>
      <c r="D144" s="215" t="s">
        <v>111</v>
      </c>
      <c r="E144" s="215" t="s">
        <v>5</v>
      </c>
      <c r="F144" s="215" t="s">
        <v>1253</v>
      </c>
      <c r="G144" s="215">
        <v>144</v>
      </c>
      <c r="H144" s="215"/>
      <c r="I144" s="215" t="s">
        <v>246</v>
      </c>
      <c r="J144" s="215" t="s">
        <v>1491</v>
      </c>
      <c r="K144" s="219" t="s">
        <v>1653</v>
      </c>
      <c r="L144" s="215" t="s">
        <v>1656</v>
      </c>
      <c r="M144" s="215" t="s">
        <v>1657</v>
      </c>
      <c r="N144" s="215" t="s">
        <v>1429</v>
      </c>
      <c r="O144" s="157" t="s">
        <v>206</v>
      </c>
      <c r="P144" s="92"/>
      <c r="Q144" s="145" t="s">
        <v>206</v>
      </c>
      <c r="R144" s="92"/>
      <c r="S144" s="145" t="s">
        <v>206</v>
      </c>
      <c r="T144" s="92"/>
      <c r="U144" s="145" t="s">
        <v>206</v>
      </c>
      <c r="V144" s="92"/>
      <c r="W144" s="145" t="s">
        <v>206</v>
      </c>
      <c r="X144" s="92"/>
      <c r="Y144" s="145" t="s">
        <v>206</v>
      </c>
      <c r="Z144" s="92"/>
      <c r="AA144" s="145" t="s">
        <v>206</v>
      </c>
      <c r="AB144" s="92"/>
      <c r="AC144" s="145" t="s">
        <v>206</v>
      </c>
      <c r="AD144" s="56" t="s">
        <v>1493</v>
      </c>
      <c r="AE144" s="145" t="s">
        <v>239</v>
      </c>
      <c r="AF144" s="142" t="str">
        <f t="shared" si="7"/>
        <v>NC</v>
      </c>
      <c r="AG144" s="190" t="str">
        <f t="shared" si="8"/>
        <v>NÃO UTILIZOU O PDA</v>
      </c>
      <c r="AH144" s="145" t="s">
        <v>205</v>
      </c>
      <c r="AI144" s="153" t="s">
        <v>6</v>
      </c>
      <c r="AJ144" s="150" t="str">
        <f t="shared" si="9"/>
        <v>SÃO PAULO</v>
      </c>
      <c r="AK144" s="154" t="s">
        <v>60</v>
      </c>
    </row>
    <row r="145" spans="1:37" ht="30" customHeight="1">
      <c r="A145" s="215" t="s">
        <v>198</v>
      </c>
      <c r="B145" s="215">
        <v>2620251864</v>
      </c>
      <c r="C145" s="215" t="s">
        <v>1490</v>
      </c>
      <c r="D145" s="215" t="s">
        <v>111</v>
      </c>
      <c r="E145" s="215" t="s">
        <v>5</v>
      </c>
      <c r="F145" s="215" t="s">
        <v>1253</v>
      </c>
      <c r="G145" s="215">
        <v>122</v>
      </c>
      <c r="H145" s="215" t="s">
        <v>318</v>
      </c>
      <c r="I145" s="215" t="s">
        <v>427</v>
      </c>
      <c r="J145" s="215" t="s">
        <v>1491</v>
      </c>
      <c r="K145" s="219" t="s">
        <v>1658</v>
      </c>
      <c r="L145" s="215" t="s">
        <v>1659</v>
      </c>
      <c r="M145" s="215" t="s">
        <v>1660</v>
      </c>
      <c r="N145" s="215" t="s">
        <v>1429</v>
      </c>
      <c r="O145" s="157" t="s">
        <v>206</v>
      </c>
      <c r="P145" s="92"/>
      <c r="Q145" s="145" t="s">
        <v>206</v>
      </c>
      <c r="R145" s="92"/>
      <c r="S145" s="145" t="s">
        <v>206</v>
      </c>
      <c r="T145" s="92"/>
      <c r="U145" s="145" t="s">
        <v>206</v>
      </c>
      <c r="V145" s="92"/>
      <c r="W145" s="145" t="s">
        <v>206</v>
      </c>
      <c r="X145" s="92"/>
      <c r="Y145" s="145" t="s">
        <v>206</v>
      </c>
      <c r="Z145" s="92"/>
      <c r="AA145" s="145" t="s">
        <v>206</v>
      </c>
      <c r="AB145" s="92"/>
      <c r="AC145" s="145" t="s">
        <v>206</v>
      </c>
      <c r="AD145" s="56" t="s">
        <v>1493</v>
      </c>
      <c r="AE145" s="145" t="s">
        <v>239</v>
      </c>
      <c r="AF145" s="142" t="str">
        <f t="shared" si="7"/>
        <v>NC</v>
      </c>
      <c r="AG145" s="190" t="str">
        <f t="shared" si="8"/>
        <v>NÃO UTILIZOU O PDA</v>
      </c>
      <c r="AH145" s="145" t="s">
        <v>205</v>
      </c>
      <c r="AI145" s="153" t="s">
        <v>6</v>
      </c>
      <c r="AJ145" s="150" t="str">
        <f t="shared" si="9"/>
        <v>SÃO PAULO</v>
      </c>
      <c r="AK145" s="154" t="s">
        <v>60</v>
      </c>
    </row>
    <row r="146" spans="1:37" ht="30" customHeight="1">
      <c r="A146" s="215" t="s">
        <v>198</v>
      </c>
      <c r="B146" s="215">
        <v>2620252379</v>
      </c>
      <c r="C146" s="215" t="s">
        <v>1490</v>
      </c>
      <c r="D146" s="215" t="s">
        <v>111</v>
      </c>
      <c r="E146" s="215" t="s">
        <v>5</v>
      </c>
      <c r="F146" s="215" t="s">
        <v>1253</v>
      </c>
      <c r="G146" s="215">
        <v>174</v>
      </c>
      <c r="H146" s="215"/>
      <c r="I146" s="215" t="s">
        <v>246</v>
      </c>
      <c r="J146" s="215" t="s">
        <v>1491</v>
      </c>
      <c r="K146" s="219" t="s">
        <v>1646</v>
      </c>
      <c r="L146" s="215" t="s">
        <v>1661</v>
      </c>
      <c r="M146" s="215" t="s">
        <v>835</v>
      </c>
      <c r="N146" s="215" t="s">
        <v>1429</v>
      </c>
      <c r="O146" s="157" t="s">
        <v>206</v>
      </c>
      <c r="P146" s="92"/>
      <c r="Q146" s="145" t="s">
        <v>206</v>
      </c>
      <c r="R146" s="92"/>
      <c r="S146" s="145" t="s">
        <v>206</v>
      </c>
      <c r="T146" s="92"/>
      <c r="U146" s="145" t="s">
        <v>206</v>
      </c>
      <c r="V146" s="92"/>
      <c r="W146" s="145" t="s">
        <v>206</v>
      </c>
      <c r="X146" s="92"/>
      <c r="Y146" s="145" t="s">
        <v>206</v>
      </c>
      <c r="Z146" s="92"/>
      <c r="AA146" s="145" t="s">
        <v>206</v>
      </c>
      <c r="AB146" s="92"/>
      <c r="AC146" s="145" t="s">
        <v>206</v>
      </c>
      <c r="AD146" s="56" t="s">
        <v>1493</v>
      </c>
      <c r="AE146" s="145" t="s">
        <v>239</v>
      </c>
      <c r="AF146" s="142" t="str">
        <f t="shared" si="7"/>
        <v>NC</v>
      </c>
      <c r="AG146" s="190" t="str">
        <f t="shared" si="8"/>
        <v>NÃO UTILIZOU O PDA</v>
      </c>
      <c r="AH146" s="145" t="s">
        <v>205</v>
      </c>
      <c r="AI146" s="153" t="s">
        <v>6</v>
      </c>
      <c r="AJ146" s="150" t="str">
        <f t="shared" si="9"/>
        <v>SÃO PAULO</v>
      </c>
      <c r="AK146" s="154" t="s">
        <v>60</v>
      </c>
    </row>
    <row r="147" spans="1:37" ht="30" customHeight="1">
      <c r="A147" s="215" t="s">
        <v>198</v>
      </c>
      <c r="B147" s="215">
        <v>2620252342</v>
      </c>
      <c r="C147" s="215" t="s">
        <v>1490</v>
      </c>
      <c r="D147" s="215" t="s">
        <v>111</v>
      </c>
      <c r="E147" s="215" t="s">
        <v>5</v>
      </c>
      <c r="F147" s="215" t="s">
        <v>1253</v>
      </c>
      <c r="G147" s="215">
        <v>164</v>
      </c>
      <c r="H147" s="215" t="s">
        <v>200</v>
      </c>
      <c r="I147" s="215" t="s">
        <v>246</v>
      </c>
      <c r="J147" s="215" t="s">
        <v>1491</v>
      </c>
      <c r="K147" s="219" t="s">
        <v>1536</v>
      </c>
      <c r="L147" s="215" t="s">
        <v>1660</v>
      </c>
      <c r="M147" s="215" t="s">
        <v>1662</v>
      </c>
      <c r="N147" s="215" t="s">
        <v>1429</v>
      </c>
      <c r="O147" s="157" t="s">
        <v>206</v>
      </c>
      <c r="P147" s="92"/>
      <c r="Q147" s="145" t="s">
        <v>206</v>
      </c>
      <c r="R147" s="92"/>
      <c r="S147" s="145" t="s">
        <v>206</v>
      </c>
      <c r="T147" s="92"/>
      <c r="U147" s="145" t="s">
        <v>206</v>
      </c>
      <c r="V147" s="92"/>
      <c r="W147" s="145" t="s">
        <v>206</v>
      </c>
      <c r="X147" s="92"/>
      <c r="Y147" s="145" t="s">
        <v>206</v>
      </c>
      <c r="Z147" s="92"/>
      <c r="AA147" s="145" t="s">
        <v>206</v>
      </c>
      <c r="AB147" s="92"/>
      <c r="AC147" s="145" t="s">
        <v>206</v>
      </c>
      <c r="AD147" s="56" t="s">
        <v>1493</v>
      </c>
      <c r="AE147" s="145" t="s">
        <v>239</v>
      </c>
      <c r="AF147" s="142" t="str">
        <f t="shared" si="7"/>
        <v>NC</v>
      </c>
      <c r="AG147" s="190" t="str">
        <f t="shared" si="8"/>
        <v>NÃO UTILIZOU O PDA</v>
      </c>
      <c r="AH147" s="145" t="s">
        <v>205</v>
      </c>
      <c r="AI147" s="153" t="s">
        <v>6</v>
      </c>
      <c r="AJ147" s="150" t="str">
        <f t="shared" si="9"/>
        <v>SÃO PAULO</v>
      </c>
      <c r="AK147" s="154" t="s">
        <v>60</v>
      </c>
    </row>
    <row r="148" spans="1:37" ht="30" customHeight="1">
      <c r="A148" s="215" t="s">
        <v>198</v>
      </c>
      <c r="B148" s="215">
        <v>2620251698</v>
      </c>
      <c r="C148" s="215" t="s">
        <v>1490</v>
      </c>
      <c r="D148" s="215" t="s">
        <v>111</v>
      </c>
      <c r="E148" s="215" t="s">
        <v>5</v>
      </c>
      <c r="F148" s="215" t="s">
        <v>1253</v>
      </c>
      <c r="G148" s="215">
        <v>116</v>
      </c>
      <c r="H148" s="215"/>
      <c r="I148" s="215" t="s">
        <v>246</v>
      </c>
      <c r="J148" s="215" t="s">
        <v>1491</v>
      </c>
      <c r="K148" s="219" t="s">
        <v>1532</v>
      </c>
      <c r="L148" s="215" t="s">
        <v>1663</v>
      </c>
      <c r="M148" s="215" t="s">
        <v>832</v>
      </c>
      <c r="N148" s="215" t="s">
        <v>1429</v>
      </c>
      <c r="O148" s="157" t="s">
        <v>206</v>
      </c>
      <c r="P148" s="92"/>
      <c r="Q148" s="145" t="s">
        <v>206</v>
      </c>
      <c r="R148" s="92"/>
      <c r="S148" s="145" t="s">
        <v>206</v>
      </c>
      <c r="T148" s="92"/>
      <c r="U148" s="145" t="s">
        <v>206</v>
      </c>
      <c r="V148" s="92"/>
      <c r="W148" s="145" t="s">
        <v>206</v>
      </c>
      <c r="X148" s="92"/>
      <c r="Y148" s="145" t="s">
        <v>206</v>
      </c>
      <c r="Z148" s="92"/>
      <c r="AA148" s="145" t="s">
        <v>206</v>
      </c>
      <c r="AB148" s="92"/>
      <c r="AC148" s="145" t="s">
        <v>206</v>
      </c>
      <c r="AD148" s="56" t="s">
        <v>1493</v>
      </c>
      <c r="AE148" s="145" t="s">
        <v>239</v>
      </c>
      <c r="AF148" s="142" t="str">
        <f t="shared" si="7"/>
        <v>NC</v>
      </c>
      <c r="AG148" s="190" t="str">
        <f t="shared" si="8"/>
        <v>NÃO UTILIZOU O PDA</v>
      </c>
      <c r="AH148" s="145" t="s">
        <v>205</v>
      </c>
      <c r="AI148" s="153" t="s">
        <v>6</v>
      </c>
      <c r="AJ148" s="150" t="str">
        <f t="shared" si="9"/>
        <v>SÃO PAULO</v>
      </c>
      <c r="AK148" s="154" t="s">
        <v>60</v>
      </c>
    </row>
    <row r="149" spans="1:37" ht="30" customHeight="1">
      <c r="A149" s="215" t="s">
        <v>198</v>
      </c>
      <c r="B149" s="215">
        <v>2620252426</v>
      </c>
      <c r="C149" s="215" t="s">
        <v>1490</v>
      </c>
      <c r="D149" s="215" t="s">
        <v>111</v>
      </c>
      <c r="E149" s="215" t="s">
        <v>5</v>
      </c>
      <c r="F149" s="215" t="s">
        <v>1253</v>
      </c>
      <c r="G149" s="215">
        <v>176</v>
      </c>
      <c r="H149" s="215" t="s">
        <v>226</v>
      </c>
      <c r="I149" s="215" t="s">
        <v>246</v>
      </c>
      <c r="J149" s="215" t="s">
        <v>1491</v>
      </c>
      <c r="K149" s="219" t="s">
        <v>1532</v>
      </c>
      <c r="L149" s="215" t="s">
        <v>1664</v>
      </c>
      <c r="M149" s="215" t="s">
        <v>1665</v>
      </c>
      <c r="N149" s="215" t="s">
        <v>1429</v>
      </c>
      <c r="O149" s="157" t="s">
        <v>206</v>
      </c>
      <c r="P149" s="92"/>
      <c r="Q149" s="145" t="s">
        <v>206</v>
      </c>
      <c r="R149" s="92"/>
      <c r="S149" s="145" t="s">
        <v>206</v>
      </c>
      <c r="T149" s="92"/>
      <c r="U149" s="145" t="s">
        <v>206</v>
      </c>
      <c r="V149" s="92"/>
      <c r="W149" s="145" t="s">
        <v>206</v>
      </c>
      <c r="X149" s="92"/>
      <c r="Y149" s="145" t="s">
        <v>206</v>
      </c>
      <c r="Z149" s="92"/>
      <c r="AA149" s="145" t="s">
        <v>206</v>
      </c>
      <c r="AB149" s="92"/>
      <c r="AC149" s="145" t="s">
        <v>206</v>
      </c>
      <c r="AD149" s="56" t="s">
        <v>1493</v>
      </c>
      <c r="AE149" s="145" t="s">
        <v>239</v>
      </c>
      <c r="AF149" s="142" t="str">
        <f t="shared" si="7"/>
        <v>NC</v>
      </c>
      <c r="AG149" s="190" t="str">
        <f t="shared" si="8"/>
        <v>NÃO UTILIZOU O PDA</v>
      </c>
      <c r="AH149" s="145" t="s">
        <v>205</v>
      </c>
      <c r="AI149" s="153" t="s">
        <v>6</v>
      </c>
      <c r="AJ149" s="150" t="str">
        <f t="shared" si="9"/>
        <v>SÃO PAULO</v>
      </c>
      <c r="AK149" s="154" t="s">
        <v>60</v>
      </c>
    </row>
    <row r="150" spans="1:37" ht="30" customHeight="1">
      <c r="A150" s="215" t="s">
        <v>198</v>
      </c>
      <c r="B150" s="215">
        <v>2620252200</v>
      </c>
      <c r="C150" s="215" t="s">
        <v>1490</v>
      </c>
      <c r="D150" s="215" t="s">
        <v>111</v>
      </c>
      <c r="E150" s="215" t="s">
        <v>5</v>
      </c>
      <c r="F150" s="215" t="s">
        <v>1253</v>
      </c>
      <c r="G150" s="215">
        <v>152</v>
      </c>
      <c r="H150" s="215" t="s">
        <v>226</v>
      </c>
      <c r="I150" s="215" t="s">
        <v>427</v>
      </c>
      <c r="J150" s="215" t="s">
        <v>1491</v>
      </c>
      <c r="K150" s="219" t="s">
        <v>1646</v>
      </c>
      <c r="L150" s="215" t="s">
        <v>1666</v>
      </c>
      <c r="M150" s="215" t="s">
        <v>1667</v>
      </c>
      <c r="N150" s="215" t="s">
        <v>1429</v>
      </c>
      <c r="O150" s="157" t="s">
        <v>206</v>
      </c>
      <c r="P150" s="92"/>
      <c r="Q150" s="145" t="s">
        <v>206</v>
      </c>
      <c r="R150" s="92"/>
      <c r="S150" s="145" t="s">
        <v>206</v>
      </c>
      <c r="T150" s="92"/>
      <c r="U150" s="145" t="s">
        <v>206</v>
      </c>
      <c r="V150" s="92"/>
      <c r="W150" s="145" t="s">
        <v>206</v>
      </c>
      <c r="X150" s="92"/>
      <c r="Y150" s="145" t="s">
        <v>206</v>
      </c>
      <c r="Z150" s="92"/>
      <c r="AA150" s="145" t="s">
        <v>206</v>
      </c>
      <c r="AB150" s="92"/>
      <c r="AC150" s="145" t="s">
        <v>206</v>
      </c>
      <c r="AD150" s="56" t="s">
        <v>1493</v>
      </c>
      <c r="AE150" s="145" t="s">
        <v>239</v>
      </c>
      <c r="AF150" s="142" t="str">
        <f t="shared" si="7"/>
        <v>NC</v>
      </c>
      <c r="AG150" s="190" t="str">
        <f t="shared" si="8"/>
        <v>NÃO UTILIZOU O PDA</v>
      </c>
      <c r="AH150" s="145" t="s">
        <v>205</v>
      </c>
      <c r="AI150" s="259" t="s">
        <v>6</v>
      </c>
      <c r="AJ150" s="227" t="str">
        <f t="shared" si="9"/>
        <v>SÃO PAULO</v>
      </c>
      <c r="AK150" s="260" t="s">
        <v>60</v>
      </c>
    </row>
    <row r="151" spans="1:37" ht="30" customHeight="1">
      <c r="A151" s="215" t="s">
        <v>198</v>
      </c>
      <c r="B151" s="215">
        <v>2619392292</v>
      </c>
      <c r="C151" s="215" t="s">
        <v>1486</v>
      </c>
      <c r="D151" s="215" t="s">
        <v>112</v>
      </c>
      <c r="E151" s="215" t="s">
        <v>5</v>
      </c>
      <c r="F151" s="215" t="s">
        <v>284</v>
      </c>
      <c r="G151" s="215">
        <v>0</v>
      </c>
      <c r="H151" s="215" t="s">
        <v>200</v>
      </c>
      <c r="I151" s="215" t="s">
        <v>410</v>
      </c>
      <c r="J151" s="215" t="s">
        <v>1571</v>
      </c>
      <c r="K151" s="215" t="s">
        <v>1668</v>
      </c>
      <c r="L151" s="215" t="s">
        <v>1669</v>
      </c>
      <c r="M151" s="215" t="s">
        <v>1670</v>
      </c>
      <c r="N151" s="215" t="s">
        <v>297</v>
      </c>
      <c r="O151" s="157" t="s">
        <v>205</v>
      </c>
      <c r="P151" s="92"/>
      <c r="Q151" s="145" t="s">
        <v>206</v>
      </c>
      <c r="R151" s="92"/>
      <c r="S151" s="145" t="s">
        <v>206</v>
      </c>
      <c r="T151" s="92"/>
      <c r="U151" s="145" t="s">
        <v>62</v>
      </c>
      <c r="V151" s="92"/>
      <c r="W151" s="145" t="s">
        <v>62</v>
      </c>
      <c r="X151" s="92"/>
      <c r="Y151" s="145" t="s">
        <v>62</v>
      </c>
      <c r="Z151" s="92"/>
      <c r="AA151" s="145" t="s">
        <v>62</v>
      </c>
      <c r="AB151" s="92"/>
      <c r="AC151" s="145" t="s">
        <v>205</v>
      </c>
      <c r="AD151" s="92"/>
      <c r="AE151" s="145" t="s">
        <v>205</v>
      </c>
      <c r="AF151" s="142" t="str">
        <f t="shared" si="7"/>
        <v>NC</v>
      </c>
      <c r="AG151" s="190" t="str">
        <f t="shared" si="8"/>
        <v>UTILIZOU O PDA CORRETAMENTE. NÃO HÁ FOTOS DE TODAS AS ETAPAS</v>
      </c>
      <c r="AH151" s="145" t="s">
        <v>205</v>
      </c>
      <c r="AI151" s="153" t="s">
        <v>6</v>
      </c>
      <c r="AJ151" s="184" t="str">
        <f t="shared" si="9"/>
        <v>SÃO PAULO</v>
      </c>
      <c r="AK151" s="154" t="s">
        <v>60</v>
      </c>
    </row>
    <row r="152" spans="1:37" ht="30" customHeight="1">
      <c r="A152" s="228" t="s">
        <v>198</v>
      </c>
      <c r="B152" s="228">
        <v>2619945185</v>
      </c>
      <c r="C152" s="228" t="s">
        <v>121</v>
      </c>
      <c r="D152" s="228" t="s">
        <v>112</v>
      </c>
      <c r="E152" s="228" t="s">
        <v>5</v>
      </c>
      <c r="F152" s="228" t="s">
        <v>561</v>
      </c>
      <c r="G152" s="228">
        <v>1915</v>
      </c>
      <c r="H152" s="228"/>
      <c r="I152" s="228" t="s">
        <v>223</v>
      </c>
      <c r="J152" s="228" t="s">
        <v>1406</v>
      </c>
      <c r="K152" s="228" t="s">
        <v>1671</v>
      </c>
      <c r="L152" s="228" t="s">
        <v>1672</v>
      </c>
      <c r="M152" s="228" t="s">
        <v>1673</v>
      </c>
      <c r="N152" s="228" t="s">
        <v>297</v>
      </c>
      <c r="O152" s="238" t="s">
        <v>205</v>
      </c>
      <c r="P152" s="92"/>
      <c r="Q152" s="145" t="s">
        <v>206</v>
      </c>
      <c r="R152" s="92"/>
      <c r="S152" s="145" t="s">
        <v>206</v>
      </c>
      <c r="T152" s="92"/>
      <c r="U152" s="145" t="s">
        <v>62</v>
      </c>
      <c r="V152" s="92"/>
      <c r="W152" s="145" t="s">
        <v>62</v>
      </c>
      <c r="X152" s="92"/>
      <c r="Y152" s="145" t="s">
        <v>62</v>
      </c>
      <c r="Z152" s="92"/>
      <c r="AA152" s="145" t="s">
        <v>62</v>
      </c>
      <c r="AB152" s="92"/>
      <c r="AC152" s="145" t="s">
        <v>205</v>
      </c>
      <c r="AD152" s="92"/>
      <c r="AE152" s="145" t="s">
        <v>205</v>
      </c>
      <c r="AF152" s="142" t="str">
        <f t="shared" si="7"/>
        <v>NC</v>
      </c>
      <c r="AG152" s="190" t="str">
        <f t="shared" si="8"/>
        <v>UTILIZOU O PDA CORRETAMENTE. NÃO HÁ FOTOS DE TODAS AS ETAPAS</v>
      </c>
      <c r="AH152" s="145" t="s">
        <v>205</v>
      </c>
      <c r="AI152" s="153" t="s">
        <v>6</v>
      </c>
      <c r="AJ152" s="150" t="str">
        <f t="shared" si="9"/>
        <v>SÃO PAULO</v>
      </c>
      <c r="AK152" s="154" t="s">
        <v>60</v>
      </c>
    </row>
    <row r="153" spans="1:37" ht="30" customHeight="1">
      <c r="A153" s="215" t="s">
        <v>198</v>
      </c>
      <c r="B153" s="215">
        <v>2620382150</v>
      </c>
      <c r="C153" s="215" t="s">
        <v>121</v>
      </c>
      <c r="D153" s="215" t="s">
        <v>112</v>
      </c>
      <c r="E153" s="215" t="s">
        <v>5</v>
      </c>
      <c r="F153" s="215" t="s">
        <v>513</v>
      </c>
      <c r="G153" s="215">
        <v>226</v>
      </c>
      <c r="H153" s="215" t="s">
        <v>1674</v>
      </c>
      <c r="I153" s="215" t="s">
        <v>251</v>
      </c>
      <c r="J153" s="215" t="s">
        <v>1406</v>
      </c>
      <c r="K153" s="215" t="s">
        <v>1675</v>
      </c>
      <c r="L153" s="215" t="s">
        <v>1676</v>
      </c>
      <c r="M153" s="215" t="s">
        <v>1677</v>
      </c>
      <c r="N153" s="215" t="s">
        <v>217</v>
      </c>
      <c r="O153" s="143" t="s">
        <v>205</v>
      </c>
      <c r="P153" s="9"/>
      <c r="Q153" s="145" t="s">
        <v>205</v>
      </c>
      <c r="R153" s="92"/>
      <c r="S153" s="145" t="s">
        <v>205</v>
      </c>
      <c r="T153" s="92"/>
      <c r="U153" s="145" t="s">
        <v>205</v>
      </c>
      <c r="V153" s="92"/>
      <c r="W153" s="145" t="s">
        <v>205</v>
      </c>
      <c r="X153" s="92"/>
      <c r="Y153" s="145" t="s">
        <v>205</v>
      </c>
      <c r="Z153" s="92"/>
      <c r="AA153" s="145" t="s">
        <v>205</v>
      </c>
      <c r="AB153" s="92"/>
      <c r="AC153" s="145" t="s">
        <v>205</v>
      </c>
      <c r="AD153" s="92"/>
      <c r="AE153" s="145" t="s">
        <v>205</v>
      </c>
      <c r="AF153" s="142" t="str">
        <f t="shared" si="7"/>
        <v>C</v>
      </c>
      <c r="AG153" s="190" t="str">
        <f t="shared" si="8"/>
        <v>UTILIZOU O PDA CORRETAMENTE</v>
      </c>
      <c r="AH153" s="145" t="s">
        <v>205</v>
      </c>
      <c r="AI153" s="153" t="s">
        <v>6</v>
      </c>
      <c r="AJ153" s="150" t="str">
        <f t="shared" si="9"/>
        <v>SÃO PAULO</v>
      </c>
      <c r="AK153" s="154" t="s">
        <v>60</v>
      </c>
    </row>
    <row r="154" spans="1:37" ht="30" customHeight="1">
      <c r="A154" s="215" t="s">
        <v>198</v>
      </c>
      <c r="B154" s="269">
        <v>2619787478</v>
      </c>
      <c r="C154" s="215" t="s">
        <v>1678</v>
      </c>
      <c r="D154" s="215" t="s">
        <v>110</v>
      </c>
      <c r="E154" s="215" t="s">
        <v>5</v>
      </c>
      <c r="F154" s="215" t="s">
        <v>292</v>
      </c>
      <c r="G154" s="215">
        <v>273</v>
      </c>
      <c r="H154" s="215" t="s">
        <v>200</v>
      </c>
      <c r="I154" s="215" t="s">
        <v>293</v>
      </c>
      <c r="J154" s="215" t="s">
        <v>1679</v>
      </c>
      <c r="K154" s="215" t="s">
        <v>1680</v>
      </c>
      <c r="L154" s="215" t="s">
        <v>1681</v>
      </c>
      <c r="M154" s="215" t="s">
        <v>1682</v>
      </c>
      <c r="N154" s="215" t="s">
        <v>1442</v>
      </c>
      <c r="O154" s="143" t="s">
        <v>205</v>
      </c>
      <c r="P154" s="9"/>
      <c r="Q154" s="145" t="s">
        <v>205</v>
      </c>
      <c r="R154" s="92"/>
      <c r="S154" s="145" t="s">
        <v>205</v>
      </c>
      <c r="T154" s="92"/>
      <c r="U154" s="145" t="s">
        <v>205</v>
      </c>
      <c r="V154" s="92"/>
      <c r="W154" s="145" t="s">
        <v>205</v>
      </c>
      <c r="X154" s="92"/>
      <c r="Y154" s="145" t="s">
        <v>62</v>
      </c>
      <c r="Z154" s="92"/>
      <c r="AA154" s="145" t="s">
        <v>205</v>
      </c>
      <c r="AB154" s="92"/>
      <c r="AC154" s="145" t="s">
        <v>205</v>
      </c>
      <c r="AD154" s="92"/>
      <c r="AE154" s="145" t="s">
        <v>205</v>
      </c>
      <c r="AF154" s="142" t="str">
        <f t="shared" si="7"/>
        <v>C</v>
      </c>
      <c r="AG154" s="190" t="str">
        <f t="shared" si="8"/>
        <v>UTILIZOU O PDA CORRETAMENTE</v>
      </c>
      <c r="AH154" s="145" t="s">
        <v>205</v>
      </c>
      <c r="AI154" s="153" t="s">
        <v>6</v>
      </c>
      <c r="AJ154" s="150" t="str">
        <f t="shared" si="9"/>
        <v>SÃO PAULO</v>
      </c>
      <c r="AK154" s="154" t="s">
        <v>60</v>
      </c>
    </row>
    <row r="155" spans="1:37" ht="30" customHeight="1">
      <c r="A155" s="215" t="s">
        <v>198</v>
      </c>
      <c r="B155" s="215">
        <v>2620241592</v>
      </c>
      <c r="C155" s="215" t="s">
        <v>120</v>
      </c>
      <c r="D155" s="215" t="s">
        <v>110</v>
      </c>
      <c r="E155" s="215" t="s">
        <v>5</v>
      </c>
      <c r="F155" s="215" t="s">
        <v>871</v>
      </c>
      <c r="G155" s="215">
        <v>397</v>
      </c>
      <c r="H155" s="215" t="s">
        <v>872</v>
      </c>
      <c r="I155" s="215" t="s">
        <v>607</v>
      </c>
      <c r="J155" s="215" t="s">
        <v>120</v>
      </c>
      <c r="K155" s="219" t="s">
        <v>1683</v>
      </c>
      <c r="L155" s="215" t="s">
        <v>1684</v>
      </c>
      <c r="M155" s="215" t="s">
        <v>1685</v>
      </c>
      <c r="N155" s="215" t="s">
        <v>1426</v>
      </c>
      <c r="O155" s="143" t="s">
        <v>205</v>
      </c>
      <c r="P155" s="9"/>
      <c r="Q155" s="145" t="s">
        <v>205</v>
      </c>
      <c r="R155" s="92"/>
      <c r="S155" s="145" t="s">
        <v>205</v>
      </c>
      <c r="T155" s="92"/>
      <c r="U155" s="145" t="s">
        <v>205</v>
      </c>
      <c r="V155" s="92"/>
      <c r="W155" s="145" t="s">
        <v>205</v>
      </c>
      <c r="X155" s="92"/>
      <c r="Y155" s="145" t="s">
        <v>62</v>
      </c>
      <c r="Z155" s="92"/>
      <c r="AA155" s="145" t="s">
        <v>205</v>
      </c>
      <c r="AB155" s="92"/>
      <c r="AC155" s="145" t="s">
        <v>205</v>
      </c>
      <c r="AD155" s="92"/>
      <c r="AE155" s="145" t="s">
        <v>205</v>
      </c>
      <c r="AF155" s="142" t="str">
        <f t="shared" si="7"/>
        <v>C</v>
      </c>
      <c r="AG155" s="190" t="str">
        <f t="shared" si="8"/>
        <v>UTILIZOU O PDA CORRETAMENTE</v>
      </c>
      <c r="AH155" s="145" t="s">
        <v>205</v>
      </c>
      <c r="AI155" s="153" t="s">
        <v>6</v>
      </c>
      <c r="AJ155" s="150" t="str">
        <f t="shared" si="9"/>
        <v>SÃO PAULO</v>
      </c>
      <c r="AK155" s="154" t="s">
        <v>60</v>
      </c>
    </row>
    <row r="156" spans="1:37" ht="30" customHeight="1">
      <c r="A156" s="215" t="s">
        <v>198</v>
      </c>
      <c r="B156" s="215">
        <v>2620323136</v>
      </c>
      <c r="C156" s="215" t="s">
        <v>123</v>
      </c>
      <c r="D156" s="215" t="s">
        <v>109</v>
      </c>
      <c r="E156" s="215" t="s">
        <v>5</v>
      </c>
      <c r="F156" s="215" t="s">
        <v>1086</v>
      </c>
      <c r="G156" s="215">
        <v>155</v>
      </c>
      <c r="H156" s="215" t="s">
        <v>200</v>
      </c>
      <c r="I156" s="215" t="s">
        <v>369</v>
      </c>
      <c r="J156" s="215" t="s">
        <v>1409</v>
      </c>
      <c r="K156" s="219" t="s">
        <v>1449</v>
      </c>
      <c r="L156" s="215" t="s">
        <v>1686</v>
      </c>
      <c r="M156" s="215" t="s">
        <v>1687</v>
      </c>
      <c r="N156" s="215" t="s">
        <v>1426</v>
      </c>
      <c r="O156" s="143" t="s">
        <v>205</v>
      </c>
      <c r="P156" s="9"/>
      <c r="Q156" s="145" t="s">
        <v>205</v>
      </c>
      <c r="R156" s="92"/>
      <c r="S156" s="145" t="s">
        <v>205</v>
      </c>
      <c r="T156" s="92"/>
      <c r="U156" s="145" t="s">
        <v>205</v>
      </c>
      <c r="V156" s="92"/>
      <c r="W156" s="145" t="s">
        <v>205</v>
      </c>
      <c r="X156" s="92"/>
      <c r="Y156" s="145" t="s">
        <v>205</v>
      </c>
      <c r="Z156" s="92"/>
      <c r="AA156" s="145" t="s">
        <v>205</v>
      </c>
      <c r="AB156" s="92"/>
      <c r="AC156" s="145" t="s">
        <v>205</v>
      </c>
      <c r="AD156" s="92"/>
      <c r="AE156" s="145" t="s">
        <v>205</v>
      </c>
      <c r="AF156" s="142" t="str">
        <f t="shared" si="7"/>
        <v>C</v>
      </c>
      <c r="AG156" s="190" t="str">
        <f t="shared" si="8"/>
        <v>UTILIZOU O PDA CORRETAMENTE</v>
      </c>
      <c r="AH156" s="145" t="s">
        <v>205</v>
      </c>
      <c r="AI156" s="153" t="s">
        <v>6</v>
      </c>
      <c r="AJ156" s="150" t="str">
        <f t="shared" si="9"/>
        <v>SÃO PAULO</v>
      </c>
      <c r="AK156" s="154" t="s">
        <v>60</v>
      </c>
    </row>
    <row r="157" spans="1:37" ht="30" customHeight="1">
      <c r="A157" s="215" t="s">
        <v>198</v>
      </c>
      <c r="B157" s="215">
        <v>2611150966</v>
      </c>
      <c r="C157" s="215" t="s">
        <v>118</v>
      </c>
      <c r="D157" s="215" t="s">
        <v>110</v>
      </c>
      <c r="E157" s="215" t="s">
        <v>5</v>
      </c>
      <c r="F157" s="215" t="s">
        <v>472</v>
      </c>
      <c r="G157" s="215">
        <v>529</v>
      </c>
      <c r="H157" s="215"/>
      <c r="I157" s="215" t="s">
        <v>215</v>
      </c>
      <c r="J157" s="215" t="s">
        <v>118</v>
      </c>
      <c r="K157" s="219" t="s">
        <v>1688</v>
      </c>
      <c r="L157" s="215" t="s">
        <v>1689</v>
      </c>
      <c r="M157" s="215" t="s">
        <v>1690</v>
      </c>
      <c r="N157" s="215" t="s">
        <v>1429</v>
      </c>
      <c r="O157" s="143" t="s">
        <v>205</v>
      </c>
      <c r="P157" s="9"/>
      <c r="Q157" s="145" t="s">
        <v>205</v>
      </c>
      <c r="R157" s="92"/>
      <c r="S157" s="145" t="s">
        <v>205</v>
      </c>
      <c r="T157" s="92"/>
      <c r="U157" s="145" t="s">
        <v>205</v>
      </c>
      <c r="V157" s="92"/>
      <c r="W157" s="145" t="s">
        <v>205</v>
      </c>
      <c r="X157" s="92"/>
      <c r="Y157" s="145" t="s">
        <v>62</v>
      </c>
      <c r="Z157" s="92"/>
      <c r="AA157" s="145" t="s">
        <v>205</v>
      </c>
      <c r="AB157" s="92"/>
      <c r="AC157" s="145" t="s">
        <v>205</v>
      </c>
      <c r="AD157" s="92"/>
      <c r="AE157" s="145" t="s">
        <v>205</v>
      </c>
      <c r="AF157" s="142" t="str">
        <f t="shared" si="7"/>
        <v>C</v>
      </c>
      <c r="AG157" s="190" t="str">
        <f t="shared" si="8"/>
        <v>UTILIZOU O PDA CORRETAMENTE</v>
      </c>
      <c r="AH157" s="145" t="s">
        <v>205</v>
      </c>
      <c r="AI157" s="153" t="s">
        <v>6</v>
      </c>
      <c r="AJ157" s="150" t="str">
        <f t="shared" si="9"/>
        <v>SÃO PAULO</v>
      </c>
      <c r="AK157" s="154" t="s">
        <v>60</v>
      </c>
    </row>
    <row r="158" spans="1:37" ht="30" customHeight="1">
      <c r="A158" s="215" t="s">
        <v>198</v>
      </c>
      <c r="B158" s="215">
        <v>2620199826</v>
      </c>
      <c r="C158" s="215" t="s">
        <v>121</v>
      </c>
      <c r="D158" s="215" t="s">
        <v>112</v>
      </c>
      <c r="E158" s="215" t="s">
        <v>5</v>
      </c>
      <c r="F158" s="215" t="s">
        <v>513</v>
      </c>
      <c r="G158" s="215">
        <v>0</v>
      </c>
      <c r="H158" s="215" t="s">
        <v>200</v>
      </c>
      <c r="I158" s="215" t="s">
        <v>607</v>
      </c>
      <c r="J158" s="215" t="s">
        <v>1406</v>
      </c>
      <c r="K158" s="215" t="s">
        <v>1691</v>
      </c>
      <c r="L158" s="215" t="s">
        <v>1692</v>
      </c>
      <c r="M158" s="215" t="s">
        <v>1693</v>
      </c>
      <c r="N158" s="215" t="s">
        <v>217</v>
      </c>
      <c r="O158" s="143" t="s">
        <v>205</v>
      </c>
      <c r="P158" s="9"/>
      <c r="Q158" s="145" t="s">
        <v>205</v>
      </c>
      <c r="R158" s="92"/>
      <c r="S158" s="145" t="s">
        <v>205</v>
      </c>
      <c r="T158" s="92"/>
      <c r="U158" s="145" t="s">
        <v>205</v>
      </c>
      <c r="V158" s="92"/>
      <c r="W158" s="145" t="s">
        <v>62</v>
      </c>
      <c r="X158" s="92"/>
      <c r="Y158" s="145" t="s">
        <v>62</v>
      </c>
      <c r="Z158" s="92"/>
      <c r="AA158" s="145" t="s">
        <v>62</v>
      </c>
      <c r="AB158" s="92"/>
      <c r="AC158" s="145" t="s">
        <v>205</v>
      </c>
      <c r="AD158" s="92"/>
      <c r="AE158" s="145" t="s">
        <v>205</v>
      </c>
      <c r="AF158" s="142" t="str">
        <f t="shared" si="7"/>
        <v>C</v>
      </c>
      <c r="AG158" s="190" t="str">
        <f t="shared" si="8"/>
        <v>UTILIZOU O PDA CORRETAMENTE</v>
      </c>
      <c r="AH158" s="145"/>
      <c r="AI158" s="153" t="s">
        <v>6</v>
      </c>
      <c r="AJ158" s="150" t="str">
        <f t="shared" si="9"/>
        <v>SÃO PAULO</v>
      </c>
      <c r="AK158" s="154" t="s">
        <v>60</v>
      </c>
    </row>
    <row r="159" spans="1:37" ht="30" customHeight="1">
      <c r="A159" s="215" t="s">
        <v>198</v>
      </c>
      <c r="B159" s="215">
        <v>2620535718</v>
      </c>
      <c r="C159" s="215" t="s">
        <v>116</v>
      </c>
      <c r="D159" s="215" t="s">
        <v>109</v>
      </c>
      <c r="E159" s="215" t="s">
        <v>5</v>
      </c>
      <c r="F159" s="215" t="s">
        <v>1694</v>
      </c>
      <c r="G159" s="215">
        <v>174</v>
      </c>
      <c r="H159" s="215"/>
      <c r="I159" s="215" t="s">
        <v>1695</v>
      </c>
      <c r="J159" s="215" t="s">
        <v>1448</v>
      </c>
      <c r="K159" s="215" t="s">
        <v>1696</v>
      </c>
      <c r="L159" s="215" t="s">
        <v>892</v>
      </c>
      <c r="M159" s="215" t="s">
        <v>869</v>
      </c>
      <c r="N159" s="215" t="s">
        <v>1442</v>
      </c>
      <c r="O159" s="143" t="s">
        <v>205</v>
      </c>
      <c r="P159" s="9"/>
      <c r="Q159" s="145" t="s">
        <v>205</v>
      </c>
      <c r="R159" s="92"/>
      <c r="S159" s="145" t="s">
        <v>205</v>
      </c>
      <c r="T159" s="92"/>
      <c r="U159" s="145" t="s">
        <v>205</v>
      </c>
      <c r="V159" s="92"/>
      <c r="W159" s="145" t="s">
        <v>205</v>
      </c>
      <c r="X159" s="92"/>
      <c r="Y159" s="145" t="s">
        <v>62</v>
      </c>
      <c r="Z159" s="92"/>
      <c r="AA159" s="145" t="s">
        <v>205</v>
      </c>
      <c r="AB159" s="92"/>
      <c r="AC159" s="145" t="s">
        <v>205</v>
      </c>
      <c r="AD159" s="92"/>
      <c r="AE159" s="145" t="s">
        <v>205</v>
      </c>
      <c r="AF159" s="142" t="str">
        <f t="shared" si="7"/>
        <v>C</v>
      </c>
      <c r="AG159" s="190" t="str">
        <f t="shared" si="8"/>
        <v>UTILIZOU O PDA CORRETAMENTE</v>
      </c>
      <c r="AH159" s="145" t="s">
        <v>205</v>
      </c>
      <c r="AI159" s="153" t="s">
        <v>6</v>
      </c>
      <c r="AJ159" s="150" t="str">
        <f t="shared" si="9"/>
        <v>SÃO PAULO</v>
      </c>
      <c r="AK159" s="154" t="s">
        <v>60</v>
      </c>
    </row>
    <row r="160" spans="1:37" ht="30" customHeight="1">
      <c r="A160" s="215" t="s">
        <v>198</v>
      </c>
      <c r="B160" s="215">
        <v>2620545605</v>
      </c>
      <c r="C160" s="215" t="s">
        <v>121</v>
      </c>
      <c r="D160" s="215" t="s">
        <v>112</v>
      </c>
      <c r="E160" s="215" t="s">
        <v>5</v>
      </c>
      <c r="F160" s="215" t="s">
        <v>1697</v>
      </c>
      <c r="G160" s="215">
        <v>480</v>
      </c>
      <c r="H160" s="215" t="s">
        <v>200</v>
      </c>
      <c r="I160" s="215" t="s">
        <v>1698</v>
      </c>
      <c r="J160" s="215" t="s">
        <v>1406</v>
      </c>
      <c r="K160" s="215" t="s">
        <v>1699</v>
      </c>
      <c r="L160" s="215" t="s">
        <v>1700</v>
      </c>
      <c r="M160" s="215" t="s">
        <v>1701</v>
      </c>
      <c r="N160" s="215" t="s">
        <v>217</v>
      </c>
      <c r="O160" s="143" t="s">
        <v>205</v>
      </c>
      <c r="P160" s="9"/>
      <c r="Q160" s="145" t="s">
        <v>205</v>
      </c>
      <c r="R160" s="92"/>
      <c r="S160" s="145" t="s">
        <v>205</v>
      </c>
      <c r="T160" s="92"/>
      <c r="U160" s="145" t="s">
        <v>205</v>
      </c>
      <c r="V160" s="92"/>
      <c r="W160" s="145" t="s">
        <v>62</v>
      </c>
      <c r="X160" s="92"/>
      <c r="Y160" s="145" t="s">
        <v>62</v>
      </c>
      <c r="Z160" s="92"/>
      <c r="AA160" s="145" t="s">
        <v>205</v>
      </c>
      <c r="AB160" s="92"/>
      <c r="AC160" s="145" t="s">
        <v>239</v>
      </c>
      <c r="AD160" s="92" t="s">
        <v>390</v>
      </c>
      <c r="AE160" s="145" t="s">
        <v>205</v>
      </c>
      <c r="AF160" s="142" t="str">
        <f t="shared" si="7"/>
        <v>NC</v>
      </c>
      <c r="AG160" s="190" t="str">
        <f t="shared" si="8"/>
        <v>UTILIZOU O PDA CORRETAMENTE. NÃO HÁ FOTOS DE TODAS AS ETAPAS</v>
      </c>
      <c r="AH160" s="145"/>
      <c r="AI160" s="153" t="s">
        <v>6</v>
      </c>
      <c r="AJ160" s="150" t="str">
        <f t="shared" si="9"/>
        <v>SÃO PAULO</v>
      </c>
      <c r="AK160" s="154" t="s">
        <v>60</v>
      </c>
    </row>
    <row r="161" spans="1:37" ht="30" customHeight="1">
      <c r="A161" s="215" t="s">
        <v>198</v>
      </c>
      <c r="B161" s="215">
        <v>2620527835</v>
      </c>
      <c r="C161" s="215" t="s">
        <v>117</v>
      </c>
      <c r="D161" s="215" t="s">
        <v>112</v>
      </c>
      <c r="E161" s="215" t="s">
        <v>5</v>
      </c>
      <c r="F161" s="215" t="s">
        <v>1694</v>
      </c>
      <c r="G161" s="215">
        <v>174</v>
      </c>
      <c r="H161" s="215" t="s">
        <v>1702</v>
      </c>
      <c r="I161" s="215" t="s">
        <v>1082</v>
      </c>
      <c r="J161" s="215" t="s">
        <v>1529</v>
      </c>
      <c r="K161" s="215" t="s">
        <v>1703</v>
      </c>
      <c r="L161" s="215" t="s">
        <v>1704</v>
      </c>
      <c r="M161" s="215" t="s">
        <v>870</v>
      </c>
      <c r="N161" s="215" t="s">
        <v>1442</v>
      </c>
      <c r="O161" s="143" t="s">
        <v>205</v>
      </c>
      <c r="P161" s="9"/>
      <c r="Q161" s="145" t="s">
        <v>205</v>
      </c>
      <c r="R161" s="92"/>
      <c r="S161" s="145" t="s">
        <v>205</v>
      </c>
      <c r="T161" s="92"/>
      <c r="U161" s="145" t="s">
        <v>205</v>
      </c>
      <c r="V161" s="92"/>
      <c r="W161" s="145" t="s">
        <v>62</v>
      </c>
      <c r="X161" s="92"/>
      <c r="Y161" s="145" t="s">
        <v>62</v>
      </c>
      <c r="Z161" s="92"/>
      <c r="AA161" s="145" t="s">
        <v>205</v>
      </c>
      <c r="AB161" s="92"/>
      <c r="AC161" s="145" t="s">
        <v>239</v>
      </c>
      <c r="AD161" s="92" t="s">
        <v>390</v>
      </c>
      <c r="AE161" s="145" t="s">
        <v>205</v>
      </c>
      <c r="AF161" s="142" t="str">
        <f t="shared" si="7"/>
        <v>NC</v>
      </c>
      <c r="AG161" s="190" t="str">
        <f t="shared" si="8"/>
        <v>UTILIZOU O PDA CORRETAMENTE. NÃO HÁ FOTOS DE TODAS AS ETAPAS</v>
      </c>
      <c r="AH161" s="145"/>
      <c r="AI161" s="153" t="s">
        <v>6</v>
      </c>
      <c r="AJ161" s="150" t="str">
        <f t="shared" si="9"/>
        <v>SÃO PAULO</v>
      </c>
      <c r="AK161" s="154" t="s">
        <v>60</v>
      </c>
    </row>
    <row r="162" spans="1:37" ht="30" customHeight="1">
      <c r="A162" s="215" t="s">
        <v>198</v>
      </c>
      <c r="B162" s="215">
        <v>2620530523</v>
      </c>
      <c r="C162" s="215" t="s">
        <v>121</v>
      </c>
      <c r="D162" s="215" t="s">
        <v>112</v>
      </c>
      <c r="E162" s="215" t="s">
        <v>5</v>
      </c>
      <c r="F162" s="215" t="s">
        <v>1705</v>
      </c>
      <c r="G162" s="215">
        <v>358</v>
      </c>
      <c r="H162" s="215"/>
      <c r="I162" s="215" t="s">
        <v>1706</v>
      </c>
      <c r="J162" s="215" t="s">
        <v>1406</v>
      </c>
      <c r="K162" s="215" t="s">
        <v>1707</v>
      </c>
      <c r="L162" s="215" t="s">
        <v>1708</v>
      </c>
      <c r="M162" s="215" t="s">
        <v>1709</v>
      </c>
      <c r="N162" s="215" t="s">
        <v>297</v>
      </c>
      <c r="O162" s="143" t="s">
        <v>62</v>
      </c>
      <c r="P162" s="9"/>
      <c r="Q162" s="145" t="s">
        <v>62</v>
      </c>
      <c r="R162" s="92"/>
      <c r="S162" s="145" t="s">
        <v>62</v>
      </c>
      <c r="T162" s="92"/>
      <c r="U162" s="145" t="s">
        <v>62</v>
      </c>
      <c r="V162" s="92"/>
      <c r="W162" s="145" t="s">
        <v>62</v>
      </c>
      <c r="X162" s="92"/>
      <c r="Y162" s="145" t="s">
        <v>62</v>
      </c>
      <c r="Z162" s="92"/>
      <c r="AA162" s="145" t="s">
        <v>62</v>
      </c>
      <c r="AB162" s="92"/>
      <c r="AC162" s="145" t="s">
        <v>62</v>
      </c>
      <c r="AD162" s="215" t="s">
        <v>1707</v>
      </c>
      <c r="AE162" s="145" t="s">
        <v>62</v>
      </c>
      <c r="AF162" s="142" t="str">
        <f t="shared" si="7"/>
        <v>NA</v>
      </c>
      <c r="AG162" s="190" t="str">
        <f t="shared" si="8"/>
        <v>NÃO AVALIADO POR FALHA DE SINCRONISMO</v>
      </c>
      <c r="AH162" s="145"/>
      <c r="AI162" s="153" t="s">
        <v>6</v>
      </c>
      <c r="AJ162" s="150" t="str">
        <f t="shared" si="9"/>
        <v>SÃO PAULO</v>
      </c>
      <c r="AK162" s="154" t="s">
        <v>60</v>
      </c>
    </row>
    <row r="163" spans="1:37" ht="30" customHeight="1">
      <c r="A163" s="215" t="s">
        <v>198</v>
      </c>
      <c r="B163" s="215">
        <v>2620574621</v>
      </c>
      <c r="C163" s="215" t="s">
        <v>121</v>
      </c>
      <c r="D163" s="215" t="s">
        <v>112</v>
      </c>
      <c r="E163" s="215" t="s">
        <v>5</v>
      </c>
      <c r="F163" s="215" t="s">
        <v>1710</v>
      </c>
      <c r="G163" s="215">
        <v>330</v>
      </c>
      <c r="H163" s="215" t="s">
        <v>200</v>
      </c>
      <c r="I163" s="228" t="s">
        <v>1706</v>
      </c>
      <c r="J163" s="228" t="s">
        <v>1406</v>
      </c>
      <c r="K163" s="228" t="s">
        <v>1711</v>
      </c>
      <c r="L163" s="228" t="s">
        <v>1712</v>
      </c>
      <c r="M163" s="228" t="s">
        <v>1713</v>
      </c>
      <c r="N163" s="228" t="s">
        <v>217</v>
      </c>
      <c r="O163" s="143" t="s">
        <v>205</v>
      </c>
      <c r="P163" s="9"/>
      <c r="Q163" s="145" t="s">
        <v>205</v>
      </c>
      <c r="R163" s="92"/>
      <c r="S163" s="145" t="s">
        <v>205</v>
      </c>
      <c r="T163" s="92"/>
      <c r="U163" s="145" t="s">
        <v>205</v>
      </c>
      <c r="V163" s="92"/>
      <c r="W163" s="145" t="s">
        <v>62</v>
      </c>
      <c r="X163" s="92"/>
      <c r="Y163" s="145" t="s">
        <v>62</v>
      </c>
      <c r="Z163" s="92"/>
      <c r="AA163" s="145" t="s">
        <v>62</v>
      </c>
      <c r="AB163" s="92"/>
      <c r="AC163" s="145" t="s">
        <v>205</v>
      </c>
      <c r="AD163" s="92"/>
      <c r="AE163" s="145" t="s">
        <v>205</v>
      </c>
      <c r="AF163" s="142" t="str">
        <f t="shared" si="7"/>
        <v>C</v>
      </c>
      <c r="AG163" s="190" t="str">
        <f t="shared" si="8"/>
        <v>UTILIZOU O PDA CORRETAMENTE</v>
      </c>
      <c r="AH163" s="145"/>
      <c r="AI163" s="153" t="s">
        <v>6</v>
      </c>
      <c r="AJ163" s="150" t="str">
        <f t="shared" si="9"/>
        <v>SÃO PAULO</v>
      </c>
      <c r="AK163" s="154" t="s">
        <v>60</v>
      </c>
    </row>
    <row r="164" spans="1:37" ht="30" customHeight="1">
      <c r="A164" s="215" t="s">
        <v>198</v>
      </c>
      <c r="B164" s="215">
        <v>2620389220</v>
      </c>
      <c r="C164" s="215" t="s">
        <v>118</v>
      </c>
      <c r="D164" s="215" t="s">
        <v>110</v>
      </c>
      <c r="E164" s="215" t="s">
        <v>5</v>
      </c>
      <c r="F164" s="215" t="s">
        <v>1714</v>
      </c>
      <c r="G164" s="215">
        <v>81</v>
      </c>
      <c r="H164" s="263" t="s">
        <v>226</v>
      </c>
      <c r="I164" s="215" t="s">
        <v>227</v>
      </c>
      <c r="J164" s="215" t="s">
        <v>118</v>
      </c>
      <c r="K164" s="219" t="s">
        <v>1715</v>
      </c>
      <c r="L164" s="215" t="s">
        <v>1716</v>
      </c>
      <c r="M164" s="215" t="s">
        <v>1717</v>
      </c>
      <c r="N164" s="215" t="s">
        <v>1429</v>
      </c>
      <c r="O164" s="156" t="s">
        <v>205</v>
      </c>
      <c r="P164" s="9"/>
      <c r="Q164" s="145" t="s">
        <v>205</v>
      </c>
      <c r="R164" s="92"/>
      <c r="S164" s="145" t="s">
        <v>205</v>
      </c>
      <c r="T164" s="92"/>
      <c r="U164" s="145" t="s">
        <v>205</v>
      </c>
      <c r="V164" s="92"/>
      <c r="W164" s="145" t="s">
        <v>205</v>
      </c>
      <c r="X164" s="92"/>
      <c r="Y164" s="145" t="s">
        <v>239</v>
      </c>
      <c r="Z164" s="92" t="s">
        <v>1718</v>
      </c>
      <c r="AA164" s="145" t="s">
        <v>205</v>
      </c>
      <c r="AB164" s="92"/>
      <c r="AC164" s="145" t="s">
        <v>205</v>
      </c>
      <c r="AD164" s="92"/>
      <c r="AE164" s="145" t="s">
        <v>205</v>
      </c>
      <c r="AF164" s="142" t="str">
        <f t="shared" si="7"/>
        <v>NC</v>
      </c>
      <c r="AG164" s="190" t="str">
        <f t="shared" si="8"/>
        <v>UTILIZOU O PDA CORRETAMENTE. NÃO HÁ FOTOS DE TODAS AS ETAPAS</v>
      </c>
      <c r="AH164" s="145" t="s">
        <v>205</v>
      </c>
      <c r="AI164" s="153" t="s">
        <v>6</v>
      </c>
      <c r="AJ164" s="150" t="str">
        <f t="shared" si="9"/>
        <v>SÃO PAULO</v>
      </c>
      <c r="AK164" s="154" t="s">
        <v>60</v>
      </c>
    </row>
    <row r="165" spans="1:37" ht="30" customHeight="1">
      <c r="A165" s="215" t="s">
        <v>198</v>
      </c>
      <c r="B165" s="215">
        <v>2620548250</v>
      </c>
      <c r="C165" s="215" t="s">
        <v>123</v>
      </c>
      <c r="D165" s="215" t="s">
        <v>109</v>
      </c>
      <c r="E165" s="215" t="s">
        <v>5</v>
      </c>
      <c r="F165" s="215" t="s">
        <v>1719</v>
      </c>
      <c r="G165" s="215">
        <v>224</v>
      </c>
      <c r="H165" s="263" t="s">
        <v>226</v>
      </c>
      <c r="I165" s="215" t="s">
        <v>546</v>
      </c>
      <c r="J165" s="215" t="s">
        <v>1409</v>
      </c>
      <c r="K165" s="219" t="s">
        <v>1720</v>
      </c>
      <c r="L165" s="215" t="s">
        <v>1721</v>
      </c>
      <c r="M165" s="215" t="s">
        <v>1722</v>
      </c>
      <c r="N165" s="215" t="s">
        <v>1429</v>
      </c>
      <c r="O165" s="156" t="s">
        <v>205</v>
      </c>
      <c r="P165" s="9"/>
      <c r="Q165" s="145" t="s">
        <v>205</v>
      </c>
      <c r="R165" s="92"/>
      <c r="S165" s="145" t="s">
        <v>205</v>
      </c>
      <c r="T165" s="92"/>
      <c r="U165" s="145" t="s">
        <v>205</v>
      </c>
      <c r="V165" s="92"/>
      <c r="W165" s="145" t="s">
        <v>205</v>
      </c>
      <c r="X165" s="92"/>
      <c r="Y165" s="145" t="s">
        <v>62</v>
      </c>
      <c r="Z165" s="92"/>
      <c r="AA165" s="145" t="s">
        <v>205</v>
      </c>
      <c r="AB165" s="92"/>
      <c r="AC165" s="145" t="s">
        <v>205</v>
      </c>
      <c r="AD165" s="92"/>
      <c r="AE165" s="145" t="s">
        <v>205</v>
      </c>
      <c r="AF165" s="142" t="str">
        <f t="shared" si="7"/>
        <v>C</v>
      </c>
      <c r="AG165" s="190" t="str">
        <f t="shared" si="8"/>
        <v>UTILIZOU O PDA CORRETAMENTE</v>
      </c>
      <c r="AH165" s="145" t="s">
        <v>205</v>
      </c>
      <c r="AI165" s="153" t="s">
        <v>6</v>
      </c>
      <c r="AJ165" s="150" t="str">
        <f t="shared" si="9"/>
        <v>SÃO PAULO</v>
      </c>
      <c r="AK165" s="154" t="s">
        <v>60</v>
      </c>
    </row>
    <row r="166" spans="1:37" ht="30" customHeight="1">
      <c r="A166" s="215" t="s">
        <v>198</v>
      </c>
      <c r="B166" s="215">
        <v>2620553352</v>
      </c>
      <c r="C166" s="215" t="s">
        <v>122</v>
      </c>
      <c r="D166" s="215" t="s">
        <v>111</v>
      </c>
      <c r="E166" s="215" t="s">
        <v>5</v>
      </c>
      <c r="F166" s="215" t="s">
        <v>1723</v>
      </c>
      <c r="G166" s="215">
        <v>545</v>
      </c>
      <c r="H166" s="263" t="s">
        <v>226</v>
      </c>
      <c r="I166" s="215" t="s">
        <v>343</v>
      </c>
      <c r="J166" s="215" t="s">
        <v>1451</v>
      </c>
      <c r="K166" s="215" t="s">
        <v>200</v>
      </c>
      <c r="L166" s="215" t="s">
        <v>1724</v>
      </c>
      <c r="M166" s="215" t="s">
        <v>1725</v>
      </c>
      <c r="N166" s="215" t="s">
        <v>1429</v>
      </c>
      <c r="O166" s="156" t="s">
        <v>205</v>
      </c>
      <c r="P166" s="9"/>
      <c r="Q166" s="145" t="s">
        <v>205</v>
      </c>
      <c r="R166" s="92"/>
      <c r="S166" s="145" t="s">
        <v>205</v>
      </c>
      <c r="T166" s="92"/>
      <c r="U166" s="145" t="s">
        <v>205</v>
      </c>
      <c r="V166" s="92"/>
      <c r="W166" s="145" t="s">
        <v>206</v>
      </c>
      <c r="X166" s="92"/>
      <c r="Y166" s="145" t="s">
        <v>62</v>
      </c>
      <c r="Z166" s="92"/>
      <c r="AA166" s="145" t="s">
        <v>205</v>
      </c>
      <c r="AB166" s="92"/>
      <c r="AC166" s="145" t="s">
        <v>205</v>
      </c>
      <c r="AD166" s="92"/>
      <c r="AE166" s="145" t="s">
        <v>205</v>
      </c>
      <c r="AF166" s="142" t="str">
        <f t="shared" si="7"/>
        <v>NC</v>
      </c>
      <c r="AG166" s="190" t="str">
        <f t="shared" si="8"/>
        <v>UTILIZOU O PDA CORRETAMENTE. NÃO HÁ FOTOS DE TODAS AS ETAPAS</v>
      </c>
      <c r="AH166" s="145"/>
      <c r="AI166" s="153" t="s">
        <v>6</v>
      </c>
      <c r="AJ166" s="150" t="str">
        <f t="shared" si="9"/>
        <v>SÃO PAULO</v>
      </c>
      <c r="AK166" s="154" t="s">
        <v>60</v>
      </c>
    </row>
    <row r="167" spans="1:37" ht="30" customHeight="1">
      <c r="A167" s="215" t="s">
        <v>198</v>
      </c>
      <c r="B167" s="215">
        <v>2620566505</v>
      </c>
      <c r="C167" s="215" t="s">
        <v>123</v>
      </c>
      <c r="D167" s="215" t="s">
        <v>109</v>
      </c>
      <c r="E167" s="215" t="s">
        <v>5</v>
      </c>
      <c r="F167" s="215" t="s">
        <v>292</v>
      </c>
      <c r="G167" s="215">
        <v>1631</v>
      </c>
      <c r="H167" s="263" t="s">
        <v>200</v>
      </c>
      <c r="I167" s="215" t="s">
        <v>293</v>
      </c>
      <c r="J167" s="215" t="s">
        <v>1409</v>
      </c>
      <c r="K167" s="219" t="s">
        <v>1726</v>
      </c>
      <c r="L167" s="215" t="s">
        <v>1727</v>
      </c>
      <c r="M167" s="215" t="s">
        <v>1728</v>
      </c>
      <c r="N167" s="215" t="s">
        <v>1411</v>
      </c>
      <c r="O167" s="156" t="s">
        <v>205</v>
      </c>
      <c r="P167" s="9"/>
      <c r="Q167" s="145" t="s">
        <v>205</v>
      </c>
      <c r="R167" s="92"/>
      <c r="S167" s="145" t="s">
        <v>205</v>
      </c>
      <c r="T167" s="92"/>
      <c r="U167" s="145" t="s">
        <v>205</v>
      </c>
      <c r="V167" s="92"/>
      <c r="W167" s="145" t="s">
        <v>205</v>
      </c>
      <c r="X167" s="92"/>
      <c r="Y167" s="145" t="s">
        <v>205</v>
      </c>
      <c r="Z167" s="92"/>
      <c r="AA167" s="145" t="s">
        <v>205</v>
      </c>
      <c r="AB167" s="92"/>
      <c r="AC167" s="145" t="s">
        <v>205</v>
      </c>
      <c r="AD167" s="92"/>
      <c r="AE167" s="145" t="s">
        <v>205</v>
      </c>
      <c r="AF167" s="142" t="str">
        <f t="shared" si="7"/>
        <v>C</v>
      </c>
      <c r="AG167" s="190" t="str">
        <f t="shared" si="8"/>
        <v>UTILIZOU O PDA CORRETAMENTE</v>
      </c>
      <c r="AH167" s="145" t="s">
        <v>205</v>
      </c>
      <c r="AI167" s="153" t="s">
        <v>6</v>
      </c>
      <c r="AJ167" s="150" t="str">
        <f t="shared" si="9"/>
        <v>SÃO PAULO</v>
      </c>
      <c r="AK167" s="154" t="s">
        <v>60</v>
      </c>
    </row>
    <row r="168" spans="1:37" ht="30" customHeight="1">
      <c r="A168" s="215" t="s">
        <v>198</v>
      </c>
      <c r="B168" s="215">
        <v>2620346965</v>
      </c>
      <c r="C168" s="215" t="s">
        <v>1443</v>
      </c>
      <c r="D168" s="215" t="s">
        <v>112</v>
      </c>
      <c r="E168" s="215" t="s">
        <v>5</v>
      </c>
      <c r="F168" s="215" t="s">
        <v>1729</v>
      </c>
      <c r="G168" s="215">
        <v>190</v>
      </c>
      <c r="H168" s="263"/>
      <c r="I168" s="215" t="s">
        <v>260</v>
      </c>
      <c r="J168" s="215" t="s">
        <v>1445</v>
      </c>
      <c r="K168" s="219" t="s">
        <v>1730</v>
      </c>
      <c r="L168" s="215" t="s">
        <v>1731</v>
      </c>
      <c r="M168" s="215" t="s">
        <v>1732</v>
      </c>
      <c r="N168" s="215" t="s">
        <v>1411</v>
      </c>
      <c r="O168" s="156" t="s">
        <v>62</v>
      </c>
      <c r="P168" s="9"/>
      <c r="Q168" s="145" t="s">
        <v>62</v>
      </c>
      <c r="R168" s="92"/>
      <c r="S168" s="145" t="s">
        <v>62</v>
      </c>
      <c r="T168" s="92"/>
      <c r="U168" s="145" t="s">
        <v>62</v>
      </c>
      <c r="V168" s="92"/>
      <c r="W168" s="145" t="s">
        <v>62</v>
      </c>
      <c r="X168" s="92"/>
      <c r="Y168" s="145" t="s">
        <v>62</v>
      </c>
      <c r="Z168" s="92"/>
      <c r="AA168" s="145" t="s">
        <v>62</v>
      </c>
      <c r="AB168" s="92"/>
      <c r="AC168" s="145" t="s">
        <v>62</v>
      </c>
      <c r="AD168" s="92" t="s">
        <v>1733</v>
      </c>
      <c r="AE168" s="145" t="s">
        <v>62</v>
      </c>
      <c r="AF168" s="142" t="str">
        <f t="shared" si="7"/>
        <v>NA</v>
      </c>
      <c r="AG168" s="190" t="str">
        <f t="shared" si="8"/>
        <v>NÃO AVALIADO POR FALHA DE SINCRONISMO</v>
      </c>
      <c r="AH168" s="145"/>
      <c r="AI168" s="153" t="s">
        <v>6</v>
      </c>
      <c r="AJ168" s="150" t="str">
        <f t="shared" si="9"/>
        <v>SÃO PAULO</v>
      </c>
      <c r="AK168" s="154" t="s">
        <v>60</v>
      </c>
    </row>
    <row r="169" spans="1:37" ht="30" customHeight="1">
      <c r="A169" s="215" t="s">
        <v>198</v>
      </c>
      <c r="B169" s="215">
        <v>2620720828</v>
      </c>
      <c r="C169" s="215" t="s">
        <v>116</v>
      </c>
      <c r="D169" s="215" t="s">
        <v>109</v>
      </c>
      <c r="E169" s="215" t="s">
        <v>5</v>
      </c>
      <c r="F169" s="215" t="s">
        <v>1719</v>
      </c>
      <c r="G169" s="215">
        <v>224</v>
      </c>
      <c r="H169" s="263" t="s">
        <v>226</v>
      </c>
      <c r="I169" s="215" t="s">
        <v>546</v>
      </c>
      <c r="J169" s="215" t="s">
        <v>1448</v>
      </c>
      <c r="K169" s="219" t="s">
        <v>1734</v>
      </c>
      <c r="L169" s="215" t="s">
        <v>1735</v>
      </c>
      <c r="M169" s="215" t="s">
        <v>1736</v>
      </c>
      <c r="N169" s="215" t="s">
        <v>1429</v>
      </c>
      <c r="O169" s="156" t="s">
        <v>205</v>
      </c>
      <c r="P169" s="9"/>
      <c r="Q169" s="145" t="s">
        <v>205</v>
      </c>
      <c r="R169" s="92"/>
      <c r="S169" s="145" t="s">
        <v>205</v>
      </c>
      <c r="T169" s="92"/>
      <c r="U169" s="145" t="s">
        <v>205</v>
      </c>
      <c r="V169" s="92"/>
      <c r="W169" s="145" t="s">
        <v>205</v>
      </c>
      <c r="X169" s="92"/>
      <c r="Y169" s="145" t="s">
        <v>62</v>
      </c>
      <c r="Z169" s="92"/>
      <c r="AA169" s="145" t="s">
        <v>205</v>
      </c>
      <c r="AB169" s="92"/>
      <c r="AC169" s="145" t="s">
        <v>205</v>
      </c>
      <c r="AD169" s="92"/>
      <c r="AE169" s="145" t="s">
        <v>205</v>
      </c>
      <c r="AF169" s="142" t="str">
        <f t="shared" si="7"/>
        <v>C</v>
      </c>
      <c r="AG169" s="190" t="str">
        <f t="shared" ref="AG169:AG230" si="10">IF(AND(AE169="C",AF169="C"),"UTILIZOU O PDA CORRETAMENTE",IF(AND(AE169="C",AF169="NC"),"UTILIZOU O PDA CORRETAMENTE. NÃO HÁ FOTOS DE TODAS AS ETAPAS",IF(AND(AE169="NC",AF169="NC"),"NÃO UTILIZOU O PDA",IF(AND(AE169="NA",AF169="NA"),"NÃO AVALIADO POR FALHA DE SINCRONISMO"))))</f>
        <v>UTILIZOU O PDA CORRETAMENTE</v>
      </c>
      <c r="AH169" s="145" t="s">
        <v>205</v>
      </c>
      <c r="AI169" s="153" t="s">
        <v>6</v>
      </c>
      <c r="AJ169" s="150" t="str">
        <f t="shared" si="9"/>
        <v>SÃO PAULO</v>
      </c>
      <c r="AK169" s="154" t="s">
        <v>60</v>
      </c>
    </row>
    <row r="170" spans="1:37" ht="30" customHeight="1">
      <c r="A170" s="215" t="s">
        <v>198</v>
      </c>
      <c r="B170" s="215">
        <v>2620547985</v>
      </c>
      <c r="C170" s="215" t="s">
        <v>123</v>
      </c>
      <c r="D170" s="215" t="s">
        <v>109</v>
      </c>
      <c r="E170" s="215" t="s">
        <v>5</v>
      </c>
      <c r="F170" s="215" t="s">
        <v>1737</v>
      </c>
      <c r="G170" s="215">
        <v>359</v>
      </c>
      <c r="H170" s="263"/>
      <c r="I170" s="215" t="s">
        <v>246</v>
      </c>
      <c r="J170" s="215" t="s">
        <v>1409</v>
      </c>
      <c r="K170" s="219" t="s">
        <v>1738</v>
      </c>
      <c r="L170" s="215" t="s">
        <v>1739</v>
      </c>
      <c r="M170" s="215" t="s">
        <v>1740</v>
      </c>
      <c r="N170" s="215" t="s">
        <v>1429</v>
      </c>
      <c r="O170" s="156" t="s">
        <v>205</v>
      </c>
      <c r="P170" s="9"/>
      <c r="Q170" s="145" t="s">
        <v>205</v>
      </c>
      <c r="R170" s="92"/>
      <c r="S170" s="145" t="s">
        <v>205</v>
      </c>
      <c r="T170" s="92"/>
      <c r="U170" s="145" t="s">
        <v>205</v>
      </c>
      <c r="V170" s="92"/>
      <c r="W170" s="145" t="s">
        <v>205</v>
      </c>
      <c r="X170" s="92"/>
      <c r="Y170" s="145" t="s">
        <v>62</v>
      </c>
      <c r="Z170" s="92"/>
      <c r="AA170" s="145" t="s">
        <v>205</v>
      </c>
      <c r="AB170" s="92"/>
      <c r="AC170" s="145" t="s">
        <v>205</v>
      </c>
      <c r="AD170" s="92"/>
      <c r="AE170" s="145" t="s">
        <v>205</v>
      </c>
      <c r="AF170" s="142" t="str">
        <f t="shared" ref="AF170:AF231" si="11">IF(AND(O170="",Q170="",S170="",U170="",W170="",Y170="",AA170="",AC170=""),"",IF(OR(AND(O170&lt;&gt;"NA",O170&lt;&gt;"C",O170&lt;&gt;"NC",O170&lt;&gt;"SF",O170&lt;&gt;""),AND(Q170&lt;&gt;"NA",Q170&lt;&gt;"C",Q170&lt;&gt;"NC",Q170&lt;&gt;"SF",Q170&lt;&gt;""),AND(S170&lt;&gt;"NA",S170&lt;&gt;"C",S170&lt;&gt;"NC",S170&lt;&gt;"SF",S170&lt;&gt;""),AND(U170&lt;&gt;"NA",U170&lt;&gt;"C",U170&lt;&gt;"NC",U170&lt;&gt;"SF",U170&lt;&gt;""),AND(W170&lt;&gt;"NA",W170&lt;&gt;"C",W170&lt;&gt;"NC",W170&lt;&gt;"SF",W170&lt;&gt;""),AND(Y170&lt;&gt;"NA",Y170&lt;&gt;"C",Y170&lt;&gt;"NC",Y170&lt;&gt;"SF",Y170&lt;&gt;""),AND(AA170&lt;&gt;"NA",AA170&lt;&gt;"C",AA170&lt;&gt;"NC",AA170&lt;&gt;"SF",AA170&lt;&gt;""),AND(AC170&lt;&gt;"NA",AC170&lt;&gt;"C",AC170&lt;&gt;"NC",AC170&lt;&gt;"SF",AC170&lt;&gt;"")),"FALSO",IF(AND(O170="NA",Q170="NA",S170="NA",U170="NA",W170="NA",Y170="NA",AA170="NA",AC170="NA"),"NA",IF(OR(O170="NC",Q170="NC",S170="NC",U170="NC",W170="NC",Y170="NC",AA170="NC",AC170="NC",O170="SF",Q170="SF",S170="SF",U170="SF",W170="SF",Y170="SF",AA170="SF",AC170="SF"),"NC",IF(OR(O170="C",Q170="C",S170="C",U170="C",W170="C",Y170="C",AA170="C",AC170="C"),"C","")))))</f>
        <v>C</v>
      </c>
      <c r="AG170" s="190" t="str">
        <f t="shared" si="10"/>
        <v>UTILIZOU O PDA CORRETAMENTE</v>
      </c>
      <c r="AH170" s="145" t="s">
        <v>205</v>
      </c>
      <c r="AI170" s="153" t="s">
        <v>6</v>
      </c>
      <c r="AJ170" s="150" t="str">
        <f t="shared" si="9"/>
        <v>SÃO PAULO</v>
      </c>
      <c r="AK170" s="154" t="s">
        <v>60</v>
      </c>
    </row>
    <row r="171" spans="1:37" ht="30" customHeight="1">
      <c r="A171" s="215" t="s">
        <v>198</v>
      </c>
      <c r="B171" s="215">
        <v>2620711194</v>
      </c>
      <c r="C171" s="215" t="s">
        <v>123</v>
      </c>
      <c r="D171" s="215" t="s">
        <v>109</v>
      </c>
      <c r="E171" s="215" t="s">
        <v>5</v>
      </c>
      <c r="F171" s="215" t="s">
        <v>1741</v>
      </c>
      <c r="G171" s="215">
        <v>116</v>
      </c>
      <c r="H171" s="263" t="s">
        <v>1273</v>
      </c>
      <c r="I171" s="215" t="s">
        <v>402</v>
      </c>
      <c r="J171" s="215" t="s">
        <v>1409</v>
      </c>
      <c r="K171" s="219" t="s">
        <v>1742</v>
      </c>
      <c r="L171" s="215" t="s">
        <v>1743</v>
      </c>
      <c r="M171" s="215" t="s">
        <v>1744</v>
      </c>
      <c r="N171" s="215" t="s">
        <v>1429</v>
      </c>
      <c r="O171" s="156" t="s">
        <v>205</v>
      </c>
      <c r="P171" s="9"/>
      <c r="Q171" s="145" t="s">
        <v>205</v>
      </c>
      <c r="R171" s="92"/>
      <c r="S171" s="145" t="s">
        <v>205</v>
      </c>
      <c r="T171" s="92"/>
      <c r="U171" s="145" t="s">
        <v>205</v>
      </c>
      <c r="V171" s="92"/>
      <c r="W171" s="145" t="s">
        <v>205</v>
      </c>
      <c r="X171" s="92"/>
      <c r="Y171" s="145" t="s">
        <v>62</v>
      </c>
      <c r="Z171" s="92"/>
      <c r="AA171" s="145" t="s">
        <v>205</v>
      </c>
      <c r="AB171" s="92"/>
      <c r="AC171" s="145" t="s">
        <v>205</v>
      </c>
      <c r="AD171" s="92"/>
      <c r="AE171" s="145" t="s">
        <v>205</v>
      </c>
      <c r="AF171" s="142" t="str">
        <f t="shared" si="11"/>
        <v>C</v>
      </c>
      <c r="AG171" s="190" t="str">
        <f t="shared" si="10"/>
        <v>UTILIZOU O PDA CORRETAMENTE</v>
      </c>
      <c r="AH171" s="145" t="s">
        <v>205</v>
      </c>
      <c r="AI171" s="153" t="s">
        <v>6</v>
      </c>
      <c r="AJ171" s="150" t="str">
        <f t="shared" si="9"/>
        <v>SÃO PAULO</v>
      </c>
      <c r="AK171" s="154" t="s">
        <v>60</v>
      </c>
    </row>
    <row r="172" spans="1:37" ht="30" customHeight="1">
      <c r="A172" s="215" t="s">
        <v>198</v>
      </c>
      <c r="B172" s="215">
        <v>2620778588</v>
      </c>
      <c r="C172" s="215" t="s">
        <v>1452</v>
      </c>
      <c r="D172" s="215" t="s">
        <v>111</v>
      </c>
      <c r="E172" s="215" t="s">
        <v>5</v>
      </c>
      <c r="F172" s="215" t="s">
        <v>1745</v>
      </c>
      <c r="G172" s="215">
        <v>575</v>
      </c>
      <c r="H172" s="263"/>
      <c r="I172" s="215" t="s">
        <v>1227</v>
      </c>
      <c r="J172" s="215" t="s">
        <v>1454</v>
      </c>
      <c r="K172" s="219" t="s">
        <v>1746</v>
      </c>
      <c r="L172" s="215" t="s">
        <v>1747</v>
      </c>
      <c r="M172" s="215" t="s">
        <v>1748</v>
      </c>
      <c r="N172" s="215" t="s">
        <v>1411</v>
      </c>
      <c r="O172" s="156" t="s">
        <v>205</v>
      </c>
      <c r="P172" s="9"/>
      <c r="Q172" s="145" t="s">
        <v>205</v>
      </c>
      <c r="R172" s="92"/>
      <c r="S172" s="145" t="s">
        <v>205</v>
      </c>
      <c r="T172" s="92"/>
      <c r="U172" s="145" t="s">
        <v>205</v>
      </c>
      <c r="V172" s="92"/>
      <c r="W172" s="145" t="s">
        <v>205</v>
      </c>
      <c r="X172" s="92"/>
      <c r="Y172" s="145" t="s">
        <v>62</v>
      </c>
      <c r="Z172" s="92"/>
      <c r="AA172" s="145" t="s">
        <v>205</v>
      </c>
      <c r="AB172" s="92"/>
      <c r="AC172" s="145" t="s">
        <v>205</v>
      </c>
      <c r="AD172" s="92"/>
      <c r="AE172" s="145" t="s">
        <v>205</v>
      </c>
      <c r="AF172" s="142" t="str">
        <f t="shared" si="11"/>
        <v>C</v>
      </c>
      <c r="AG172" s="190" t="str">
        <f t="shared" si="10"/>
        <v>UTILIZOU O PDA CORRETAMENTE</v>
      </c>
      <c r="AH172" s="145" t="s">
        <v>205</v>
      </c>
      <c r="AI172" s="153" t="s">
        <v>6</v>
      </c>
      <c r="AJ172" s="150" t="str">
        <f t="shared" si="9"/>
        <v>SÃO PAULO</v>
      </c>
      <c r="AK172" s="154" t="s">
        <v>60</v>
      </c>
    </row>
    <row r="173" spans="1:37" ht="30" customHeight="1">
      <c r="A173" s="215" t="s">
        <v>198</v>
      </c>
      <c r="B173" s="215">
        <v>2620717958</v>
      </c>
      <c r="C173" s="215" t="s">
        <v>121</v>
      </c>
      <c r="D173" s="215" t="s">
        <v>112</v>
      </c>
      <c r="E173" s="215" t="s">
        <v>5</v>
      </c>
      <c r="F173" s="215" t="s">
        <v>1749</v>
      </c>
      <c r="G173" s="215">
        <v>67</v>
      </c>
      <c r="H173" s="263" t="s">
        <v>200</v>
      </c>
      <c r="I173" s="215" t="s">
        <v>215</v>
      </c>
      <c r="J173" s="215" t="s">
        <v>1406</v>
      </c>
      <c r="K173" s="215" t="s">
        <v>1750</v>
      </c>
      <c r="L173" s="215" t="s">
        <v>1751</v>
      </c>
      <c r="M173" s="215" t="s">
        <v>1752</v>
      </c>
      <c r="N173" s="215" t="s">
        <v>217</v>
      </c>
      <c r="O173" s="156" t="s">
        <v>205</v>
      </c>
      <c r="P173" s="9"/>
      <c r="Q173" s="145" t="s">
        <v>205</v>
      </c>
      <c r="R173" s="92"/>
      <c r="S173" s="145" t="s">
        <v>205</v>
      </c>
      <c r="T173" s="92"/>
      <c r="U173" s="145" t="s">
        <v>205</v>
      </c>
      <c r="V173" s="92"/>
      <c r="W173" s="145" t="s">
        <v>62</v>
      </c>
      <c r="X173" s="92"/>
      <c r="Y173" s="145" t="s">
        <v>62</v>
      </c>
      <c r="Z173" s="92"/>
      <c r="AA173" s="145" t="s">
        <v>62</v>
      </c>
      <c r="AB173" s="92"/>
      <c r="AC173" s="145" t="s">
        <v>205</v>
      </c>
      <c r="AD173" s="92"/>
      <c r="AE173" s="145" t="s">
        <v>205</v>
      </c>
      <c r="AF173" s="142" t="str">
        <f t="shared" si="11"/>
        <v>C</v>
      </c>
      <c r="AG173" s="190" t="str">
        <f t="shared" si="10"/>
        <v>UTILIZOU O PDA CORRETAMENTE</v>
      </c>
      <c r="AH173" s="145"/>
      <c r="AI173" s="153" t="s">
        <v>6</v>
      </c>
      <c r="AJ173" s="150" t="str">
        <f t="shared" si="9"/>
        <v>SÃO PAULO</v>
      </c>
      <c r="AK173" s="154" t="s">
        <v>60</v>
      </c>
    </row>
    <row r="174" spans="1:37" ht="30" customHeight="1">
      <c r="A174" s="228" t="s">
        <v>198</v>
      </c>
      <c r="B174" s="228">
        <v>2620792620</v>
      </c>
      <c r="C174" s="228" t="s">
        <v>1477</v>
      </c>
      <c r="D174" s="228" t="s">
        <v>109</v>
      </c>
      <c r="E174" s="228" t="s">
        <v>5</v>
      </c>
      <c r="F174" s="228" t="s">
        <v>1753</v>
      </c>
      <c r="G174" s="228">
        <v>132</v>
      </c>
      <c r="H174" s="264" t="s">
        <v>200</v>
      </c>
      <c r="I174" s="228" t="s">
        <v>1000</v>
      </c>
      <c r="J174" s="228" t="s">
        <v>1479</v>
      </c>
      <c r="K174" s="229" t="s">
        <v>1754</v>
      </c>
      <c r="L174" s="228" t="s">
        <v>1755</v>
      </c>
      <c r="M174" s="228" t="s">
        <v>1756</v>
      </c>
      <c r="N174" s="228" t="s">
        <v>1411</v>
      </c>
      <c r="O174" s="156" t="s">
        <v>205</v>
      </c>
      <c r="P174" s="9"/>
      <c r="Q174" s="145" t="s">
        <v>205</v>
      </c>
      <c r="R174" s="92"/>
      <c r="S174" s="145" t="s">
        <v>205</v>
      </c>
      <c r="T174" s="92"/>
      <c r="U174" s="145" t="s">
        <v>205</v>
      </c>
      <c r="V174" s="92"/>
      <c r="W174" s="145" t="s">
        <v>205</v>
      </c>
      <c r="X174" s="92"/>
      <c r="Y174" s="145" t="s">
        <v>62</v>
      </c>
      <c r="Z174" s="92"/>
      <c r="AA174" s="145" t="s">
        <v>205</v>
      </c>
      <c r="AB174" s="92"/>
      <c r="AC174" s="145" t="s">
        <v>205</v>
      </c>
      <c r="AD174" s="92"/>
      <c r="AE174" s="145" t="s">
        <v>205</v>
      </c>
      <c r="AF174" s="142" t="str">
        <f t="shared" si="11"/>
        <v>C</v>
      </c>
      <c r="AG174" s="190" t="str">
        <f t="shared" si="10"/>
        <v>UTILIZOU O PDA CORRETAMENTE</v>
      </c>
      <c r="AH174" s="145"/>
      <c r="AI174" s="153" t="s">
        <v>6</v>
      </c>
      <c r="AJ174" s="150" t="str">
        <f t="shared" si="9"/>
        <v>SÃO PAULO</v>
      </c>
      <c r="AK174" s="154" t="s">
        <v>60</v>
      </c>
    </row>
    <row r="175" spans="1:37" ht="30" customHeight="1">
      <c r="A175" s="215" t="s">
        <v>198</v>
      </c>
      <c r="B175" s="215">
        <v>2620720854</v>
      </c>
      <c r="C175" s="215" t="s">
        <v>1477</v>
      </c>
      <c r="D175" s="215" t="s">
        <v>109</v>
      </c>
      <c r="E175" s="215" t="s">
        <v>5</v>
      </c>
      <c r="F175" s="215" t="s">
        <v>1757</v>
      </c>
      <c r="G175" s="215">
        <v>40</v>
      </c>
      <c r="H175" s="215" t="s">
        <v>200</v>
      </c>
      <c r="I175" s="215" t="s">
        <v>397</v>
      </c>
      <c r="J175" s="215" t="s">
        <v>1479</v>
      </c>
      <c r="K175" s="215" t="s">
        <v>1758</v>
      </c>
      <c r="L175" s="215" t="s">
        <v>1759</v>
      </c>
      <c r="M175" s="215" t="s">
        <v>1021</v>
      </c>
      <c r="N175" s="215" t="s">
        <v>1442</v>
      </c>
      <c r="O175" s="231" t="s">
        <v>62</v>
      </c>
      <c r="P175" s="92"/>
      <c r="Q175" s="145" t="s">
        <v>62</v>
      </c>
      <c r="R175" s="92"/>
      <c r="S175" s="145" t="s">
        <v>62</v>
      </c>
      <c r="T175" s="92"/>
      <c r="U175" s="145" t="s">
        <v>62</v>
      </c>
      <c r="V175" s="92"/>
      <c r="W175" s="145" t="s">
        <v>62</v>
      </c>
      <c r="X175" s="92"/>
      <c r="Y175" s="145" t="s">
        <v>62</v>
      </c>
      <c r="Z175" s="92"/>
      <c r="AA175" s="145" t="s">
        <v>62</v>
      </c>
      <c r="AB175" s="92"/>
      <c r="AC175" s="145" t="s">
        <v>62</v>
      </c>
      <c r="AD175" s="92" t="s">
        <v>1760</v>
      </c>
      <c r="AE175" s="145" t="s">
        <v>62</v>
      </c>
      <c r="AF175" s="142" t="str">
        <f t="shared" si="11"/>
        <v>NA</v>
      </c>
      <c r="AG175" s="190" t="str">
        <f t="shared" si="10"/>
        <v>NÃO AVALIADO POR FALHA DE SINCRONISMO</v>
      </c>
      <c r="AH175" s="145" t="s">
        <v>205</v>
      </c>
      <c r="AI175" s="153" t="s">
        <v>6</v>
      </c>
      <c r="AJ175" s="150" t="str">
        <f t="shared" si="9"/>
        <v>SÃO PAULO</v>
      </c>
      <c r="AK175" s="154" t="s">
        <v>60</v>
      </c>
    </row>
    <row r="176" spans="1:37" ht="30" customHeight="1">
      <c r="A176" s="215" t="s">
        <v>198</v>
      </c>
      <c r="B176" s="215">
        <v>2620778665</v>
      </c>
      <c r="C176" s="215" t="s">
        <v>1477</v>
      </c>
      <c r="D176" s="215" t="s">
        <v>109</v>
      </c>
      <c r="E176" s="215" t="s">
        <v>5</v>
      </c>
      <c r="F176" s="215" t="s">
        <v>1697</v>
      </c>
      <c r="G176" s="215">
        <v>1884</v>
      </c>
      <c r="H176" s="215" t="s">
        <v>318</v>
      </c>
      <c r="I176" s="215" t="s">
        <v>1698</v>
      </c>
      <c r="J176" s="215" t="s">
        <v>1479</v>
      </c>
      <c r="K176" s="215" t="s">
        <v>1554</v>
      </c>
      <c r="L176" s="215" t="s">
        <v>1761</v>
      </c>
      <c r="M176" s="215" t="s">
        <v>1762</v>
      </c>
      <c r="N176" s="215" t="s">
        <v>1442</v>
      </c>
      <c r="O176" s="157" t="s">
        <v>205</v>
      </c>
      <c r="P176" s="92"/>
      <c r="Q176" s="145" t="s">
        <v>205</v>
      </c>
      <c r="R176" s="92"/>
      <c r="S176" s="145" t="s">
        <v>205</v>
      </c>
      <c r="T176" s="92"/>
      <c r="U176" s="145" t="s">
        <v>205</v>
      </c>
      <c r="V176" s="92"/>
      <c r="W176" s="145" t="s">
        <v>205</v>
      </c>
      <c r="X176" s="92"/>
      <c r="Y176" s="145" t="s">
        <v>62</v>
      </c>
      <c r="Z176" s="92"/>
      <c r="AA176" s="145" t="s">
        <v>205</v>
      </c>
      <c r="AB176" s="92"/>
      <c r="AC176" s="145" t="s">
        <v>205</v>
      </c>
      <c r="AD176" s="92"/>
      <c r="AE176" s="145" t="s">
        <v>205</v>
      </c>
      <c r="AF176" s="142" t="str">
        <f t="shared" si="11"/>
        <v>C</v>
      </c>
      <c r="AG176" s="190" t="str">
        <f t="shared" si="10"/>
        <v>UTILIZOU O PDA CORRETAMENTE</v>
      </c>
      <c r="AH176" s="145" t="s">
        <v>205</v>
      </c>
      <c r="AI176" s="153" t="s">
        <v>6</v>
      </c>
      <c r="AJ176" s="150" t="str">
        <f t="shared" si="9"/>
        <v>SÃO PAULO</v>
      </c>
      <c r="AK176" s="154" t="s">
        <v>60</v>
      </c>
    </row>
    <row r="177" spans="1:37" ht="30" customHeight="1">
      <c r="A177" s="215" t="s">
        <v>198</v>
      </c>
      <c r="B177" s="215">
        <v>2620778611</v>
      </c>
      <c r="C177" s="215" t="s">
        <v>123</v>
      </c>
      <c r="D177" s="215" t="s">
        <v>109</v>
      </c>
      <c r="E177" s="215" t="s">
        <v>5</v>
      </c>
      <c r="F177" s="215" t="s">
        <v>1309</v>
      </c>
      <c r="G177" s="215">
        <v>309</v>
      </c>
      <c r="H177" s="215"/>
      <c r="I177" s="215" t="s">
        <v>343</v>
      </c>
      <c r="J177" s="215" t="s">
        <v>1479</v>
      </c>
      <c r="K177" s="219" t="s">
        <v>1763</v>
      </c>
      <c r="L177" s="215" t="s">
        <v>1764</v>
      </c>
      <c r="M177" s="215" t="s">
        <v>1765</v>
      </c>
      <c r="N177" s="215" t="s">
        <v>1426</v>
      </c>
      <c r="O177" s="157" t="s">
        <v>205</v>
      </c>
      <c r="P177" s="92"/>
      <c r="Q177" s="145" t="s">
        <v>205</v>
      </c>
      <c r="R177" s="92"/>
      <c r="S177" s="145" t="s">
        <v>205</v>
      </c>
      <c r="T177" s="92"/>
      <c r="U177" s="145" t="s">
        <v>205</v>
      </c>
      <c r="V177" s="92"/>
      <c r="W177" s="145" t="s">
        <v>205</v>
      </c>
      <c r="X177" s="92"/>
      <c r="Y177" s="145" t="s">
        <v>62</v>
      </c>
      <c r="Z177" s="92"/>
      <c r="AA177" s="145" t="s">
        <v>205</v>
      </c>
      <c r="AB177" s="92"/>
      <c r="AC177" s="145" t="s">
        <v>205</v>
      </c>
      <c r="AD177" s="92"/>
      <c r="AE177" s="145" t="s">
        <v>205</v>
      </c>
      <c r="AF177" s="142" t="str">
        <f t="shared" si="11"/>
        <v>C</v>
      </c>
      <c r="AG177" s="190" t="str">
        <f t="shared" si="10"/>
        <v>UTILIZOU O PDA CORRETAMENTE</v>
      </c>
      <c r="AH177" s="145" t="s">
        <v>205</v>
      </c>
      <c r="AI177" s="153" t="s">
        <v>6</v>
      </c>
      <c r="AJ177" s="150" t="str">
        <f t="shared" si="9"/>
        <v>SÃO PAULO</v>
      </c>
      <c r="AK177" s="154" t="s">
        <v>60</v>
      </c>
    </row>
    <row r="178" spans="1:37" ht="30" customHeight="1">
      <c r="A178" s="215" t="s">
        <v>198</v>
      </c>
      <c r="B178" s="215">
        <v>2620785750</v>
      </c>
      <c r="C178" s="215" t="s">
        <v>1452</v>
      </c>
      <c r="D178" s="215" t="s">
        <v>111</v>
      </c>
      <c r="E178" s="215" t="s">
        <v>5</v>
      </c>
      <c r="F178" s="215" t="s">
        <v>1766</v>
      </c>
      <c r="G178" s="215">
        <v>150</v>
      </c>
      <c r="H178" s="215"/>
      <c r="I178" s="215" t="s">
        <v>232</v>
      </c>
      <c r="J178" s="215" t="s">
        <v>1454</v>
      </c>
      <c r="K178" s="215" t="s">
        <v>1767</v>
      </c>
      <c r="L178" s="215" t="s">
        <v>1768</v>
      </c>
      <c r="M178" s="215" t="s">
        <v>1769</v>
      </c>
      <c r="N178" s="215" t="s">
        <v>1426</v>
      </c>
      <c r="O178" s="157" t="s">
        <v>205</v>
      </c>
      <c r="P178" s="92"/>
      <c r="Q178" s="145" t="s">
        <v>205</v>
      </c>
      <c r="R178" s="92"/>
      <c r="S178" s="145" t="s">
        <v>205</v>
      </c>
      <c r="T178" s="92"/>
      <c r="U178" s="145" t="s">
        <v>62</v>
      </c>
      <c r="V178" s="92"/>
      <c r="W178" s="145" t="s">
        <v>62</v>
      </c>
      <c r="X178" s="92"/>
      <c r="Y178" s="145" t="s">
        <v>62</v>
      </c>
      <c r="Z178" s="92"/>
      <c r="AA178" s="145" t="s">
        <v>205</v>
      </c>
      <c r="AB178" s="92"/>
      <c r="AC178" s="145" t="s">
        <v>205</v>
      </c>
      <c r="AD178" s="92"/>
      <c r="AE178" s="145" t="s">
        <v>205</v>
      </c>
      <c r="AF178" s="142" t="str">
        <f t="shared" si="11"/>
        <v>C</v>
      </c>
      <c r="AG178" s="190" t="str">
        <f t="shared" si="10"/>
        <v>UTILIZOU O PDA CORRETAMENTE</v>
      </c>
      <c r="AH178" s="145"/>
      <c r="AI178" s="153" t="s">
        <v>6</v>
      </c>
      <c r="AJ178" s="150" t="str">
        <f t="shared" si="9"/>
        <v>SÃO PAULO</v>
      </c>
      <c r="AK178" s="154" t="s">
        <v>60</v>
      </c>
    </row>
    <row r="179" spans="1:37" ht="30" customHeight="1">
      <c r="A179" s="215" t="s">
        <v>198</v>
      </c>
      <c r="B179" s="215">
        <v>2620814011</v>
      </c>
      <c r="C179" s="215" t="s">
        <v>1490</v>
      </c>
      <c r="D179" s="215" t="s">
        <v>111</v>
      </c>
      <c r="E179" s="215" t="s">
        <v>5</v>
      </c>
      <c r="F179" s="215" t="s">
        <v>1253</v>
      </c>
      <c r="G179" s="215">
        <v>84</v>
      </c>
      <c r="H179" s="215" t="s">
        <v>200</v>
      </c>
      <c r="I179" s="215" t="s">
        <v>246</v>
      </c>
      <c r="J179" s="215" t="s">
        <v>1491</v>
      </c>
      <c r="K179" s="219" t="s">
        <v>1770</v>
      </c>
      <c r="L179" s="215" t="s">
        <v>1771</v>
      </c>
      <c r="M179" s="215" t="s">
        <v>1772</v>
      </c>
      <c r="N179" s="215" t="s">
        <v>1429</v>
      </c>
      <c r="O179" s="157" t="s">
        <v>206</v>
      </c>
      <c r="P179" s="92"/>
      <c r="Q179" s="145" t="s">
        <v>206</v>
      </c>
      <c r="R179" s="92"/>
      <c r="S179" s="145" t="s">
        <v>206</v>
      </c>
      <c r="T179" s="92"/>
      <c r="U179" s="145" t="s">
        <v>206</v>
      </c>
      <c r="V179" s="92"/>
      <c r="W179" s="145" t="s">
        <v>206</v>
      </c>
      <c r="X179" s="92"/>
      <c r="Y179" s="145" t="s">
        <v>206</v>
      </c>
      <c r="Z179" s="92"/>
      <c r="AA179" s="145" t="s">
        <v>206</v>
      </c>
      <c r="AB179" s="92"/>
      <c r="AC179" s="145" t="s">
        <v>206</v>
      </c>
      <c r="AD179" s="92" t="s">
        <v>1493</v>
      </c>
      <c r="AE179" s="145" t="s">
        <v>239</v>
      </c>
      <c r="AF179" s="142" t="str">
        <f t="shared" si="11"/>
        <v>NC</v>
      </c>
      <c r="AG179" s="190" t="str">
        <f t="shared" si="10"/>
        <v>NÃO UTILIZOU O PDA</v>
      </c>
      <c r="AH179" s="145"/>
      <c r="AI179" s="153" t="s">
        <v>6</v>
      </c>
      <c r="AJ179" s="150" t="str">
        <f t="shared" si="9"/>
        <v>SÃO PAULO</v>
      </c>
      <c r="AK179" s="154" t="s">
        <v>60</v>
      </c>
    </row>
    <row r="180" spans="1:37" ht="30" customHeight="1">
      <c r="A180" s="215" t="s">
        <v>198</v>
      </c>
      <c r="B180" s="215">
        <v>2620814730</v>
      </c>
      <c r="C180" s="215" t="s">
        <v>1490</v>
      </c>
      <c r="D180" s="215" t="s">
        <v>111</v>
      </c>
      <c r="E180" s="215" t="s">
        <v>5</v>
      </c>
      <c r="F180" s="215" t="s">
        <v>1253</v>
      </c>
      <c r="G180" s="215">
        <v>76</v>
      </c>
      <c r="H180" s="215"/>
      <c r="I180" s="215" t="s">
        <v>246</v>
      </c>
      <c r="J180" s="215" t="s">
        <v>1491</v>
      </c>
      <c r="K180" s="219" t="s">
        <v>1773</v>
      </c>
      <c r="L180" s="215" t="s">
        <v>1774</v>
      </c>
      <c r="M180" s="215" t="s">
        <v>1771</v>
      </c>
      <c r="N180" s="215" t="s">
        <v>1429</v>
      </c>
      <c r="O180" s="157" t="s">
        <v>206</v>
      </c>
      <c r="P180" s="92"/>
      <c r="Q180" s="145" t="s">
        <v>206</v>
      </c>
      <c r="R180" s="92"/>
      <c r="S180" s="145" t="s">
        <v>206</v>
      </c>
      <c r="T180" s="92"/>
      <c r="U180" s="145" t="s">
        <v>206</v>
      </c>
      <c r="V180" s="92"/>
      <c r="W180" s="145" t="s">
        <v>206</v>
      </c>
      <c r="X180" s="92"/>
      <c r="Y180" s="145" t="s">
        <v>206</v>
      </c>
      <c r="Z180" s="92"/>
      <c r="AA180" s="145" t="s">
        <v>206</v>
      </c>
      <c r="AB180" s="92"/>
      <c r="AC180" s="145" t="s">
        <v>206</v>
      </c>
      <c r="AD180" s="92" t="s">
        <v>1493</v>
      </c>
      <c r="AE180" s="145" t="s">
        <v>239</v>
      </c>
      <c r="AF180" s="142" t="str">
        <f t="shared" si="11"/>
        <v>NC</v>
      </c>
      <c r="AG180" s="190" t="str">
        <f t="shared" si="10"/>
        <v>NÃO UTILIZOU O PDA</v>
      </c>
      <c r="AH180" s="145"/>
      <c r="AI180" s="153" t="s">
        <v>6</v>
      </c>
      <c r="AJ180" s="150" t="str">
        <f t="shared" si="9"/>
        <v>SÃO PAULO</v>
      </c>
      <c r="AK180" s="154" t="s">
        <v>60</v>
      </c>
    </row>
    <row r="181" spans="1:37" ht="30" customHeight="1">
      <c r="A181" s="215" t="s">
        <v>198</v>
      </c>
      <c r="B181" s="215">
        <v>2620814499</v>
      </c>
      <c r="C181" s="215" t="s">
        <v>1490</v>
      </c>
      <c r="D181" s="215" t="s">
        <v>111</v>
      </c>
      <c r="E181" s="215" t="s">
        <v>5</v>
      </c>
      <c r="F181" s="215" t="s">
        <v>1253</v>
      </c>
      <c r="G181" s="215">
        <v>80</v>
      </c>
      <c r="H181" s="215" t="s">
        <v>226</v>
      </c>
      <c r="I181" s="215" t="s">
        <v>246</v>
      </c>
      <c r="J181" s="215" t="s">
        <v>1491</v>
      </c>
      <c r="K181" s="219" t="s">
        <v>1495</v>
      </c>
      <c r="L181" s="215" t="s">
        <v>1775</v>
      </c>
      <c r="M181" s="215" t="s">
        <v>1776</v>
      </c>
      <c r="N181" s="215" t="s">
        <v>1429</v>
      </c>
      <c r="O181" s="157" t="s">
        <v>206</v>
      </c>
      <c r="P181" s="92"/>
      <c r="Q181" s="145" t="s">
        <v>206</v>
      </c>
      <c r="R181" s="92"/>
      <c r="S181" s="145" t="s">
        <v>206</v>
      </c>
      <c r="T181" s="92"/>
      <c r="U181" s="145" t="s">
        <v>206</v>
      </c>
      <c r="V181" s="92"/>
      <c r="W181" s="145" t="s">
        <v>206</v>
      </c>
      <c r="X181" s="92"/>
      <c r="Y181" s="145" t="s">
        <v>206</v>
      </c>
      <c r="Z181" s="92"/>
      <c r="AA181" s="145" t="s">
        <v>206</v>
      </c>
      <c r="AB181" s="92"/>
      <c r="AC181" s="145" t="s">
        <v>206</v>
      </c>
      <c r="AD181" s="92" t="s">
        <v>1493</v>
      </c>
      <c r="AE181" s="145" t="s">
        <v>239</v>
      </c>
      <c r="AF181" s="142" t="str">
        <f t="shared" si="11"/>
        <v>NC</v>
      </c>
      <c r="AG181" s="190" t="str">
        <f t="shared" si="10"/>
        <v>NÃO UTILIZOU O PDA</v>
      </c>
      <c r="AH181" s="145"/>
      <c r="AI181" s="153" t="s">
        <v>6</v>
      </c>
      <c r="AJ181" s="150" t="str">
        <f t="shared" si="9"/>
        <v>SÃO PAULO</v>
      </c>
      <c r="AK181" s="154" t="s">
        <v>60</v>
      </c>
    </row>
    <row r="182" spans="1:37" ht="30" customHeight="1">
      <c r="A182" s="215" t="s">
        <v>198</v>
      </c>
      <c r="B182" s="215">
        <v>2620811685</v>
      </c>
      <c r="C182" s="215" t="s">
        <v>1490</v>
      </c>
      <c r="D182" s="215" t="s">
        <v>111</v>
      </c>
      <c r="E182" s="215" t="s">
        <v>5</v>
      </c>
      <c r="F182" s="215" t="s">
        <v>1253</v>
      </c>
      <c r="G182" s="215">
        <v>108</v>
      </c>
      <c r="H182" s="215"/>
      <c r="I182" s="215" t="s">
        <v>246</v>
      </c>
      <c r="J182" s="215" t="s">
        <v>1491</v>
      </c>
      <c r="K182" s="219" t="s">
        <v>1773</v>
      </c>
      <c r="L182" s="215" t="s">
        <v>1777</v>
      </c>
      <c r="M182" s="215" t="s">
        <v>1774</v>
      </c>
      <c r="N182" s="215" t="s">
        <v>1429</v>
      </c>
      <c r="O182" s="157" t="s">
        <v>206</v>
      </c>
      <c r="P182" s="92"/>
      <c r="Q182" s="145" t="s">
        <v>206</v>
      </c>
      <c r="R182" s="92"/>
      <c r="S182" s="145" t="s">
        <v>206</v>
      </c>
      <c r="T182" s="92"/>
      <c r="U182" s="145" t="s">
        <v>206</v>
      </c>
      <c r="V182" s="92"/>
      <c r="W182" s="145" t="s">
        <v>206</v>
      </c>
      <c r="X182" s="92"/>
      <c r="Y182" s="145" t="s">
        <v>206</v>
      </c>
      <c r="Z182" s="92"/>
      <c r="AA182" s="145" t="s">
        <v>206</v>
      </c>
      <c r="AB182" s="92"/>
      <c r="AC182" s="145" t="s">
        <v>206</v>
      </c>
      <c r="AD182" s="92" t="s">
        <v>1493</v>
      </c>
      <c r="AE182" s="145" t="s">
        <v>239</v>
      </c>
      <c r="AF182" s="142" t="str">
        <f t="shared" si="11"/>
        <v>NC</v>
      </c>
      <c r="AG182" s="190" t="str">
        <f t="shared" si="10"/>
        <v>NÃO UTILIZOU O PDA</v>
      </c>
      <c r="AH182" s="145"/>
      <c r="AI182" s="153" t="s">
        <v>6</v>
      </c>
      <c r="AJ182" s="150" t="str">
        <f t="shared" si="9"/>
        <v>SÃO PAULO</v>
      </c>
      <c r="AK182" s="154" t="s">
        <v>60</v>
      </c>
    </row>
    <row r="183" spans="1:37" ht="30" customHeight="1">
      <c r="A183" s="215" t="s">
        <v>198</v>
      </c>
      <c r="B183" s="215">
        <v>2620811286</v>
      </c>
      <c r="C183" s="215" t="s">
        <v>1490</v>
      </c>
      <c r="D183" s="215" t="s">
        <v>111</v>
      </c>
      <c r="E183" s="215" t="s">
        <v>5</v>
      </c>
      <c r="F183" s="215" t="s">
        <v>1253</v>
      </c>
      <c r="G183" s="215">
        <v>94</v>
      </c>
      <c r="H183" s="215" t="s">
        <v>200</v>
      </c>
      <c r="I183" s="215" t="s">
        <v>246</v>
      </c>
      <c r="J183" s="215" t="s">
        <v>1491</v>
      </c>
      <c r="K183" s="219" t="s">
        <v>1778</v>
      </c>
      <c r="L183" s="215" t="s">
        <v>1779</v>
      </c>
      <c r="M183" s="215" t="s">
        <v>1780</v>
      </c>
      <c r="N183" s="215" t="s">
        <v>1429</v>
      </c>
      <c r="O183" s="157" t="s">
        <v>206</v>
      </c>
      <c r="P183" s="92"/>
      <c r="Q183" s="145" t="s">
        <v>206</v>
      </c>
      <c r="R183" s="92"/>
      <c r="S183" s="145" t="s">
        <v>206</v>
      </c>
      <c r="T183" s="92"/>
      <c r="U183" s="145" t="s">
        <v>206</v>
      </c>
      <c r="V183" s="92"/>
      <c r="W183" s="145" t="s">
        <v>206</v>
      </c>
      <c r="X183" s="92"/>
      <c r="Y183" s="145" t="s">
        <v>206</v>
      </c>
      <c r="Z183" s="92"/>
      <c r="AA183" s="145" t="s">
        <v>206</v>
      </c>
      <c r="AB183" s="92"/>
      <c r="AC183" s="145" t="s">
        <v>206</v>
      </c>
      <c r="AD183" s="92" t="s">
        <v>1493</v>
      </c>
      <c r="AE183" s="145" t="s">
        <v>239</v>
      </c>
      <c r="AF183" s="142" t="str">
        <f t="shared" si="11"/>
        <v>NC</v>
      </c>
      <c r="AG183" s="190" t="str">
        <f t="shared" si="10"/>
        <v>NÃO UTILIZOU O PDA</v>
      </c>
      <c r="AH183" s="145"/>
      <c r="AI183" s="153" t="s">
        <v>6</v>
      </c>
      <c r="AJ183" s="150" t="str">
        <f t="shared" si="9"/>
        <v>SÃO PAULO</v>
      </c>
      <c r="AK183" s="154" t="s">
        <v>60</v>
      </c>
    </row>
    <row r="184" spans="1:37" ht="30" customHeight="1">
      <c r="A184" s="215" t="s">
        <v>198</v>
      </c>
      <c r="B184" s="215">
        <v>2620806860</v>
      </c>
      <c r="C184" s="215" t="s">
        <v>123</v>
      </c>
      <c r="D184" s="215" t="s">
        <v>109</v>
      </c>
      <c r="E184" s="215" t="s">
        <v>5</v>
      </c>
      <c r="F184" s="215" t="s">
        <v>1781</v>
      </c>
      <c r="G184" s="215">
        <v>544</v>
      </c>
      <c r="H184" s="215" t="s">
        <v>318</v>
      </c>
      <c r="I184" s="215" t="s">
        <v>277</v>
      </c>
      <c r="J184" s="215" t="s">
        <v>1409</v>
      </c>
      <c r="K184" s="219" t="s">
        <v>1782</v>
      </c>
      <c r="L184" s="215" t="s">
        <v>1783</v>
      </c>
      <c r="M184" s="215" t="s">
        <v>1784</v>
      </c>
      <c r="N184" s="215" t="s">
        <v>1426</v>
      </c>
      <c r="O184" s="157" t="s">
        <v>205</v>
      </c>
      <c r="P184" s="92"/>
      <c r="Q184" s="145" t="s">
        <v>205</v>
      </c>
      <c r="R184" s="92"/>
      <c r="S184" s="145" t="s">
        <v>205</v>
      </c>
      <c r="T184" s="92"/>
      <c r="U184" s="145" t="s">
        <v>205</v>
      </c>
      <c r="V184" s="92"/>
      <c r="W184" s="145" t="s">
        <v>205</v>
      </c>
      <c r="X184" s="92"/>
      <c r="Y184" s="145" t="s">
        <v>205</v>
      </c>
      <c r="Z184" s="92"/>
      <c r="AA184" s="145" t="s">
        <v>205</v>
      </c>
      <c r="AB184" s="92"/>
      <c r="AC184" s="145" t="s">
        <v>205</v>
      </c>
      <c r="AD184" s="92"/>
      <c r="AE184" s="145" t="s">
        <v>205</v>
      </c>
      <c r="AF184" s="142" t="str">
        <f t="shared" si="11"/>
        <v>C</v>
      </c>
      <c r="AG184" s="190" t="str">
        <f t="shared" si="10"/>
        <v>UTILIZOU O PDA CORRETAMENTE</v>
      </c>
      <c r="AH184" s="145" t="s">
        <v>205</v>
      </c>
      <c r="AI184" s="153" t="s">
        <v>6</v>
      </c>
      <c r="AJ184" s="150" t="str">
        <f t="shared" si="9"/>
        <v>SÃO PAULO</v>
      </c>
      <c r="AK184" s="154" t="s">
        <v>60</v>
      </c>
    </row>
    <row r="185" spans="1:37" ht="30" customHeight="1">
      <c r="A185" s="228" t="s">
        <v>198</v>
      </c>
      <c r="B185" s="228">
        <v>2620870228</v>
      </c>
      <c r="C185" s="228" t="s">
        <v>1477</v>
      </c>
      <c r="D185" s="228" t="s">
        <v>109</v>
      </c>
      <c r="E185" s="228" t="s">
        <v>5</v>
      </c>
      <c r="F185" s="228" t="s">
        <v>1785</v>
      </c>
      <c r="G185" s="228">
        <v>129</v>
      </c>
      <c r="H185" s="228" t="s">
        <v>200</v>
      </c>
      <c r="I185" s="228" t="s">
        <v>1786</v>
      </c>
      <c r="J185" s="228" t="s">
        <v>1479</v>
      </c>
      <c r="K185" s="228" t="s">
        <v>1787</v>
      </c>
      <c r="L185" s="228" t="s">
        <v>1788</v>
      </c>
      <c r="M185" s="228" t="s">
        <v>1789</v>
      </c>
      <c r="N185" s="228" t="s">
        <v>1442</v>
      </c>
      <c r="O185" s="157" t="s">
        <v>205</v>
      </c>
      <c r="P185" s="92"/>
      <c r="Q185" s="145" t="s">
        <v>205</v>
      </c>
      <c r="R185" s="92"/>
      <c r="S185" s="145" t="s">
        <v>205</v>
      </c>
      <c r="T185" s="92"/>
      <c r="U185" s="145" t="s">
        <v>205</v>
      </c>
      <c r="V185" s="92"/>
      <c r="W185" s="145" t="s">
        <v>205</v>
      </c>
      <c r="X185" s="92"/>
      <c r="Y185" s="145" t="s">
        <v>62</v>
      </c>
      <c r="Z185" s="92"/>
      <c r="AA185" s="145" t="s">
        <v>205</v>
      </c>
      <c r="AB185" s="92"/>
      <c r="AC185" s="145" t="s">
        <v>205</v>
      </c>
      <c r="AD185" s="92"/>
      <c r="AE185" s="145" t="s">
        <v>205</v>
      </c>
      <c r="AF185" s="142" t="str">
        <f t="shared" si="11"/>
        <v>C</v>
      </c>
      <c r="AG185" s="190" t="str">
        <f t="shared" si="10"/>
        <v>UTILIZOU O PDA CORRETAMENTE</v>
      </c>
      <c r="AH185" s="145" t="s">
        <v>205</v>
      </c>
      <c r="AI185" s="153" t="s">
        <v>6</v>
      </c>
      <c r="AJ185" s="150" t="str">
        <f t="shared" si="9"/>
        <v>SÃO PAULO</v>
      </c>
      <c r="AK185" s="154" t="s">
        <v>60</v>
      </c>
    </row>
    <row r="186" spans="1:37" ht="30" customHeight="1">
      <c r="A186" s="215" t="s">
        <v>198</v>
      </c>
      <c r="B186" s="215">
        <v>2620840664</v>
      </c>
      <c r="C186" s="215" t="s">
        <v>1452</v>
      </c>
      <c r="D186" s="215" t="s">
        <v>111</v>
      </c>
      <c r="E186" s="215" t="s">
        <v>5</v>
      </c>
      <c r="F186" s="215" t="s">
        <v>1790</v>
      </c>
      <c r="G186" s="215">
        <v>75</v>
      </c>
      <c r="H186" s="215" t="s">
        <v>387</v>
      </c>
      <c r="I186" s="215" t="s">
        <v>289</v>
      </c>
      <c r="J186" s="215" t="s">
        <v>1454</v>
      </c>
      <c r="K186" s="215" t="s">
        <v>1791</v>
      </c>
      <c r="L186" s="215" t="s">
        <v>1792</v>
      </c>
      <c r="M186" s="215" t="s">
        <v>1793</v>
      </c>
      <c r="N186" s="215" t="s">
        <v>1426</v>
      </c>
      <c r="O186" s="157" t="s">
        <v>205</v>
      </c>
      <c r="P186" s="92"/>
      <c r="Q186" s="145" t="s">
        <v>205</v>
      </c>
      <c r="R186" s="92"/>
      <c r="S186" s="145" t="s">
        <v>205</v>
      </c>
      <c r="T186" s="92"/>
      <c r="U186" s="145" t="s">
        <v>205</v>
      </c>
      <c r="V186" s="92"/>
      <c r="W186" s="145" t="s">
        <v>62</v>
      </c>
      <c r="X186" s="92"/>
      <c r="Y186" s="145" t="s">
        <v>62</v>
      </c>
      <c r="Z186" s="92"/>
      <c r="AA186" s="145" t="s">
        <v>205</v>
      </c>
      <c r="AB186" s="92"/>
      <c r="AC186" s="145" t="s">
        <v>205</v>
      </c>
      <c r="AD186" s="92"/>
      <c r="AE186" s="145" t="s">
        <v>205</v>
      </c>
      <c r="AF186" s="142" t="str">
        <f t="shared" si="11"/>
        <v>C</v>
      </c>
      <c r="AG186" s="190" t="str">
        <f t="shared" si="10"/>
        <v>UTILIZOU O PDA CORRETAMENTE</v>
      </c>
      <c r="AH186" s="145" t="s">
        <v>205</v>
      </c>
      <c r="AI186" s="153" t="s">
        <v>6</v>
      </c>
      <c r="AJ186" s="150" t="str">
        <f t="shared" si="9"/>
        <v>SÃO PAULO</v>
      </c>
      <c r="AK186" s="154" t="s">
        <v>60</v>
      </c>
    </row>
    <row r="187" spans="1:37" ht="30" customHeight="1">
      <c r="A187" s="215" t="s">
        <v>198</v>
      </c>
      <c r="B187" s="215">
        <v>2620841188</v>
      </c>
      <c r="C187" s="215" t="s">
        <v>1452</v>
      </c>
      <c r="D187" s="215" t="s">
        <v>111</v>
      </c>
      <c r="E187" s="215" t="s">
        <v>5</v>
      </c>
      <c r="F187" s="215" t="s">
        <v>1504</v>
      </c>
      <c r="G187" s="215">
        <v>240</v>
      </c>
      <c r="H187" s="215"/>
      <c r="I187" s="215" t="s">
        <v>1505</v>
      </c>
      <c r="J187" s="215" t="s">
        <v>1454</v>
      </c>
      <c r="K187" s="215" t="s">
        <v>1794</v>
      </c>
      <c r="L187" s="215" t="s">
        <v>1795</v>
      </c>
      <c r="M187" s="215" t="s">
        <v>1796</v>
      </c>
      <c r="N187" s="215" t="s">
        <v>1426</v>
      </c>
      <c r="O187" s="157" t="s">
        <v>205</v>
      </c>
      <c r="P187" s="92"/>
      <c r="Q187" s="145" t="s">
        <v>205</v>
      </c>
      <c r="R187" s="92"/>
      <c r="S187" s="145" t="s">
        <v>205</v>
      </c>
      <c r="T187" s="92"/>
      <c r="U187" s="145" t="s">
        <v>205</v>
      </c>
      <c r="V187" s="92"/>
      <c r="W187" s="145" t="s">
        <v>62</v>
      </c>
      <c r="X187" s="92"/>
      <c r="Y187" s="145" t="s">
        <v>62</v>
      </c>
      <c r="Z187" s="92"/>
      <c r="AA187" s="145" t="s">
        <v>205</v>
      </c>
      <c r="AB187" s="92"/>
      <c r="AC187" s="145" t="s">
        <v>205</v>
      </c>
      <c r="AD187" s="92"/>
      <c r="AE187" s="145" t="s">
        <v>205</v>
      </c>
      <c r="AF187" s="142" t="str">
        <f t="shared" si="11"/>
        <v>C</v>
      </c>
      <c r="AG187" s="190" t="str">
        <f t="shared" si="10"/>
        <v>UTILIZOU O PDA CORRETAMENTE</v>
      </c>
      <c r="AH187" s="145" t="s">
        <v>205</v>
      </c>
      <c r="AI187" s="153" t="s">
        <v>6</v>
      </c>
      <c r="AJ187" s="150" t="str">
        <f t="shared" si="9"/>
        <v>SÃO PAULO</v>
      </c>
      <c r="AK187" s="154" t="s">
        <v>60</v>
      </c>
    </row>
    <row r="188" spans="1:37" ht="30" customHeight="1">
      <c r="A188" s="215" t="s">
        <v>198</v>
      </c>
      <c r="B188" s="215">
        <v>2620894763</v>
      </c>
      <c r="C188" s="215" t="s">
        <v>122</v>
      </c>
      <c r="D188" s="215" t="s">
        <v>111</v>
      </c>
      <c r="E188" s="215" t="s">
        <v>5</v>
      </c>
      <c r="F188" s="215" t="s">
        <v>218</v>
      </c>
      <c r="G188" s="215">
        <v>517</v>
      </c>
      <c r="H188" s="215" t="s">
        <v>200</v>
      </c>
      <c r="I188" s="215" t="s">
        <v>219</v>
      </c>
      <c r="J188" s="215" t="s">
        <v>1451</v>
      </c>
      <c r="K188" s="215" t="s">
        <v>1797</v>
      </c>
      <c r="L188" s="215" t="s">
        <v>1115</v>
      </c>
      <c r="M188" s="215" t="s">
        <v>1798</v>
      </c>
      <c r="N188" s="215" t="s">
        <v>1426</v>
      </c>
      <c r="O188" s="157" t="s">
        <v>205</v>
      </c>
      <c r="P188" s="92"/>
      <c r="Q188" s="145" t="s">
        <v>205</v>
      </c>
      <c r="R188" s="92"/>
      <c r="S188" s="145" t="s">
        <v>205</v>
      </c>
      <c r="T188" s="92"/>
      <c r="U188" s="145" t="s">
        <v>205</v>
      </c>
      <c r="V188" s="92"/>
      <c r="W188" s="145" t="s">
        <v>62</v>
      </c>
      <c r="X188" s="92"/>
      <c r="Y188" s="145" t="s">
        <v>62</v>
      </c>
      <c r="Z188" s="92"/>
      <c r="AA188" s="145" t="s">
        <v>205</v>
      </c>
      <c r="AB188" s="92"/>
      <c r="AC188" s="145" t="s">
        <v>205</v>
      </c>
      <c r="AD188" s="92"/>
      <c r="AE188" s="145" t="s">
        <v>205</v>
      </c>
      <c r="AF188" s="142" t="str">
        <f t="shared" si="11"/>
        <v>C</v>
      </c>
      <c r="AG188" s="190" t="str">
        <f t="shared" si="10"/>
        <v>UTILIZOU O PDA CORRETAMENTE</v>
      </c>
      <c r="AH188" s="145" t="s">
        <v>205</v>
      </c>
      <c r="AI188" s="153" t="s">
        <v>6</v>
      </c>
      <c r="AJ188" s="150" t="str">
        <f t="shared" si="9"/>
        <v>SÃO PAULO</v>
      </c>
      <c r="AK188" s="154" t="s">
        <v>60</v>
      </c>
    </row>
    <row r="189" spans="1:37" ht="30" customHeight="1">
      <c r="A189" s="215" t="s">
        <v>198</v>
      </c>
      <c r="B189" s="215">
        <v>2621042253</v>
      </c>
      <c r="C189" s="215" t="s">
        <v>123</v>
      </c>
      <c r="D189" s="215" t="s">
        <v>109</v>
      </c>
      <c r="E189" s="215" t="s">
        <v>5</v>
      </c>
      <c r="F189" s="215" t="s">
        <v>1216</v>
      </c>
      <c r="G189" s="215">
        <v>25</v>
      </c>
      <c r="H189" s="215" t="s">
        <v>200</v>
      </c>
      <c r="I189" s="215" t="s">
        <v>497</v>
      </c>
      <c r="J189" s="215" t="s">
        <v>1409</v>
      </c>
      <c r="K189" s="215" t="s">
        <v>1799</v>
      </c>
      <c r="L189" s="215" t="s">
        <v>1800</v>
      </c>
      <c r="M189" s="215" t="s">
        <v>1801</v>
      </c>
      <c r="N189" s="215" t="s">
        <v>1442</v>
      </c>
      <c r="O189" s="157" t="s">
        <v>205</v>
      </c>
      <c r="P189" s="92"/>
      <c r="Q189" s="145" t="s">
        <v>205</v>
      </c>
      <c r="R189" s="92"/>
      <c r="S189" s="145" t="s">
        <v>205</v>
      </c>
      <c r="T189" s="92"/>
      <c r="U189" s="145" t="s">
        <v>205</v>
      </c>
      <c r="V189" s="92"/>
      <c r="W189" s="145" t="s">
        <v>205</v>
      </c>
      <c r="X189" s="92"/>
      <c r="Y189" s="145" t="s">
        <v>205</v>
      </c>
      <c r="Z189" s="92"/>
      <c r="AA189" s="145" t="s">
        <v>205</v>
      </c>
      <c r="AB189" s="92"/>
      <c r="AC189" s="145" t="s">
        <v>205</v>
      </c>
      <c r="AD189" s="92"/>
      <c r="AE189" s="145" t="s">
        <v>205</v>
      </c>
      <c r="AF189" s="142" t="str">
        <f t="shared" si="11"/>
        <v>C</v>
      </c>
      <c r="AG189" s="190" t="str">
        <f t="shared" si="10"/>
        <v>UTILIZOU O PDA CORRETAMENTE</v>
      </c>
      <c r="AH189" s="145" t="s">
        <v>205</v>
      </c>
      <c r="AI189" s="153" t="s">
        <v>6</v>
      </c>
      <c r="AJ189" s="150" t="str">
        <f t="shared" si="9"/>
        <v>SÃO PAULO</v>
      </c>
      <c r="AK189" s="154" t="s">
        <v>60</v>
      </c>
    </row>
    <row r="190" spans="1:37" ht="30" customHeight="1">
      <c r="A190" s="215" t="s">
        <v>198</v>
      </c>
      <c r="B190" s="215">
        <v>2621072420</v>
      </c>
      <c r="C190" s="215" t="s">
        <v>1486</v>
      </c>
      <c r="D190" s="215" t="s">
        <v>112</v>
      </c>
      <c r="E190" s="215" t="s">
        <v>5</v>
      </c>
      <c r="F190" s="215" t="s">
        <v>1802</v>
      </c>
      <c r="G190" s="215">
        <v>111</v>
      </c>
      <c r="H190" s="215"/>
      <c r="I190" s="215" t="s">
        <v>343</v>
      </c>
      <c r="J190" s="215" t="s">
        <v>1571</v>
      </c>
      <c r="K190" s="215"/>
      <c r="L190" s="215" t="s">
        <v>1803</v>
      </c>
      <c r="M190" s="215" t="s">
        <v>1804</v>
      </c>
      <c r="N190" s="215" t="s">
        <v>217</v>
      </c>
      <c r="O190" s="157" t="s">
        <v>205</v>
      </c>
      <c r="P190" s="92"/>
      <c r="Q190" s="145" t="s">
        <v>205</v>
      </c>
      <c r="R190" s="92"/>
      <c r="S190" s="145" t="s">
        <v>205</v>
      </c>
      <c r="T190" s="92"/>
      <c r="U190" s="145" t="s">
        <v>62</v>
      </c>
      <c r="V190" s="92"/>
      <c r="W190" s="145" t="s">
        <v>62</v>
      </c>
      <c r="X190" s="92"/>
      <c r="Y190" s="145" t="s">
        <v>62</v>
      </c>
      <c r="Z190" s="92"/>
      <c r="AA190" s="145" t="s">
        <v>205</v>
      </c>
      <c r="AB190" s="92"/>
      <c r="AC190" s="145" t="s">
        <v>205</v>
      </c>
      <c r="AD190" s="92"/>
      <c r="AE190" s="145" t="s">
        <v>205</v>
      </c>
      <c r="AF190" s="142" t="str">
        <f t="shared" si="11"/>
        <v>C</v>
      </c>
      <c r="AG190" s="333" t="str">
        <f t="shared" si="10"/>
        <v>UTILIZOU O PDA CORRETAMENTE</v>
      </c>
      <c r="AH190" s="145" t="s">
        <v>205</v>
      </c>
      <c r="AI190" s="283" t="s">
        <v>6</v>
      </c>
      <c r="AJ190" s="282" t="str">
        <f t="shared" si="9"/>
        <v>SÃO PAULO</v>
      </c>
      <c r="AK190" s="334" t="s">
        <v>60</v>
      </c>
    </row>
    <row r="191" spans="1:37" ht="30" customHeight="1">
      <c r="A191" s="228" t="s">
        <v>198</v>
      </c>
      <c r="B191" s="228">
        <v>2620845664</v>
      </c>
      <c r="C191" s="228" t="s">
        <v>123</v>
      </c>
      <c r="D191" s="228" t="s">
        <v>109</v>
      </c>
      <c r="E191" s="228" t="s">
        <v>5</v>
      </c>
      <c r="F191" s="228" t="s">
        <v>1805</v>
      </c>
      <c r="G191" s="228">
        <v>124</v>
      </c>
      <c r="H191" s="228" t="s">
        <v>318</v>
      </c>
      <c r="I191" s="228" t="s">
        <v>251</v>
      </c>
      <c r="J191" s="228" t="s">
        <v>1409</v>
      </c>
      <c r="K191" s="229" t="s">
        <v>1806</v>
      </c>
      <c r="L191" s="228" t="s">
        <v>1807</v>
      </c>
      <c r="M191" s="228" t="s">
        <v>1130</v>
      </c>
      <c r="N191" s="228" t="s">
        <v>1426</v>
      </c>
      <c r="O191" s="157" t="s">
        <v>205</v>
      </c>
      <c r="P191" s="92"/>
      <c r="Q191" s="145" t="s">
        <v>205</v>
      </c>
      <c r="R191" s="92"/>
      <c r="S191" s="145" t="s">
        <v>205</v>
      </c>
      <c r="T191" s="92"/>
      <c r="U191" s="145" t="s">
        <v>62</v>
      </c>
      <c r="V191" s="92"/>
      <c r="W191" s="145" t="s">
        <v>62</v>
      </c>
      <c r="X191" s="92"/>
      <c r="Y191" s="145" t="s">
        <v>62</v>
      </c>
      <c r="Z191" s="92"/>
      <c r="AA191" s="145" t="s">
        <v>205</v>
      </c>
      <c r="AB191" s="92"/>
      <c r="AC191" s="145" t="s">
        <v>205</v>
      </c>
      <c r="AD191" s="92"/>
      <c r="AE191" s="145" t="s">
        <v>205</v>
      </c>
      <c r="AF191" s="142" t="str">
        <f t="shared" si="11"/>
        <v>C</v>
      </c>
      <c r="AG191" s="190" t="str">
        <f t="shared" si="10"/>
        <v>UTILIZOU O PDA CORRETAMENTE</v>
      </c>
      <c r="AH191" s="145" t="s">
        <v>205</v>
      </c>
      <c r="AI191" s="153" t="s">
        <v>6</v>
      </c>
      <c r="AJ191" s="150" t="str">
        <f t="shared" si="9"/>
        <v>SÃO PAULO</v>
      </c>
      <c r="AK191" s="154" t="s">
        <v>60</v>
      </c>
    </row>
    <row r="192" spans="1:37" ht="30" customHeight="1">
      <c r="A192" s="215" t="s">
        <v>198</v>
      </c>
      <c r="B192" s="215">
        <v>2621078909</v>
      </c>
      <c r="C192" s="215" t="s">
        <v>118</v>
      </c>
      <c r="D192" s="215" t="s">
        <v>110</v>
      </c>
      <c r="E192" s="215" t="s">
        <v>5</v>
      </c>
      <c r="F192" s="215" t="s">
        <v>440</v>
      </c>
      <c r="G192" s="215">
        <v>407</v>
      </c>
      <c r="H192" s="215" t="s">
        <v>226</v>
      </c>
      <c r="I192" s="215" t="s">
        <v>274</v>
      </c>
      <c r="J192" s="215" t="s">
        <v>118</v>
      </c>
      <c r="K192" s="215" t="s">
        <v>1634</v>
      </c>
      <c r="L192" s="215" t="s">
        <v>1808</v>
      </c>
      <c r="M192" s="215" t="s">
        <v>1809</v>
      </c>
      <c r="N192" s="215" t="s">
        <v>1442</v>
      </c>
      <c r="O192" s="157" t="s">
        <v>205</v>
      </c>
      <c r="P192" s="92"/>
      <c r="Q192" s="145" t="s">
        <v>205</v>
      </c>
      <c r="R192" s="92"/>
      <c r="S192" s="145" t="s">
        <v>205</v>
      </c>
      <c r="T192" s="92"/>
      <c r="U192" s="145" t="s">
        <v>205</v>
      </c>
      <c r="V192" s="92"/>
      <c r="W192" s="145" t="s">
        <v>205</v>
      </c>
      <c r="X192" s="92"/>
      <c r="Y192" s="145" t="s">
        <v>205</v>
      </c>
      <c r="Z192" s="92"/>
      <c r="AA192" s="145" t="s">
        <v>205</v>
      </c>
      <c r="AB192" s="92"/>
      <c r="AC192" s="145" t="s">
        <v>205</v>
      </c>
      <c r="AD192" s="92"/>
      <c r="AE192" s="145" t="s">
        <v>205</v>
      </c>
      <c r="AF192" s="142" t="str">
        <f t="shared" si="11"/>
        <v>C</v>
      </c>
      <c r="AG192" s="190" t="str">
        <f t="shared" si="10"/>
        <v>UTILIZOU O PDA CORRETAMENTE</v>
      </c>
      <c r="AH192" s="145" t="s">
        <v>205</v>
      </c>
      <c r="AI192" s="153" t="s">
        <v>6</v>
      </c>
      <c r="AJ192" s="150" t="str">
        <f t="shared" si="9"/>
        <v>SÃO PAULO</v>
      </c>
      <c r="AK192" s="154" t="s">
        <v>60</v>
      </c>
    </row>
    <row r="193" spans="1:37" ht="30" customHeight="1">
      <c r="A193" s="215" t="s">
        <v>198</v>
      </c>
      <c r="B193" s="215">
        <v>2621075985</v>
      </c>
      <c r="C193" s="215" t="s">
        <v>122</v>
      </c>
      <c r="D193" s="215" t="s">
        <v>111</v>
      </c>
      <c r="E193" s="215" t="s">
        <v>5</v>
      </c>
      <c r="F193" s="215" t="s">
        <v>1810</v>
      </c>
      <c r="G193" s="215">
        <v>478</v>
      </c>
      <c r="H193" s="215"/>
      <c r="I193" s="215" t="s">
        <v>215</v>
      </c>
      <c r="J193" s="215" t="s">
        <v>1451</v>
      </c>
      <c r="K193" s="215"/>
      <c r="L193" s="215" t="s">
        <v>1811</v>
      </c>
      <c r="M193" s="215" t="s">
        <v>1812</v>
      </c>
      <c r="N193" s="215" t="s">
        <v>1426</v>
      </c>
      <c r="O193" s="157" t="s">
        <v>205</v>
      </c>
      <c r="P193" s="92"/>
      <c r="Q193" s="145" t="s">
        <v>205</v>
      </c>
      <c r="R193" s="92"/>
      <c r="S193" s="145" t="s">
        <v>205</v>
      </c>
      <c r="T193" s="92"/>
      <c r="U193" s="145" t="s">
        <v>62</v>
      </c>
      <c r="V193" s="92"/>
      <c r="W193" s="145" t="s">
        <v>62</v>
      </c>
      <c r="X193" s="92"/>
      <c r="Y193" s="145" t="s">
        <v>62</v>
      </c>
      <c r="Z193" s="92"/>
      <c r="AA193" s="145" t="s">
        <v>205</v>
      </c>
      <c r="AB193" s="92"/>
      <c r="AC193" s="145" t="s">
        <v>205</v>
      </c>
      <c r="AD193" s="92"/>
      <c r="AE193" s="145" t="s">
        <v>205</v>
      </c>
      <c r="AF193" s="142" t="str">
        <f t="shared" si="11"/>
        <v>C</v>
      </c>
      <c r="AG193" s="190" t="str">
        <f t="shared" si="10"/>
        <v>UTILIZOU O PDA CORRETAMENTE</v>
      </c>
      <c r="AH193" s="145" t="s">
        <v>205</v>
      </c>
      <c r="AI193" s="153" t="s">
        <v>6</v>
      </c>
      <c r="AJ193" s="150" t="str">
        <f t="shared" si="9"/>
        <v>SÃO PAULO</v>
      </c>
      <c r="AK193" s="154" t="s">
        <v>60</v>
      </c>
    </row>
    <row r="194" spans="1:37" ht="30" customHeight="1">
      <c r="A194" s="215" t="s">
        <v>198</v>
      </c>
      <c r="B194" s="215">
        <v>2621042306</v>
      </c>
      <c r="C194" s="215" t="s">
        <v>1477</v>
      </c>
      <c r="D194" s="215" t="s">
        <v>109</v>
      </c>
      <c r="E194" s="215" t="s">
        <v>5</v>
      </c>
      <c r="F194" s="215" t="s">
        <v>561</v>
      </c>
      <c r="G194" s="215">
        <v>3420</v>
      </c>
      <c r="H194" s="215" t="s">
        <v>1813</v>
      </c>
      <c r="I194" s="215" t="s">
        <v>223</v>
      </c>
      <c r="J194" s="215" t="s">
        <v>1479</v>
      </c>
      <c r="K194" s="219" t="s">
        <v>1449</v>
      </c>
      <c r="L194" s="215" t="s">
        <v>1814</v>
      </c>
      <c r="M194" s="215" t="s">
        <v>1815</v>
      </c>
      <c r="N194" s="215" t="s">
        <v>1426</v>
      </c>
      <c r="O194" s="157" t="s">
        <v>205</v>
      </c>
      <c r="P194" s="92"/>
      <c r="Q194" s="145" t="s">
        <v>205</v>
      </c>
      <c r="R194" s="92"/>
      <c r="S194" s="145" t="s">
        <v>205</v>
      </c>
      <c r="T194" s="92"/>
      <c r="U194" s="145" t="s">
        <v>205</v>
      </c>
      <c r="V194" s="92"/>
      <c r="W194" s="145" t="s">
        <v>205</v>
      </c>
      <c r="X194" s="92"/>
      <c r="Y194" s="145" t="s">
        <v>205</v>
      </c>
      <c r="Z194" s="92"/>
      <c r="AA194" s="145" t="s">
        <v>205</v>
      </c>
      <c r="AB194" s="92"/>
      <c r="AC194" s="145" t="s">
        <v>205</v>
      </c>
      <c r="AD194" s="92"/>
      <c r="AE194" s="145" t="s">
        <v>205</v>
      </c>
      <c r="AF194" s="142" t="str">
        <f t="shared" si="11"/>
        <v>C</v>
      </c>
      <c r="AG194" s="190" t="str">
        <f t="shared" si="10"/>
        <v>UTILIZOU O PDA CORRETAMENTE</v>
      </c>
      <c r="AH194" s="145" t="s">
        <v>205</v>
      </c>
      <c r="AI194" s="153" t="s">
        <v>6</v>
      </c>
      <c r="AJ194" s="150" t="str">
        <f t="shared" si="9"/>
        <v>SÃO PAULO</v>
      </c>
      <c r="AK194" s="154" t="s">
        <v>60</v>
      </c>
    </row>
    <row r="195" spans="1:37" ht="30" customHeight="1">
      <c r="A195" s="215" t="s">
        <v>198</v>
      </c>
      <c r="B195" s="215">
        <v>2620806518</v>
      </c>
      <c r="C195" s="215" t="s">
        <v>121</v>
      </c>
      <c r="D195" s="215" t="s">
        <v>112</v>
      </c>
      <c r="E195" s="215" t="s">
        <v>5</v>
      </c>
      <c r="F195" s="215" t="s">
        <v>1816</v>
      </c>
      <c r="G195" s="215">
        <v>17</v>
      </c>
      <c r="H195" s="215" t="s">
        <v>318</v>
      </c>
      <c r="I195" s="215" t="s">
        <v>849</v>
      </c>
      <c r="J195" s="215" t="s">
        <v>1406</v>
      </c>
      <c r="K195" s="215"/>
      <c r="L195" s="215" t="s">
        <v>1817</v>
      </c>
      <c r="M195" s="215" t="s">
        <v>1818</v>
      </c>
      <c r="N195" s="215" t="s">
        <v>212</v>
      </c>
      <c r="O195" s="157" t="s">
        <v>205</v>
      </c>
      <c r="P195" s="92"/>
      <c r="Q195" s="145" t="s">
        <v>205</v>
      </c>
      <c r="R195" s="92"/>
      <c r="S195" s="145" t="s">
        <v>205</v>
      </c>
      <c r="T195" s="92"/>
      <c r="U195" s="145" t="s">
        <v>62</v>
      </c>
      <c r="V195" s="92"/>
      <c r="W195" s="145" t="s">
        <v>62</v>
      </c>
      <c r="X195" s="92"/>
      <c r="Y195" s="145" t="s">
        <v>62</v>
      </c>
      <c r="Z195" s="92"/>
      <c r="AA195" s="145" t="s">
        <v>206</v>
      </c>
      <c r="AB195" s="92"/>
      <c r="AC195" s="145" t="s">
        <v>205</v>
      </c>
      <c r="AD195" s="92"/>
      <c r="AE195" s="145" t="s">
        <v>205</v>
      </c>
      <c r="AF195" s="142" t="str">
        <f t="shared" si="11"/>
        <v>NC</v>
      </c>
      <c r="AG195" s="190" t="str">
        <f t="shared" si="10"/>
        <v>UTILIZOU O PDA CORRETAMENTE. NÃO HÁ FOTOS DE TODAS AS ETAPAS</v>
      </c>
      <c r="AH195" s="145" t="s">
        <v>205</v>
      </c>
      <c r="AI195" s="153" t="s">
        <v>6</v>
      </c>
      <c r="AJ195" s="150" t="str">
        <f t="shared" si="9"/>
        <v>SÃO PAULO</v>
      </c>
      <c r="AK195" s="154" t="s">
        <v>60</v>
      </c>
    </row>
    <row r="196" spans="1:37" ht="30" customHeight="1">
      <c r="A196" s="215" t="s">
        <v>198</v>
      </c>
      <c r="B196" s="215">
        <v>2621284820</v>
      </c>
      <c r="C196" s="215" t="s">
        <v>1477</v>
      </c>
      <c r="D196" s="215" t="s">
        <v>109</v>
      </c>
      <c r="E196" s="215" t="s">
        <v>5</v>
      </c>
      <c r="F196" s="215" t="s">
        <v>1819</v>
      </c>
      <c r="G196" s="215">
        <v>177</v>
      </c>
      <c r="H196" s="215" t="s">
        <v>200</v>
      </c>
      <c r="I196" s="215" t="s">
        <v>264</v>
      </c>
      <c r="J196" s="215" t="s">
        <v>1479</v>
      </c>
      <c r="K196" s="215" t="s">
        <v>1820</v>
      </c>
      <c r="L196" s="215" t="s">
        <v>1821</v>
      </c>
      <c r="M196" s="215" t="s">
        <v>1822</v>
      </c>
      <c r="N196" s="215" t="s">
        <v>1442</v>
      </c>
      <c r="O196" s="157" t="s">
        <v>205</v>
      </c>
      <c r="P196" s="92"/>
      <c r="Q196" s="145" t="s">
        <v>205</v>
      </c>
      <c r="R196" s="92"/>
      <c r="S196" s="145" t="s">
        <v>205</v>
      </c>
      <c r="T196" s="92"/>
      <c r="U196" s="145" t="s">
        <v>205</v>
      </c>
      <c r="V196" s="92"/>
      <c r="W196" s="145" t="s">
        <v>205</v>
      </c>
      <c r="X196" s="92"/>
      <c r="Y196" s="145" t="s">
        <v>62</v>
      </c>
      <c r="Z196" s="92"/>
      <c r="AA196" s="145" t="s">
        <v>205</v>
      </c>
      <c r="AB196" s="92"/>
      <c r="AC196" s="145" t="s">
        <v>205</v>
      </c>
      <c r="AD196" s="92"/>
      <c r="AE196" s="145" t="s">
        <v>205</v>
      </c>
      <c r="AF196" s="142" t="str">
        <f t="shared" si="11"/>
        <v>C</v>
      </c>
      <c r="AG196" s="190" t="str">
        <f t="shared" si="10"/>
        <v>UTILIZOU O PDA CORRETAMENTE</v>
      </c>
      <c r="AH196" s="145" t="s">
        <v>205</v>
      </c>
      <c r="AI196" s="153" t="s">
        <v>6</v>
      </c>
      <c r="AJ196" s="150" t="str">
        <f t="shared" si="9"/>
        <v>SÃO PAULO</v>
      </c>
      <c r="AK196" s="154" t="s">
        <v>60</v>
      </c>
    </row>
    <row r="197" spans="1:37" ht="30" customHeight="1">
      <c r="A197" s="215" t="s">
        <v>198</v>
      </c>
      <c r="B197" s="215">
        <v>2621284991</v>
      </c>
      <c r="C197" s="215" t="s">
        <v>123</v>
      </c>
      <c r="D197" s="215" t="s">
        <v>109</v>
      </c>
      <c r="E197" s="215" t="s">
        <v>5</v>
      </c>
      <c r="F197" s="215" t="s">
        <v>534</v>
      </c>
      <c r="G197" s="215">
        <v>351</v>
      </c>
      <c r="H197" s="215"/>
      <c r="I197" s="215" t="s">
        <v>535</v>
      </c>
      <c r="J197" s="215" t="s">
        <v>1409</v>
      </c>
      <c r="K197" s="215" t="s">
        <v>1823</v>
      </c>
      <c r="L197" s="215" t="s">
        <v>1824</v>
      </c>
      <c r="M197" s="215" t="s">
        <v>1825</v>
      </c>
      <c r="N197" s="215" t="s">
        <v>1442</v>
      </c>
      <c r="O197" s="157" t="s">
        <v>205</v>
      </c>
      <c r="P197" s="92"/>
      <c r="Q197" s="145" t="s">
        <v>205</v>
      </c>
      <c r="R197" s="92"/>
      <c r="S197" s="145" t="s">
        <v>205</v>
      </c>
      <c r="T197" s="92"/>
      <c r="U197" s="145" t="s">
        <v>205</v>
      </c>
      <c r="V197" s="92"/>
      <c r="W197" s="145" t="s">
        <v>205</v>
      </c>
      <c r="X197" s="92"/>
      <c r="Y197" s="145" t="s">
        <v>205</v>
      </c>
      <c r="Z197" s="92"/>
      <c r="AA197" s="145" t="s">
        <v>205</v>
      </c>
      <c r="AB197" s="92"/>
      <c r="AC197" s="145" t="s">
        <v>205</v>
      </c>
      <c r="AD197" s="92"/>
      <c r="AE197" s="145" t="s">
        <v>205</v>
      </c>
      <c r="AF197" s="142" t="str">
        <f t="shared" si="11"/>
        <v>C</v>
      </c>
      <c r="AG197" s="190" t="str">
        <f t="shared" si="10"/>
        <v>UTILIZOU O PDA CORRETAMENTE</v>
      </c>
      <c r="AH197" s="145" t="s">
        <v>205</v>
      </c>
      <c r="AI197" s="153" t="s">
        <v>6</v>
      </c>
      <c r="AJ197" s="150" t="str">
        <f t="shared" si="9"/>
        <v>SÃO PAULO</v>
      </c>
      <c r="AK197" s="154" t="s">
        <v>60</v>
      </c>
    </row>
    <row r="198" spans="1:37" ht="30" customHeight="1">
      <c r="A198" s="215" t="s">
        <v>198</v>
      </c>
      <c r="B198" s="215">
        <v>2621363549</v>
      </c>
      <c r="C198" s="215" t="s">
        <v>116</v>
      </c>
      <c r="D198" s="215" t="s">
        <v>109</v>
      </c>
      <c r="E198" s="215" t="s">
        <v>5</v>
      </c>
      <c r="F198" s="215" t="s">
        <v>534</v>
      </c>
      <c r="G198" s="215">
        <v>351</v>
      </c>
      <c r="H198" s="215" t="s">
        <v>200</v>
      </c>
      <c r="I198" s="215" t="s">
        <v>535</v>
      </c>
      <c r="J198" s="215" t="s">
        <v>1448</v>
      </c>
      <c r="K198" s="215" t="s">
        <v>1826</v>
      </c>
      <c r="L198" s="215" t="s">
        <v>1169</v>
      </c>
      <c r="M198" s="215" t="s">
        <v>1213</v>
      </c>
      <c r="N198" s="215" t="s">
        <v>1442</v>
      </c>
      <c r="O198" s="157" t="s">
        <v>205</v>
      </c>
      <c r="P198" s="92"/>
      <c r="Q198" s="145" t="s">
        <v>205</v>
      </c>
      <c r="R198" s="92"/>
      <c r="S198" s="145" t="s">
        <v>205</v>
      </c>
      <c r="T198" s="92"/>
      <c r="U198" s="145" t="s">
        <v>205</v>
      </c>
      <c r="V198" s="92"/>
      <c r="W198" s="145" t="s">
        <v>205</v>
      </c>
      <c r="X198" s="92"/>
      <c r="Y198" s="145" t="s">
        <v>205</v>
      </c>
      <c r="Z198" s="92"/>
      <c r="AA198" s="145" t="s">
        <v>205</v>
      </c>
      <c r="AB198" s="92"/>
      <c r="AC198" s="145" t="s">
        <v>205</v>
      </c>
      <c r="AD198" s="92"/>
      <c r="AE198" s="145" t="s">
        <v>205</v>
      </c>
      <c r="AF198" s="142" t="str">
        <f t="shared" si="11"/>
        <v>C</v>
      </c>
      <c r="AG198" s="190" t="str">
        <f t="shared" si="10"/>
        <v>UTILIZOU O PDA CORRETAMENTE</v>
      </c>
      <c r="AH198" s="145" t="s">
        <v>205</v>
      </c>
      <c r="AI198" s="153" t="s">
        <v>6</v>
      </c>
      <c r="AJ198" s="150" t="str">
        <f t="shared" si="9"/>
        <v>SÃO PAULO</v>
      </c>
      <c r="AK198" s="154" t="s">
        <v>60</v>
      </c>
    </row>
    <row r="199" spans="1:37" ht="30" customHeight="1">
      <c r="A199" s="215" t="s">
        <v>198</v>
      </c>
      <c r="B199" s="215">
        <v>2621275387</v>
      </c>
      <c r="C199" s="215" t="s">
        <v>1486</v>
      </c>
      <c r="D199" s="215" t="s">
        <v>112</v>
      </c>
      <c r="E199" s="215" t="s">
        <v>5</v>
      </c>
      <c r="F199" s="215" t="s">
        <v>940</v>
      </c>
      <c r="G199" s="215">
        <v>3764</v>
      </c>
      <c r="H199" s="215" t="s">
        <v>318</v>
      </c>
      <c r="I199" s="215" t="s">
        <v>289</v>
      </c>
      <c r="J199" s="215" t="s">
        <v>1487</v>
      </c>
      <c r="K199" s="215" t="s">
        <v>1827</v>
      </c>
      <c r="L199" s="215" t="s">
        <v>1818</v>
      </c>
      <c r="M199" s="215" t="s">
        <v>1828</v>
      </c>
      <c r="N199" s="215" t="s">
        <v>212</v>
      </c>
      <c r="O199" s="157" t="s">
        <v>206</v>
      </c>
      <c r="P199" s="92"/>
      <c r="Q199" s="145" t="s">
        <v>206</v>
      </c>
      <c r="R199" s="92"/>
      <c r="S199" s="145" t="s">
        <v>206</v>
      </c>
      <c r="T199" s="92"/>
      <c r="U199" s="145" t="s">
        <v>206</v>
      </c>
      <c r="V199" s="92"/>
      <c r="W199" s="145" t="s">
        <v>206</v>
      </c>
      <c r="X199" s="92"/>
      <c r="Y199" s="145" t="s">
        <v>206</v>
      </c>
      <c r="Z199" s="92"/>
      <c r="AA199" s="145" t="s">
        <v>206</v>
      </c>
      <c r="AB199" s="92"/>
      <c r="AC199" s="145" t="s">
        <v>206</v>
      </c>
      <c r="AD199" s="92" t="s">
        <v>1829</v>
      </c>
      <c r="AE199" s="145" t="s">
        <v>239</v>
      </c>
      <c r="AF199" s="142" t="str">
        <f t="shared" si="11"/>
        <v>NC</v>
      </c>
      <c r="AG199" s="190" t="str">
        <f t="shared" si="10"/>
        <v>NÃO UTILIZOU O PDA</v>
      </c>
      <c r="AH199" s="145" t="s">
        <v>205</v>
      </c>
      <c r="AI199" s="153" t="s">
        <v>6</v>
      </c>
      <c r="AJ199" s="150" t="str">
        <f t="shared" ref="AJ199:AJ262" si="12">E199</f>
        <v>SÃO PAULO</v>
      </c>
      <c r="AK199" s="154" t="s">
        <v>60</v>
      </c>
    </row>
    <row r="200" spans="1:37" ht="30" customHeight="1">
      <c r="A200" s="215" t="s">
        <v>198</v>
      </c>
      <c r="B200" s="215">
        <v>2620572544</v>
      </c>
      <c r="C200" s="215" t="s">
        <v>121</v>
      </c>
      <c r="D200" s="215" t="s">
        <v>112</v>
      </c>
      <c r="E200" s="215" t="s">
        <v>5</v>
      </c>
      <c r="F200" s="215" t="s">
        <v>1830</v>
      </c>
      <c r="G200" s="215">
        <v>2220</v>
      </c>
      <c r="H200" s="215" t="s">
        <v>200</v>
      </c>
      <c r="I200" s="215" t="s">
        <v>1831</v>
      </c>
      <c r="J200" s="215" t="s">
        <v>1406</v>
      </c>
      <c r="K200" s="215" t="s">
        <v>200</v>
      </c>
      <c r="L200" s="215" t="s">
        <v>1832</v>
      </c>
      <c r="M200" s="215" t="s">
        <v>1833</v>
      </c>
      <c r="N200" s="215" t="s">
        <v>297</v>
      </c>
      <c r="O200" s="157" t="s">
        <v>205</v>
      </c>
      <c r="P200" s="92"/>
      <c r="Q200" s="145" t="s">
        <v>205</v>
      </c>
      <c r="R200" s="92"/>
      <c r="S200" s="145" t="s">
        <v>62</v>
      </c>
      <c r="T200" s="92"/>
      <c r="U200" s="145" t="s">
        <v>62</v>
      </c>
      <c r="V200" s="92"/>
      <c r="W200" s="145" t="s">
        <v>62</v>
      </c>
      <c r="X200" s="92"/>
      <c r="Y200" s="145" t="s">
        <v>62</v>
      </c>
      <c r="Z200" s="92"/>
      <c r="AA200" s="145" t="s">
        <v>206</v>
      </c>
      <c r="AB200" s="92"/>
      <c r="AC200" s="145" t="s">
        <v>205</v>
      </c>
      <c r="AD200" s="92"/>
      <c r="AE200" s="145" t="s">
        <v>205</v>
      </c>
      <c r="AF200" s="142" t="str">
        <f t="shared" si="11"/>
        <v>NC</v>
      </c>
      <c r="AG200" s="190" t="str">
        <f t="shared" si="10"/>
        <v>UTILIZOU O PDA CORRETAMENTE. NÃO HÁ FOTOS DE TODAS AS ETAPAS</v>
      </c>
      <c r="AH200" s="145" t="s">
        <v>205</v>
      </c>
      <c r="AI200" s="153" t="s">
        <v>6</v>
      </c>
      <c r="AJ200" s="150" t="str">
        <f t="shared" si="12"/>
        <v>SÃO PAULO</v>
      </c>
      <c r="AK200" s="154" t="s">
        <v>60</v>
      </c>
    </row>
    <row r="201" spans="1:37" ht="30" customHeight="1">
      <c r="A201" s="215" t="s">
        <v>198</v>
      </c>
      <c r="B201" s="215">
        <v>2621277656</v>
      </c>
      <c r="C201" s="215" t="s">
        <v>1486</v>
      </c>
      <c r="D201" s="215" t="s">
        <v>112</v>
      </c>
      <c r="E201" s="215" t="s">
        <v>5</v>
      </c>
      <c r="F201" s="215" t="s">
        <v>940</v>
      </c>
      <c r="G201" s="215">
        <v>3726</v>
      </c>
      <c r="H201" s="215" t="s">
        <v>226</v>
      </c>
      <c r="I201" s="215" t="s">
        <v>1173</v>
      </c>
      <c r="J201" s="215" t="s">
        <v>1487</v>
      </c>
      <c r="K201" s="215" t="s">
        <v>1827</v>
      </c>
      <c r="L201" s="215" t="s">
        <v>1834</v>
      </c>
      <c r="M201" s="215" t="s">
        <v>1835</v>
      </c>
      <c r="N201" s="215" t="s">
        <v>212</v>
      </c>
      <c r="O201" s="157" t="s">
        <v>205</v>
      </c>
      <c r="P201" s="92"/>
      <c r="Q201" s="145" t="s">
        <v>205</v>
      </c>
      <c r="R201" s="92"/>
      <c r="S201" s="145" t="s">
        <v>205</v>
      </c>
      <c r="T201" s="92"/>
      <c r="U201" s="145" t="s">
        <v>62</v>
      </c>
      <c r="V201" s="92"/>
      <c r="W201" s="145" t="s">
        <v>62</v>
      </c>
      <c r="X201" s="92"/>
      <c r="Y201" s="145" t="s">
        <v>62</v>
      </c>
      <c r="Z201" s="92"/>
      <c r="AA201" s="145" t="s">
        <v>206</v>
      </c>
      <c r="AB201" s="92"/>
      <c r="AC201" s="145" t="s">
        <v>205</v>
      </c>
      <c r="AD201" s="92"/>
      <c r="AE201" s="145" t="s">
        <v>205</v>
      </c>
      <c r="AF201" s="142" t="str">
        <f t="shared" si="11"/>
        <v>NC</v>
      </c>
      <c r="AG201" s="190" t="str">
        <f t="shared" si="10"/>
        <v>UTILIZOU O PDA CORRETAMENTE. NÃO HÁ FOTOS DE TODAS AS ETAPAS</v>
      </c>
      <c r="AH201" s="145" t="s">
        <v>205</v>
      </c>
      <c r="AI201" s="153" t="s">
        <v>6</v>
      </c>
      <c r="AJ201" s="150" t="str">
        <f t="shared" si="12"/>
        <v>SÃO PAULO</v>
      </c>
      <c r="AK201" s="154" t="s">
        <v>60</v>
      </c>
    </row>
    <row r="202" spans="1:37" ht="30" customHeight="1">
      <c r="A202" s="215" t="s">
        <v>198</v>
      </c>
      <c r="B202" s="215">
        <v>2620778517</v>
      </c>
      <c r="C202" s="215" t="s">
        <v>121</v>
      </c>
      <c r="D202" s="215" t="s">
        <v>112</v>
      </c>
      <c r="E202" s="215" t="s">
        <v>5</v>
      </c>
      <c r="F202" s="215" t="s">
        <v>1836</v>
      </c>
      <c r="G202" s="215">
        <v>629</v>
      </c>
      <c r="H202" s="215" t="s">
        <v>226</v>
      </c>
      <c r="I202" s="215" t="s">
        <v>1394</v>
      </c>
      <c r="J202" s="215" t="s">
        <v>1511</v>
      </c>
      <c r="K202" s="215" t="s">
        <v>1837</v>
      </c>
      <c r="L202" s="215" t="s">
        <v>1838</v>
      </c>
      <c r="M202" s="215" t="s">
        <v>1839</v>
      </c>
      <c r="N202" s="215" t="s">
        <v>297</v>
      </c>
      <c r="O202" s="157" t="s">
        <v>205</v>
      </c>
      <c r="P202" s="92"/>
      <c r="Q202" s="145" t="s">
        <v>205</v>
      </c>
      <c r="R202" s="92"/>
      <c r="S202" s="145" t="s">
        <v>62</v>
      </c>
      <c r="T202" s="92"/>
      <c r="U202" s="145" t="s">
        <v>62</v>
      </c>
      <c r="V202" s="92"/>
      <c r="W202" s="145" t="s">
        <v>62</v>
      </c>
      <c r="X202" s="92"/>
      <c r="Y202" s="145" t="s">
        <v>62</v>
      </c>
      <c r="Z202" s="92"/>
      <c r="AA202" s="145" t="s">
        <v>206</v>
      </c>
      <c r="AB202" s="92"/>
      <c r="AC202" s="145" t="s">
        <v>205</v>
      </c>
      <c r="AD202" s="92"/>
      <c r="AE202" s="145" t="s">
        <v>205</v>
      </c>
      <c r="AF202" s="142" t="s">
        <v>239</v>
      </c>
      <c r="AG202" s="190" t="str">
        <f t="shared" si="10"/>
        <v>UTILIZOU O PDA CORRETAMENTE. NÃO HÁ FOTOS DE TODAS AS ETAPAS</v>
      </c>
      <c r="AH202" s="145" t="s">
        <v>205</v>
      </c>
      <c r="AI202" s="153" t="s">
        <v>6</v>
      </c>
      <c r="AJ202" s="150" t="str">
        <f t="shared" si="12"/>
        <v>SÃO PAULO</v>
      </c>
      <c r="AK202" s="154" t="s">
        <v>60</v>
      </c>
    </row>
    <row r="203" spans="1:37" ht="30" customHeight="1">
      <c r="A203" s="228" t="s">
        <v>198</v>
      </c>
      <c r="B203" s="228">
        <v>2620778550</v>
      </c>
      <c r="C203" s="228" t="s">
        <v>121</v>
      </c>
      <c r="D203" s="228" t="s">
        <v>112</v>
      </c>
      <c r="E203" s="228" t="s">
        <v>5</v>
      </c>
      <c r="F203" s="228" t="s">
        <v>1836</v>
      </c>
      <c r="G203" s="228">
        <v>605</v>
      </c>
      <c r="H203" s="228" t="s">
        <v>226</v>
      </c>
      <c r="I203" s="228" t="s">
        <v>1394</v>
      </c>
      <c r="J203" s="228" t="s">
        <v>1511</v>
      </c>
      <c r="K203" s="228"/>
      <c r="L203" s="228" t="s">
        <v>1840</v>
      </c>
      <c r="M203" s="228" t="s">
        <v>1841</v>
      </c>
      <c r="N203" s="228" t="s">
        <v>297</v>
      </c>
      <c r="O203" s="157" t="s">
        <v>205</v>
      </c>
      <c r="P203" s="92"/>
      <c r="Q203" s="145" t="s">
        <v>205</v>
      </c>
      <c r="R203" s="92"/>
      <c r="S203" s="145" t="s">
        <v>62</v>
      </c>
      <c r="T203" s="92"/>
      <c r="U203" s="145" t="s">
        <v>62</v>
      </c>
      <c r="V203" s="92"/>
      <c r="W203" s="145" t="s">
        <v>62</v>
      </c>
      <c r="X203" s="92"/>
      <c r="Y203" s="145" t="s">
        <v>62</v>
      </c>
      <c r="Z203" s="92"/>
      <c r="AA203" s="145" t="s">
        <v>206</v>
      </c>
      <c r="AB203" s="92"/>
      <c r="AC203" s="145" t="s">
        <v>205</v>
      </c>
      <c r="AD203" s="92"/>
      <c r="AE203" s="145" t="s">
        <v>205</v>
      </c>
      <c r="AF203" s="142" t="str">
        <f t="shared" si="11"/>
        <v>NC</v>
      </c>
      <c r="AG203" s="190" t="str">
        <f t="shared" si="10"/>
        <v>UTILIZOU O PDA CORRETAMENTE. NÃO HÁ FOTOS DE TODAS AS ETAPAS</v>
      </c>
      <c r="AH203" s="145" t="s">
        <v>205</v>
      </c>
      <c r="AI203" s="153" t="s">
        <v>6</v>
      </c>
      <c r="AJ203" s="150" t="str">
        <f t="shared" si="12"/>
        <v>SÃO PAULO</v>
      </c>
      <c r="AK203" s="154" t="s">
        <v>60</v>
      </c>
    </row>
    <row r="204" spans="1:37" ht="30" customHeight="1">
      <c r="A204" s="215" t="s">
        <v>198</v>
      </c>
      <c r="B204" s="215">
        <v>2620796304</v>
      </c>
      <c r="C204" s="215" t="s">
        <v>1678</v>
      </c>
      <c r="D204" s="215" t="s">
        <v>110</v>
      </c>
      <c r="E204" s="215" t="s">
        <v>5</v>
      </c>
      <c r="F204" s="215" t="s">
        <v>1271</v>
      </c>
      <c r="G204" s="215">
        <v>906</v>
      </c>
      <c r="H204" s="215" t="s">
        <v>200</v>
      </c>
      <c r="I204" s="215" t="s">
        <v>260</v>
      </c>
      <c r="J204" s="215" t="s">
        <v>1679</v>
      </c>
      <c r="K204" s="215" t="s">
        <v>1842</v>
      </c>
      <c r="L204" s="216">
        <v>46163.350694444445</v>
      </c>
      <c r="M204" s="216">
        <v>46163.357638888891</v>
      </c>
      <c r="N204" s="215" t="s">
        <v>1411</v>
      </c>
      <c r="O204" s="157" t="s">
        <v>205</v>
      </c>
      <c r="P204" s="92"/>
      <c r="Q204" s="145" t="s">
        <v>205</v>
      </c>
      <c r="R204" s="92"/>
      <c r="S204" s="145" t="s">
        <v>205</v>
      </c>
      <c r="T204" s="92"/>
      <c r="U204" s="145" t="s">
        <v>205</v>
      </c>
      <c r="V204" s="92"/>
      <c r="W204" s="145" t="s">
        <v>205</v>
      </c>
      <c r="X204" s="92"/>
      <c r="Y204" s="145" t="s">
        <v>205</v>
      </c>
      <c r="Z204" s="92"/>
      <c r="AA204" s="145" t="s">
        <v>205</v>
      </c>
      <c r="AB204" s="92"/>
      <c r="AC204" s="145" t="s">
        <v>205</v>
      </c>
      <c r="AD204" s="92"/>
      <c r="AE204" s="145" t="s">
        <v>205</v>
      </c>
      <c r="AF204" s="142" t="str">
        <f t="shared" si="11"/>
        <v>C</v>
      </c>
      <c r="AG204" s="190" t="str">
        <f t="shared" si="10"/>
        <v>UTILIZOU O PDA CORRETAMENTE</v>
      </c>
      <c r="AH204" s="145" t="s">
        <v>205</v>
      </c>
      <c r="AI204" s="153" t="s">
        <v>6</v>
      </c>
      <c r="AJ204" s="150" t="str">
        <f t="shared" si="12"/>
        <v>SÃO PAULO</v>
      </c>
      <c r="AK204" s="154" t="s">
        <v>60</v>
      </c>
    </row>
    <row r="205" spans="1:37" ht="30" customHeight="1">
      <c r="A205" s="215" t="s">
        <v>198</v>
      </c>
      <c r="B205" s="215">
        <v>2621358245</v>
      </c>
      <c r="C205" s="215" t="s">
        <v>1443</v>
      </c>
      <c r="D205" s="215" t="s">
        <v>112</v>
      </c>
      <c r="E205" s="215" t="s">
        <v>5</v>
      </c>
      <c r="F205" s="215" t="s">
        <v>1843</v>
      </c>
      <c r="G205" s="215">
        <v>277</v>
      </c>
      <c r="H205" s="215"/>
      <c r="I205" s="215" t="s">
        <v>215</v>
      </c>
      <c r="J205" s="215" t="s">
        <v>1445</v>
      </c>
      <c r="K205" s="219" t="s">
        <v>1844</v>
      </c>
      <c r="L205" s="216">
        <v>46163.34375</v>
      </c>
      <c r="M205" s="216">
        <v>46163.350694444445</v>
      </c>
      <c r="N205" s="215" t="s">
        <v>1411</v>
      </c>
      <c r="O205" s="157" t="s">
        <v>205</v>
      </c>
      <c r="P205" s="92"/>
      <c r="Q205" s="145" t="s">
        <v>205</v>
      </c>
      <c r="R205" s="92"/>
      <c r="S205" s="145" t="s">
        <v>205</v>
      </c>
      <c r="T205" s="92"/>
      <c r="U205" s="145" t="s">
        <v>62</v>
      </c>
      <c r="V205" s="92"/>
      <c r="W205" s="145" t="s">
        <v>62</v>
      </c>
      <c r="X205" s="92"/>
      <c r="Y205" s="145" t="s">
        <v>62</v>
      </c>
      <c r="Z205" s="92"/>
      <c r="AA205" s="145" t="s">
        <v>205</v>
      </c>
      <c r="AB205" s="92"/>
      <c r="AC205" s="145" t="s">
        <v>205</v>
      </c>
      <c r="AD205" s="92"/>
      <c r="AE205" s="145" t="s">
        <v>205</v>
      </c>
      <c r="AF205" s="142" t="str">
        <f t="shared" si="11"/>
        <v>C</v>
      </c>
      <c r="AG205" s="190" t="str">
        <f t="shared" si="10"/>
        <v>UTILIZOU O PDA CORRETAMENTE</v>
      </c>
      <c r="AH205" s="145" t="s">
        <v>205</v>
      </c>
      <c r="AI205" s="153" t="s">
        <v>6</v>
      </c>
      <c r="AJ205" s="150" t="str">
        <f t="shared" si="12"/>
        <v>SÃO PAULO</v>
      </c>
      <c r="AK205" s="154" t="s">
        <v>60</v>
      </c>
    </row>
    <row r="206" spans="1:37" ht="30" customHeight="1">
      <c r="A206" s="215" t="s">
        <v>198</v>
      </c>
      <c r="B206" s="215">
        <v>2621369972</v>
      </c>
      <c r="C206" s="215" t="s">
        <v>123</v>
      </c>
      <c r="D206" s="215" t="s">
        <v>109</v>
      </c>
      <c r="E206" s="215" t="s">
        <v>5</v>
      </c>
      <c r="F206" s="215" t="s">
        <v>805</v>
      </c>
      <c r="G206" s="215">
        <v>495</v>
      </c>
      <c r="H206" s="215" t="s">
        <v>200</v>
      </c>
      <c r="I206" s="215" t="s">
        <v>312</v>
      </c>
      <c r="J206" s="215" t="s">
        <v>1409</v>
      </c>
      <c r="K206" s="215" t="s">
        <v>1593</v>
      </c>
      <c r="L206" s="216">
        <v>46163.470138888886</v>
      </c>
      <c r="M206" s="216">
        <v>46163.554861111108</v>
      </c>
      <c r="N206" s="215" t="s">
        <v>1442</v>
      </c>
      <c r="O206" s="157" t="s">
        <v>205</v>
      </c>
      <c r="P206" s="92"/>
      <c r="Q206" s="145" t="s">
        <v>205</v>
      </c>
      <c r="R206" s="92"/>
      <c r="S206" s="145" t="s">
        <v>205</v>
      </c>
      <c r="T206" s="92"/>
      <c r="U206" s="145" t="s">
        <v>205</v>
      </c>
      <c r="V206" s="92"/>
      <c r="W206" s="145" t="s">
        <v>205</v>
      </c>
      <c r="X206" s="92"/>
      <c r="Y206" s="145" t="s">
        <v>205</v>
      </c>
      <c r="Z206" s="92"/>
      <c r="AA206" s="145" t="s">
        <v>205</v>
      </c>
      <c r="AB206" s="92"/>
      <c r="AC206" s="145" t="s">
        <v>205</v>
      </c>
      <c r="AD206" s="92"/>
      <c r="AE206" s="145" t="s">
        <v>205</v>
      </c>
      <c r="AF206" s="142" t="str">
        <f t="shared" si="11"/>
        <v>C</v>
      </c>
      <c r="AG206" s="190" t="str">
        <f t="shared" si="10"/>
        <v>UTILIZOU O PDA CORRETAMENTE</v>
      </c>
      <c r="AH206" s="145" t="s">
        <v>205</v>
      </c>
      <c r="AI206" s="153" t="s">
        <v>6</v>
      </c>
      <c r="AJ206" s="150" t="str">
        <f t="shared" si="12"/>
        <v>SÃO PAULO</v>
      </c>
      <c r="AK206" s="154" t="s">
        <v>60</v>
      </c>
    </row>
    <row r="207" spans="1:37" ht="30" customHeight="1">
      <c r="A207" s="215" t="s">
        <v>198</v>
      </c>
      <c r="B207" s="215">
        <v>2621443963</v>
      </c>
      <c r="C207" s="215" t="s">
        <v>121</v>
      </c>
      <c r="D207" s="215" t="s">
        <v>112</v>
      </c>
      <c r="E207" s="215" t="s">
        <v>5</v>
      </c>
      <c r="F207" s="215" t="s">
        <v>1845</v>
      </c>
      <c r="G207" s="215">
        <v>731</v>
      </c>
      <c r="H207" s="215"/>
      <c r="I207" s="215" t="s">
        <v>289</v>
      </c>
      <c r="J207" s="215" t="s">
        <v>1406</v>
      </c>
      <c r="K207" s="215"/>
      <c r="L207" s="216">
        <v>46163.526388888888</v>
      </c>
      <c r="M207" s="216">
        <v>46163.529166666667</v>
      </c>
      <c r="N207" s="215" t="s">
        <v>217</v>
      </c>
      <c r="O207" s="157" t="s">
        <v>205</v>
      </c>
      <c r="P207" s="92"/>
      <c r="Q207" s="145" t="s">
        <v>205</v>
      </c>
      <c r="R207" s="92"/>
      <c r="S207" s="145" t="s">
        <v>206</v>
      </c>
      <c r="T207" s="92"/>
      <c r="U207" s="145" t="s">
        <v>62</v>
      </c>
      <c r="V207" s="92"/>
      <c r="W207" s="145" t="s">
        <v>62</v>
      </c>
      <c r="X207" s="92"/>
      <c r="Y207" s="145" t="s">
        <v>62</v>
      </c>
      <c r="Z207" s="92"/>
      <c r="AA207" s="145" t="s">
        <v>205</v>
      </c>
      <c r="AB207" s="92"/>
      <c r="AC207" s="145" t="s">
        <v>205</v>
      </c>
      <c r="AD207" s="92"/>
      <c r="AE207" s="145" t="s">
        <v>205</v>
      </c>
      <c r="AF207" s="142" t="str">
        <f t="shared" si="11"/>
        <v>NC</v>
      </c>
      <c r="AG207" s="190" t="str">
        <f t="shared" si="10"/>
        <v>UTILIZOU O PDA CORRETAMENTE. NÃO HÁ FOTOS DE TODAS AS ETAPAS</v>
      </c>
      <c r="AH207" s="145" t="s">
        <v>205</v>
      </c>
      <c r="AI207" s="153" t="s">
        <v>6</v>
      </c>
      <c r="AJ207" s="150" t="str">
        <f t="shared" si="12"/>
        <v>SÃO PAULO</v>
      </c>
      <c r="AK207" s="154" t="s">
        <v>60</v>
      </c>
    </row>
    <row r="208" spans="1:37" ht="30" customHeight="1">
      <c r="A208" s="215" t="s">
        <v>198</v>
      </c>
      <c r="B208" s="215">
        <v>2621365433</v>
      </c>
      <c r="C208" s="215" t="s">
        <v>1490</v>
      </c>
      <c r="D208" s="215" t="s">
        <v>111</v>
      </c>
      <c r="E208" s="215" t="s">
        <v>5</v>
      </c>
      <c r="F208" s="215" t="s">
        <v>1253</v>
      </c>
      <c r="G208" s="215">
        <v>52</v>
      </c>
      <c r="H208" s="215" t="s">
        <v>200</v>
      </c>
      <c r="I208" s="215" t="s">
        <v>246</v>
      </c>
      <c r="J208" s="215" t="s">
        <v>1491</v>
      </c>
      <c r="K208" s="219" t="s">
        <v>1846</v>
      </c>
      <c r="L208" s="216">
        <v>46163.392361111109</v>
      </c>
      <c r="M208" s="216">
        <v>46163.393055555556</v>
      </c>
      <c r="N208" s="215" t="s">
        <v>1429</v>
      </c>
      <c r="O208" s="157" t="s">
        <v>206</v>
      </c>
      <c r="P208" s="92"/>
      <c r="Q208" s="145" t="s">
        <v>206</v>
      </c>
      <c r="R208" s="92"/>
      <c r="S208" s="145" t="s">
        <v>206</v>
      </c>
      <c r="T208" s="92"/>
      <c r="U208" s="145" t="s">
        <v>206</v>
      </c>
      <c r="V208" s="92"/>
      <c r="W208" s="145" t="s">
        <v>206</v>
      </c>
      <c r="X208" s="92"/>
      <c r="Y208" s="145" t="s">
        <v>206</v>
      </c>
      <c r="Z208" s="92"/>
      <c r="AA208" s="145" t="s">
        <v>206</v>
      </c>
      <c r="AB208" s="92"/>
      <c r="AC208" s="145" t="s">
        <v>206</v>
      </c>
      <c r="AD208" s="92" t="s">
        <v>1493</v>
      </c>
      <c r="AE208" s="145" t="s">
        <v>239</v>
      </c>
      <c r="AF208" s="142" t="str">
        <f t="shared" si="11"/>
        <v>NC</v>
      </c>
      <c r="AG208" s="190" t="str">
        <f t="shared" si="10"/>
        <v>NÃO UTILIZOU O PDA</v>
      </c>
      <c r="AH208" s="145"/>
      <c r="AI208" s="153" t="s">
        <v>6</v>
      </c>
      <c r="AJ208" s="150" t="str">
        <f t="shared" si="12"/>
        <v>SÃO PAULO</v>
      </c>
      <c r="AK208" s="154" t="s">
        <v>60</v>
      </c>
    </row>
    <row r="209" spans="1:37" ht="30" customHeight="1">
      <c r="A209" s="215" t="s">
        <v>198</v>
      </c>
      <c r="B209" s="215">
        <v>2621365191</v>
      </c>
      <c r="C209" s="215" t="s">
        <v>1490</v>
      </c>
      <c r="D209" s="215" t="s">
        <v>111</v>
      </c>
      <c r="E209" s="215" t="s">
        <v>5</v>
      </c>
      <c r="F209" s="215" t="s">
        <v>1253</v>
      </c>
      <c r="G209" s="215">
        <v>72</v>
      </c>
      <c r="H209" s="215"/>
      <c r="I209" s="215" t="s">
        <v>246</v>
      </c>
      <c r="J209" s="215" t="s">
        <v>1491</v>
      </c>
      <c r="K209" s="219" t="s">
        <v>1846</v>
      </c>
      <c r="L209" s="216">
        <v>46163.393750000003</v>
      </c>
      <c r="M209" s="216">
        <v>46163.395138888889</v>
      </c>
      <c r="N209" s="215" t="s">
        <v>1429</v>
      </c>
      <c r="O209" s="157" t="s">
        <v>206</v>
      </c>
      <c r="P209" s="92"/>
      <c r="Q209" s="145" t="s">
        <v>206</v>
      </c>
      <c r="R209" s="92"/>
      <c r="S209" s="145" t="s">
        <v>206</v>
      </c>
      <c r="T209" s="92"/>
      <c r="U209" s="145" t="s">
        <v>206</v>
      </c>
      <c r="V209" s="92"/>
      <c r="W209" s="145" t="s">
        <v>206</v>
      </c>
      <c r="X209" s="92"/>
      <c r="Y209" s="145" t="s">
        <v>206</v>
      </c>
      <c r="Z209" s="92"/>
      <c r="AA209" s="145" t="s">
        <v>206</v>
      </c>
      <c r="AB209" s="92"/>
      <c r="AC209" s="145" t="s">
        <v>206</v>
      </c>
      <c r="AD209" s="92" t="s">
        <v>1493</v>
      </c>
      <c r="AE209" s="145" t="s">
        <v>239</v>
      </c>
      <c r="AF209" s="142" t="str">
        <f t="shared" si="11"/>
        <v>NC</v>
      </c>
      <c r="AG209" s="190" t="str">
        <f t="shared" si="10"/>
        <v>NÃO UTILIZOU O PDA</v>
      </c>
      <c r="AH209" s="145"/>
      <c r="AI209" s="153" t="s">
        <v>6</v>
      </c>
      <c r="AJ209" s="150" t="str">
        <f t="shared" si="12"/>
        <v>SÃO PAULO</v>
      </c>
      <c r="AK209" s="154" t="s">
        <v>60</v>
      </c>
    </row>
    <row r="210" spans="1:37" ht="30" customHeight="1">
      <c r="A210" s="215" t="s">
        <v>198</v>
      </c>
      <c r="B210" s="215">
        <v>2621365696</v>
      </c>
      <c r="C210" s="215" t="s">
        <v>1490</v>
      </c>
      <c r="D210" s="215" t="s">
        <v>111</v>
      </c>
      <c r="E210" s="215" t="s">
        <v>5</v>
      </c>
      <c r="F210" s="215" t="s">
        <v>1253</v>
      </c>
      <c r="G210" s="215">
        <v>34</v>
      </c>
      <c r="H210" s="215" t="s">
        <v>226</v>
      </c>
      <c r="I210" s="215" t="s">
        <v>246</v>
      </c>
      <c r="J210" s="215" t="s">
        <v>1491</v>
      </c>
      <c r="K210" s="219" t="s">
        <v>1653</v>
      </c>
      <c r="L210" s="216">
        <v>46163.390972222223</v>
      </c>
      <c r="M210" s="216">
        <v>46163.39166666667</v>
      </c>
      <c r="N210" s="215" t="s">
        <v>1429</v>
      </c>
      <c r="O210" s="157" t="s">
        <v>206</v>
      </c>
      <c r="P210" s="92"/>
      <c r="Q210" s="145" t="s">
        <v>206</v>
      </c>
      <c r="R210" s="92"/>
      <c r="S210" s="145" t="s">
        <v>206</v>
      </c>
      <c r="T210" s="92"/>
      <c r="U210" s="145" t="s">
        <v>206</v>
      </c>
      <c r="V210" s="92"/>
      <c r="W210" s="145" t="s">
        <v>206</v>
      </c>
      <c r="X210" s="92"/>
      <c r="Y210" s="145" t="s">
        <v>206</v>
      </c>
      <c r="Z210" s="92"/>
      <c r="AA210" s="145" t="s">
        <v>206</v>
      </c>
      <c r="AB210" s="92"/>
      <c r="AC210" s="145" t="s">
        <v>206</v>
      </c>
      <c r="AD210" s="92" t="s">
        <v>1493</v>
      </c>
      <c r="AE210" s="145" t="s">
        <v>239</v>
      </c>
      <c r="AF210" s="142" t="str">
        <f t="shared" si="11"/>
        <v>NC</v>
      </c>
      <c r="AG210" s="190" t="str">
        <f t="shared" si="10"/>
        <v>NÃO UTILIZOU O PDA</v>
      </c>
      <c r="AH210" s="145"/>
      <c r="AI210" s="153" t="s">
        <v>6</v>
      </c>
      <c r="AJ210" s="150" t="str">
        <f t="shared" si="12"/>
        <v>SÃO PAULO</v>
      </c>
      <c r="AK210" s="154" t="s">
        <v>60</v>
      </c>
    </row>
    <row r="211" spans="1:37" ht="30" customHeight="1">
      <c r="A211" s="215" t="s">
        <v>198</v>
      </c>
      <c r="B211" s="215">
        <v>2621365579</v>
      </c>
      <c r="C211" s="215" t="s">
        <v>1490</v>
      </c>
      <c r="D211" s="215" t="s">
        <v>111</v>
      </c>
      <c r="E211" s="215" t="s">
        <v>5</v>
      </c>
      <c r="F211" s="215" t="s">
        <v>1253</v>
      </c>
      <c r="G211" s="215">
        <v>42</v>
      </c>
      <c r="H211" s="215"/>
      <c r="I211" s="215" t="s">
        <v>246</v>
      </c>
      <c r="J211" s="215" t="s">
        <v>1491</v>
      </c>
      <c r="K211" s="219" t="s">
        <v>1653</v>
      </c>
      <c r="L211" s="216">
        <v>46163.388194444444</v>
      </c>
      <c r="M211" s="216">
        <v>46163.390277777777</v>
      </c>
      <c r="N211" s="215" t="s">
        <v>1429</v>
      </c>
      <c r="O211" s="157" t="s">
        <v>206</v>
      </c>
      <c r="P211" s="92"/>
      <c r="Q211" s="145" t="s">
        <v>206</v>
      </c>
      <c r="R211" s="92"/>
      <c r="S211" s="145" t="s">
        <v>206</v>
      </c>
      <c r="T211" s="92"/>
      <c r="U211" s="145" t="s">
        <v>206</v>
      </c>
      <c r="V211" s="92"/>
      <c r="W211" s="145" t="s">
        <v>206</v>
      </c>
      <c r="X211" s="92"/>
      <c r="Y211" s="145" t="s">
        <v>206</v>
      </c>
      <c r="Z211" s="92"/>
      <c r="AA211" s="145" t="s">
        <v>206</v>
      </c>
      <c r="AB211" s="92"/>
      <c r="AC211" s="145" t="s">
        <v>206</v>
      </c>
      <c r="AD211" s="92" t="s">
        <v>1493</v>
      </c>
      <c r="AE211" s="145" t="s">
        <v>239</v>
      </c>
      <c r="AF211" s="142" t="str">
        <f t="shared" si="11"/>
        <v>NC</v>
      </c>
      <c r="AG211" s="190" t="str">
        <f t="shared" si="10"/>
        <v>NÃO UTILIZOU O PDA</v>
      </c>
      <c r="AH211" s="145"/>
      <c r="AI211" s="153" t="s">
        <v>6</v>
      </c>
      <c r="AJ211" s="150" t="str">
        <f t="shared" si="12"/>
        <v>SÃO PAULO</v>
      </c>
      <c r="AK211" s="154" t="s">
        <v>60</v>
      </c>
    </row>
    <row r="212" spans="1:37" ht="30" customHeight="1">
      <c r="A212" s="215" t="s">
        <v>198</v>
      </c>
      <c r="B212" s="215">
        <v>2621248848</v>
      </c>
      <c r="C212" s="215" t="s">
        <v>116</v>
      </c>
      <c r="D212" s="215" t="s">
        <v>109</v>
      </c>
      <c r="E212" s="215" t="s">
        <v>5</v>
      </c>
      <c r="F212" s="215" t="s">
        <v>447</v>
      </c>
      <c r="G212" s="215">
        <v>135</v>
      </c>
      <c r="H212" s="215" t="s">
        <v>1847</v>
      </c>
      <c r="I212" s="215" t="s">
        <v>448</v>
      </c>
      <c r="J212" s="215" t="s">
        <v>1448</v>
      </c>
      <c r="K212" s="219" t="s">
        <v>1848</v>
      </c>
      <c r="L212" s="216">
        <v>46163.586111111108</v>
      </c>
      <c r="M212" s="216">
        <v>46163.662499999999</v>
      </c>
      <c r="N212" s="215" t="s">
        <v>1426</v>
      </c>
      <c r="O212" s="157" t="s">
        <v>205</v>
      </c>
      <c r="P212" s="92"/>
      <c r="Q212" s="145" t="s">
        <v>205</v>
      </c>
      <c r="R212" s="92"/>
      <c r="S212" s="145" t="s">
        <v>205</v>
      </c>
      <c r="T212" s="92"/>
      <c r="U212" s="145" t="s">
        <v>205</v>
      </c>
      <c r="V212" s="92"/>
      <c r="W212" s="145" t="s">
        <v>205</v>
      </c>
      <c r="X212" s="92"/>
      <c r="Y212" s="145" t="s">
        <v>205</v>
      </c>
      <c r="Z212" s="92"/>
      <c r="AA212" s="145" t="s">
        <v>205</v>
      </c>
      <c r="AB212" s="92"/>
      <c r="AC212" s="145" t="s">
        <v>205</v>
      </c>
      <c r="AD212" s="92"/>
      <c r="AE212" s="145" t="s">
        <v>205</v>
      </c>
      <c r="AF212" s="142" t="str">
        <f t="shared" si="11"/>
        <v>C</v>
      </c>
      <c r="AG212" s="190" t="str">
        <f t="shared" si="10"/>
        <v>UTILIZOU O PDA CORRETAMENTE</v>
      </c>
      <c r="AH212" s="145" t="s">
        <v>205</v>
      </c>
      <c r="AI212" s="153" t="s">
        <v>6</v>
      </c>
      <c r="AJ212" s="150" t="str">
        <f t="shared" si="12"/>
        <v>SÃO PAULO</v>
      </c>
      <c r="AK212" s="154" t="s">
        <v>60</v>
      </c>
    </row>
    <row r="213" spans="1:37" ht="30" customHeight="1">
      <c r="A213" s="215" t="s">
        <v>198</v>
      </c>
      <c r="B213" s="215">
        <v>2621043273</v>
      </c>
      <c r="C213" s="215" t="s">
        <v>117</v>
      </c>
      <c r="D213" s="215" t="s">
        <v>112</v>
      </c>
      <c r="E213" s="215" t="s">
        <v>5</v>
      </c>
      <c r="F213" s="215" t="s">
        <v>1271</v>
      </c>
      <c r="G213" s="215">
        <v>906</v>
      </c>
      <c r="H213" s="215" t="s">
        <v>200</v>
      </c>
      <c r="I213" s="215" t="s">
        <v>260</v>
      </c>
      <c r="J213" s="215" t="s">
        <v>1529</v>
      </c>
      <c r="K213" s="219" t="s">
        <v>1849</v>
      </c>
      <c r="L213" s="216">
        <v>46163.34375</v>
      </c>
      <c r="M213" s="216">
        <v>46163.350694444445</v>
      </c>
      <c r="N213" s="215" t="s">
        <v>1411</v>
      </c>
      <c r="O213" s="157" t="s">
        <v>62</v>
      </c>
      <c r="P213" s="92"/>
      <c r="Q213" s="145" t="s">
        <v>62</v>
      </c>
      <c r="R213" s="92"/>
      <c r="S213" s="145" t="s">
        <v>62</v>
      </c>
      <c r="T213" s="92"/>
      <c r="U213" s="145" t="s">
        <v>62</v>
      </c>
      <c r="V213" s="92"/>
      <c r="W213" s="145" t="s">
        <v>62</v>
      </c>
      <c r="X213" s="92"/>
      <c r="Y213" s="145" t="s">
        <v>62</v>
      </c>
      <c r="Z213" s="92"/>
      <c r="AA213" s="145" t="s">
        <v>62</v>
      </c>
      <c r="AB213" s="92"/>
      <c r="AC213" s="145" t="s">
        <v>62</v>
      </c>
      <c r="AD213" s="92"/>
      <c r="AE213" s="145" t="s">
        <v>62</v>
      </c>
      <c r="AF213" s="142" t="str">
        <f t="shared" si="11"/>
        <v>NA</v>
      </c>
      <c r="AG213" s="190" t="str">
        <f t="shared" si="10"/>
        <v>NÃO AVALIADO POR FALHA DE SINCRONISMO</v>
      </c>
      <c r="AH213" s="145"/>
      <c r="AI213" s="153" t="s">
        <v>6</v>
      </c>
      <c r="AJ213" s="150" t="str">
        <f t="shared" si="12"/>
        <v>SÃO PAULO</v>
      </c>
      <c r="AK213" s="154" t="s">
        <v>60</v>
      </c>
    </row>
    <row r="214" spans="1:37" ht="30" customHeight="1">
      <c r="A214" s="215" t="s">
        <v>198</v>
      </c>
      <c r="B214" s="215">
        <v>2621284052</v>
      </c>
      <c r="C214" s="215" t="s">
        <v>1526</v>
      </c>
      <c r="D214" s="215" t="s">
        <v>112</v>
      </c>
      <c r="E214" s="215" t="s">
        <v>5</v>
      </c>
      <c r="F214" s="215" t="s">
        <v>736</v>
      </c>
      <c r="G214" s="215">
        <v>114</v>
      </c>
      <c r="H214" s="215" t="s">
        <v>200</v>
      </c>
      <c r="I214" s="215" t="s">
        <v>737</v>
      </c>
      <c r="J214" s="215" t="s">
        <v>1527</v>
      </c>
      <c r="K214" s="219" t="s">
        <v>1850</v>
      </c>
      <c r="L214" s="216">
        <v>46163.34375</v>
      </c>
      <c r="M214" s="216">
        <v>46163.350694444445</v>
      </c>
      <c r="N214" s="215" t="s">
        <v>1426</v>
      </c>
      <c r="O214" s="157" t="s">
        <v>62</v>
      </c>
      <c r="P214" s="92"/>
      <c r="Q214" s="145" t="s">
        <v>62</v>
      </c>
      <c r="R214" s="92"/>
      <c r="S214" s="145" t="s">
        <v>62</v>
      </c>
      <c r="T214" s="92"/>
      <c r="U214" s="145" t="s">
        <v>62</v>
      </c>
      <c r="V214" s="92"/>
      <c r="W214" s="145" t="s">
        <v>62</v>
      </c>
      <c r="X214" s="92"/>
      <c r="Y214" s="145" t="s">
        <v>62</v>
      </c>
      <c r="Z214" s="92"/>
      <c r="AA214" s="145" t="s">
        <v>62</v>
      </c>
      <c r="AB214" s="92"/>
      <c r="AC214" s="145" t="s">
        <v>62</v>
      </c>
      <c r="AD214" s="92" t="s">
        <v>1851</v>
      </c>
      <c r="AE214" s="145" t="s">
        <v>62</v>
      </c>
      <c r="AF214" s="142" t="str">
        <f t="shared" si="11"/>
        <v>NA</v>
      </c>
      <c r="AG214" s="190" t="str">
        <f t="shared" si="10"/>
        <v>NÃO AVALIADO POR FALHA DE SINCRONISMO</v>
      </c>
      <c r="AH214" s="145"/>
      <c r="AI214" s="153" t="s">
        <v>6</v>
      </c>
      <c r="AJ214" s="150" t="str">
        <f t="shared" si="12"/>
        <v>SÃO PAULO</v>
      </c>
      <c r="AK214" s="154" t="s">
        <v>60</v>
      </c>
    </row>
    <row r="215" spans="1:37" ht="30" customHeight="1">
      <c r="A215" s="215" t="s">
        <v>198</v>
      </c>
      <c r="B215" s="215">
        <v>2621284202</v>
      </c>
      <c r="C215" s="215" t="s">
        <v>117</v>
      </c>
      <c r="D215" s="215" t="s">
        <v>112</v>
      </c>
      <c r="E215" s="215" t="s">
        <v>5</v>
      </c>
      <c r="F215" s="215" t="s">
        <v>736</v>
      </c>
      <c r="G215" s="215">
        <v>114</v>
      </c>
      <c r="H215" s="215"/>
      <c r="I215" s="215" t="s">
        <v>737</v>
      </c>
      <c r="J215" s="215" t="s">
        <v>1529</v>
      </c>
      <c r="K215" s="219" t="s">
        <v>1612</v>
      </c>
      <c r="L215" s="216">
        <v>46163.350694444445</v>
      </c>
      <c r="M215" s="216">
        <v>46163.357638888891</v>
      </c>
      <c r="N215" s="215" t="s">
        <v>1426</v>
      </c>
      <c r="O215" s="157" t="s">
        <v>62</v>
      </c>
      <c r="P215" s="92"/>
      <c r="Q215" s="145" t="s">
        <v>62</v>
      </c>
      <c r="R215" s="92"/>
      <c r="S215" s="145" t="s">
        <v>62</v>
      </c>
      <c r="T215" s="92"/>
      <c r="U215" s="145" t="s">
        <v>62</v>
      </c>
      <c r="V215" s="92"/>
      <c r="W215" s="145" t="s">
        <v>62</v>
      </c>
      <c r="X215" s="92"/>
      <c r="Y215" s="145" t="s">
        <v>62</v>
      </c>
      <c r="Z215" s="92"/>
      <c r="AA215" s="145" t="s">
        <v>62</v>
      </c>
      <c r="AB215" s="92"/>
      <c r="AC215" s="145" t="s">
        <v>62</v>
      </c>
      <c r="AD215" s="92" t="s">
        <v>1851</v>
      </c>
      <c r="AE215" s="145" t="s">
        <v>62</v>
      </c>
      <c r="AF215" s="142" t="str">
        <f t="shared" si="11"/>
        <v>NA</v>
      </c>
      <c r="AG215" s="190" t="str">
        <f t="shared" si="10"/>
        <v>NÃO AVALIADO POR FALHA DE SINCRONISMO</v>
      </c>
      <c r="AH215" s="145"/>
      <c r="AI215" s="153" t="s">
        <v>6</v>
      </c>
      <c r="AJ215" s="150" t="str">
        <f t="shared" si="12"/>
        <v>SÃO PAULO</v>
      </c>
      <c r="AK215" s="154" t="s">
        <v>60</v>
      </c>
    </row>
    <row r="216" spans="1:37" ht="30" customHeight="1">
      <c r="A216" s="215" t="s">
        <v>198</v>
      </c>
      <c r="B216" s="215">
        <v>2621521563</v>
      </c>
      <c r="C216" s="215" t="s">
        <v>121</v>
      </c>
      <c r="D216" s="215" t="s">
        <v>112</v>
      </c>
      <c r="E216" s="215" t="s">
        <v>5</v>
      </c>
      <c r="F216" s="215" t="s">
        <v>1852</v>
      </c>
      <c r="G216" s="215">
        <v>112</v>
      </c>
      <c r="H216" s="215" t="s">
        <v>200</v>
      </c>
      <c r="I216" s="215" t="s">
        <v>626</v>
      </c>
      <c r="J216" s="215" t="s">
        <v>1406</v>
      </c>
      <c r="K216" s="215" t="s">
        <v>1498</v>
      </c>
      <c r="L216" s="216">
        <v>46163.904861111114</v>
      </c>
      <c r="M216" s="216">
        <v>46163.941666666666</v>
      </c>
      <c r="N216" s="215" t="s">
        <v>297</v>
      </c>
      <c r="O216" s="157" t="s">
        <v>205</v>
      </c>
      <c r="P216" s="92"/>
      <c r="Q216" s="145" t="s">
        <v>205</v>
      </c>
      <c r="R216" s="92"/>
      <c r="S216" s="145" t="s">
        <v>206</v>
      </c>
      <c r="T216" s="92"/>
      <c r="U216" s="145" t="s">
        <v>62</v>
      </c>
      <c r="V216" s="92"/>
      <c r="W216" s="145" t="s">
        <v>62</v>
      </c>
      <c r="X216" s="92"/>
      <c r="Y216" s="145" t="s">
        <v>62</v>
      </c>
      <c r="Z216" s="92"/>
      <c r="AA216" s="145" t="s">
        <v>206</v>
      </c>
      <c r="AB216" s="92"/>
      <c r="AC216" s="145" t="s">
        <v>205</v>
      </c>
      <c r="AD216" s="92"/>
      <c r="AE216" s="145" t="s">
        <v>205</v>
      </c>
      <c r="AF216" s="142" t="str">
        <f t="shared" si="11"/>
        <v>NC</v>
      </c>
      <c r="AG216" s="190" t="str">
        <f t="shared" si="10"/>
        <v>UTILIZOU O PDA CORRETAMENTE. NÃO HÁ FOTOS DE TODAS AS ETAPAS</v>
      </c>
      <c r="AH216" s="145" t="s">
        <v>205</v>
      </c>
      <c r="AI216" s="153" t="s">
        <v>6</v>
      </c>
      <c r="AJ216" s="150" t="str">
        <f t="shared" si="12"/>
        <v>SÃO PAULO</v>
      </c>
      <c r="AK216" s="154" t="s">
        <v>60</v>
      </c>
    </row>
    <row r="217" spans="1:37" ht="30" customHeight="1">
      <c r="A217" s="228" t="s">
        <v>198</v>
      </c>
      <c r="B217" s="228">
        <v>2621078094</v>
      </c>
      <c r="C217" s="228" t="s">
        <v>121</v>
      </c>
      <c r="D217" s="228" t="s">
        <v>112</v>
      </c>
      <c r="E217" s="228" t="s">
        <v>5</v>
      </c>
      <c r="F217" s="228" t="s">
        <v>1289</v>
      </c>
      <c r="G217" s="228">
        <v>321</v>
      </c>
      <c r="H217" s="228"/>
      <c r="I217" s="228" t="s">
        <v>283</v>
      </c>
      <c r="J217" s="228" t="s">
        <v>1406</v>
      </c>
      <c r="K217" s="228" t="s">
        <v>1498</v>
      </c>
      <c r="L217" s="230">
        <v>46163.961111111108</v>
      </c>
      <c r="M217" s="230">
        <v>46164.015277777777</v>
      </c>
      <c r="N217" s="228" t="s">
        <v>297</v>
      </c>
      <c r="O217" s="157" t="s">
        <v>205</v>
      </c>
      <c r="P217" s="92"/>
      <c r="Q217" s="145" t="s">
        <v>205</v>
      </c>
      <c r="R217" s="92"/>
      <c r="S217" s="145" t="s">
        <v>206</v>
      </c>
      <c r="T217" s="92"/>
      <c r="U217" s="145" t="s">
        <v>62</v>
      </c>
      <c r="V217" s="92"/>
      <c r="W217" s="145" t="s">
        <v>62</v>
      </c>
      <c r="X217" s="92"/>
      <c r="Y217" s="145" t="s">
        <v>62</v>
      </c>
      <c r="Z217" s="92"/>
      <c r="AA217" s="145" t="s">
        <v>206</v>
      </c>
      <c r="AB217" s="92"/>
      <c r="AC217" s="145" t="s">
        <v>205</v>
      </c>
      <c r="AD217" s="92"/>
      <c r="AE217" s="145" t="s">
        <v>205</v>
      </c>
      <c r="AF217" s="142" t="str">
        <f t="shared" si="11"/>
        <v>NC</v>
      </c>
      <c r="AG217" s="190" t="str">
        <f t="shared" si="10"/>
        <v>UTILIZOU O PDA CORRETAMENTE. NÃO HÁ FOTOS DE TODAS AS ETAPAS</v>
      </c>
      <c r="AH217" s="145" t="s">
        <v>205</v>
      </c>
      <c r="AI217" s="153" t="s">
        <v>6</v>
      </c>
      <c r="AJ217" s="150" t="str">
        <f t="shared" si="12"/>
        <v>SÃO PAULO</v>
      </c>
      <c r="AK217" s="154" t="s">
        <v>60</v>
      </c>
    </row>
    <row r="218" spans="1:37" ht="30" customHeight="1">
      <c r="A218" s="215" t="s">
        <v>198</v>
      </c>
      <c r="B218" s="215">
        <v>2621507953</v>
      </c>
      <c r="C218" s="215" t="s">
        <v>123</v>
      </c>
      <c r="D218" s="215" t="s">
        <v>109</v>
      </c>
      <c r="E218" s="215" t="s">
        <v>5</v>
      </c>
      <c r="F218" s="215" t="s">
        <v>1370</v>
      </c>
      <c r="G218" s="215">
        <v>300</v>
      </c>
      <c r="H218" s="215" t="s">
        <v>200</v>
      </c>
      <c r="I218" s="215" t="s">
        <v>246</v>
      </c>
      <c r="J218" s="215" t="s">
        <v>1409</v>
      </c>
      <c r="K218" s="215" t="s">
        <v>1853</v>
      </c>
      <c r="L218" s="216">
        <v>46164.624305555553</v>
      </c>
      <c r="M218" s="216">
        <v>46164.636805555558</v>
      </c>
      <c r="N218" s="215" t="s">
        <v>1442</v>
      </c>
      <c r="O218" s="157" t="s">
        <v>205</v>
      </c>
      <c r="P218" s="92"/>
      <c r="Q218" s="145" t="s">
        <v>205</v>
      </c>
      <c r="R218" s="92"/>
      <c r="S218" s="145" t="s">
        <v>205</v>
      </c>
      <c r="T218" s="92"/>
      <c r="U218" s="145" t="s">
        <v>205</v>
      </c>
      <c r="V218" s="92"/>
      <c r="W218" s="145" t="s">
        <v>205</v>
      </c>
      <c r="X218" s="92"/>
      <c r="Y218" s="145" t="s">
        <v>62</v>
      </c>
      <c r="Z218" s="92"/>
      <c r="AA218" s="145" t="s">
        <v>205</v>
      </c>
      <c r="AB218" s="92"/>
      <c r="AC218" s="145" t="s">
        <v>205</v>
      </c>
      <c r="AD218" s="92"/>
      <c r="AE218" s="145" t="s">
        <v>205</v>
      </c>
      <c r="AF218" s="142" t="str">
        <f t="shared" si="11"/>
        <v>C</v>
      </c>
      <c r="AG218" s="190" t="str">
        <f t="shared" si="10"/>
        <v>UTILIZOU O PDA CORRETAMENTE</v>
      </c>
      <c r="AH218" s="145" t="s">
        <v>205</v>
      </c>
      <c r="AI218" s="153" t="s">
        <v>6</v>
      </c>
      <c r="AJ218" s="150" t="str">
        <f t="shared" si="12"/>
        <v>SÃO PAULO</v>
      </c>
      <c r="AK218" s="154" t="s">
        <v>60</v>
      </c>
    </row>
    <row r="219" spans="1:37" ht="30" customHeight="1">
      <c r="A219" s="215" t="s">
        <v>198</v>
      </c>
      <c r="B219" s="215">
        <v>2621647629</v>
      </c>
      <c r="C219" s="215" t="s">
        <v>116</v>
      </c>
      <c r="D219" s="215" t="s">
        <v>109</v>
      </c>
      <c r="E219" s="215" t="s">
        <v>5</v>
      </c>
      <c r="F219" s="215" t="s">
        <v>1802</v>
      </c>
      <c r="G219" s="215">
        <v>41</v>
      </c>
      <c r="H219" s="215"/>
      <c r="I219" s="215" t="s">
        <v>343</v>
      </c>
      <c r="J219" s="215" t="s">
        <v>1448</v>
      </c>
      <c r="K219" s="219" t="s">
        <v>1854</v>
      </c>
      <c r="L219" s="216">
        <v>46164.681250000001</v>
      </c>
      <c r="M219" s="216">
        <v>46164.688888888886</v>
      </c>
      <c r="N219" s="215" t="s">
        <v>1426</v>
      </c>
      <c r="O219" s="157" t="s">
        <v>205</v>
      </c>
      <c r="P219" s="92"/>
      <c r="Q219" s="145" t="s">
        <v>205</v>
      </c>
      <c r="R219" s="92"/>
      <c r="S219" s="145" t="s">
        <v>205</v>
      </c>
      <c r="T219" s="92"/>
      <c r="U219" s="145" t="s">
        <v>205</v>
      </c>
      <c r="V219" s="92"/>
      <c r="W219" s="145" t="s">
        <v>205</v>
      </c>
      <c r="X219" s="92"/>
      <c r="Y219" s="145" t="s">
        <v>205</v>
      </c>
      <c r="Z219" s="92"/>
      <c r="AA219" s="145" t="s">
        <v>205</v>
      </c>
      <c r="AB219" s="92"/>
      <c r="AC219" s="145" t="s">
        <v>205</v>
      </c>
      <c r="AD219" s="92"/>
      <c r="AE219" s="145" t="s">
        <v>205</v>
      </c>
      <c r="AF219" s="142" t="str">
        <f t="shared" si="11"/>
        <v>C</v>
      </c>
      <c r="AG219" s="190" t="str">
        <f t="shared" si="10"/>
        <v>UTILIZOU O PDA CORRETAMENTE</v>
      </c>
      <c r="AH219" s="145" t="s">
        <v>205</v>
      </c>
      <c r="AI219" s="153" t="s">
        <v>6</v>
      </c>
      <c r="AJ219" s="150" t="str">
        <f t="shared" si="12"/>
        <v>SÃO PAULO</v>
      </c>
      <c r="AK219" s="154" t="s">
        <v>60</v>
      </c>
    </row>
    <row r="220" spans="1:37" ht="30" customHeight="1">
      <c r="A220" s="215" t="s">
        <v>198</v>
      </c>
      <c r="B220" s="215">
        <v>2621045745</v>
      </c>
      <c r="C220" s="215" t="s">
        <v>121</v>
      </c>
      <c r="D220" s="215" t="s">
        <v>112</v>
      </c>
      <c r="E220" s="215" t="s">
        <v>5</v>
      </c>
      <c r="F220" s="215" t="s">
        <v>1405</v>
      </c>
      <c r="G220" s="215">
        <v>134</v>
      </c>
      <c r="H220" s="215" t="s">
        <v>200</v>
      </c>
      <c r="I220" s="215" t="s">
        <v>251</v>
      </c>
      <c r="J220" s="215" t="s">
        <v>1406</v>
      </c>
      <c r="K220" s="215" t="s">
        <v>1855</v>
      </c>
      <c r="L220" s="216">
        <v>46164.59097222222</v>
      </c>
      <c r="M220" s="216">
        <v>46164.591666666667</v>
      </c>
      <c r="N220" s="215" t="s">
        <v>217</v>
      </c>
      <c r="O220" s="157" t="s">
        <v>205</v>
      </c>
      <c r="P220" s="92"/>
      <c r="Q220" s="145" t="s">
        <v>205</v>
      </c>
      <c r="R220" s="92"/>
      <c r="S220" s="145" t="s">
        <v>205</v>
      </c>
      <c r="T220" s="92"/>
      <c r="U220" s="145" t="s">
        <v>62</v>
      </c>
      <c r="V220" s="92"/>
      <c r="W220" s="145" t="s">
        <v>62</v>
      </c>
      <c r="X220" s="92"/>
      <c r="Y220" s="145" t="s">
        <v>62</v>
      </c>
      <c r="Z220" s="92"/>
      <c r="AA220" s="145" t="s">
        <v>206</v>
      </c>
      <c r="AB220" s="92"/>
      <c r="AC220" s="145" t="s">
        <v>205</v>
      </c>
      <c r="AD220" s="92"/>
      <c r="AE220" s="145" t="s">
        <v>205</v>
      </c>
      <c r="AF220" s="142" t="str">
        <f t="shared" si="11"/>
        <v>NC</v>
      </c>
      <c r="AG220" s="190" t="str">
        <f t="shared" si="10"/>
        <v>UTILIZOU O PDA CORRETAMENTE. NÃO HÁ FOTOS DE TODAS AS ETAPAS</v>
      </c>
      <c r="AH220" s="145"/>
      <c r="AI220" s="153" t="s">
        <v>6</v>
      </c>
      <c r="AJ220" s="150" t="str">
        <f t="shared" si="12"/>
        <v>SÃO PAULO</v>
      </c>
      <c r="AK220" s="154" t="s">
        <v>60</v>
      </c>
    </row>
    <row r="221" spans="1:37" ht="30" customHeight="1">
      <c r="A221" s="215" t="s">
        <v>198</v>
      </c>
      <c r="B221" s="215">
        <v>2621650110</v>
      </c>
      <c r="C221" s="215" t="s">
        <v>1477</v>
      </c>
      <c r="D221" s="215" t="s">
        <v>109</v>
      </c>
      <c r="E221" s="215" t="s">
        <v>5</v>
      </c>
      <c r="F221" s="215" t="s">
        <v>1856</v>
      </c>
      <c r="G221" s="215">
        <v>102</v>
      </c>
      <c r="H221" s="215" t="s">
        <v>200</v>
      </c>
      <c r="I221" s="215" t="s">
        <v>1857</v>
      </c>
      <c r="J221" s="215" t="s">
        <v>1479</v>
      </c>
      <c r="K221" s="215" t="s">
        <v>1554</v>
      </c>
      <c r="L221" s="216">
        <v>46164.45</v>
      </c>
      <c r="M221" s="216">
        <v>46164.456944444442</v>
      </c>
      <c r="N221" s="215" t="s">
        <v>1442</v>
      </c>
      <c r="O221" s="157" t="s">
        <v>205</v>
      </c>
      <c r="P221" s="92"/>
      <c r="Q221" s="145" t="s">
        <v>205</v>
      </c>
      <c r="R221" s="92"/>
      <c r="S221" s="145" t="s">
        <v>205</v>
      </c>
      <c r="T221" s="92"/>
      <c r="U221" s="145" t="s">
        <v>205</v>
      </c>
      <c r="V221" s="92"/>
      <c r="W221" s="145" t="s">
        <v>205</v>
      </c>
      <c r="X221" s="92"/>
      <c r="Y221" s="145" t="s">
        <v>62</v>
      </c>
      <c r="Z221" s="92"/>
      <c r="AA221" s="145" t="s">
        <v>205</v>
      </c>
      <c r="AB221" s="92"/>
      <c r="AC221" s="145" t="s">
        <v>205</v>
      </c>
      <c r="AD221" s="92"/>
      <c r="AE221" s="145" t="s">
        <v>205</v>
      </c>
      <c r="AF221" s="142" t="str">
        <f t="shared" si="11"/>
        <v>C</v>
      </c>
      <c r="AG221" s="190" t="str">
        <f t="shared" si="10"/>
        <v>UTILIZOU O PDA CORRETAMENTE</v>
      </c>
      <c r="AH221" s="145" t="s">
        <v>205</v>
      </c>
      <c r="AI221" s="153" t="s">
        <v>6</v>
      </c>
      <c r="AJ221" s="150" t="str">
        <f t="shared" si="12"/>
        <v>SÃO PAULO</v>
      </c>
      <c r="AK221" s="154" t="s">
        <v>60</v>
      </c>
    </row>
    <row r="222" spans="1:37" ht="30" customHeight="1">
      <c r="A222" s="215" t="s">
        <v>198</v>
      </c>
      <c r="B222" s="215">
        <v>2621694526</v>
      </c>
      <c r="C222" s="215" t="s">
        <v>1477</v>
      </c>
      <c r="D222" s="215" t="s">
        <v>109</v>
      </c>
      <c r="E222" s="215" t="s">
        <v>5</v>
      </c>
      <c r="F222" s="215" t="s">
        <v>447</v>
      </c>
      <c r="G222" s="215">
        <v>135</v>
      </c>
      <c r="H222" s="215" t="s">
        <v>1847</v>
      </c>
      <c r="I222" s="215" t="s">
        <v>448</v>
      </c>
      <c r="J222" s="215" t="s">
        <v>1479</v>
      </c>
      <c r="K222" s="219" t="s">
        <v>1858</v>
      </c>
      <c r="L222" s="216">
        <v>46164.632638888892</v>
      </c>
      <c r="M222" s="216">
        <v>46164.635416666664</v>
      </c>
      <c r="N222" s="215" t="s">
        <v>1426</v>
      </c>
      <c r="O222" s="157" t="s">
        <v>205</v>
      </c>
      <c r="P222" s="92"/>
      <c r="Q222" s="145" t="s">
        <v>205</v>
      </c>
      <c r="R222" s="92"/>
      <c r="S222" s="145" t="s">
        <v>205</v>
      </c>
      <c r="T222" s="92"/>
      <c r="U222" s="145" t="s">
        <v>205</v>
      </c>
      <c r="V222" s="92"/>
      <c r="W222" s="145" t="s">
        <v>205</v>
      </c>
      <c r="X222" s="92"/>
      <c r="Y222" s="145" t="s">
        <v>205</v>
      </c>
      <c r="Z222" s="92"/>
      <c r="AA222" s="145" t="s">
        <v>205</v>
      </c>
      <c r="AB222" s="92"/>
      <c r="AC222" s="145" t="s">
        <v>205</v>
      </c>
      <c r="AD222" s="92"/>
      <c r="AE222" s="145" t="s">
        <v>205</v>
      </c>
      <c r="AF222" s="142" t="str">
        <f t="shared" si="11"/>
        <v>C</v>
      </c>
      <c r="AG222" s="190" t="str">
        <f t="shared" si="10"/>
        <v>UTILIZOU O PDA CORRETAMENTE</v>
      </c>
      <c r="AH222" s="145" t="s">
        <v>205</v>
      </c>
      <c r="AI222" s="153" t="s">
        <v>6</v>
      </c>
      <c r="AJ222" s="150" t="str">
        <f t="shared" si="12"/>
        <v>SÃO PAULO</v>
      </c>
      <c r="AK222" s="154" t="s">
        <v>60</v>
      </c>
    </row>
    <row r="223" spans="1:37" ht="30" customHeight="1">
      <c r="A223" s="215" t="s">
        <v>198</v>
      </c>
      <c r="B223" s="215">
        <v>2621695129</v>
      </c>
      <c r="C223" s="215" t="s">
        <v>122</v>
      </c>
      <c r="D223" s="215" t="s">
        <v>111</v>
      </c>
      <c r="E223" s="215" t="s">
        <v>5</v>
      </c>
      <c r="F223" s="215" t="s">
        <v>1859</v>
      </c>
      <c r="G223" s="215">
        <v>22</v>
      </c>
      <c r="H223" s="215"/>
      <c r="I223" s="215" t="s">
        <v>649</v>
      </c>
      <c r="J223" s="215" t="s">
        <v>1451</v>
      </c>
      <c r="K223" s="215"/>
      <c r="L223" s="216">
        <v>46165.46875</v>
      </c>
      <c r="M223" s="216">
        <v>46165.599305555559</v>
      </c>
      <c r="N223" s="215" t="s">
        <v>1426</v>
      </c>
      <c r="O223" s="157" t="s">
        <v>205</v>
      </c>
      <c r="P223" s="92"/>
      <c r="Q223" s="145" t="s">
        <v>205</v>
      </c>
      <c r="R223" s="92"/>
      <c r="S223" s="145" t="s">
        <v>205</v>
      </c>
      <c r="T223" s="92"/>
      <c r="U223" s="145" t="s">
        <v>62</v>
      </c>
      <c r="V223" s="92"/>
      <c r="W223" s="145" t="s">
        <v>62</v>
      </c>
      <c r="X223" s="92"/>
      <c r="Y223" s="145" t="s">
        <v>62</v>
      </c>
      <c r="Z223" s="92"/>
      <c r="AA223" s="145" t="s">
        <v>205</v>
      </c>
      <c r="AB223" s="92"/>
      <c r="AC223" s="145" t="s">
        <v>205</v>
      </c>
      <c r="AD223" s="92"/>
      <c r="AE223" s="145" t="s">
        <v>205</v>
      </c>
      <c r="AF223" s="142" t="str">
        <f t="shared" si="11"/>
        <v>C</v>
      </c>
      <c r="AG223" s="190" t="str">
        <f t="shared" si="10"/>
        <v>UTILIZOU O PDA CORRETAMENTE</v>
      </c>
      <c r="AH223" s="145"/>
      <c r="AI223" s="153" t="s">
        <v>6</v>
      </c>
      <c r="AJ223" s="150" t="str">
        <f t="shared" si="12"/>
        <v>SÃO PAULO</v>
      </c>
      <c r="AK223" s="154" t="s">
        <v>60</v>
      </c>
    </row>
    <row r="224" spans="1:37" ht="30" customHeight="1">
      <c r="A224" s="215" t="s">
        <v>198</v>
      </c>
      <c r="B224" s="215">
        <v>2621655973</v>
      </c>
      <c r="C224" s="215" t="s">
        <v>123</v>
      </c>
      <c r="D224" s="215" t="s">
        <v>109</v>
      </c>
      <c r="E224" s="215" t="s">
        <v>5</v>
      </c>
      <c r="F224" s="215" t="s">
        <v>639</v>
      </c>
      <c r="G224" s="215">
        <v>186</v>
      </c>
      <c r="H224" s="215" t="s">
        <v>226</v>
      </c>
      <c r="I224" s="215" t="s">
        <v>640</v>
      </c>
      <c r="J224" s="215" t="s">
        <v>1409</v>
      </c>
      <c r="K224" s="219" t="s">
        <v>1860</v>
      </c>
      <c r="L224" s="216">
        <v>46166.25</v>
      </c>
      <c r="M224" s="216">
        <v>46166.250694444447</v>
      </c>
      <c r="N224" s="215" t="s">
        <v>1426</v>
      </c>
      <c r="O224" s="157" t="s">
        <v>205</v>
      </c>
      <c r="P224" s="92"/>
      <c r="Q224" s="145" t="s">
        <v>205</v>
      </c>
      <c r="R224" s="92"/>
      <c r="S224" s="145" t="s">
        <v>205</v>
      </c>
      <c r="T224" s="92"/>
      <c r="U224" s="145" t="s">
        <v>205</v>
      </c>
      <c r="V224" s="92"/>
      <c r="W224" s="145" t="s">
        <v>205</v>
      </c>
      <c r="X224" s="92"/>
      <c r="Y224" s="145" t="s">
        <v>205</v>
      </c>
      <c r="Z224" s="92"/>
      <c r="AA224" s="145" t="s">
        <v>205</v>
      </c>
      <c r="AB224" s="92"/>
      <c r="AC224" s="145" t="s">
        <v>205</v>
      </c>
      <c r="AD224" s="92"/>
      <c r="AE224" s="145" t="s">
        <v>205</v>
      </c>
      <c r="AF224" s="142" t="str">
        <f t="shared" si="11"/>
        <v>C</v>
      </c>
      <c r="AG224" s="190" t="str">
        <f t="shared" si="10"/>
        <v>UTILIZOU O PDA CORRETAMENTE</v>
      </c>
      <c r="AH224" s="145" t="s">
        <v>205</v>
      </c>
      <c r="AI224" s="153" t="s">
        <v>6</v>
      </c>
      <c r="AJ224" s="150" t="str">
        <f t="shared" si="12"/>
        <v>SÃO PAULO</v>
      </c>
      <c r="AK224" s="154" t="s">
        <v>60</v>
      </c>
    </row>
    <row r="225" spans="1:37" ht="30" customHeight="1">
      <c r="A225" s="228" t="s">
        <v>198</v>
      </c>
      <c r="B225" s="228">
        <v>2621835384</v>
      </c>
      <c r="C225" s="228" t="s">
        <v>123</v>
      </c>
      <c r="D225" s="228" t="s">
        <v>109</v>
      </c>
      <c r="E225" s="228" t="s">
        <v>5</v>
      </c>
      <c r="F225" s="228" t="s">
        <v>1861</v>
      </c>
      <c r="G225" s="228">
        <v>65</v>
      </c>
      <c r="H225" s="228" t="s">
        <v>200</v>
      </c>
      <c r="I225" s="228" t="s">
        <v>1862</v>
      </c>
      <c r="J225" s="228" t="s">
        <v>1409</v>
      </c>
      <c r="K225" s="229" t="s">
        <v>1863</v>
      </c>
      <c r="L225" s="230">
        <v>46166.647916666669</v>
      </c>
      <c r="M225" s="230">
        <v>46166.650694444441</v>
      </c>
      <c r="N225" s="228" t="s">
        <v>1426</v>
      </c>
      <c r="O225" s="157" t="s">
        <v>206</v>
      </c>
      <c r="P225" s="92"/>
      <c r="Q225" s="145" t="s">
        <v>206</v>
      </c>
      <c r="R225" s="92"/>
      <c r="S225" s="145" t="s">
        <v>206</v>
      </c>
      <c r="T225" s="92"/>
      <c r="U225" s="145" t="s">
        <v>206</v>
      </c>
      <c r="V225" s="92"/>
      <c r="W225" s="145" t="s">
        <v>206</v>
      </c>
      <c r="X225" s="92"/>
      <c r="Y225" s="145" t="s">
        <v>206</v>
      </c>
      <c r="Z225" s="92"/>
      <c r="AA225" s="145" t="s">
        <v>206</v>
      </c>
      <c r="AB225" s="92"/>
      <c r="AC225" s="145" t="s">
        <v>206</v>
      </c>
      <c r="AD225" s="92"/>
      <c r="AE225" s="145" t="s">
        <v>239</v>
      </c>
      <c r="AF225" s="142" t="str">
        <f t="shared" si="11"/>
        <v>NC</v>
      </c>
      <c r="AG225" s="190" t="str">
        <f t="shared" si="10"/>
        <v>NÃO UTILIZOU O PDA</v>
      </c>
      <c r="AH225" s="145"/>
      <c r="AI225" s="153" t="s">
        <v>6</v>
      </c>
      <c r="AJ225" s="150" t="str">
        <f t="shared" si="12"/>
        <v>SÃO PAULO</v>
      </c>
      <c r="AK225" s="154" t="s">
        <v>60</v>
      </c>
    </row>
    <row r="226" spans="1:37" ht="30" customHeight="1">
      <c r="A226" s="215" t="s">
        <v>198</v>
      </c>
      <c r="B226" s="215">
        <v>2621507953</v>
      </c>
      <c r="C226" s="215" t="s">
        <v>123</v>
      </c>
      <c r="D226" s="215" t="s">
        <v>109</v>
      </c>
      <c r="E226" s="215" t="s">
        <v>5</v>
      </c>
      <c r="F226" s="215" t="s">
        <v>1370</v>
      </c>
      <c r="G226" s="215">
        <v>300</v>
      </c>
      <c r="H226" s="215" t="s">
        <v>200</v>
      </c>
      <c r="I226" s="215" t="s">
        <v>246</v>
      </c>
      <c r="J226" s="215" t="s">
        <v>1409</v>
      </c>
      <c r="K226" s="215" t="s">
        <v>1853</v>
      </c>
      <c r="L226" s="216">
        <v>46164.624305555553</v>
      </c>
      <c r="M226" s="216">
        <v>46164.636805555558</v>
      </c>
      <c r="N226" s="215" t="s">
        <v>1442</v>
      </c>
      <c r="O226" s="157" t="s">
        <v>205</v>
      </c>
      <c r="P226" s="92"/>
      <c r="Q226" s="145" t="s">
        <v>205</v>
      </c>
      <c r="R226" s="92"/>
      <c r="S226" s="145" t="s">
        <v>205</v>
      </c>
      <c r="T226" s="92"/>
      <c r="U226" s="145" t="s">
        <v>205</v>
      </c>
      <c r="V226" s="92"/>
      <c r="W226" s="145" t="s">
        <v>205</v>
      </c>
      <c r="X226" s="92"/>
      <c r="Y226" s="145" t="s">
        <v>62</v>
      </c>
      <c r="Z226" s="92"/>
      <c r="AA226" s="145" t="s">
        <v>205</v>
      </c>
      <c r="AB226" s="92"/>
      <c r="AC226" s="145" t="s">
        <v>205</v>
      </c>
      <c r="AD226" s="92"/>
      <c r="AE226" s="145" t="s">
        <v>205</v>
      </c>
      <c r="AF226" s="142" t="str">
        <f t="shared" si="11"/>
        <v>C</v>
      </c>
      <c r="AG226" s="190" t="str">
        <f t="shared" si="10"/>
        <v>UTILIZOU O PDA CORRETAMENTE</v>
      </c>
      <c r="AH226" s="145" t="s">
        <v>205</v>
      </c>
      <c r="AI226" s="153" t="s">
        <v>6</v>
      </c>
      <c r="AJ226" s="150" t="str">
        <f t="shared" si="12"/>
        <v>SÃO PAULO</v>
      </c>
      <c r="AK226" s="154" t="s">
        <v>60</v>
      </c>
    </row>
    <row r="227" spans="1:37" ht="30" customHeight="1">
      <c r="A227" s="215" t="s">
        <v>198</v>
      </c>
      <c r="B227" s="215">
        <v>2621647629</v>
      </c>
      <c r="C227" s="215" t="s">
        <v>116</v>
      </c>
      <c r="D227" s="215" t="s">
        <v>109</v>
      </c>
      <c r="E227" s="215" t="s">
        <v>5</v>
      </c>
      <c r="F227" s="215" t="s">
        <v>1802</v>
      </c>
      <c r="G227" s="215">
        <v>41</v>
      </c>
      <c r="H227" s="215"/>
      <c r="I227" s="215" t="s">
        <v>343</v>
      </c>
      <c r="J227" s="215" t="s">
        <v>1448</v>
      </c>
      <c r="K227" s="219" t="s">
        <v>1854</v>
      </c>
      <c r="L227" s="216">
        <v>46164.681250000001</v>
      </c>
      <c r="M227" s="216">
        <v>46164.688888888886</v>
      </c>
      <c r="N227" s="215" t="s">
        <v>1426</v>
      </c>
      <c r="O227" s="157" t="s">
        <v>205</v>
      </c>
      <c r="P227" s="92"/>
      <c r="Q227" s="145" t="s">
        <v>205</v>
      </c>
      <c r="R227" s="92"/>
      <c r="S227" s="145" t="s">
        <v>205</v>
      </c>
      <c r="T227" s="92"/>
      <c r="U227" s="145" t="s">
        <v>205</v>
      </c>
      <c r="V227" s="92"/>
      <c r="W227" s="145" t="s">
        <v>205</v>
      </c>
      <c r="X227" s="92"/>
      <c r="Y227" s="145" t="s">
        <v>205</v>
      </c>
      <c r="Z227" s="92"/>
      <c r="AA227" s="145" t="s">
        <v>205</v>
      </c>
      <c r="AB227" s="92"/>
      <c r="AC227" s="145" t="s">
        <v>205</v>
      </c>
      <c r="AD227" s="92"/>
      <c r="AE227" s="145" t="s">
        <v>205</v>
      </c>
      <c r="AF227" s="142" t="str">
        <f t="shared" si="11"/>
        <v>C</v>
      </c>
      <c r="AG227" s="190" t="str">
        <f t="shared" si="10"/>
        <v>UTILIZOU O PDA CORRETAMENTE</v>
      </c>
      <c r="AH227" s="145" t="s">
        <v>205</v>
      </c>
      <c r="AI227" s="153" t="s">
        <v>6</v>
      </c>
      <c r="AJ227" s="150" t="str">
        <f t="shared" si="12"/>
        <v>SÃO PAULO</v>
      </c>
      <c r="AK227" s="154" t="s">
        <v>60</v>
      </c>
    </row>
    <row r="228" spans="1:37" ht="30" customHeight="1">
      <c r="A228" s="215" t="s">
        <v>198</v>
      </c>
      <c r="B228" s="215">
        <v>2621045745</v>
      </c>
      <c r="C228" s="215" t="s">
        <v>121</v>
      </c>
      <c r="D228" s="215" t="s">
        <v>112</v>
      </c>
      <c r="E228" s="215" t="s">
        <v>5</v>
      </c>
      <c r="F228" s="215" t="s">
        <v>1405</v>
      </c>
      <c r="G228" s="215">
        <v>134</v>
      </c>
      <c r="H228" s="215" t="s">
        <v>200</v>
      </c>
      <c r="I228" s="215" t="s">
        <v>251</v>
      </c>
      <c r="J228" s="215" t="s">
        <v>1406</v>
      </c>
      <c r="K228" s="215" t="s">
        <v>1855</v>
      </c>
      <c r="L228" s="216">
        <v>46164.59097222222</v>
      </c>
      <c r="M228" s="216">
        <v>46164.591666666667</v>
      </c>
      <c r="N228" s="215" t="s">
        <v>217</v>
      </c>
      <c r="O228" s="157" t="s">
        <v>205</v>
      </c>
      <c r="P228" s="92"/>
      <c r="Q228" s="145" t="s">
        <v>205</v>
      </c>
      <c r="R228" s="92"/>
      <c r="S228" s="145" t="s">
        <v>205</v>
      </c>
      <c r="T228" s="92"/>
      <c r="U228" s="145" t="s">
        <v>62</v>
      </c>
      <c r="V228" s="92"/>
      <c r="W228" s="145" t="s">
        <v>62</v>
      </c>
      <c r="X228" s="92"/>
      <c r="Y228" s="145" t="s">
        <v>62</v>
      </c>
      <c r="Z228" s="92"/>
      <c r="AA228" s="145" t="s">
        <v>206</v>
      </c>
      <c r="AB228" s="92"/>
      <c r="AC228" s="145" t="s">
        <v>205</v>
      </c>
      <c r="AD228" s="92"/>
      <c r="AE228" s="145" t="s">
        <v>205</v>
      </c>
      <c r="AF228" s="142" t="str">
        <f t="shared" si="11"/>
        <v>NC</v>
      </c>
      <c r="AG228" s="190" t="str">
        <f t="shared" si="10"/>
        <v>UTILIZOU O PDA CORRETAMENTE. NÃO HÁ FOTOS DE TODAS AS ETAPAS</v>
      </c>
      <c r="AH228" s="145"/>
      <c r="AI228" s="153" t="s">
        <v>6</v>
      </c>
      <c r="AJ228" s="150" t="str">
        <f t="shared" si="12"/>
        <v>SÃO PAULO</v>
      </c>
      <c r="AK228" s="154" t="s">
        <v>60</v>
      </c>
    </row>
    <row r="229" spans="1:37" ht="30" customHeight="1">
      <c r="A229" s="215" t="s">
        <v>198</v>
      </c>
      <c r="B229" s="215">
        <v>2621650110</v>
      </c>
      <c r="C229" s="215" t="s">
        <v>1477</v>
      </c>
      <c r="D229" s="215" t="s">
        <v>109</v>
      </c>
      <c r="E229" s="215" t="s">
        <v>5</v>
      </c>
      <c r="F229" s="215" t="s">
        <v>1856</v>
      </c>
      <c r="G229" s="215">
        <v>102</v>
      </c>
      <c r="H229" s="215" t="s">
        <v>200</v>
      </c>
      <c r="I229" s="215" t="s">
        <v>1857</v>
      </c>
      <c r="J229" s="215" t="s">
        <v>1479</v>
      </c>
      <c r="K229" s="215" t="s">
        <v>1554</v>
      </c>
      <c r="L229" s="216">
        <v>46164.45</v>
      </c>
      <c r="M229" s="216">
        <v>46164.456944444442</v>
      </c>
      <c r="N229" s="215" t="s">
        <v>1442</v>
      </c>
      <c r="O229" s="157" t="s">
        <v>205</v>
      </c>
      <c r="P229" s="92"/>
      <c r="Q229" s="145" t="s">
        <v>205</v>
      </c>
      <c r="R229" s="92"/>
      <c r="S229" s="145" t="s">
        <v>205</v>
      </c>
      <c r="T229" s="92"/>
      <c r="U229" s="145" t="s">
        <v>205</v>
      </c>
      <c r="V229" s="92"/>
      <c r="W229" s="145" t="s">
        <v>205</v>
      </c>
      <c r="X229" s="92"/>
      <c r="Y229" s="145" t="s">
        <v>62</v>
      </c>
      <c r="Z229" s="92"/>
      <c r="AA229" s="145" t="s">
        <v>205</v>
      </c>
      <c r="AB229" s="92"/>
      <c r="AC229" s="145" t="s">
        <v>205</v>
      </c>
      <c r="AD229" s="92"/>
      <c r="AE229" s="145" t="s">
        <v>205</v>
      </c>
      <c r="AF229" s="142" t="str">
        <f t="shared" si="11"/>
        <v>C</v>
      </c>
      <c r="AG229" s="190" t="str">
        <f t="shared" si="10"/>
        <v>UTILIZOU O PDA CORRETAMENTE</v>
      </c>
      <c r="AH229" s="145" t="s">
        <v>205</v>
      </c>
      <c r="AI229" s="153" t="s">
        <v>6</v>
      </c>
      <c r="AJ229" s="150" t="str">
        <f t="shared" si="12"/>
        <v>SÃO PAULO</v>
      </c>
      <c r="AK229" s="154" t="s">
        <v>60</v>
      </c>
    </row>
    <row r="230" spans="1:37" ht="30" customHeight="1">
      <c r="A230" s="215" t="s">
        <v>198</v>
      </c>
      <c r="B230" s="215">
        <v>2621694526</v>
      </c>
      <c r="C230" s="215" t="s">
        <v>1477</v>
      </c>
      <c r="D230" s="215" t="s">
        <v>109</v>
      </c>
      <c r="E230" s="215" t="s">
        <v>5</v>
      </c>
      <c r="F230" s="215" t="s">
        <v>447</v>
      </c>
      <c r="G230" s="215">
        <v>135</v>
      </c>
      <c r="H230" s="215" t="s">
        <v>1847</v>
      </c>
      <c r="I230" s="215" t="s">
        <v>448</v>
      </c>
      <c r="J230" s="215" t="s">
        <v>1479</v>
      </c>
      <c r="K230" s="219" t="s">
        <v>1858</v>
      </c>
      <c r="L230" s="216">
        <v>46164.632638888892</v>
      </c>
      <c r="M230" s="216">
        <v>46164.635416666664</v>
      </c>
      <c r="N230" s="215" t="s">
        <v>1426</v>
      </c>
      <c r="O230" s="157" t="s">
        <v>205</v>
      </c>
      <c r="P230" s="92"/>
      <c r="Q230" s="145" t="s">
        <v>205</v>
      </c>
      <c r="R230" s="92"/>
      <c r="S230" s="145" t="s">
        <v>205</v>
      </c>
      <c r="T230" s="92"/>
      <c r="U230" s="145" t="s">
        <v>205</v>
      </c>
      <c r="V230" s="92"/>
      <c r="W230" s="145" t="s">
        <v>205</v>
      </c>
      <c r="X230" s="92"/>
      <c r="Y230" s="145" t="s">
        <v>205</v>
      </c>
      <c r="Z230" s="92"/>
      <c r="AA230" s="145" t="s">
        <v>205</v>
      </c>
      <c r="AB230" s="92"/>
      <c r="AC230" s="145" t="s">
        <v>205</v>
      </c>
      <c r="AD230" s="92"/>
      <c r="AE230" s="145" t="s">
        <v>205</v>
      </c>
      <c r="AF230" s="142" t="str">
        <f t="shared" si="11"/>
        <v>C</v>
      </c>
      <c r="AG230" s="190" t="str">
        <f t="shared" si="10"/>
        <v>UTILIZOU O PDA CORRETAMENTE</v>
      </c>
      <c r="AH230" s="145" t="s">
        <v>205</v>
      </c>
      <c r="AI230" s="153" t="s">
        <v>6</v>
      </c>
      <c r="AJ230" s="150" t="str">
        <f t="shared" si="12"/>
        <v>SÃO PAULO</v>
      </c>
      <c r="AK230" s="154" t="s">
        <v>60</v>
      </c>
    </row>
    <row r="231" spans="1:37" ht="30" customHeight="1">
      <c r="A231" s="215" t="s">
        <v>198</v>
      </c>
      <c r="B231" s="215">
        <v>2621695129</v>
      </c>
      <c r="C231" s="215" t="s">
        <v>122</v>
      </c>
      <c r="D231" s="215" t="s">
        <v>111</v>
      </c>
      <c r="E231" s="215" t="s">
        <v>5</v>
      </c>
      <c r="F231" s="215" t="s">
        <v>1859</v>
      </c>
      <c r="G231" s="215">
        <v>22</v>
      </c>
      <c r="H231" s="215"/>
      <c r="I231" s="215" t="s">
        <v>649</v>
      </c>
      <c r="J231" s="215" t="s">
        <v>1451</v>
      </c>
      <c r="K231" s="215"/>
      <c r="L231" s="216">
        <v>46165.46875</v>
      </c>
      <c r="M231" s="216">
        <v>46165.599305555559</v>
      </c>
      <c r="N231" s="215" t="s">
        <v>1426</v>
      </c>
      <c r="O231" s="157" t="s">
        <v>205</v>
      </c>
      <c r="P231" s="92"/>
      <c r="Q231" s="145" t="s">
        <v>205</v>
      </c>
      <c r="R231" s="92"/>
      <c r="S231" s="145" t="s">
        <v>205</v>
      </c>
      <c r="T231" s="92"/>
      <c r="U231" s="145" t="s">
        <v>205</v>
      </c>
      <c r="V231" s="92"/>
      <c r="W231" s="145" t="s">
        <v>62</v>
      </c>
      <c r="X231" s="92"/>
      <c r="Y231" s="145" t="s">
        <v>62</v>
      </c>
      <c r="Z231" s="92"/>
      <c r="AA231" s="145" t="s">
        <v>205</v>
      </c>
      <c r="AB231" s="92"/>
      <c r="AC231" s="145" t="s">
        <v>205</v>
      </c>
      <c r="AD231" s="92"/>
      <c r="AE231" s="145" t="s">
        <v>205</v>
      </c>
      <c r="AF231" s="142" t="str">
        <f t="shared" si="11"/>
        <v>C</v>
      </c>
      <c r="AG231" s="190" t="str">
        <f t="shared" ref="AG231:AG294" si="13">IF(AND(AE231="C",AF231="C"),"UTILIZOU O PDA CORRETAMENTE",IF(AND(AE231="C",AF231="NC"),"UTILIZOU O PDA CORRETAMENTE. NÃO HÁ FOTOS DE TODAS AS ETAPAS",IF(AND(AE231="NC",AF231="NC"),"NÃO UTILIZOU O PDA",IF(AND(AE231="NA",AF231="NA"),"NÃO AVALIADO POR FALHA DE SINCRONISMO"))))</f>
        <v>UTILIZOU O PDA CORRETAMENTE</v>
      </c>
      <c r="AH231" s="145" t="s">
        <v>205</v>
      </c>
      <c r="AI231" s="153" t="s">
        <v>6</v>
      </c>
      <c r="AJ231" s="150" t="str">
        <f t="shared" si="12"/>
        <v>SÃO PAULO</v>
      </c>
      <c r="AK231" s="154" t="s">
        <v>60</v>
      </c>
    </row>
    <row r="232" spans="1:37" ht="30" customHeight="1">
      <c r="A232" s="228" t="s">
        <v>198</v>
      </c>
      <c r="B232" s="228">
        <v>2621655973</v>
      </c>
      <c r="C232" s="228" t="s">
        <v>123</v>
      </c>
      <c r="D232" s="228" t="s">
        <v>109</v>
      </c>
      <c r="E232" s="228" t="s">
        <v>5</v>
      </c>
      <c r="F232" s="228" t="s">
        <v>639</v>
      </c>
      <c r="G232" s="228">
        <v>186</v>
      </c>
      <c r="H232" s="228" t="s">
        <v>226</v>
      </c>
      <c r="I232" s="228" t="s">
        <v>640</v>
      </c>
      <c r="J232" s="228" t="s">
        <v>1409</v>
      </c>
      <c r="K232" s="229" t="s">
        <v>1860</v>
      </c>
      <c r="L232" s="230">
        <v>46166.25</v>
      </c>
      <c r="M232" s="230">
        <v>46166.250694444447</v>
      </c>
      <c r="N232" s="228" t="s">
        <v>1426</v>
      </c>
      <c r="O232" s="157" t="s">
        <v>205</v>
      </c>
      <c r="P232" s="92"/>
      <c r="Q232" s="145" t="s">
        <v>205</v>
      </c>
      <c r="R232" s="92"/>
      <c r="S232" s="145" t="s">
        <v>205</v>
      </c>
      <c r="T232" s="92"/>
      <c r="U232" s="145" t="s">
        <v>205</v>
      </c>
      <c r="V232" s="92"/>
      <c r="W232" s="145" t="s">
        <v>205</v>
      </c>
      <c r="X232" s="92"/>
      <c r="Y232" s="145" t="s">
        <v>205</v>
      </c>
      <c r="Z232" s="92"/>
      <c r="AA232" s="145" t="s">
        <v>205</v>
      </c>
      <c r="AB232" s="92"/>
      <c r="AC232" s="145" t="s">
        <v>205</v>
      </c>
      <c r="AD232" s="92"/>
      <c r="AE232" s="145" t="s">
        <v>205</v>
      </c>
      <c r="AF232" s="142" t="str">
        <f t="shared" ref="AF232:AF295" si="14">IF(AND(O232="",Q232="",S232="",U232="",W232="",Y232="",AA232="",AC232=""),"",IF(OR(AND(O232&lt;&gt;"NA",O232&lt;&gt;"C",O232&lt;&gt;"NC",O232&lt;&gt;"SF",O232&lt;&gt;""),AND(Q232&lt;&gt;"NA",Q232&lt;&gt;"C",Q232&lt;&gt;"NC",Q232&lt;&gt;"SF",Q232&lt;&gt;""),AND(S232&lt;&gt;"NA",S232&lt;&gt;"C",S232&lt;&gt;"NC",S232&lt;&gt;"SF",S232&lt;&gt;""),AND(U232&lt;&gt;"NA",U232&lt;&gt;"C",U232&lt;&gt;"NC",U232&lt;&gt;"SF",U232&lt;&gt;""),AND(W232&lt;&gt;"NA",W232&lt;&gt;"C",W232&lt;&gt;"NC",W232&lt;&gt;"SF",W232&lt;&gt;""),AND(Y232&lt;&gt;"NA",Y232&lt;&gt;"C",Y232&lt;&gt;"NC",Y232&lt;&gt;"SF",Y232&lt;&gt;""),AND(AA232&lt;&gt;"NA",AA232&lt;&gt;"C",AA232&lt;&gt;"NC",AA232&lt;&gt;"SF",AA232&lt;&gt;""),AND(AC232&lt;&gt;"NA",AC232&lt;&gt;"C",AC232&lt;&gt;"NC",AC232&lt;&gt;"SF",AC232&lt;&gt;"")),"FALSO",IF(AND(O232="NA",Q232="NA",S232="NA",U232="NA",W232="NA",Y232="NA",AA232="NA",AC232="NA"),"NA",IF(OR(O232="NC",Q232="NC",S232="NC",U232="NC",W232="NC",Y232="NC",AA232="NC",AC232="NC",O232="SF",Q232="SF",S232="SF",U232="SF",W232="SF",Y232="SF",AA232="SF",AC232="SF"),"NC",IF(OR(O232="C",Q232="C",S232="C",U232="C",W232="C",Y232="C",AA232="C",AC232="C"),"C","")))))</f>
        <v>C</v>
      </c>
      <c r="AG232" s="190" t="str">
        <f t="shared" si="13"/>
        <v>UTILIZOU O PDA CORRETAMENTE</v>
      </c>
      <c r="AH232" s="145" t="s">
        <v>205</v>
      </c>
      <c r="AI232" s="153" t="s">
        <v>6</v>
      </c>
      <c r="AJ232" s="150" t="str">
        <f t="shared" si="12"/>
        <v>SÃO PAULO</v>
      </c>
      <c r="AK232" s="154" t="s">
        <v>60</v>
      </c>
    </row>
    <row r="233" spans="1:37" ht="30" customHeight="1">
      <c r="A233" s="215" t="s">
        <v>198</v>
      </c>
      <c r="B233" s="215">
        <v>2621835384</v>
      </c>
      <c r="C233" s="215" t="s">
        <v>123</v>
      </c>
      <c r="D233" s="215" t="s">
        <v>109</v>
      </c>
      <c r="E233" s="215" t="s">
        <v>5</v>
      </c>
      <c r="F233" s="215" t="s">
        <v>1861</v>
      </c>
      <c r="G233" s="215">
        <v>65</v>
      </c>
      <c r="H233" s="215" t="s">
        <v>200</v>
      </c>
      <c r="I233" s="215" t="s">
        <v>1862</v>
      </c>
      <c r="J233" s="215" t="s">
        <v>1409</v>
      </c>
      <c r="K233" s="219" t="s">
        <v>1863</v>
      </c>
      <c r="L233" s="216">
        <v>46166.647916666669</v>
      </c>
      <c r="M233" s="216">
        <v>46166.650694444441</v>
      </c>
      <c r="N233" s="215" t="s">
        <v>1426</v>
      </c>
      <c r="O233" s="157" t="s">
        <v>206</v>
      </c>
      <c r="P233" s="92"/>
      <c r="Q233" s="145" t="s">
        <v>206</v>
      </c>
      <c r="R233" s="92"/>
      <c r="S233" s="145" t="s">
        <v>206</v>
      </c>
      <c r="T233" s="92"/>
      <c r="U233" s="145" t="s">
        <v>206</v>
      </c>
      <c r="V233" s="92"/>
      <c r="W233" s="145" t="s">
        <v>206</v>
      </c>
      <c r="X233" s="92"/>
      <c r="Y233" s="145" t="s">
        <v>206</v>
      </c>
      <c r="Z233" s="92"/>
      <c r="AA233" s="145" t="s">
        <v>206</v>
      </c>
      <c r="AB233" s="92"/>
      <c r="AC233" s="145" t="s">
        <v>206</v>
      </c>
      <c r="AD233" s="92"/>
      <c r="AE233" s="145" t="s">
        <v>239</v>
      </c>
      <c r="AF233" s="142" t="str">
        <f t="shared" si="14"/>
        <v>NC</v>
      </c>
      <c r="AG233" s="190" t="str">
        <f t="shared" si="13"/>
        <v>NÃO UTILIZOU O PDA</v>
      </c>
      <c r="AH233" s="145"/>
      <c r="AI233" s="153" t="s">
        <v>6</v>
      </c>
      <c r="AJ233" s="150" t="str">
        <f t="shared" si="12"/>
        <v>SÃO PAULO</v>
      </c>
      <c r="AK233" s="154" t="s">
        <v>60</v>
      </c>
    </row>
    <row r="234" spans="1:37" ht="30" customHeight="1">
      <c r="A234" s="249" t="s">
        <v>198</v>
      </c>
      <c r="B234" s="249">
        <v>2621664789</v>
      </c>
      <c r="C234" s="249" t="s">
        <v>122</v>
      </c>
      <c r="D234" s="249" t="s">
        <v>111</v>
      </c>
      <c r="E234" s="249" t="s">
        <v>5</v>
      </c>
      <c r="F234" s="249" t="s">
        <v>1864</v>
      </c>
      <c r="G234" s="249">
        <v>70</v>
      </c>
      <c r="H234" s="249" t="s">
        <v>200</v>
      </c>
      <c r="I234" s="249" t="s">
        <v>1865</v>
      </c>
      <c r="J234" s="249" t="s">
        <v>1451</v>
      </c>
      <c r="K234" s="249" t="s">
        <v>1866</v>
      </c>
      <c r="L234" s="250">
        <v>46167.472222222219</v>
      </c>
      <c r="M234" s="250">
        <v>46167.497916666667</v>
      </c>
      <c r="N234" s="249" t="s">
        <v>1442</v>
      </c>
      <c r="O234" s="157" t="s">
        <v>205</v>
      </c>
      <c r="P234" s="92"/>
      <c r="Q234" s="145" t="s">
        <v>205</v>
      </c>
      <c r="R234" s="92"/>
      <c r="S234" s="145" t="s">
        <v>205</v>
      </c>
      <c r="T234" s="92"/>
      <c r="U234" s="145" t="s">
        <v>62</v>
      </c>
      <c r="V234" s="92"/>
      <c r="W234" s="145" t="s">
        <v>62</v>
      </c>
      <c r="X234" s="92"/>
      <c r="Y234" s="145" t="s">
        <v>62</v>
      </c>
      <c r="Z234" s="92"/>
      <c r="AA234" s="145" t="s">
        <v>205</v>
      </c>
      <c r="AB234" s="92"/>
      <c r="AC234" s="145" t="s">
        <v>205</v>
      </c>
      <c r="AD234" s="92"/>
      <c r="AE234" s="145" t="s">
        <v>205</v>
      </c>
      <c r="AF234" s="142" t="str">
        <f t="shared" si="14"/>
        <v>C</v>
      </c>
      <c r="AG234" s="190" t="str">
        <f t="shared" si="13"/>
        <v>UTILIZOU O PDA CORRETAMENTE</v>
      </c>
      <c r="AH234" s="145" t="s">
        <v>205</v>
      </c>
      <c r="AI234" s="153" t="s">
        <v>6</v>
      </c>
      <c r="AJ234" s="150" t="str">
        <f t="shared" si="12"/>
        <v>SÃO PAULO</v>
      </c>
      <c r="AK234" s="154" t="s">
        <v>60</v>
      </c>
    </row>
    <row r="235" spans="1:37" ht="30" customHeight="1">
      <c r="A235" s="215" t="s">
        <v>198</v>
      </c>
      <c r="B235" s="215">
        <v>2621772412</v>
      </c>
      <c r="C235" s="215" t="s">
        <v>1452</v>
      </c>
      <c r="D235" s="215" t="s">
        <v>111</v>
      </c>
      <c r="E235" s="215" t="s">
        <v>5</v>
      </c>
      <c r="F235" s="215" t="s">
        <v>1867</v>
      </c>
      <c r="G235" s="215">
        <v>152</v>
      </c>
      <c r="H235" s="215"/>
      <c r="I235" s="215" t="s">
        <v>215</v>
      </c>
      <c r="J235" s="215" t="s">
        <v>1454</v>
      </c>
      <c r="K235" s="215"/>
      <c r="L235" s="216">
        <v>46167.501388888886</v>
      </c>
      <c r="M235" s="216">
        <v>46167.506249999999</v>
      </c>
      <c r="N235" s="215" t="s">
        <v>1426</v>
      </c>
      <c r="O235" s="157" t="s">
        <v>205</v>
      </c>
      <c r="P235" s="92"/>
      <c r="Q235" s="145" t="s">
        <v>205</v>
      </c>
      <c r="R235" s="92"/>
      <c r="S235" s="145" t="s">
        <v>205</v>
      </c>
      <c r="T235" s="92"/>
      <c r="U235" s="145" t="s">
        <v>62</v>
      </c>
      <c r="V235" s="92"/>
      <c r="W235" s="145" t="s">
        <v>62</v>
      </c>
      <c r="X235" s="92"/>
      <c r="Y235" s="145" t="s">
        <v>62</v>
      </c>
      <c r="Z235" s="92"/>
      <c r="AA235" s="145" t="s">
        <v>205</v>
      </c>
      <c r="AB235" s="92"/>
      <c r="AC235" s="145" t="s">
        <v>205</v>
      </c>
      <c r="AD235" s="92"/>
      <c r="AE235" s="145" t="s">
        <v>205</v>
      </c>
      <c r="AF235" s="142" t="s">
        <v>205</v>
      </c>
      <c r="AG235" s="190" t="str">
        <f t="shared" si="13"/>
        <v>UTILIZOU O PDA CORRETAMENTE</v>
      </c>
      <c r="AH235" s="145" t="s">
        <v>205</v>
      </c>
      <c r="AI235" s="153" t="s">
        <v>6</v>
      </c>
      <c r="AJ235" s="150" t="str">
        <f t="shared" si="12"/>
        <v>SÃO PAULO</v>
      </c>
      <c r="AK235" s="154" t="s">
        <v>60</v>
      </c>
    </row>
    <row r="236" spans="1:37" ht="30" customHeight="1">
      <c r="A236" s="215" t="s">
        <v>198</v>
      </c>
      <c r="B236" s="215">
        <v>2621260372</v>
      </c>
      <c r="C236" s="215" t="s">
        <v>121</v>
      </c>
      <c r="D236" s="215" t="s">
        <v>112</v>
      </c>
      <c r="E236" s="215" t="s">
        <v>5</v>
      </c>
      <c r="F236" s="215" t="s">
        <v>1868</v>
      </c>
      <c r="G236" s="215">
        <v>181</v>
      </c>
      <c r="H236" s="215" t="s">
        <v>226</v>
      </c>
      <c r="I236" s="215" t="s">
        <v>810</v>
      </c>
      <c r="J236" s="215" t="s">
        <v>1406</v>
      </c>
      <c r="K236" s="215" t="s">
        <v>1407</v>
      </c>
      <c r="L236" s="216">
        <v>46167.649305555555</v>
      </c>
      <c r="M236" s="216">
        <v>46167.65</v>
      </c>
      <c r="N236" s="215" t="s">
        <v>217</v>
      </c>
      <c r="O236" s="157" t="s">
        <v>239</v>
      </c>
      <c r="P236" s="92" t="s">
        <v>1869</v>
      </c>
      <c r="Q236" s="145" t="s">
        <v>205</v>
      </c>
      <c r="R236" s="92"/>
      <c r="S236" s="145" t="s">
        <v>205</v>
      </c>
      <c r="T236" s="92"/>
      <c r="U236" s="145" t="s">
        <v>62</v>
      </c>
      <c r="V236" s="92"/>
      <c r="W236" s="145" t="s">
        <v>62</v>
      </c>
      <c r="X236" s="92"/>
      <c r="Y236" s="145" t="s">
        <v>62</v>
      </c>
      <c r="Z236" s="92"/>
      <c r="AA236" s="145" t="s">
        <v>62</v>
      </c>
      <c r="AB236" s="92"/>
      <c r="AC236" s="145" t="s">
        <v>205</v>
      </c>
      <c r="AD236" s="92"/>
      <c r="AE236" s="145" t="s">
        <v>205</v>
      </c>
      <c r="AF236" s="142" t="str">
        <f t="shared" si="14"/>
        <v>NC</v>
      </c>
      <c r="AG236" s="190" t="str">
        <f t="shared" si="13"/>
        <v>UTILIZOU O PDA CORRETAMENTE. NÃO HÁ FOTOS DE TODAS AS ETAPAS</v>
      </c>
      <c r="AH236" s="145"/>
      <c r="AI236" s="153" t="s">
        <v>6</v>
      </c>
      <c r="AJ236" s="150" t="str">
        <f t="shared" si="12"/>
        <v>SÃO PAULO</v>
      </c>
      <c r="AK236" s="154" t="s">
        <v>60</v>
      </c>
    </row>
    <row r="237" spans="1:37" ht="30" customHeight="1">
      <c r="A237" s="228" t="s">
        <v>198</v>
      </c>
      <c r="B237" s="228">
        <v>2621840042</v>
      </c>
      <c r="C237" s="228" t="s">
        <v>123</v>
      </c>
      <c r="D237" s="228" t="s">
        <v>109</v>
      </c>
      <c r="E237" s="228" t="s">
        <v>5</v>
      </c>
      <c r="F237" s="228" t="s">
        <v>1870</v>
      </c>
      <c r="G237" s="228">
        <v>116</v>
      </c>
      <c r="H237" s="228"/>
      <c r="I237" s="228" t="s">
        <v>1871</v>
      </c>
      <c r="J237" s="228" t="s">
        <v>1409</v>
      </c>
      <c r="K237" s="228" t="s">
        <v>1441</v>
      </c>
      <c r="L237" s="230">
        <v>46167.700694444444</v>
      </c>
      <c r="M237" s="230">
        <v>46167.713888888888</v>
      </c>
      <c r="N237" s="228" t="s">
        <v>1442</v>
      </c>
      <c r="O237" s="238" t="s">
        <v>205</v>
      </c>
      <c r="P237" s="239"/>
      <c r="Q237" s="240" t="s">
        <v>205</v>
      </c>
      <c r="R237" s="239"/>
      <c r="S237" s="240" t="s">
        <v>205</v>
      </c>
      <c r="T237" s="239"/>
      <c r="U237" s="240" t="s">
        <v>205</v>
      </c>
      <c r="V237" s="239"/>
      <c r="W237" s="240" t="s">
        <v>205</v>
      </c>
      <c r="X237" s="239"/>
      <c r="Y237" s="240" t="s">
        <v>205</v>
      </c>
      <c r="Z237" s="239"/>
      <c r="AA237" s="240" t="s">
        <v>205</v>
      </c>
      <c r="AB237" s="239"/>
      <c r="AC237" s="240" t="s">
        <v>205</v>
      </c>
      <c r="AD237" s="239"/>
      <c r="AE237" s="240" t="s">
        <v>205</v>
      </c>
      <c r="AF237" s="360" t="str">
        <f t="shared" si="14"/>
        <v>C</v>
      </c>
      <c r="AG237" s="183" t="str">
        <f t="shared" si="13"/>
        <v>UTILIZOU O PDA CORRETAMENTE</v>
      </c>
      <c r="AH237" s="240" t="s">
        <v>205</v>
      </c>
      <c r="AI237" s="361" t="s">
        <v>6</v>
      </c>
      <c r="AJ237" s="150" t="str">
        <f t="shared" si="12"/>
        <v>SÃO PAULO</v>
      </c>
      <c r="AK237" s="369" t="s">
        <v>60</v>
      </c>
    </row>
    <row r="238" spans="1:37" s="368" customFormat="1" ht="30" customHeight="1">
      <c r="A238" s="215" t="s">
        <v>198</v>
      </c>
      <c r="B238" s="215">
        <v>2621054487</v>
      </c>
      <c r="C238" s="215" t="s">
        <v>121</v>
      </c>
      <c r="D238" s="215" t="s">
        <v>112</v>
      </c>
      <c r="E238" s="215" t="s">
        <v>5</v>
      </c>
      <c r="F238" s="215" t="s">
        <v>1872</v>
      </c>
      <c r="G238" s="215">
        <v>469</v>
      </c>
      <c r="H238" s="215" t="s">
        <v>318</v>
      </c>
      <c r="I238" s="215" t="s">
        <v>308</v>
      </c>
      <c r="J238" s="215" t="s">
        <v>1511</v>
      </c>
      <c r="K238" s="215" t="s">
        <v>200</v>
      </c>
      <c r="L238" s="216">
        <v>46167.34375</v>
      </c>
      <c r="M238" s="216">
        <v>46167.350694444445</v>
      </c>
      <c r="N238" s="215" t="s">
        <v>297</v>
      </c>
      <c r="O238" s="143" t="s">
        <v>205</v>
      </c>
      <c r="P238" s="56"/>
      <c r="Q238" s="143" t="s">
        <v>205</v>
      </c>
      <c r="R238" s="56"/>
      <c r="S238" s="143" t="s">
        <v>206</v>
      </c>
      <c r="T238" s="56"/>
      <c r="U238" s="143" t="s">
        <v>62</v>
      </c>
      <c r="V238" s="56"/>
      <c r="W238" s="143" t="s">
        <v>62</v>
      </c>
      <c r="X238" s="56"/>
      <c r="Y238" s="143" t="s">
        <v>62</v>
      </c>
      <c r="Z238" s="56"/>
      <c r="AA238" s="143" t="s">
        <v>206</v>
      </c>
      <c r="AB238" s="56"/>
      <c r="AC238" s="143" t="s">
        <v>205</v>
      </c>
      <c r="AD238" s="56"/>
      <c r="AE238" s="143" t="s">
        <v>205</v>
      </c>
      <c r="AF238" s="142" t="str">
        <f t="shared" si="14"/>
        <v>NC</v>
      </c>
      <c r="AG238" s="234" t="str">
        <f t="shared" si="13"/>
        <v>UTILIZOU O PDA CORRETAMENTE. NÃO HÁ FOTOS DE TODAS AS ETAPAS</v>
      </c>
      <c r="AH238" s="143"/>
      <c r="AI238" s="235" t="s">
        <v>6</v>
      </c>
      <c r="AJ238" s="235" t="str">
        <f t="shared" si="12"/>
        <v>SÃO PAULO</v>
      </c>
      <c r="AK238" s="367" t="s">
        <v>60</v>
      </c>
    </row>
    <row r="239" spans="1:37" ht="30" customHeight="1">
      <c r="A239" s="249" t="s">
        <v>198</v>
      </c>
      <c r="B239" s="249">
        <v>2621260423</v>
      </c>
      <c r="C239" s="249" t="s">
        <v>121</v>
      </c>
      <c r="D239" s="249" t="s">
        <v>112</v>
      </c>
      <c r="E239" s="249" t="s">
        <v>5</v>
      </c>
      <c r="F239" s="249" t="s">
        <v>731</v>
      </c>
      <c r="G239" s="249">
        <v>375</v>
      </c>
      <c r="H239" s="249"/>
      <c r="I239" s="249" t="s">
        <v>732</v>
      </c>
      <c r="J239" s="249" t="s">
        <v>1406</v>
      </c>
      <c r="K239" s="249"/>
      <c r="L239" s="250">
        <v>46168.470833333333</v>
      </c>
      <c r="M239" s="250">
        <v>46168.47152777778</v>
      </c>
      <c r="N239" s="249" t="s">
        <v>217</v>
      </c>
      <c r="O239" s="231" t="s">
        <v>205</v>
      </c>
      <c r="P239" s="225"/>
      <c r="Q239" s="224" t="s">
        <v>205</v>
      </c>
      <c r="R239" s="225"/>
      <c r="S239" s="224" t="s">
        <v>205</v>
      </c>
      <c r="T239" s="225"/>
      <c r="U239" s="224" t="s">
        <v>205</v>
      </c>
      <c r="V239" s="225"/>
      <c r="W239" s="224" t="s">
        <v>62</v>
      </c>
      <c r="X239" s="225"/>
      <c r="Y239" s="224" t="s">
        <v>62</v>
      </c>
      <c r="Z239" s="225"/>
      <c r="AA239" s="224" t="s">
        <v>206</v>
      </c>
      <c r="AB239" s="225"/>
      <c r="AC239" s="224" t="s">
        <v>205</v>
      </c>
      <c r="AD239" s="225"/>
      <c r="AE239" s="224" t="s">
        <v>205</v>
      </c>
      <c r="AF239" s="181" t="str">
        <f t="shared" si="14"/>
        <v>NC</v>
      </c>
      <c r="AG239" s="190" t="str">
        <f t="shared" si="13"/>
        <v>UTILIZOU O PDA CORRETAMENTE. NÃO HÁ FOTOS DE TODAS AS ETAPAS</v>
      </c>
      <c r="AH239" s="224" t="s">
        <v>205</v>
      </c>
      <c r="AI239" s="233" t="s">
        <v>6</v>
      </c>
      <c r="AJ239" s="184" t="str">
        <f t="shared" si="12"/>
        <v>SÃO PAULO</v>
      </c>
      <c r="AK239" s="258" t="s">
        <v>60</v>
      </c>
    </row>
    <row r="240" spans="1:37" ht="30" customHeight="1">
      <c r="A240" s="215" t="s">
        <v>198</v>
      </c>
      <c r="B240" s="215">
        <v>2621244697</v>
      </c>
      <c r="C240" s="215" t="s">
        <v>121</v>
      </c>
      <c r="D240" s="215" t="s">
        <v>112</v>
      </c>
      <c r="E240" s="215" t="s">
        <v>5</v>
      </c>
      <c r="F240" s="215" t="s">
        <v>1873</v>
      </c>
      <c r="G240" s="215">
        <v>62</v>
      </c>
      <c r="H240" s="215" t="s">
        <v>226</v>
      </c>
      <c r="I240" s="215" t="s">
        <v>343</v>
      </c>
      <c r="J240" s="215" t="s">
        <v>1406</v>
      </c>
      <c r="K240" s="215" t="s">
        <v>1874</v>
      </c>
      <c r="L240" s="216">
        <v>46168.363194444442</v>
      </c>
      <c r="M240" s="216">
        <v>46168.366666666669</v>
      </c>
      <c r="N240" s="215" t="s">
        <v>217</v>
      </c>
      <c r="O240" s="157" t="s">
        <v>205</v>
      </c>
      <c r="P240" s="92"/>
      <c r="Q240" s="145" t="s">
        <v>205</v>
      </c>
      <c r="R240" s="92"/>
      <c r="S240" s="145" t="s">
        <v>205</v>
      </c>
      <c r="T240" s="92"/>
      <c r="U240" s="145" t="s">
        <v>205</v>
      </c>
      <c r="V240" s="92"/>
      <c r="W240" s="145" t="s">
        <v>62</v>
      </c>
      <c r="X240" s="92"/>
      <c r="Y240" s="145" t="s">
        <v>62</v>
      </c>
      <c r="Z240" s="92"/>
      <c r="AA240" s="145" t="s">
        <v>206</v>
      </c>
      <c r="AB240" s="92"/>
      <c r="AC240" s="145" t="s">
        <v>205</v>
      </c>
      <c r="AD240" s="92"/>
      <c r="AE240" s="145" t="s">
        <v>205</v>
      </c>
      <c r="AF240" s="142" t="str">
        <f t="shared" si="14"/>
        <v>NC</v>
      </c>
      <c r="AG240" s="190" t="str">
        <f t="shared" si="13"/>
        <v>UTILIZOU O PDA CORRETAMENTE. NÃO HÁ FOTOS DE TODAS AS ETAPAS</v>
      </c>
      <c r="AH240" s="145"/>
      <c r="AI240" s="153" t="s">
        <v>6</v>
      </c>
      <c r="AJ240" s="150" t="str">
        <f t="shared" si="12"/>
        <v>SÃO PAULO</v>
      </c>
      <c r="AK240" s="154" t="s">
        <v>60</v>
      </c>
    </row>
    <row r="241" spans="1:37" ht="30" customHeight="1">
      <c r="A241" s="215" t="s">
        <v>198</v>
      </c>
      <c r="B241" s="215">
        <v>2621839568</v>
      </c>
      <c r="C241" s="215" t="s">
        <v>123</v>
      </c>
      <c r="D241" s="215" t="s">
        <v>109</v>
      </c>
      <c r="E241" s="215" t="s">
        <v>5</v>
      </c>
      <c r="F241" s="215" t="s">
        <v>1875</v>
      </c>
      <c r="G241" s="215">
        <v>1097</v>
      </c>
      <c r="H241" s="215" t="s">
        <v>652</v>
      </c>
      <c r="I241" s="215" t="s">
        <v>1876</v>
      </c>
      <c r="J241" s="215" t="s">
        <v>1409</v>
      </c>
      <c r="K241" s="215" t="s">
        <v>1520</v>
      </c>
      <c r="L241" s="216">
        <v>46168.708333333336</v>
      </c>
      <c r="M241" s="216">
        <v>46168.718055555553</v>
      </c>
      <c r="N241" s="215" t="s">
        <v>1442</v>
      </c>
      <c r="O241" s="157" t="s">
        <v>205</v>
      </c>
      <c r="P241" s="92"/>
      <c r="Q241" s="145" t="s">
        <v>205</v>
      </c>
      <c r="R241" s="92"/>
      <c r="S241" s="145" t="s">
        <v>205</v>
      </c>
      <c r="T241" s="92"/>
      <c r="U241" s="145" t="s">
        <v>205</v>
      </c>
      <c r="V241" s="92"/>
      <c r="W241" s="145" t="s">
        <v>205</v>
      </c>
      <c r="X241" s="92"/>
      <c r="Y241" s="145" t="s">
        <v>205</v>
      </c>
      <c r="Z241" s="92"/>
      <c r="AA241" s="145" t="s">
        <v>205</v>
      </c>
      <c r="AB241" s="92"/>
      <c r="AC241" s="145" t="s">
        <v>205</v>
      </c>
      <c r="AD241" s="92"/>
      <c r="AE241" s="145" t="s">
        <v>205</v>
      </c>
      <c r="AF241" s="142" t="str">
        <f t="shared" si="14"/>
        <v>C</v>
      </c>
      <c r="AG241" s="190" t="str">
        <f t="shared" si="13"/>
        <v>UTILIZOU O PDA CORRETAMENTE</v>
      </c>
      <c r="AH241" s="145" t="s">
        <v>205</v>
      </c>
      <c r="AI241" s="153" t="s">
        <v>6</v>
      </c>
      <c r="AJ241" s="150" t="str">
        <f t="shared" si="12"/>
        <v>SÃO PAULO</v>
      </c>
      <c r="AK241" s="154" t="s">
        <v>60</v>
      </c>
    </row>
    <row r="242" spans="1:37" ht="30" customHeight="1">
      <c r="A242" s="215" t="s">
        <v>198</v>
      </c>
      <c r="B242" s="215">
        <v>2621839731</v>
      </c>
      <c r="C242" s="215" t="s">
        <v>123</v>
      </c>
      <c r="D242" s="215" t="s">
        <v>109</v>
      </c>
      <c r="E242" s="215" t="s">
        <v>5</v>
      </c>
      <c r="F242" s="215" t="s">
        <v>561</v>
      </c>
      <c r="G242" s="215">
        <v>556</v>
      </c>
      <c r="H242" s="215" t="s">
        <v>200</v>
      </c>
      <c r="I242" s="215" t="s">
        <v>223</v>
      </c>
      <c r="J242" s="215" t="s">
        <v>1409</v>
      </c>
      <c r="K242" s="215" t="s">
        <v>1787</v>
      </c>
      <c r="L242" s="216">
        <v>46168.455555555556</v>
      </c>
      <c r="M242" s="216">
        <v>46168.554166666669</v>
      </c>
      <c r="N242" s="215" t="s">
        <v>1442</v>
      </c>
      <c r="O242" s="157" t="s">
        <v>205</v>
      </c>
      <c r="P242" s="92"/>
      <c r="Q242" s="145" t="s">
        <v>205</v>
      </c>
      <c r="R242" s="92"/>
      <c r="S242" s="145" t="s">
        <v>205</v>
      </c>
      <c r="T242" s="92"/>
      <c r="U242" s="145" t="s">
        <v>205</v>
      </c>
      <c r="V242" s="92"/>
      <c r="W242" s="145" t="s">
        <v>205</v>
      </c>
      <c r="X242" s="92"/>
      <c r="Y242" s="145" t="s">
        <v>62</v>
      </c>
      <c r="Z242" s="92"/>
      <c r="AA242" s="145" t="s">
        <v>205</v>
      </c>
      <c r="AB242" s="92"/>
      <c r="AC242" s="145" t="s">
        <v>205</v>
      </c>
      <c r="AD242" s="92"/>
      <c r="AE242" s="145" t="s">
        <v>205</v>
      </c>
      <c r="AF242" s="142" t="str">
        <f t="shared" si="14"/>
        <v>C</v>
      </c>
      <c r="AG242" s="190" t="str">
        <f t="shared" si="13"/>
        <v>UTILIZOU O PDA CORRETAMENTE</v>
      </c>
      <c r="AH242" s="145" t="s">
        <v>205</v>
      </c>
      <c r="AI242" s="153" t="s">
        <v>6</v>
      </c>
      <c r="AJ242" s="150" t="str">
        <f t="shared" si="12"/>
        <v>SÃO PAULO</v>
      </c>
      <c r="AK242" s="154" t="s">
        <v>60</v>
      </c>
    </row>
    <row r="243" spans="1:37" ht="30" customHeight="1">
      <c r="A243" s="215" t="s">
        <v>198</v>
      </c>
      <c r="B243" s="215">
        <v>2621853171</v>
      </c>
      <c r="C243" s="215" t="s">
        <v>122</v>
      </c>
      <c r="D243" s="215" t="s">
        <v>111</v>
      </c>
      <c r="E243" s="215" t="s">
        <v>5</v>
      </c>
      <c r="F243" s="215" t="s">
        <v>513</v>
      </c>
      <c r="G243" s="215">
        <v>2284</v>
      </c>
      <c r="H243" s="215"/>
      <c r="I243" s="215" t="s">
        <v>1877</v>
      </c>
      <c r="J243" s="215" t="s">
        <v>1451</v>
      </c>
      <c r="K243" s="215"/>
      <c r="L243" s="216">
        <v>46168.667361111111</v>
      </c>
      <c r="M243" s="216">
        <v>46168.67083333333</v>
      </c>
      <c r="N243" s="215" t="s">
        <v>1426</v>
      </c>
      <c r="O243" s="157" t="s">
        <v>205</v>
      </c>
      <c r="P243" s="92"/>
      <c r="Q243" s="145" t="s">
        <v>205</v>
      </c>
      <c r="R243" s="92"/>
      <c r="S243" s="145" t="s">
        <v>205</v>
      </c>
      <c r="T243" s="92"/>
      <c r="U243" s="145" t="s">
        <v>205</v>
      </c>
      <c r="V243" s="92"/>
      <c r="W243" s="145" t="s">
        <v>62</v>
      </c>
      <c r="X243" s="92"/>
      <c r="Y243" s="145" t="s">
        <v>62</v>
      </c>
      <c r="Z243" s="92"/>
      <c r="AA243" s="145" t="s">
        <v>205</v>
      </c>
      <c r="AB243" s="92"/>
      <c r="AC243" s="145" t="s">
        <v>205</v>
      </c>
      <c r="AD243" s="92"/>
      <c r="AE243" s="145" t="s">
        <v>205</v>
      </c>
      <c r="AF243" s="142" t="str">
        <f t="shared" si="14"/>
        <v>C</v>
      </c>
      <c r="AG243" s="190" t="str">
        <f t="shared" si="13"/>
        <v>UTILIZOU O PDA CORRETAMENTE</v>
      </c>
      <c r="AH243" s="145" t="s">
        <v>205</v>
      </c>
      <c r="AI243" s="153" t="s">
        <v>6</v>
      </c>
      <c r="AJ243" s="150" t="str">
        <f t="shared" si="12"/>
        <v>SÃO PAULO</v>
      </c>
      <c r="AK243" s="154" t="s">
        <v>60</v>
      </c>
    </row>
    <row r="244" spans="1:37" ht="30" customHeight="1">
      <c r="A244" s="215" t="s">
        <v>198</v>
      </c>
      <c r="B244" s="215">
        <v>2622125620</v>
      </c>
      <c r="C244" s="215" t="s">
        <v>123</v>
      </c>
      <c r="D244" s="215" t="s">
        <v>109</v>
      </c>
      <c r="E244" s="215" t="s">
        <v>5</v>
      </c>
      <c r="F244" s="215" t="s">
        <v>1316</v>
      </c>
      <c r="G244" s="215">
        <v>564</v>
      </c>
      <c r="H244" s="215" t="s">
        <v>318</v>
      </c>
      <c r="I244" s="215" t="s">
        <v>1317</v>
      </c>
      <c r="J244" s="215" t="s">
        <v>1409</v>
      </c>
      <c r="K244" s="219" t="s">
        <v>1567</v>
      </c>
      <c r="L244" s="216">
        <v>46168.517361111109</v>
      </c>
      <c r="M244" s="216">
        <v>46168.519444444442</v>
      </c>
      <c r="N244" s="215" t="s">
        <v>1426</v>
      </c>
      <c r="O244" s="157" t="s">
        <v>205</v>
      </c>
      <c r="P244" s="92"/>
      <c r="Q244" s="145" t="s">
        <v>205</v>
      </c>
      <c r="R244" s="92"/>
      <c r="S244" s="145" t="s">
        <v>205</v>
      </c>
      <c r="T244" s="92"/>
      <c r="U244" s="145" t="s">
        <v>205</v>
      </c>
      <c r="V244" s="92"/>
      <c r="W244" s="145" t="s">
        <v>205</v>
      </c>
      <c r="X244" s="92"/>
      <c r="Y244" s="145" t="s">
        <v>205</v>
      </c>
      <c r="Z244" s="92"/>
      <c r="AA244" s="145" t="s">
        <v>205</v>
      </c>
      <c r="AB244" s="92"/>
      <c r="AC244" s="145" t="s">
        <v>205</v>
      </c>
      <c r="AD244" s="92"/>
      <c r="AE244" s="145" t="s">
        <v>205</v>
      </c>
      <c r="AF244" s="142" t="str">
        <f t="shared" si="14"/>
        <v>C</v>
      </c>
      <c r="AG244" s="190" t="str">
        <f t="shared" si="13"/>
        <v>UTILIZOU O PDA CORRETAMENTE</v>
      </c>
      <c r="AH244" s="145" t="s">
        <v>205</v>
      </c>
      <c r="AI244" s="153" t="s">
        <v>6</v>
      </c>
      <c r="AJ244" s="150" t="str">
        <f t="shared" si="12"/>
        <v>SÃO PAULO</v>
      </c>
      <c r="AK244" s="154" t="s">
        <v>60</v>
      </c>
    </row>
    <row r="245" spans="1:37" ht="30" customHeight="1">
      <c r="A245" s="215" t="s">
        <v>198</v>
      </c>
      <c r="B245" s="215">
        <v>2622113016</v>
      </c>
      <c r="C245" s="215" t="s">
        <v>123</v>
      </c>
      <c r="D245" s="215" t="s">
        <v>109</v>
      </c>
      <c r="E245" s="215" t="s">
        <v>5</v>
      </c>
      <c r="F245" s="215" t="s">
        <v>1316</v>
      </c>
      <c r="G245" s="215">
        <v>326</v>
      </c>
      <c r="H245" s="215"/>
      <c r="I245" s="215" t="s">
        <v>1317</v>
      </c>
      <c r="J245" s="215" t="s">
        <v>1409</v>
      </c>
      <c r="K245" s="219" t="s">
        <v>1878</v>
      </c>
      <c r="L245" s="216">
        <v>46168.644444444442</v>
      </c>
      <c r="M245" s="216">
        <v>46168.646527777775</v>
      </c>
      <c r="N245" s="215" t="s">
        <v>1426</v>
      </c>
      <c r="O245" s="157" t="s">
        <v>205</v>
      </c>
      <c r="P245" s="92"/>
      <c r="Q245" s="145" t="s">
        <v>205</v>
      </c>
      <c r="R245" s="92"/>
      <c r="S245" s="145" t="s">
        <v>205</v>
      </c>
      <c r="T245" s="92"/>
      <c r="U245" s="145" t="s">
        <v>205</v>
      </c>
      <c r="V245" s="92"/>
      <c r="W245" s="145" t="s">
        <v>205</v>
      </c>
      <c r="X245" s="92"/>
      <c r="Y245" s="145" t="s">
        <v>205</v>
      </c>
      <c r="Z245" s="92"/>
      <c r="AA245" s="145" t="s">
        <v>205</v>
      </c>
      <c r="AB245" s="92"/>
      <c r="AC245" s="145" t="s">
        <v>205</v>
      </c>
      <c r="AD245" s="92"/>
      <c r="AE245" s="145" t="s">
        <v>205</v>
      </c>
      <c r="AF245" s="142" t="str">
        <f t="shared" si="14"/>
        <v>C</v>
      </c>
      <c r="AG245" s="190" t="str">
        <f t="shared" si="13"/>
        <v>UTILIZOU O PDA CORRETAMENTE</v>
      </c>
      <c r="AH245" s="145" t="s">
        <v>205</v>
      </c>
      <c r="AI245" s="153" t="s">
        <v>6</v>
      </c>
      <c r="AJ245" s="150" t="str">
        <f t="shared" si="12"/>
        <v>SÃO PAULO</v>
      </c>
      <c r="AK245" s="154" t="s">
        <v>60</v>
      </c>
    </row>
    <row r="246" spans="1:37" ht="30" customHeight="1">
      <c r="A246" s="228" t="s">
        <v>198</v>
      </c>
      <c r="B246" s="228">
        <v>2622113748</v>
      </c>
      <c r="C246" s="228" t="s">
        <v>1486</v>
      </c>
      <c r="D246" s="228" t="s">
        <v>112</v>
      </c>
      <c r="E246" s="228" t="s">
        <v>5</v>
      </c>
      <c r="F246" s="228" t="s">
        <v>1037</v>
      </c>
      <c r="G246" s="228">
        <v>2</v>
      </c>
      <c r="H246" s="228" t="s">
        <v>200</v>
      </c>
      <c r="I246" s="228" t="s">
        <v>215</v>
      </c>
      <c r="J246" s="228" t="s">
        <v>1487</v>
      </c>
      <c r="K246" s="228" t="s">
        <v>200</v>
      </c>
      <c r="L246" s="230">
        <v>46168.697916666664</v>
      </c>
      <c r="M246" s="230">
        <v>46168.697916666664</v>
      </c>
      <c r="N246" s="228" t="s">
        <v>217</v>
      </c>
      <c r="O246" s="157" t="s">
        <v>205</v>
      </c>
      <c r="P246" s="92"/>
      <c r="Q246" s="145" t="s">
        <v>205</v>
      </c>
      <c r="R246" s="92"/>
      <c r="S246" s="145" t="s">
        <v>205</v>
      </c>
      <c r="T246" s="92"/>
      <c r="U246" s="145" t="s">
        <v>205</v>
      </c>
      <c r="V246" s="92"/>
      <c r="W246" s="145" t="s">
        <v>62</v>
      </c>
      <c r="X246" s="92"/>
      <c r="Y246" s="145" t="s">
        <v>62</v>
      </c>
      <c r="Z246" s="92"/>
      <c r="AA246" s="145" t="s">
        <v>205</v>
      </c>
      <c r="AB246" s="92"/>
      <c r="AC246" s="145" t="s">
        <v>205</v>
      </c>
      <c r="AD246" s="92"/>
      <c r="AE246" s="145" t="s">
        <v>205</v>
      </c>
      <c r="AF246" s="142" t="str">
        <f t="shared" si="14"/>
        <v>C</v>
      </c>
      <c r="AG246" s="190" t="str">
        <f t="shared" si="13"/>
        <v>UTILIZOU O PDA CORRETAMENTE</v>
      </c>
      <c r="AH246" s="53" t="s">
        <v>205</v>
      </c>
      <c r="AI246" s="153" t="s">
        <v>6</v>
      </c>
      <c r="AJ246" s="150" t="str">
        <f t="shared" si="12"/>
        <v>SÃO PAULO</v>
      </c>
      <c r="AK246" s="154" t="s">
        <v>60</v>
      </c>
    </row>
    <row r="247" spans="1:37" ht="30" customHeight="1">
      <c r="A247" s="370" t="s">
        <v>198</v>
      </c>
      <c r="B247" s="215">
        <v>2621285325</v>
      </c>
      <c r="C247" s="215" t="s">
        <v>121</v>
      </c>
      <c r="D247" s="215" t="s">
        <v>112</v>
      </c>
      <c r="E247" s="215" t="s">
        <v>5</v>
      </c>
      <c r="F247" s="215" t="s">
        <v>651</v>
      </c>
      <c r="G247" s="215">
        <v>1519</v>
      </c>
      <c r="H247" s="215" t="s">
        <v>226</v>
      </c>
      <c r="I247" s="215" t="s">
        <v>1879</v>
      </c>
      <c r="J247" s="215" t="s">
        <v>1406</v>
      </c>
      <c r="K247" s="215" t="s">
        <v>1880</v>
      </c>
      <c r="L247" s="216">
        <v>46169.34375</v>
      </c>
      <c r="M247" s="216">
        <v>46169.350694444445</v>
      </c>
      <c r="N247" s="215" t="s">
        <v>217</v>
      </c>
      <c r="O247" s="157" t="s">
        <v>205</v>
      </c>
      <c r="P247" s="92"/>
      <c r="Q247" s="145" t="s">
        <v>205</v>
      </c>
      <c r="R247" s="92"/>
      <c r="S247" s="145" t="s">
        <v>205</v>
      </c>
      <c r="T247" s="92"/>
      <c r="U247" s="145" t="s">
        <v>62</v>
      </c>
      <c r="V247" s="92"/>
      <c r="W247" s="145" t="s">
        <v>62</v>
      </c>
      <c r="X247" s="92"/>
      <c r="Y247" s="145" t="s">
        <v>62</v>
      </c>
      <c r="Z247" s="92"/>
      <c r="AA247" s="145" t="s">
        <v>62</v>
      </c>
      <c r="AB247" s="92"/>
      <c r="AC247" s="145" t="s">
        <v>205</v>
      </c>
      <c r="AD247" s="92"/>
      <c r="AE247" s="145" t="s">
        <v>205</v>
      </c>
      <c r="AF247" s="142" t="str">
        <f t="shared" si="14"/>
        <v>C</v>
      </c>
      <c r="AG247" s="190" t="str">
        <f t="shared" si="13"/>
        <v>UTILIZOU O PDA CORRETAMENTE</v>
      </c>
      <c r="AH247" s="145" t="s">
        <v>205</v>
      </c>
      <c r="AI247" s="153" t="s">
        <v>6</v>
      </c>
      <c r="AJ247" s="150" t="str">
        <f t="shared" si="12"/>
        <v>SÃO PAULO</v>
      </c>
      <c r="AK247" s="154" t="s">
        <v>60</v>
      </c>
    </row>
    <row r="248" spans="1:37" ht="30" customHeight="1">
      <c r="A248" s="215" t="s">
        <v>198</v>
      </c>
      <c r="B248" s="215">
        <v>2621487745</v>
      </c>
      <c r="C248" s="215" t="s">
        <v>121</v>
      </c>
      <c r="D248" s="215" t="s">
        <v>112</v>
      </c>
      <c r="E248" s="215" t="s">
        <v>5</v>
      </c>
      <c r="F248" s="215" t="s">
        <v>526</v>
      </c>
      <c r="G248" s="215">
        <v>4060</v>
      </c>
      <c r="H248" s="215"/>
      <c r="I248" s="215" t="s">
        <v>343</v>
      </c>
      <c r="J248" s="215" t="s">
        <v>1406</v>
      </c>
      <c r="K248" s="215"/>
      <c r="L248" s="216">
        <v>46169.642361111109</v>
      </c>
      <c r="M248" s="216">
        <v>46169.643055555556</v>
      </c>
      <c r="N248" s="215" t="s">
        <v>212</v>
      </c>
      <c r="O248" s="157" t="s">
        <v>205</v>
      </c>
      <c r="P248" s="92"/>
      <c r="Q248" s="145" t="s">
        <v>205</v>
      </c>
      <c r="R248" s="92"/>
      <c r="S248" s="145" t="s">
        <v>206</v>
      </c>
      <c r="T248" s="92"/>
      <c r="U248" s="145" t="s">
        <v>62</v>
      </c>
      <c r="V248" s="92"/>
      <c r="W248" s="145" t="s">
        <v>62</v>
      </c>
      <c r="X248" s="92"/>
      <c r="Y248" s="145" t="s">
        <v>62</v>
      </c>
      <c r="Z248" s="92"/>
      <c r="AA248" s="145" t="s">
        <v>62</v>
      </c>
      <c r="AB248" s="92"/>
      <c r="AC248" s="145" t="s">
        <v>205</v>
      </c>
      <c r="AD248" s="92"/>
      <c r="AE248" s="145" t="s">
        <v>205</v>
      </c>
      <c r="AF248" s="142" t="str">
        <f t="shared" si="14"/>
        <v>NC</v>
      </c>
      <c r="AG248" s="190" t="str">
        <f t="shared" si="13"/>
        <v>UTILIZOU O PDA CORRETAMENTE. NÃO HÁ FOTOS DE TODAS AS ETAPAS</v>
      </c>
      <c r="AH248" s="145" t="s">
        <v>205</v>
      </c>
      <c r="AI248" s="153" t="s">
        <v>6</v>
      </c>
      <c r="AJ248" s="150" t="str">
        <f t="shared" si="12"/>
        <v>SÃO PAULO</v>
      </c>
      <c r="AK248" s="154" t="s">
        <v>60</v>
      </c>
    </row>
    <row r="249" spans="1:37" ht="30" customHeight="1">
      <c r="A249" s="215" t="s">
        <v>198</v>
      </c>
      <c r="B249" s="215">
        <v>2621653734</v>
      </c>
      <c r="C249" s="215" t="s">
        <v>121</v>
      </c>
      <c r="D249" s="215" t="s">
        <v>112</v>
      </c>
      <c r="E249" s="215" t="s">
        <v>5</v>
      </c>
      <c r="F249" s="215" t="s">
        <v>1881</v>
      </c>
      <c r="G249" s="215">
        <v>419</v>
      </c>
      <c r="H249" s="215" t="s">
        <v>200</v>
      </c>
      <c r="I249" s="215" t="s">
        <v>1882</v>
      </c>
      <c r="J249" s="215" t="s">
        <v>1406</v>
      </c>
      <c r="K249" s="215" t="s">
        <v>200</v>
      </c>
      <c r="L249" s="216">
        <v>46169.643750000003</v>
      </c>
      <c r="M249" s="216">
        <v>46169.645138888889</v>
      </c>
      <c r="N249" s="215" t="s">
        <v>212</v>
      </c>
      <c r="O249" s="157" t="s">
        <v>205</v>
      </c>
      <c r="P249" s="92"/>
      <c r="Q249" s="145" t="s">
        <v>205</v>
      </c>
      <c r="R249" s="92"/>
      <c r="S249" s="145" t="s">
        <v>205</v>
      </c>
      <c r="T249" s="92"/>
      <c r="U249" s="145" t="s">
        <v>62</v>
      </c>
      <c r="V249" s="92"/>
      <c r="W249" s="145" t="s">
        <v>62</v>
      </c>
      <c r="X249" s="92"/>
      <c r="Y249" s="145" t="s">
        <v>62</v>
      </c>
      <c r="Z249" s="92"/>
      <c r="AA249" s="145" t="s">
        <v>62</v>
      </c>
      <c r="AB249" s="92"/>
      <c r="AC249" s="145" t="s">
        <v>205</v>
      </c>
      <c r="AD249" s="92"/>
      <c r="AE249" s="145" t="s">
        <v>205</v>
      </c>
      <c r="AF249" s="142" t="str">
        <f t="shared" si="14"/>
        <v>C</v>
      </c>
      <c r="AG249" s="190" t="str">
        <f t="shared" si="13"/>
        <v>UTILIZOU O PDA CORRETAMENTE</v>
      </c>
      <c r="AH249" s="145" t="s">
        <v>205</v>
      </c>
      <c r="AI249" s="153" t="s">
        <v>6</v>
      </c>
      <c r="AJ249" s="150" t="str">
        <f t="shared" si="12"/>
        <v>SÃO PAULO</v>
      </c>
      <c r="AK249" s="154" t="s">
        <v>60</v>
      </c>
    </row>
    <row r="250" spans="1:37" ht="30" customHeight="1">
      <c r="A250" s="215" t="s">
        <v>198</v>
      </c>
      <c r="B250" s="215">
        <v>2619155177</v>
      </c>
      <c r="C250" s="215" t="s">
        <v>1590</v>
      </c>
      <c r="D250" s="215" t="s">
        <v>110</v>
      </c>
      <c r="E250" s="215" t="s">
        <v>5</v>
      </c>
      <c r="F250" s="215" t="s">
        <v>533</v>
      </c>
      <c r="G250" s="215">
        <v>561</v>
      </c>
      <c r="H250" s="215" t="s">
        <v>226</v>
      </c>
      <c r="I250" s="215" t="s">
        <v>277</v>
      </c>
      <c r="J250" s="215" t="s">
        <v>1592</v>
      </c>
      <c r="K250" s="219" t="s">
        <v>1449</v>
      </c>
      <c r="L250" s="216">
        <v>46169.423611111109</v>
      </c>
      <c r="M250" s="216">
        <v>46169.444444444445</v>
      </c>
      <c r="N250" s="215" t="s">
        <v>1426</v>
      </c>
      <c r="O250" s="157" t="s">
        <v>205</v>
      </c>
      <c r="P250" s="92"/>
      <c r="Q250" s="145" t="s">
        <v>205</v>
      </c>
      <c r="R250" s="92"/>
      <c r="S250" s="145" t="s">
        <v>205</v>
      </c>
      <c r="T250" s="92"/>
      <c r="U250" s="145" t="s">
        <v>205</v>
      </c>
      <c r="V250" s="92"/>
      <c r="W250" s="145" t="s">
        <v>205</v>
      </c>
      <c r="X250" s="92"/>
      <c r="Y250" s="145" t="s">
        <v>205</v>
      </c>
      <c r="Z250" s="92"/>
      <c r="AA250" s="145" t="s">
        <v>62</v>
      </c>
      <c r="AB250" s="92"/>
      <c r="AC250" s="145" t="s">
        <v>205</v>
      </c>
      <c r="AD250" s="92"/>
      <c r="AE250" s="145" t="s">
        <v>205</v>
      </c>
      <c r="AF250" s="142" t="str">
        <f t="shared" si="14"/>
        <v>C</v>
      </c>
      <c r="AG250" s="190" t="str">
        <f t="shared" si="13"/>
        <v>UTILIZOU O PDA CORRETAMENTE</v>
      </c>
      <c r="AH250" s="145" t="s">
        <v>205</v>
      </c>
      <c r="AI250" s="153" t="s">
        <v>6</v>
      </c>
      <c r="AJ250" s="150" t="str">
        <f t="shared" si="12"/>
        <v>SÃO PAULO</v>
      </c>
      <c r="AK250" s="154" t="s">
        <v>60</v>
      </c>
    </row>
    <row r="251" spans="1:37" ht="30" customHeight="1">
      <c r="A251" s="215" t="s">
        <v>198</v>
      </c>
      <c r="B251" s="215">
        <v>2622154553</v>
      </c>
      <c r="C251" s="215" t="s">
        <v>118</v>
      </c>
      <c r="D251" s="215" t="s">
        <v>110</v>
      </c>
      <c r="E251" s="215" t="s">
        <v>5</v>
      </c>
      <c r="F251" s="215" t="s">
        <v>1374</v>
      </c>
      <c r="G251" s="215">
        <v>57</v>
      </c>
      <c r="H251" s="215" t="s">
        <v>226</v>
      </c>
      <c r="I251" s="215" t="s">
        <v>572</v>
      </c>
      <c r="J251" s="215" t="s">
        <v>118</v>
      </c>
      <c r="K251" s="219" t="s">
        <v>1883</v>
      </c>
      <c r="L251" s="216">
        <v>46169.48541666667</v>
      </c>
      <c r="M251" s="216">
        <v>46169.545138888891</v>
      </c>
      <c r="N251" s="215" t="s">
        <v>1426</v>
      </c>
      <c r="O251" s="157" t="s">
        <v>205</v>
      </c>
      <c r="P251" s="92"/>
      <c r="Q251" s="145" t="s">
        <v>205</v>
      </c>
      <c r="R251" s="92"/>
      <c r="S251" s="145" t="s">
        <v>205</v>
      </c>
      <c r="T251" s="92"/>
      <c r="U251" s="145" t="s">
        <v>205</v>
      </c>
      <c r="V251" s="92"/>
      <c r="W251" s="145" t="s">
        <v>205</v>
      </c>
      <c r="X251" s="92"/>
      <c r="Y251" s="145" t="s">
        <v>205</v>
      </c>
      <c r="Z251" s="92"/>
      <c r="AA251" s="145" t="s">
        <v>205</v>
      </c>
      <c r="AB251" s="92"/>
      <c r="AC251" s="145" t="s">
        <v>205</v>
      </c>
      <c r="AD251" s="92"/>
      <c r="AE251" s="145" t="s">
        <v>205</v>
      </c>
      <c r="AF251" s="142" t="str">
        <f t="shared" si="14"/>
        <v>C</v>
      </c>
      <c r="AG251" s="190" t="str">
        <f t="shared" si="13"/>
        <v>UTILIZOU O PDA CORRETAMENTE</v>
      </c>
      <c r="AH251" s="145" t="s">
        <v>205</v>
      </c>
      <c r="AI251" s="153" t="s">
        <v>6</v>
      </c>
      <c r="AJ251" s="150" t="str">
        <f t="shared" si="12"/>
        <v>SÃO PAULO</v>
      </c>
      <c r="AK251" s="154" t="s">
        <v>60</v>
      </c>
    </row>
    <row r="252" spans="1:37" ht="30" customHeight="1">
      <c r="A252" s="215" t="s">
        <v>198</v>
      </c>
      <c r="B252" s="215">
        <v>2622112613</v>
      </c>
      <c r="C252" s="215" t="s">
        <v>123</v>
      </c>
      <c r="D252" s="215" t="s">
        <v>109</v>
      </c>
      <c r="E252" s="215" t="s">
        <v>5</v>
      </c>
      <c r="F252" s="215" t="s">
        <v>1884</v>
      </c>
      <c r="G252" s="215">
        <v>23</v>
      </c>
      <c r="H252" s="215" t="s">
        <v>200</v>
      </c>
      <c r="I252" s="215" t="s">
        <v>470</v>
      </c>
      <c r="J252" s="215" t="s">
        <v>1409</v>
      </c>
      <c r="K252" s="215" t="s">
        <v>1520</v>
      </c>
      <c r="L252" s="216">
        <v>46169.686805555553</v>
      </c>
      <c r="M252" s="216">
        <v>46169.692361111112</v>
      </c>
      <c r="N252" s="215" t="s">
        <v>1442</v>
      </c>
      <c r="O252" s="157" t="s">
        <v>205</v>
      </c>
      <c r="P252" s="92"/>
      <c r="Q252" s="145" t="s">
        <v>205</v>
      </c>
      <c r="R252" s="92"/>
      <c r="S252" s="145" t="s">
        <v>205</v>
      </c>
      <c r="T252" s="92"/>
      <c r="U252" s="145" t="s">
        <v>205</v>
      </c>
      <c r="V252" s="92"/>
      <c r="W252" s="145" t="s">
        <v>205</v>
      </c>
      <c r="X252" s="92"/>
      <c r="Y252" s="145" t="s">
        <v>205</v>
      </c>
      <c r="Z252" s="92"/>
      <c r="AA252" s="145" t="s">
        <v>205</v>
      </c>
      <c r="AB252" s="92"/>
      <c r="AC252" s="145" t="s">
        <v>205</v>
      </c>
      <c r="AD252" s="92"/>
      <c r="AE252" s="145" t="s">
        <v>205</v>
      </c>
      <c r="AF252" s="142" t="str">
        <f t="shared" si="14"/>
        <v>C</v>
      </c>
      <c r="AG252" s="190" t="str">
        <f t="shared" si="13"/>
        <v>UTILIZOU O PDA CORRETAMENTE</v>
      </c>
      <c r="AH252" s="145" t="s">
        <v>205</v>
      </c>
      <c r="AI252" s="153" t="s">
        <v>6</v>
      </c>
      <c r="AJ252" s="150" t="str">
        <f t="shared" si="12"/>
        <v>SÃO PAULO</v>
      </c>
      <c r="AK252" s="154" t="s">
        <v>60</v>
      </c>
    </row>
    <row r="253" spans="1:37" ht="30" customHeight="1">
      <c r="A253" s="215" t="s">
        <v>198</v>
      </c>
      <c r="B253" s="215">
        <v>2622141418</v>
      </c>
      <c r="C253" s="215" t="s">
        <v>123</v>
      </c>
      <c r="D253" s="215" t="s">
        <v>109</v>
      </c>
      <c r="E253" s="215" t="s">
        <v>5</v>
      </c>
      <c r="F253" s="215" t="s">
        <v>1232</v>
      </c>
      <c r="G253" s="215">
        <v>94</v>
      </c>
      <c r="H253" s="215" t="s">
        <v>226</v>
      </c>
      <c r="I253" s="215" t="s">
        <v>219</v>
      </c>
      <c r="J253" s="215" t="s">
        <v>1409</v>
      </c>
      <c r="K253" s="215" t="s">
        <v>1554</v>
      </c>
      <c r="L253" s="216">
        <v>46169.501388888886</v>
      </c>
      <c r="M253" s="216">
        <v>46169.508333333331</v>
      </c>
      <c r="N253" s="215" t="s">
        <v>1442</v>
      </c>
      <c r="O253" s="157" t="s">
        <v>205</v>
      </c>
      <c r="P253" s="92"/>
      <c r="Q253" s="145" t="s">
        <v>205</v>
      </c>
      <c r="R253" s="92"/>
      <c r="S253" s="145" t="s">
        <v>205</v>
      </c>
      <c r="T253" s="92"/>
      <c r="U253" s="145" t="s">
        <v>205</v>
      </c>
      <c r="V253" s="92"/>
      <c r="W253" s="145" t="s">
        <v>205</v>
      </c>
      <c r="X253" s="92"/>
      <c r="Y253" s="145" t="s">
        <v>62</v>
      </c>
      <c r="Z253" s="92"/>
      <c r="AA253" s="145" t="s">
        <v>205</v>
      </c>
      <c r="AB253" s="92"/>
      <c r="AC253" s="145" t="s">
        <v>205</v>
      </c>
      <c r="AD253" s="92"/>
      <c r="AE253" s="145" t="s">
        <v>205</v>
      </c>
      <c r="AF253" s="142" t="str">
        <f t="shared" si="14"/>
        <v>C</v>
      </c>
      <c r="AG253" s="190" t="str">
        <f t="shared" si="13"/>
        <v>UTILIZOU O PDA CORRETAMENTE</v>
      </c>
      <c r="AH253" s="145" t="s">
        <v>205</v>
      </c>
      <c r="AI253" s="153" t="s">
        <v>6</v>
      </c>
      <c r="AJ253" s="150" t="str">
        <f t="shared" si="12"/>
        <v>SÃO PAULO</v>
      </c>
      <c r="AK253" s="154" t="s">
        <v>60</v>
      </c>
    </row>
    <row r="254" spans="1:37" ht="30" customHeight="1">
      <c r="A254" s="215" t="s">
        <v>198</v>
      </c>
      <c r="B254" s="215">
        <v>2621347861</v>
      </c>
      <c r="C254" s="215" t="s">
        <v>121</v>
      </c>
      <c r="D254" s="215" t="s">
        <v>112</v>
      </c>
      <c r="E254" s="215" t="s">
        <v>5</v>
      </c>
      <c r="F254" s="215" t="s">
        <v>1885</v>
      </c>
      <c r="G254" s="215">
        <v>461</v>
      </c>
      <c r="H254" s="215" t="s">
        <v>200</v>
      </c>
      <c r="I254" s="215" t="s">
        <v>343</v>
      </c>
      <c r="J254" s="215" t="s">
        <v>1406</v>
      </c>
      <c r="K254" s="215" t="s">
        <v>200</v>
      </c>
      <c r="L254" s="216">
        <v>46169.427083333336</v>
      </c>
      <c r="M254" s="216">
        <v>46169.427777777775</v>
      </c>
      <c r="N254" s="215" t="s">
        <v>212</v>
      </c>
      <c r="O254" s="157" t="s">
        <v>205</v>
      </c>
      <c r="P254" s="92"/>
      <c r="Q254" s="145" t="s">
        <v>205</v>
      </c>
      <c r="R254" s="92"/>
      <c r="S254" s="145" t="s">
        <v>205</v>
      </c>
      <c r="T254" s="92"/>
      <c r="U254" s="145" t="s">
        <v>62</v>
      </c>
      <c r="V254" s="92"/>
      <c r="W254" s="145" t="s">
        <v>62</v>
      </c>
      <c r="X254" s="92"/>
      <c r="Y254" s="145" t="s">
        <v>62</v>
      </c>
      <c r="Z254" s="92"/>
      <c r="AA254" s="145" t="s">
        <v>62</v>
      </c>
      <c r="AB254" s="92"/>
      <c r="AC254" s="145" t="s">
        <v>205</v>
      </c>
      <c r="AD254" s="92"/>
      <c r="AE254" s="145" t="s">
        <v>205</v>
      </c>
      <c r="AF254" s="142" t="str">
        <f t="shared" si="14"/>
        <v>C</v>
      </c>
      <c r="AG254" s="190" t="str">
        <f t="shared" si="13"/>
        <v>UTILIZOU O PDA CORRETAMENTE</v>
      </c>
      <c r="AH254" s="145" t="s">
        <v>205</v>
      </c>
      <c r="AI254" s="153" t="s">
        <v>6</v>
      </c>
      <c r="AJ254" s="150" t="str">
        <f t="shared" si="12"/>
        <v>SÃO PAULO</v>
      </c>
      <c r="AK254" s="154" t="s">
        <v>60</v>
      </c>
    </row>
    <row r="255" spans="1:37" ht="30" customHeight="1">
      <c r="A255" s="215" t="s">
        <v>198</v>
      </c>
      <c r="B255" s="215">
        <v>2621275126</v>
      </c>
      <c r="C255" s="215" t="s">
        <v>121</v>
      </c>
      <c r="D255" s="215" t="s">
        <v>112</v>
      </c>
      <c r="E255" s="215" t="s">
        <v>5</v>
      </c>
      <c r="F255" s="215" t="s">
        <v>1886</v>
      </c>
      <c r="G255" s="215">
        <v>375</v>
      </c>
      <c r="H255" s="215" t="s">
        <v>226</v>
      </c>
      <c r="I255" s="215" t="s">
        <v>1887</v>
      </c>
      <c r="J255" s="215" t="s">
        <v>1406</v>
      </c>
      <c r="K255" s="215" t="s">
        <v>1466</v>
      </c>
      <c r="L255" s="216">
        <v>46169.419444444444</v>
      </c>
      <c r="M255" s="216">
        <v>46169.421527777777</v>
      </c>
      <c r="N255" s="215" t="s">
        <v>217</v>
      </c>
      <c r="O255" s="157" t="s">
        <v>205</v>
      </c>
      <c r="P255" s="92"/>
      <c r="Q255" s="145" t="s">
        <v>205</v>
      </c>
      <c r="R255" s="92"/>
      <c r="S255" s="145" t="s">
        <v>205</v>
      </c>
      <c r="T255" s="92"/>
      <c r="U255" s="145" t="s">
        <v>62</v>
      </c>
      <c r="V255" s="92"/>
      <c r="W255" s="145" t="s">
        <v>62</v>
      </c>
      <c r="X255" s="92"/>
      <c r="Y255" s="145" t="s">
        <v>62</v>
      </c>
      <c r="Z255" s="92"/>
      <c r="AA255" s="145" t="s">
        <v>205</v>
      </c>
      <c r="AB255" s="92"/>
      <c r="AC255" s="145" t="s">
        <v>205</v>
      </c>
      <c r="AD255" s="92"/>
      <c r="AE255" s="145" t="s">
        <v>205</v>
      </c>
      <c r="AF255" s="142" t="str">
        <f t="shared" si="14"/>
        <v>C</v>
      </c>
      <c r="AG255" s="190" t="str">
        <f t="shared" si="13"/>
        <v>UTILIZOU O PDA CORRETAMENTE</v>
      </c>
      <c r="AH255" s="145" t="s">
        <v>205</v>
      </c>
      <c r="AI255" s="153" t="s">
        <v>6</v>
      </c>
      <c r="AJ255" s="150" t="str">
        <f t="shared" si="12"/>
        <v>SÃO PAULO</v>
      </c>
      <c r="AK255" s="154" t="s">
        <v>60</v>
      </c>
    </row>
    <row r="256" spans="1:37" ht="30" customHeight="1">
      <c r="A256" s="215" t="s">
        <v>198</v>
      </c>
      <c r="B256" s="215">
        <v>2622313930</v>
      </c>
      <c r="C256" s="215" t="s">
        <v>1486</v>
      </c>
      <c r="D256" s="215" t="s">
        <v>112</v>
      </c>
      <c r="E256" s="215" t="s">
        <v>5</v>
      </c>
      <c r="F256" s="215" t="s">
        <v>1888</v>
      </c>
      <c r="G256" s="215">
        <v>276</v>
      </c>
      <c r="H256" s="215" t="s">
        <v>200</v>
      </c>
      <c r="I256" s="215" t="s">
        <v>328</v>
      </c>
      <c r="J256" s="215" t="s">
        <v>1487</v>
      </c>
      <c r="K256" s="215" t="s">
        <v>1889</v>
      </c>
      <c r="L256" s="216">
        <v>46169.647222222222</v>
      </c>
      <c r="M256" s="216">
        <v>46169.648611111108</v>
      </c>
      <c r="N256" s="215" t="s">
        <v>212</v>
      </c>
      <c r="O256" s="157" t="s">
        <v>206</v>
      </c>
      <c r="P256" s="92"/>
      <c r="Q256" s="145" t="s">
        <v>206</v>
      </c>
      <c r="R256" s="92"/>
      <c r="S256" s="145" t="s">
        <v>206</v>
      </c>
      <c r="T256" s="92"/>
      <c r="U256" s="145" t="s">
        <v>206</v>
      </c>
      <c r="V256" s="92"/>
      <c r="W256" s="145" t="s">
        <v>206</v>
      </c>
      <c r="X256" s="92"/>
      <c r="Y256" s="145" t="s">
        <v>206</v>
      </c>
      <c r="Z256" s="92"/>
      <c r="AA256" s="145" t="s">
        <v>206</v>
      </c>
      <c r="AB256" s="92"/>
      <c r="AC256" s="145" t="s">
        <v>206</v>
      </c>
      <c r="AD256" s="92" t="s">
        <v>1890</v>
      </c>
      <c r="AE256" s="145" t="s">
        <v>239</v>
      </c>
      <c r="AF256" s="142" t="str">
        <f t="shared" si="14"/>
        <v>NC</v>
      </c>
      <c r="AG256" s="190" t="str">
        <f t="shared" si="13"/>
        <v>NÃO UTILIZOU O PDA</v>
      </c>
      <c r="AH256" s="145" t="s">
        <v>205</v>
      </c>
      <c r="AI256" s="153" t="s">
        <v>6</v>
      </c>
      <c r="AJ256" s="150" t="str">
        <f t="shared" si="12"/>
        <v>SÃO PAULO</v>
      </c>
      <c r="AK256" s="154" t="s">
        <v>60</v>
      </c>
    </row>
    <row r="257" spans="1:37" ht="30" customHeight="1">
      <c r="A257" s="232"/>
      <c r="B257" s="232"/>
      <c r="C257" s="232"/>
      <c r="D257" s="232"/>
      <c r="E257" s="232"/>
      <c r="F257" s="232"/>
      <c r="G257" s="232"/>
      <c r="H257" s="232"/>
      <c r="I257" s="232"/>
      <c r="J257" s="232"/>
      <c r="K257" s="232"/>
      <c r="L257" s="232"/>
      <c r="M257" s="232"/>
      <c r="N257" s="248"/>
      <c r="O257" s="157"/>
      <c r="P257" s="92"/>
      <c r="Q257" s="145"/>
      <c r="R257" s="92"/>
      <c r="S257" s="145"/>
      <c r="T257" s="92"/>
      <c r="U257" s="145"/>
      <c r="V257" s="92"/>
      <c r="W257" s="145"/>
      <c r="X257" s="92"/>
      <c r="Y257" s="145"/>
      <c r="Z257" s="92"/>
      <c r="AA257" s="145"/>
      <c r="AB257" s="92"/>
      <c r="AC257" s="145"/>
      <c r="AD257" s="92"/>
      <c r="AE257" s="145"/>
      <c r="AF257" s="142" t="str">
        <f t="shared" si="14"/>
        <v/>
      </c>
      <c r="AG257" s="190" t="b">
        <f t="shared" si="13"/>
        <v>0</v>
      </c>
      <c r="AH257" s="145"/>
      <c r="AI257" s="153" t="s">
        <v>6</v>
      </c>
      <c r="AJ257" s="150">
        <f t="shared" si="12"/>
        <v>0</v>
      </c>
      <c r="AK257" s="154" t="s">
        <v>60</v>
      </c>
    </row>
    <row r="258" spans="1:37" ht="30" customHeight="1">
      <c r="A258" s="64"/>
      <c r="B258" s="64"/>
      <c r="C258" s="64"/>
      <c r="D258" s="64"/>
      <c r="E258" s="64"/>
      <c r="F258" s="64"/>
      <c r="G258" s="64"/>
      <c r="H258" s="64"/>
      <c r="I258" s="64"/>
      <c r="J258" s="64"/>
      <c r="K258" s="64"/>
      <c r="L258" s="64"/>
      <c r="M258" s="64"/>
      <c r="N258" s="194"/>
      <c r="O258" s="157"/>
      <c r="P258" s="92"/>
      <c r="Q258" s="145"/>
      <c r="R258" s="92"/>
      <c r="S258" s="145"/>
      <c r="T258" s="92"/>
      <c r="U258" s="145"/>
      <c r="V258" s="92"/>
      <c r="W258" s="145"/>
      <c r="X258" s="92"/>
      <c r="Y258" s="145"/>
      <c r="Z258" s="92"/>
      <c r="AA258" s="145"/>
      <c r="AB258" s="92"/>
      <c r="AC258" s="145"/>
      <c r="AE258" s="145"/>
      <c r="AF258" s="142" t="str">
        <f t="shared" si="14"/>
        <v/>
      </c>
      <c r="AG258" s="190" t="b">
        <f t="shared" si="13"/>
        <v>0</v>
      </c>
      <c r="AH258" s="145"/>
      <c r="AI258" s="153" t="s">
        <v>6</v>
      </c>
      <c r="AJ258" s="150">
        <f t="shared" si="12"/>
        <v>0</v>
      </c>
      <c r="AK258" s="154" t="s">
        <v>60</v>
      </c>
    </row>
    <row r="259" spans="1:37" ht="30" customHeight="1">
      <c r="A259" s="64"/>
      <c r="B259" s="64"/>
      <c r="C259" s="64"/>
      <c r="D259" s="64"/>
      <c r="E259" s="64"/>
      <c r="F259" s="64"/>
      <c r="G259" s="64"/>
      <c r="H259" s="64"/>
      <c r="I259" s="64"/>
      <c r="J259" s="64"/>
      <c r="K259" s="64"/>
      <c r="L259" s="64"/>
      <c r="M259" s="64"/>
      <c r="N259" s="194"/>
      <c r="O259" s="157"/>
      <c r="P259" s="92"/>
      <c r="Q259" s="145"/>
      <c r="R259" s="92"/>
      <c r="S259" s="145"/>
      <c r="T259" s="92"/>
      <c r="U259" s="145"/>
      <c r="V259" s="92"/>
      <c r="W259" s="145"/>
      <c r="X259" s="92"/>
      <c r="Y259" s="145"/>
      <c r="Z259" s="92"/>
      <c r="AA259" s="145"/>
      <c r="AB259" s="92"/>
      <c r="AC259" s="145"/>
      <c r="AD259" s="92"/>
      <c r="AE259" s="145"/>
      <c r="AF259" s="142" t="str">
        <f t="shared" si="14"/>
        <v/>
      </c>
      <c r="AG259" s="190" t="b">
        <f t="shared" si="13"/>
        <v>0</v>
      </c>
      <c r="AH259" s="145"/>
      <c r="AI259" s="153" t="s">
        <v>6</v>
      </c>
      <c r="AJ259" s="150">
        <f t="shared" si="12"/>
        <v>0</v>
      </c>
      <c r="AK259" s="154" t="s">
        <v>60</v>
      </c>
    </row>
    <row r="260" spans="1:37" ht="30" customHeight="1">
      <c r="A260" s="64"/>
      <c r="B260" s="64"/>
      <c r="C260" s="64"/>
      <c r="D260" s="64"/>
      <c r="E260" s="64"/>
      <c r="F260" s="64"/>
      <c r="G260" s="64"/>
      <c r="H260" s="64"/>
      <c r="I260" s="64"/>
      <c r="J260" s="64"/>
      <c r="K260" s="64"/>
      <c r="L260" s="64"/>
      <c r="M260" s="64"/>
      <c r="N260" s="194"/>
      <c r="O260" s="157"/>
      <c r="P260" s="92"/>
      <c r="Q260" s="145"/>
      <c r="R260" s="92"/>
      <c r="S260" s="145"/>
      <c r="T260" s="92"/>
      <c r="U260" s="145"/>
      <c r="V260" s="92"/>
      <c r="W260" s="145"/>
      <c r="X260" s="92"/>
      <c r="Y260" s="145"/>
      <c r="Z260" s="92"/>
      <c r="AA260" s="145"/>
      <c r="AB260" s="92"/>
      <c r="AC260" s="145"/>
      <c r="AD260" s="92"/>
      <c r="AE260" s="145"/>
      <c r="AF260" s="142" t="str">
        <f t="shared" si="14"/>
        <v/>
      </c>
      <c r="AG260" s="190" t="b">
        <f t="shared" si="13"/>
        <v>0</v>
      </c>
      <c r="AH260" s="145"/>
      <c r="AI260" s="153" t="s">
        <v>6</v>
      </c>
      <c r="AJ260" s="150">
        <f t="shared" si="12"/>
        <v>0</v>
      </c>
      <c r="AK260" s="154" t="s">
        <v>60</v>
      </c>
    </row>
    <row r="261" spans="1:37" ht="30" customHeight="1">
      <c r="A261" s="64"/>
      <c r="B261" s="64"/>
      <c r="C261" s="64"/>
      <c r="D261" s="64"/>
      <c r="E261" s="64"/>
      <c r="F261" s="64"/>
      <c r="G261" s="64"/>
      <c r="H261" s="64"/>
      <c r="I261" s="64"/>
      <c r="J261" s="64"/>
      <c r="K261" s="64"/>
      <c r="L261" s="64"/>
      <c r="M261" s="64"/>
      <c r="N261" s="194"/>
      <c r="O261" s="157"/>
      <c r="P261" s="92"/>
      <c r="Q261" s="145"/>
      <c r="R261" s="92"/>
      <c r="S261" s="145"/>
      <c r="T261" s="92"/>
      <c r="U261" s="145"/>
      <c r="V261" s="92"/>
      <c r="W261" s="145"/>
      <c r="X261" s="92"/>
      <c r="Y261" s="145"/>
      <c r="Z261" s="92"/>
      <c r="AA261" s="145"/>
      <c r="AB261" s="92"/>
      <c r="AC261" s="145"/>
      <c r="AD261" s="92"/>
      <c r="AE261" s="145"/>
      <c r="AF261" s="142" t="str">
        <f t="shared" si="14"/>
        <v/>
      </c>
      <c r="AG261" s="190" t="b">
        <f t="shared" si="13"/>
        <v>0</v>
      </c>
      <c r="AH261" s="145"/>
      <c r="AI261" s="153" t="s">
        <v>6</v>
      </c>
      <c r="AJ261" s="150">
        <f t="shared" si="12"/>
        <v>0</v>
      </c>
      <c r="AK261" s="154" t="s">
        <v>60</v>
      </c>
    </row>
    <row r="262" spans="1:37" ht="30" customHeight="1">
      <c r="A262" s="64"/>
      <c r="B262" s="64"/>
      <c r="C262" s="64"/>
      <c r="D262" s="64"/>
      <c r="E262" s="64"/>
      <c r="F262" s="64"/>
      <c r="G262" s="64"/>
      <c r="H262" s="64"/>
      <c r="I262" s="64"/>
      <c r="J262" s="64"/>
      <c r="K262" s="64"/>
      <c r="L262" s="64"/>
      <c r="M262" s="64"/>
      <c r="N262" s="194"/>
      <c r="O262" s="157"/>
      <c r="P262" s="92"/>
      <c r="Q262" s="145"/>
      <c r="R262" s="92"/>
      <c r="S262" s="145"/>
      <c r="T262" s="92"/>
      <c r="U262" s="145"/>
      <c r="V262" s="92"/>
      <c r="W262" s="145"/>
      <c r="X262" s="92"/>
      <c r="Y262" s="145"/>
      <c r="Z262" s="92"/>
      <c r="AA262" s="145"/>
      <c r="AB262" s="92"/>
      <c r="AC262" s="145"/>
      <c r="AD262" s="92"/>
      <c r="AE262" s="145"/>
      <c r="AF262" s="142" t="str">
        <f t="shared" si="14"/>
        <v/>
      </c>
      <c r="AG262" s="190" t="b">
        <f t="shared" si="13"/>
        <v>0</v>
      </c>
      <c r="AH262" s="145"/>
      <c r="AI262" s="153" t="s">
        <v>6</v>
      </c>
      <c r="AJ262" s="150">
        <f t="shared" si="12"/>
        <v>0</v>
      </c>
      <c r="AK262" s="154" t="s">
        <v>60</v>
      </c>
    </row>
    <row r="263" spans="1:37" ht="30" customHeight="1">
      <c r="A263" s="64"/>
      <c r="B263" s="64"/>
      <c r="C263" s="64"/>
      <c r="D263" s="64"/>
      <c r="E263" s="64"/>
      <c r="F263" s="64"/>
      <c r="G263" s="64"/>
      <c r="H263" s="64"/>
      <c r="I263" s="64"/>
      <c r="J263" s="64"/>
      <c r="K263" s="64"/>
      <c r="L263" s="64"/>
      <c r="M263" s="64"/>
      <c r="N263" s="194"/>
      <c r="O263" s="157"/>
      <c r="P263" s="92"/>
      <c r="Q263" s="145"/>
      <c r="R263" s="92"/>
      <c r="S263" s="145"/>
      <c r="T263" s="92"/>
      <c r="U263" s="145"/>
      <c r="V263" s="92"/>
      <c r="W263" s="145"/>
      <c r="X263" s="92"/>
      <c r="Y263" s="145"/>
      <c r="Z263" s="92"/>
      <c r="AA263" s="145"/>
      <c r="AB263" s="92"/>
      <c r="AC263" s="145"/>
      <c r="AD263" s="92"/>
      <c r="AE263" s="145"/>
      <c r="AF263" s="142" t="str">
        <f t="shared" si="14"/>
        <v/>
      </c>
      <c r="AG263" s="190" t="b">
        <f t="shared" si="13"/>
        <v>0</v>
      </c>
      <c r="AH263" s="145"/>
      <c r="AI263" s="153" t="s">
        <v>6</v>
      </c>
      <c r="AJ263" s="150">
        <f t="shared" ref="AJ263:AJ326" si="15">E263</f>
        <v>0</v>
      </c>
      <c r="AK263" s="154" t="s">
        <v>60</v>
      </c>
    </row>
    <row r="264" spans="1:37" ht="30" customHeight="1">
      <c r="A264" s="64"/>
      <c r="B264" s="64"/>
      <c r="C264" s="64"/>
      <c r="D264" s="64"/>
      <c r="E264" s="64"/>
      <c r="F264" s="64"/>
      <c r="G264" s="64"/>
      <c r="H264" s="64"/>
      <c r="I264" s="64"/>
      <c r="J264" s="64"/>
      <c r="K264" s="64"/>
      <c r="L264" s="64"/>
      <c r="M264" s="64"/>
      <c r="N264" s="194"/>
      <c r="O264" s="157"/>
      <c r="P264" s="92"/>
      <c r="Q264" s="145"/>
      <c r="R264" s="92"/>
      <c r="S264" s="145"/>
      <c r="T264" s="92"/>
      <c r="U264" s="145"/>
      <c r="V264" s="92"/>
      <c r="W264" s="145"/>
      <c r="X264" s="92"/>
      <c r="Y264" s="145"/>
      <c r="Z264" s="92"/>
      <c r="AA264" s="145"/>
      <c r="AB264" s="92"/>
      <c r="AC264" s="145"/>
      <c r="AD264" s="92"/>
      <c r="AE264" s="145"/>
      <c r="AF264" s="142" t="str">
        <f t="shared" si="14"/>
        <v/>
      </c>
      <c r="AG264" s="190" t="b">
        <f t="shared" si="13"/>
        <v>0</v>
      </c>
      <c r="AH264" s="145"/>
      <c r="AI264" s="153" t="s">
        <v>6</v>
      </c>
      <c r="AJ264" s="150">
        <f t="shared" si="15"/>
        <v>0</v>
      </c>
      <c r="AK264" s="154" t="s">
        <v>60</v>
      </c>
    </row>
    <row r="265" spans="1:37" ht="30" customHeight="1">
      <c r="A265" s="64"/>
      <c r="B265" s="64"/>
      <c r="C265" s="64"/>
      <c r="D265" s="64"/>
      <c r="E265" s="64"/>
      <c r="F265" s="64"/>
      <c r="G265" s="64"/>
      <c r="H265" s="64"/>
      <c r="I265" s="64"/>
      <c r="J265" s="64"/>
      <c r="K265" s="64"/>
      <c r="L265" s="64"/>
      <c r="M265" s="64"/>
      <c r="N265" s="194"/>
      <c r="O265" s="157"/>
      <c r="P265" s="92"/>
      <c r="Q265" s="145"/>
      <c r="R265" s="92"/>
      <c r="S265" s="145"/>
      <c r="T265" s="92"/>
      <c r="U265" s="145"/>
      <c r="V265" s="92"/>
      <c r="W265" s="145"/>
      <c r="X265" s="92"/>
      <c r="Y265" s="145"/>
      <c r="Z265" s="92"/>
      <c r="AA265" s="145"/>
      <c r="AB265" s="92"/>
      <c r="AC265" s="145"/>
      <c r="AD265" s="92"/>
      <c r="AE265" s="145"/>
      <c r="AF265" s="142" t="str">
        <f t="shared" si="14"/>
        <v/>
      </c>
      <c r="AG265" s="190" t="b">
        <f t="shared" si="13"/>
        <v>0</v>
      </c>
      <c r="AH265" s="145"/>
      <c r="AI265" s="153" t="s">
        <v>6</v>
      </c>
      <c r="AJ265" s="150">
        <f t="shared" si="15"/>
        <v>0</v>
      </c>
      <c r="AK265" s="154" t="s">
        <v>60</v>
      </c>
    </row>
    <row r="266" spans="1:37" ht="30" customHeight="1">
      <c r="A266" s="64"/>
      <c r="B266" s="64"/>
      <c r="C266" s="64"/>
      <c r="D266" s="64"/>
      <c r="E266" s="64"/>
      <c r="F266" s="64"/>
      <c r="G266" s="64"/>
      <c r="H266" s="64"/>
      <c r="I266" s="64"/>
      <c r="J266" s="64"/>
      <c r="K266" s="64"/>
      <c r="L266" s="64"/>
      <c r="M266" s="64"/>
      <c r="N266" s="194"/>
      <c r="O266" s="157"/>
      <c r="P266" s="92"/>
      <c r="Q266" s="145"/>
      <c r="R266" s="92"/>
      <c r="S266" s="145"/>
      <c r="T266" s="92"/>
      <c r="U266" s="145"/>
      <c r="V266" s="92"/>
      <c r="W266" s="145"/>
      <c r="X266" s="92"/>
      <c r="Y266" s="145"/>
      <c r="Z266" s="92"/>
      <c r="AA266" s="145"/>
      <c r="AB266" s="92"/>
      <c r="AC266" s="145"/>
      <c r="AD266" s="92"/>
      <c r="AE266" s="145"/>
      <c r="AF266" s="142" t="str">
        <f t="shared" si="14"/>
        <v/>
      </c>
      <c r="AG266" s="190" t="b">
        <f t="shared" si="13"/>
        <v>0</v>
      </c>
      <c r="AH266" s="145"/>
      <c r="AI266" s="153" t="s">
        <v>6</v>
      </c>
      <c r="AJ266" s="150">
        <f t="shared" si="15"/>
        <v>0</v>
      </c>
      <c r="AK266" s="154" t="s">
        <v>60</v>
      </c>
    </row>
    <row r="267" spans="1:37" ht="30" customHeight="1">
      <c r="A267" s="64"/>
      <c r="B267" s="64"/>
      <c r="C267" s="64"/>
      <c r="D267" s="64"/>
      <c r="E267" s="64"/>
      <c r="F267" s="64"/>
      <c r="G267" s="64"/>
      <c r="H267" s="64"/>
      <c r="I267" s="64"/>
      <c r="J267" s="64"/>
      <c r="K267" s="64"/>
      <c r="L267" s="64"/>
      <c r="M267" s="64"/>
      <c r="N267" s="194"/>
      <c r="O267" s="157"/>
      <c r="P267" s="92"/>
      <c r="Q267" s="145"/>
      <c r="R267" s="92"/>
      <c r="S267" s="145"/>
      <c r="T267" s="92"/>
      <c r="U267" s="145"/>
      <c r="V267" s="92"/>
      <c r="W267" s="145"/>
      <c r="X267" s="92"/>
      <c r="Y267" s="145"/>
      <c r="Z267" s="92"/>
      <c r="AA267" s="145"/>
      <c r="AB267" s="92"/>
      <c r="AC267" s="145"/>
      <c r="AD267" s="92"/>
      <c r="AE267" s="145"/>
      <c r="AF267" s="142" t="str">
        <f t="shared" si="14"/>
        <v/>
      </c>
      <c r="AG267" s="190" t="b">
        <f t="shared" si="13"/>
        <v>0</v>
      </c>
      <c r="AH267" s="145"/>
      <c r="AI267" s="153" t="s">
        <v>6</v>
      </c>
      <c r="AJ267" s="150">
        <f t="shared" si="15"/>
        <v>0</v>
      </c>
      <c r="AK267" s="154" t="s">
        <v>60</v>
      </c>
    </row>
    <row r="268" spans="1:37" ht="30" customHeight="1">
      <c r="A268" s="64"/>
      <c r="B268" s="64"/>
      <c r="C268" s="64"/>
      <c r="D268" s="64"/>
      <c r="E268" s="64"/>
      <c r="F268" s="64"/>
      <c r="G268" s="64"/>
      <c r="H268" s="64"/>
      <c r="I268" s="64"/>
      <c r="J268" s="64"/>
      <c r="K268" s="64"/>
      <c r="L268" s="64"/>
      <c r="M268" s="64"/>
      <c r="N268" s="194"/>
      <c r="O268" s="157"/>
      <c r="P268" s="92"/>
      <c r="Q268" s="145"/>
      <c r="R268" s="92"/>
      <c r="S268" s="145"/>
      <c r="T268" s="92"/>
      <c r="U268" s="145"/>
      <c r="V268" s="92"/>
      <c r="W268" s="145"/>
      <c r="X268" s="92"/>
      <c r="Y268" s="145"/>
      <c r="Z268" s="92"/>
      <c r="AA268" s="145"/>
      <c r="AB268" s="92"/>
      <c r="AC268" s="145"/>
      <c r="AD268" s="92"/>
      <c r="AE268" s="145"/>
      <c r="AF268" s="142" t="str">
        <f t="shared" si="14"/>
        <v/>
      </c>
      <c r="AG268" s="190" t="b">
        <f t="shared" si="13"/>
        <v>0</v>
      </c>
      <c r="AH268" s="145"/>
      <c r="AI268" s="153" t="s">
        <v>6</v>
      </c>
      <c r="AJ268" s="150">
        <f t="shared" si="15"/>
        <v>0</v>
      </c>
      <c r="AK268" s="154" t="s">
        <v>60</v>
      </c>
    </row>
    <row r="269" spans="1:37" ht="30" customHeight="1">
      <c r="A269" s="64"/>
      <c r="B269" s="64"/>
      <c r="C269" s="64"/>
      <c r="D269" s="64"/>
      <c r="E269" s="64"/>
      <c r="F269" s="64"/>
      <c r="G269" s="64"/>
      <c r="H269" s="64"/>
      <c r="I269" s="64"/>
      <c r="J269" s="64"/>
      <c r="K269" s="64"/>
      <c r="L269" s="64"/>
      <c r="M269" s="64"/>
      <c r="N269" s="194"/>
      <c r="O269" s="157"/>
      <c r="P269" s="92"/>
      <c r="Q269" s="145"/>
      <c r="R269" s="92"/>
      <c r="S269" s="145"/>
      <c r="T269" s="92"/>
      <c r="U269" s="145"/>
      <c r="V269" s="92"/>
      <c r="W269" s="145"/>
      <c r="X269" s="92"/>
      <c r="Y269" s="145"/>
      <c r="Z269" s="92"/>
      <c r="AA269" s="145"/>
      <c r="AB269" s="92"/>
      <c r="AC269" s="145"/>
      <c r="AD269" s="92"/>
      <c r="AE269" s="145"/>
      <c r="AF269" s="142" t="str">
        <f t="shared" si="14"/>
        <v/>
      </c>
      <c r="AG269" s="190" t="b">
        <f t="shared" si="13"/>
        <v>0</v>
      </c>
      <c r="AH269" s="145"/>
      <c r="AI269" s="153" t="s">
        <v>6</v>
      </c>
      <c r="AJ269" s="150">
        <f t="shared" si="15"/>
        <v>0</v>
      </c>
      <c r="AK269" s="154" t="s">
        <v>60</v>
      </c>
    </row>
    <row r="270" spans="1:37" ht="30" customHeight="1">
      <c r="A270" s="64"/>
      <c r="B270" s="64"/>
      <c r="C270" s="64"/>
      <c r="D270" s="64"/>
      <c r="E270" s="64"/>
      <c r="F270" s="64"/>
      <c r="G270" s="64"/>
      <c r="H270" s="64"/>
      <c r="I270" s="64"/>
      <c r="J270" s="64"/>
      <c r="K270" s="64"/>
      <c r="L270" s="64"/>
      <c r="M270" s="64"/>
      <c r="N270" s="194"/>
      <c r="O270" s="157"/>
      <c r="P270" s="92"/>
      <c r="Q270" s="145"/>
      <c r="R270" s="92"/>
      <c r="S270" s="145"/>
      <c r="T270" s="92"/>
      <c r="U270" s="145"/>
      <c r="V270" s="92"/>
      <c r="W270" s="145"/>
      <c r="X270" s="92"/>
      <c r="Y270" s="145"/>
      <c r="Z270" s="92"/>
      <c r="AA270" s="145"/>
      <c r="AB270" s="92"/>
      <c r="AC270" s="145"/>
      <c r="AD270" s="92"/>
      <c r="AE270" s="145"/>
      <c r="AF270" s="142" t="str">
        <f t="shared" si="14"/>
        <v/>
      </c>
      <c r="AG270" s="190" t="b">
        <f t="shared" si="13"/>
        <v>0</v>
      </c>
      <c r="AH270" s="145"/>
      <c r="AI270" s="153" t="s">
        <v>6</v>
      </c>
      <c r="AJ270" s="150">
        <f t="shared" si="15"/>
        <v>0</v>
      </c>
      <c r="AK270" s="154" t="s">
        <v>60</v>
      </c>
    </row>
    <row r="271" spans="1:37" ht="30" customHeight="1">
      <c r="A271" s="64"/>
      <c r="B271" s="64"/>
      <c r="C271" s="64"/>
      <c r="D271" s="64"/>
      <c r="E271" s="64"/>
      <c r="F271" s="64"/>
      <c r="G271" s="64"/>
      <c r="H271" s="64"/>
      <c r="I271" s="64"/>
      <c r="J271" s="64"/>
      <c r="K271" s="64"/>
      <c r="L271" s="64"/>
      <c r="M271" s="64"/>
      <c r="N271" s="194"/>
      <c r="O271" s="157"/>
      <c r="P271" s="92"/>
      <c r="Q271" s="145"/>
      <c r="R271" s="92"/>
      <c r="S271" s="145"/>
      <c r="T271" s="92"/>
      <c r="U271" s="145"/>
      <c r="V271" s="92"/>
      <c r="W271" s="145"/>
      <c r="X271" s="92"/>
      <c r="Y271" s="145"/>
      <c r="Z271" s="92"/>
      <c r="AA271" s="145"/>
      <c r="AB271" s="92"/>
      <c r="AC271" s="145"/>
      <c r="AD271" s="92"/>
      <c r="AE271" s="145"/>
      <c r="AF271" s="142" t="str">
        <f t="shared" si="14"/>
        <v/>
      </c>
      <c r="AG271" s="190" t="b">
        <f t="shared" si="13"/>
        <v>0</v>
      </c>
      <c r="AH271" s="145"/>
      <c r="AI271" s="153" t="s">
        <v>6</v>
      </c>
      <c r="AJ271" s="150">
        <f t="shared" si="15"/>
        <v>0</v>
      </c>
      <c r="AK271" s="154" t="s">
        <v>60</v>
      </c>
    </row>
    <row r="272" spans="1:37" ht="30" customHeight="1">
      <c r="A272" s="64"/>
      <c r="B272" s="64"/>
      <c r="C272" s="64"/>
      <c r="D272" s="64"/>
      <c r="E272" s="64"/>
      <c r="F272" s="64"/>
      <c r="G272" s="64"/>
      <c r="H272" s="64"/>
      <c r="I272" s="64"/>
      <c r="J272" s="64"/>
      <c r="K272" s="64"/>
      <c r="L272" s="64"/>
      <c r="M272" s="64"/>
      <c r="N272" s="194"/>
      <c r="O272" s="157"/>
      <c r="P272" s="92"/>
      <c r="Q272" s="145"/>
      <c r="R272" s="92"/>
      <c r="S272" s="145"/>
      <c r="T272" s="92"/>
      <c r="U272" s="145"/>
      <c r="V272" s="92"/>
      <c r="W272" s="145"/>
      <c r="X272" s="92"/>
      <c r="Y272" s="145"/>
      <c r="Z272" s="92"/>
      <c r="AA272" s="145"/>
      <c r="AB272" s="92"/>
      <c r="AC272" s="145"/>
      <c r="AD272" s="92"/>
      <c r="AE272" s="145"/>
      <c r="AF272" s="142" t="str">
        <f t="shared" si="14"/>
        <v/>
      </c>
      <c r="AG272" s="190" t="b">
        <f t="shared" si="13"/>
        <v>0</v>
      </c>
      <c r="AH272" s="145"/>
      <c r="AI272" s="153" t="s">
        <v>6</v>
      </c>
      <c r="AJ272" s="150">
        <f t="shared" si="15"/>
        <v>0</v>
      </c>
      <c r="AK272" s="154" t="s">
        <v>60</v>
      </c>
    </row>
    <row r="273" spans="1:37" ht="30" customHeight="1">
      <c r="A273" s="64"/>
      <c r="B273" s="64"/>
      <c r="C273" s="64"/>
      <c r="D273" s="64"/>
      <c r="E273" s="64"/>
      <c r="F273" s="64"/>
      <c r="G273" s="64"/>
      <c r="H273" s="64"/>
      <c r="I273" s="64"/>
      <c r="J273" s="64"/>
      <c r="K273" s="64"/>
      <c r="L273" s="64"/>
      <c r="M273" s="64"/>
      <c r="N273" s="194"/>
      <c r="O273" s="157"/>
      <c r="P273" s="92"/>
      <c r="Q273" s="145"/>
      <c r="R273" s="92"/>
      <c r="S273" s="145"/>
      <c r="T273" s="92"/>
      <c r="U273" s="145"/>
      <c r="V273" s="92"/>
      <c r="W273" s="145"/>
      <c r="X273" s="92"/>
      <c r="Y273" s="145"/>
      <c r="Z273" s="92"/>
      <c r="AA273" s="145"/>
      <c r="AB273" s="92"/>
      <c r="AC273" s="145"/>
      <c r="AD273" s="92"/>
      <c r="AE273" s="145"/>
      <c r="AF273" s="142" t="str">
        <f t="shared" si="14"/>
        <v/>
      </c>
      <c r="AG273" s="190" t="b">
        <f t="shared" si="13"/>
        <v>0</v>
      </c>
      <c r="AH273" s="145"/>
      <c r="AI273" s="153" t="s">
        <v>6</v>
      </c>
      <c r="AJ273" s="150">
        <f t="shared" si="15"/>
        <v>0</v>
      </c>
      <c r="AK273" s="154" t="s">
        <v>60</v>
      </c>
    </row>
    <row r="274" spans="1:37" ht="30" customHeight="1">
      <c r="A274" s="64"/>
      <c r="B274" s="64"/>
      <c r="C274" s="64"/>
      <c r="D274" s="64"/>
      <c r="E274" s="64"/>
      <c r="F274" s="64"/>
      <c r="G274" s="64"/>
      <c r="H274" s="64"/>
      <c r="I274" s="64"/>
      <c r="J274" s="64"/>
      <c r="K274" s="64"/>
      <c r="L274" s="64"/>
      <c r="M274" s="64"/>
      <c r="N274" s="194"/>
      <c r="O274" s="157"/>
      <c r="P274" s="92"/>
      <c r="Q274" s="145"/>
      <c r="R274" s="92"/>
      <c r="S274" s="145"/>
      <c r="T274" s="92"/>
      <c r="U274" s="145"/>
      <c r="V274" s="92"/>
      <c r="W274" s="145"/>
      <c r="X274" s="92"/>
      <c r="Y274" s="145"/>
      <c r="Z274" s="92"/>
      <c r="AA274" s="145"/>
      <c r="AB274" s="92"/>
      <c r="AC274" s="145"/>
      <c r="AD274" s="92"/>
      <c r="AE274" s="145"/>
      <c r="AF274" s="142" t="str">
        <f t="shared" si="14"/>
        <v/>
      </c>
      <c r="AG274" s="190" t="b">
        <f t="shared" si="13"/>
        <v>0</v>
      </c>
      <c r="AH274" s="145"/>
      <c r="AI274" s="153" t="s">
        <v>6</v>
      </c>
      <c r="AJ274" s="150">
        <f t="shared" si="15"/>
        <v>0</v>
      </c>
      <c r="AK274" s="154" t="s">
        <v>60</v>
      </c>
    </row>
    <row r="275" spans="1:37" ht="30" customHeight="1">
      <c r="A275" s="64"/>
      <c r="B275" s="64"/>
      <c r="C275" s="64"/>
      <c r="D275" s="64"/>
      <c r="E275" s="64"/>
      <c r="F275" s="64"/>
      <c r="G275" s="64"/>
      <c r="H275" s="64"/>
      <c r="I275" s="64"/>
      <c r="J275" s="64"/>
      <c r="K275" s="64"/>
      <c r="L275" s="64"/>
      <c r="M275" s="64"/>
      <c r="N275" s="194"/>
      <c r="O275" s="157"/>
      <c r="P275" s="92"/>
      <c r="Q275" s="145"/>
      <c r="R275" s="92"/>
      <c r="S275" s="145"/>
      <c r="T275" s="92"/>
      <c r="U275" s="145"/>
      <c r="V275" s="92"/>
      <c r="W275" s="145"/>
      <c r="X275" s="92"/>
      <c r="Y275" s="145"/>
      <c r="Z275" s="92"/>
      <c r="AA275" s="145"/>
      <c r="AB275" s="92"/>
      <c r="AC275" s="145"/>
      <c r="AD275" s="92"/>
      <c r="AE275" s="145"/>
      <c r="AF275" s="142" t="str">
        <f t="shared" si="14"/>
        <v/>
      </c>
      <c r="AG275" s="190" t="b">
        <f t="shared" si="13"/>
        <v>0</v>
      </c>
      <c r="AH275" s="145"/>
      <c r="AI275" s="153" t="s">
        <v>6</v>
      </c>
      <c r="AJ275" s="150">
        <f t="shared" si="15"/>
        <v>0</v>
      </c>
      <c r="AK275" s="154" t="s">
        <v>60</v>
      </c>
    </row>
    <row r="276" spans="1:37" ht="30" customHeight="1">
      <c r="A276" s="64"/>
      <c r="B276" s="64"/>
      <c r="C276" s="64"/>
      <c r="D276" s="64"/>
      <c r="E276" s="64"/>
      <c r="F276" s="64"/>
      <c r="G276" s="64"/>
      <c r="H276" s="64"/>
      <c r="I276" s="64"/>
      <c r="J276" s="64"/>
      <c r="K276" s="64"/>
      <c r="L276" s="64"/>
      <c r="M276" s="64"/>
      <c r="N276" s="194"/>
      <c r="O276" s="157"/>
      <c r="P276" s="92"/>
      <c r="Q276" s="145"/>
      <c r="R276" s="92"/>
      <c r="S276" s="145"/>
      <c r="T276" s="92"/>
      <c r="U276" s="145"/>
      <c r="V276" s="92"/>
      <c r="W276" s="145"/>
      <c r="X276" s="92"/>
      <c r="Y276" s="145"/>
      <c r="Z276" s="92"/>
      <c r="AA276" s="145"/>
      <c r="AB276" s="92"/>
      <c r="AC276" s="145"/>
      <c r="AD276" s="92"/>
      <c r="AE276" s="145"/>
      <c r="AF276" s="142" t="str">
        <f t="shared" si="14"/>
        <v/>
      </c>
      <c r="AG276" s="190" t="b">
        <f t="shared" si="13"/>
        <v>0</v>
      </c>
      <c r="AH276" s="145"/>
      <c r="AI276" s="153" t="s">
        <v>6</v>
      </c>
      <c r="AJ276" s="150">
        <f t="shared" si="15"/>
        <v>0</v>
      </c>
      <c r="AK276" s="154" t="s">
        <v>60</v>
      </c>
    </row>
    <row r="277" spans="1:37" ht="30" customHeight="1">
      <c r="A277" s="64"/>
      <c r="B277" s="64"/>
      <c r="C277" s="64"/>
      <c r="D277" s="64"/>
      <c r="E277" s="64"/>
      <c r="F277" s="64"/>
      <c r="G277" s="64"/>
      <c r="H277" s="64"/>
      <c r="I277" s="64"/>
      <c r="J277" s="64"/>
      <c r="K277" s="64"/>
      <c r="L277" s="64"/>
      <c r="M277" s="64"/>
      <c r="N277" s="194"/>
      <c r="O277" s="157"/>
      <c r="P277" s="92"/>
      <c r="Q277" s="145"/>
      <c r="R277" s="92"/>
      <c r="S277" s="145"/>
      <c r="T277" s="92"/>
      <c r="U277" s="145"/>
      <c r="V277" s="92"/>
      <c r="W277" s="145"/>
      <c r="X277" s="92"/>
      <c r="Y277" s="145"/>
      <c r="Z277" s="92"/>
      <c r="AA277" s="145"/>
      <c r="AB277" s="92"/>
      <c r="AC277" s="145"/>
      <c r="AD277" s="92"/>
      <c r="AE277" s="145"/>
      <c r="AF277" s="142" t="str">
        <f t="shared" si="14"/>
        <v/>
      </c>
      <c r="AG277" s="190" t="b">
        <f t="shared" si="13"/>
        <v>0</v>
      </c>
      <c r="AH277" s="145"/>
      <c r="AI277" s="153" t="s">
        <v>6</v>
      </c>
      <c r="AJ277" s="150">
        <f t="shared" si="15"/>
        <v>0</v>
      </c>
      <c r="AK277" s="154" t="s">
        <v>60</v>
      </c>
    </row>
    <row r="278" spans="1:37" ht="30" customHeight="1">
      <c r="A278" s="64"/>
      <c r="B278" s="64"/>
      <c r="C278" s="64"/>
      <c r="D278" s="64"/>
      <c r="E278" s="64"/>
      <c r="F278" s="64"/>
      <c r="G278" s="64"/>
      <c r="H278" s="64"/>
      <c r="I278" s="64"/>
      <c r="J278" s="64"/>
      <c r="K278" s="64"/>
      <c r="L278" s="64"/>
      <c r="M278" s="64"/>
      <c r="N278" s="194"/>
      <c r="O278" s="157"/>
      <c r="P278" s="92"/>
      <c r="Q278" s="145"/>
      <c r="R278" s="92"/>
      <c r="S278" s="145"/>
      <c r="T278" s="92"/>
      <c r="U278" s="145"/>
      <c r="V278" s="92"/>
      <c r="W278" s="145"/>
      <c r="X278" s="92"/>
      <c r="Y278" s="145"/>
      <c r="Z278" s="92"/>
      <c r="AA278" s="145"/>
      <c r="AB278" s="92"/>
      <c r="AC278" s="145"/>
      <c r="AD278" s="92"/>
      <c r="AE278" s="145"/>
      <c r="AF278" s="142" t="str">
        <f t="shared" si="14"/>
        <v/>
      </c>
      <c r="AG278" s="190" t="b">
        <f t="shared" si="13"/>
        <v>0</v>
      </c>
      <c r="AH278" s="145"/>
      <c r="AI278" s="153" t="s">
        <v>6</v>
      </c>
      <c r="AJ278" s="150">
        <f t="shared" si="15"/>
        <v>0</v>
      </c>
      <c r="AK278" s="154" t="s">
        <v>60</v>
      </c>
    </row>
    <row r="279" spans="1:37" ht="30" customHeight="1">
      <c r="A279" s="64"/>
      <c r="B279" s="64"/>
      <c r="C279" s="64"/>
      <c r="D279" s="64"/>
      <c r="E279" s="64"/>
      <c r="F279" s="64"/>
      <c r="G279" s="64"/>
      <c r="H279" s="64"/>
      <c r="I279" s="64"/>
      <c r="J279" s="64"/>
      <c r="K279" s="64"/>
      <c r="L279" s="64"/>
      <c r="M279" s="64"/>
      <c r="N279" s="194"/>
      <c r="O279" s="157"/>
      <c r="P279" s="92"/>
      <c r="Q279" s="145"/>
      <c r="R279" s="92"/>
      <c r="S279" s="145"/>
      <c r="T279" s="92"/>
      <c r="U279" s="145"/>
      <c r="V279" s="92"/>
      <c r="W279" s="145"/>
      <c r="X279" s="92"/>
      <c r="Y279" s="145"/>
      <c r="Z279" s="92"/>
      <c r="AA279" s="145"/>
      <c r="AB279" s="92"/>
      <c r="AC279" s="145"/>
      <c r="AD279" s="92"/>
      <c r="AE279" s="145"/>
      <c r="AF279" s="142" t="str">
        <f t="shared" si="14"/>
        <v/>
      </c>
      <c r="AG279" s="190" t="b">
        <f t="shared" si="13"/>
        <v>0</v>
      </c>
      <c r="AH279" s="145"/>
      <c r="AI279" s="153" t="s">
        <v>6</v>
      </c>
      <c r="AJ279" s="150">
        <f t="shared" si="15"/>
        <v>0</v>
      </c>
      <c r="AK279" s="154" t="s">
        <v>60</v>
      </c>
    </row>
    <row r="280" spans="1:37" ht="30" customHeight="1">
      <c r="A280" s="64"/>
      <c r="B280" s="64"/>
      <c r="C280" s="64"/>
      <c r="D280" s="64"/>
      <c r="E280" s="64"/>
      <c r="F280" s="64"/>
      <c r="G280" s="64"/>
      <c r="H280" s="64"/>
      <c r="I280" s="64"/>
      <c r="J280" s="64"/>
      <c r="K280" s="64"/>
      <c r="L280" s="64"/>
      <c r="M280" s="64"/>
      <c r="N280" s="194"/>
      <c r="O280" s="157"/>
      <c r="P280" s="92"/>
      <c r="Q280" s="145"/>
      <c r="R280" s="92"/>
      <c r="S280" s="145"/>
      <c r="T280" s="92"/>
      <c r="U280" s="145"/>
      <c r="V280" s="92"/>
      <c r="W280" s="145"/>
      <c r="X280" s="92"/>
      <c r="Y280" s="145"/>
      <c r="Z280" s="92"/>
      <c r="AA280" s="145"/>
      <c r="AB280" s="92"/>
      <c r="AC280" s="145"/>
      <c r="AD280" s="92"/>
      <c r="AE280" s="145"/>
      <c r="AF280" s="142" t="str">
        <f t="shared" si="14"/>
        <v/>
      </c>
      <c r="AG280" s="190" t="b">
        <f t="shared" si="13"/>
        <v>0</v>
      </c>
      <c r="AH280" s="145"/>
      <c r="AI280" s="153" t="s">
        <v>6</v>
      </c>
      <c r="AJ280" s="150">
        <f t="shared" si="15"/>
        <v>0</v>
      </c>
      <c r="AK280" s="154" t="s">
        <v>60</v>
      </c>
    </row>
    <row r="281" spans="1:37" ht="30" customHeight="1">
      <c r="A281" s="64"/>
      <c r="B281" s="64"/>
      <c r="C281" s="64"/>
      <c r="D281" s="64"/>
      <c r="E281" s="64"/>
      <c r="F281" s="64"/>
      <c r="G281" s="64"/>
      <c r="H281" s="64"/>
      <c r="I281" s="64"/>
      <c r="J281" s="64"/>
      <c r="K281" s="64"/>
      <c r="L281" s="64"/>
      <c r="M281" s="64"/>
      <c r="N281" s="194"/>
      <c r="O281" s="157"/>
      <c r="P281" s="92"/>
      <c r="Q281" s="145"/>
      <c r="R281" s="92"/>
      <c r="S281" s="145"/>
      <c r="T281" s="92"/>
      <c r="U281" s="145"/>
      <c r="V281" s="92"/>
      <c r="W281" s="145"/>
      <c r="X281" s="92"/>
      <c r="Y281" s="145"/>
      <c r="Z281" s="92"/>
      <c r="AA281" s="145"/>
      <c r="AB281" s="92"/>
      <c r="AC281" s="145"/>
      <c r="AD281" s="92"/>
      <c r="AE281" s="145"/>
      <c r="AF281" s="142" t="str">
        <f t="shared" si="14"/>
        <v/>
      </c>
      <c r="AG281" s="190" t="b">
        <f t="shared" si="13"/>
        <v>0</v>
      </c>
      <c r="AH281" s="145"/>
      <c r="AI281" s="153" t="s">
        <v>6</v>
      </c>
      <c r="AJ281" s="150">
        <f t="shared" si="15"/>
        <v>0</v>
      </c>
      <c r="AK281" s="154" t="s">
        <v>60</v>
      </c>
    </row>
    <row r="282" spans="1:37" ht="30" customHeight="1">
      <c r="A282" s="64"/>
      <c r="B282" s="64"/>
      <c r="C282" s="64"/>
      <c r="D282" s="64"/>
      <c r="E282" s="64"/>
      <c r="F282" s="64"/>
      <c r="G282" s="64"/>
      <c r="H282" s="64"/>
      <c r="I282" s="64"/>
      <c r="J282" s="64"/>
      <c r="K282" s="64"/>
      <c r="L282" s="64"/>
      <c r="M282" s="64"/>
      <c r="N282" s="194"/>
      <c r="O282" s="157"/>
      <c r="P282" s="92"/>
      <c r="Q282" s="145"/>
      <c r="R282" s="92"/>
      <c r="S282" s="145"/>
      <c r="T282" s="92"/>
      <c r="U282" s="145"/>
      <c r="V282" s="92"/>
      <c r="W282" s="145"/>
      <c r="X282" s="92"/>
      <c r="Y282" s="145"/>
      <c r="Z282" s="92"/>
      <c r="AA282" s="145"/>
      <c r="AB282" s="92"/>
      <c r="AC282" s="145"/>
      <c r="AD282" s="92"/>
      <c r="AE282" s="145"/>
      <c r="AF282" s="142" t="str">
        <f t="shared" si="14"/>
        <v/>
      </c>
      <c r="AG282" s="190" t="b">
        <f t="shared" si="13"/>
        <v>0</v>
      </c>
      <c r="AH282" s="145"/>
      <c r="AI282" s="153" t="s">
        <v>6</v>
      </c>
      <c r="AJ282" s="150">
        <f t="shared" si="15"/>
        <v>0</v>
      </c>
      <c r="AK282" s="154" t="s">
        <v>60</v>
      </c>
    </row>
    <row r="283" spans="1:37" ht="30" customHeight="1">
      <c r="A283" s="64"/>
      <c r="B283" s="64"/>
      <c r="C283" s="64"/>
      <c r="D283" s="64"/>
      <c r="E283" s="64"/>
      <c r="F283" s="64"/>
      <c r="G283" s="64"/>
      <c r="H283" s="64"/>
      <c r="I283" s="64"/>
      <c r="J283" s="64"/>
      <c r="K283" s="64"/>
      <c r="L283" s="64"/>
      <c r="M283" s="64"/>
      <c r="N283" s="194"/>
      <c r="O283" s="157"/>
      <c r="P283" s="92"/>
      <c r="Q283" s="145"/>
      <c r="R283" s="92"/>
      <c r="S283" s="145"/>
      <c r="T283" s="92"/>
      <c r="U283" s="145"/>
      <c r="V283" s="92"/>
      <c r="W283" s="145"/>
      <c r="X283" s="92"/>
      <c r="Y283" s="145"/>
      <c r="Z283" s="92"/>
      <c r="AA283" s="145"/>
      <c r="AB283" s="92"/>
      <c r="AC283" s="145"/>
      <c r="AD283" s="92"/>
      <c r="AE283" s="145"/>
      <c r="AF283" s="142" t="str">
        <f t="shared" si="14"/>
        <v/>
      </c>
      <c r="AG283" s="190" t="b">
        <f t="shared" si="13"/>
        <v>0</v>
      </c>
      <c r="AH283" s="145"/>
      <c r="AI283" s="153" t="s">
        <v>6</v>
      </c>
      <c r="AJ283" s="150">
        <f t="shared" si="15"/>
        <v>0</v>
      </c>
      <c r="AK283" s="154" t="s">
        <v>60</v>
      </c>
    </row>
    <row r="284" spans="1:37" ht="30" customHeight="1">
      <c r="A284" s="64"/>
      <c r="B284" s="64"/>
      <c r="C284" s="64"/>
      <c r="D284" s="64"/>
      <c r="E284" s="64"/>
      <c r="F284" s="64"/>
      <c r="G284" s="64"/>
      <c r="H284" s="64"/>
      <c r="I284" s="64"/>
      <c r="J284" s="64"/>
      <c r="K284" s="64"/>
      <c r="L284" s="64"/>
      <c r="M284" s="64"/>
      <c r="N284" s="194"/>
      <c r="O284" s="157"/>
      <c r="P284" s="92"/>
      <c r="Q284" s="145"/>
      <c r="R284" s="92"/>
      <c r="S284" s="145"/>
      <c r="T284" s="92"/>
      <c r="U284" s="145"/>
      <c r="V284" s="92"/>
      <c r="W284" s="145"/>
      <c r="X284" s="92"/>
      <c r="Y284" s="145"/>
      <c r="Z284" s="92"/>
      <c r="AA284" s="145"/>
      <c r="AB284" s="92"/>
      <c r="AC284" s="145"/>
      <c r="AD284" s="92"/>
      <c r="AE284" s="145"/>
      <c r="AF284" s="142" t="str">
        <f t="shared" si="14"/>
        <v/>
      </c>
      <c r="AG284" s="190" t="b">
        <f t="shared" si="13"/>
        <v>0</v>
      </c>
      <c r="AH284" s="145"/>
      <c r="AI284" s="153" t="s">
        <v>6</v>
      </c>
      <c r="AJ284" s="150">
        <f t="shared" si="15"/>
        <v>0</v>
      </c>
      <c r="AK284" s="154" t="s">
        <v>60</v>
      </c>
    </row>
    <row r="285" spans="1:37" ht="30" customHeight="1">
      <c r="A285" s="64"/>
      <c r="B285" s="64"/>
      <c r="C285" s="64"/>
      <c r="D285" s="64"/>
      <c r="E285" s="64"/>
      <c r="F285" s="64"/>
      <c r="G285" s="64"/>
      <c r="H285" s="64"/>
      <c r="I285" s="64"/>
      <c r="J285" s="64"/>
      <c r="K285" s="64"/>
      <c r="L285" s="64"/>
      <c r="M285" s="64"/>
      <c r="N285" s="194"/>
      <c r="O285" s="157"/>
      <c r="P285" s="92"/>
      <c r="Q285" s="145"/>
      <c r="R285" s="92"/>
      <c r="S285" s="145"/>
      <c r="T285" s="92"/>
      <c r="U285" s="145"/>
      <c r="V285" s="92"/>
      <c r="W285" s="145"/>
      <c r="X285" s="92"/>
      <c r="Y285" s="145"/>
      <c r="Z285" s="92"/>
      <c r="AA285" s="145"/>
      <c r="AB285" s="92"/>
      <c r="AC285" s="145"/>
      <c r="AD285" s="92"/>
      <c r="AE285" s="145"/>
      <c r="AF285" s="142" t="str">
        <f t="shared" si="14"/>
        <v/>
      </c>
      <c r="AG285" s="190" t="b">
        <f t="shared" si="13"/>
        <v>0</v>
      </c>
      <c r="AH285" s="145"/>
      <c r="AI285" s="153" t="s">
        <v>6</v>
      </c>
      <c r="AJ285" s="150">
        <f t="shared" si="15"/>
        <v>0</v>
      </c>
      <c r="AK285" s="154" t="s">
        <v>60</v>
      </c>
    </row>
    <row r="286" spans="1:37" ht="30" customHeight="1">
      <c r="A286" s="64"/>
      <c r="B286" s="64"/>
      <c r="C286" s="64"/>
      <c r="D286" s="64"/>
      <c r="E286" s="64"/>
      <c r="F286" s="64"/>
      <c r="G286" s="64"/>
      <c r="H286" s="64"/>
      <c r="I286" s="64"/>
      <c r="J286" s="64"/>
      <c r="K286" s="64"/>
      <c r="L286" s="64"/>
      <c r="M286" s="64"/>
      <c r="N286" s="194"/>
      <c r="O286" s="157"/>
      <c r="P286" s="92"/>
      <c r="Q286" s="145"/>
      <c r="R286" s="92"/>
      <c r="S286" s="145"/>
      <c r="T286" s="92"/>
      <c r="U286" s="145"/>
      <c r="V286" s="92"/>
      <c r="W286" s="145"/>
      <c r="X286" s="92"/>
      <c r="Y286" s="145"/>
      <c r="Z286" s="92"/>
      <c r="AA286" s="145"/>
      <c r="AB286" s="92"/>
      <c r="AC286" s="145"/>
      <c r="AD286" s="92"/>
      <c r="AE286" s="145"/>
      <c r="AF286" s="142" t="str">
        <f t="shared" si="14"/>
        <v/>
      </c>
      <c r="AG286" s="190" t="b">
        <f t="shared" si="13"/>
        <v>0</v>
      </c>
      <c r="AH286" s="145"/>
      <c r="AI286" s="153" t="s">
        <v>6</v>
      </c>
      <c r="AJ286" s="150">
        <f t="shared" si="15"/>
        <v>0</v>
      </c>
      <c r="AK286" s="154" t="s">
        <v>60</v>
      </c>
    </row>
    <row r="287" spans="1:37" ht="30" customHeight="1">
      <c r="A287" s="64"/>
      <c r="B287" s="64"/>
      <c r="C287" s="64"/>
      <c r="D287" s="64"/>
      <c r="E287" s="64"/>
      <c r="F287" s="64"/>
      <c r="G287" s="64"/>
      <c r="H287" s="64"/>
      <c r="I287" s="64"/>
      <c r="J287" s="64"/>
      <c r="K287" s="64"/>
      <c r="L287" s="64"/>
      <c r="M287" s="64"/>
      <c r="N287" s="194"/>
      <c r="O287" s="157"/>
      <c r="P287" s="92"/>
      <c r="Q287" s="145"/>
      <c r="R287" s="92"/>
      <c r="S287" s="145"/>
      <c r="T287" s="92"/>
      <c r="U287" s="145"/>
      <c r="V287" s="92"/>
      <c r="W287" s="145"/>
      <c r="X287" s="92"/>
      <c r="Y287" s="145"/>
      <c r="Z287" s="92"/>
      <c r="AA287" s="145"/>
      <c r="AB287" s="92"/>
      <c r="AC287" s="145"/>
      <c r="AD287" s="92"/>
      <c r="AE287" s="145"/>
      <c r="AF287" s="142" t="str">
        <f t="shared" si="14"/>
        <v/>
      </c>
      <c r="AG287" s="190" t="b">
        <f t="shared" si="13"/>
        <v>0</v>
      </c>
      <c r="AH287" s="145"/>
      <c r="AI287" s="153" t="s">
        <v>6</v>
      </c>
      <c r="AJ287" s="150">
        <f t="shared" si="15"/>
        <v>0</v>
      </c>
      <c r="AK287" s="154" t="s">
        <v>60</v>
      </c>
    </row>
    <row r="288" spans="1:37" ht="30" customHeight="1">
      <c r="A288" s="64"/>
      <c r="B288" s="64"/>
      <c r="C288" s="64"/>
      <c r="D288" s="64"/>
      <c r="E288" s="64"/>
      <c r="F288" s="64"/>
      <c r="G288" s="64"/>
      <c r="H288" s="64"/>
      <c r="I288" s="64"/>
      <c r="J288" s="64"/>
      <c r="K288" s="64"/>
      <c r="L288" s="64"/>
      <c r="M288" s="64"/>
      <c r="N288" s="194"/>
      <c r="O288" s="157"/>
      <c r="P288" s="92"/>
      <c r="Q288" s="145"/>
      <c r="R288" s="92"/>
      <c r="S288" s="145"/>
      <c r="T288" s="92"/>
      <c r="U288" s="145"/>
      <c r="V288" s="92"/>
      <c r="W288" s="145"/>
      <c r="X288" s="92"/>
      <c r="Y288" s="145"/>
      <c r="Z288" s="92"/>
      <c r="AA288" s="145"/>
      <c r="AB288" s="92"/>
      <c r="AC288" s="145"/>
      <c r="AD288" s="92"/>
      <c r="AE288" s="145"/>
      <c r="AF288" s="142" t="str">
        <f t="shared" si="14"/>
        <v/>
      </c>
      <c r="AG288" s="190" t="b">
        <f t="shared" si="13"/>
        <v>0</v>
      </c>
      <c r="AH288" s="145"/>
      <c r="AI288" s="153" t="s">
        <v>6</v>
      </c>
      <c r="AJ288" s="150">
        <f t="shared" si="15"/>
        <v>0</v>
      </c>
      <c r="AK288" s="154" t="s">
        <v>60</v>
      </c>
    </row>
    <row r="289" spans="1:37" ht="30" customHeight="1">
      <c r="A289" s="64"/>
      <c r="B289" s="64"/>
      <c r="C289" s="64"/>
      <c r="D289" s="64"/>
      <c r="E289" s="64"/>
      <c r="F289" s="64"/>
      <c r="G289" s="64"/>
      <c r="H289" s="64"/>
      <c r="I289" s="64"/>
      <c r="J289" s="64"/>
      <c r="K289" s="64"/>
      <c r="L289" s="64"/>
      <c r="M289" s="64"/>
      <c r="N289" s="194"/>
      <c r="O289" s="157"/>
      <c r="P289" s="92"/>
      <c r="Q289" s="145"/>
      <c r="R289" s="92"/>
      <c r="S289" s="145"/>
      <c r="T289" s="92"/>
      <c r="U289" s="145"/>
      <c r="V289" s="92"/>
      <c r="W289" s="145"/>
      <c r="X289" s="92"/>
      <c r="Y289" s="145"/>
      <c r="Z289" s="92"/>
      <c r="AA289" s="145"/>
      <c r="AB289" s="92"/>
      <c r="AC289" s="145"/>
      <c r="AD289" s="92"/>
      <c r="AE289" s="145"/>
      <c r="AF289" s="142" t="str">
        <f t="shared" si="14"/>
        <v/>
      </c>
      <c r="AG289" s="190" t="b">
        <f t="shared" si="13"/>
        <v>0</v>
      </c>
      <c r="AH289" s="145"/>
      <c r="AI289" s="153" t="s">
        <v>6</v>
      </c>
      <c r="AJ289" s="150">
        <f t="shared" si="15"/>
        <v>0</v>
      </c>
      <c r="AK289" s="154" t="s">
        <v>60</v>
      </c>
    </row>
    <row r="290" spans="1:37" ht="30" customHeight="1">
      <c r="A290" s="64"/>
      <c r="B290" s="64"/>
      <c r="C290" s="64"/>
      <c r="D290" s="64"/>
      <c r="E290" s="64"/>
      <c r="F290" s="64"/>
      <c r="G290" s="64"/>
      <c r="H290" s="64"/>
      <c r="I290" s="64"/>
      <c r="J290" s="64"/>
      <c r="K290" s="64"/>
      <c r="L290" s="64"/>
      <c r="M290" s="64"/>
      <c r="N290" s="194"/>
      <c r="O290" s="157"/>
      <c r="P290" s="92"/>
      <c r="Q290" s="145"/>
      <c r="R290" s="92"/>
      <c r="S290" s="145"/>
      <c r="T290" s="92"/>
      <c r="U290" s="145"/>
      <c r="V290" s="92"/>
      <c r="W290" s="145"/>
      <c r="X290" s="92"/>
      <c r="Y290" s="145"/>
      <c r="Z290" s="92"/>
      <c r="AA290" s="145"/>
      <c r="AB290" s="92"/>
      <c r="AC290" s="145"/>
      <c r="AD290" s="92"/>
      <c r="AE290" s="145"/>
      <c r="AF290" s="142" t="str">
        <f t="shared" si="14"/>
        <v/>
      </c>
      <c r="AG290" s="190" t="b">
        <f t="shared" si="13"/>
        <v>0</v>
      </c>
      <c r="AH290" s="145"/>
      <c r="AI290" s="153" t="s">
        <v>6</v>
      </c>
      <c r="AJ290" s="150">
        <f t="shared" si="15"/>
        <v>0</v>
      </c>
      <c r="AK290" s="154" t="s">
        <v>60</v>
      </c>
    </row>
    <row r="291" spans="1:37" ht="30" customHeight="1">
      <c r="A291" s="64"/>
      <c r="B291" s="64"/>
      <c r="C291" s="64"/>
      <c r="D291" s="64"/>
      <c r="E291" s="64"/>
      <c r="F291" s="64"/>
      <c r="G291" s="64"/>
      <c r="H291" s="64"/>
      <c r="I291" s="64"/>
      <c r="J291" s="64"/>
      <c r="K291" s="64"/>
      <c r="L291" s="64"/>
      <c r="M291" s="64"/>
      <c r="N291" s="194"/>
      <c r="O291" s="157"/>
      <c r="P291" s="92"/>
      <c r="Q291" s="145"/>
      <c r="R291" s="92"/>
      <c r="S291" s="145"/>
      <c r="T291" s="92"/>
      <c r="U291" s="145"/>
      <c r="V291" s="92"/>
      <c r="W291" s="145"/>
      <c r="X291" s="92"/>
      <c r="Y291" s="145"/>
      <c r="Z291" s="92"/>
      <c r="AA291" s="145"/>
      <c r="AB291" s="92"/>
      <c r="AC291" s="145"/>
      <c r="AD291" s="92"/>
      <c r="AE291" s="145"/>
      <c r="AF291" s="142" t="str">
        <f t="shared" si="14"/>
        <v/>
      </c>
      <c r="AG291" s="190" t="b">
        <f t="shared" si="13"/>
        <v>0</v>
      </c>
      <c r="AH291" s="145"/>
      <c r="AI291" s="153" t="s">
        <v>6</v>
      </c>
      <c r="AJ291" s="150">
        <f t="shared" si="15"/>
        <v>0</v>
      </c>
      <c r="AK291" s="154" t="s">
        <v>60</v>
      </c>
    </row>
    <row r="292" spans="1:37" ht="30" customHeight="1">
      <c r="A292" s="64"/>
      <c r="B292" s="64"/>
      <c r="C292" s="64"/>
      <c r="D292" s="64"/>
      <c r="E292" s="64"/>
      <c r="F292" s="64"/>
      <c r="G292" s="64"/>
      <c r="H292" s="64"/>
      <c r="I292" s="64"/>
      <c r="J292" s="64"/>
      <c r="K292" s="64"/>
      <c r="L292" s="64"/>
      <c r="M292" s="64"/>
      <c r="N292" s="194"/>
      <c r="O292" s="157"/>
      <c r="P292" s="92"/>
      <c r="Q292" s="145"/>
      <c r="R292" s="92"/>
      <c r="S292" s="145"/>
      <c r="T292" s="92"/>
      <c r="U292" s="145"/>
      <c r="V292" s="92"/>
      <c r="W292" s="145"/>
      <c r="X292" s="92"/>
      <c r="Y292" s="145"/>
      <c r="Z292" s="92"/>
      <c r="AA292" s="145"/>
      <c r="AB292" s="92"/>
      <c r="AC292" s="145"/>
      <c r="AD292" s="92"/>
      <c r="AE292" s="145"/>
      <c r="AF292" s="142" t="str">
        <f t="shared" si="14"/>
        <v/>
      </c>
      <c r="AG292" s="190" t="b">
        <f t="shared" si="13"/>
        <v>0</v>
      </c>
      <c r="AH292" s="145"/>
      <c r="AI292" s="153" t="s">
        <v>6</v>
      </c>
      <c r="AJ292" s="150">
        <f t="shared" si="15"/>
        <v>0</v>
      </c>
      <c r="AK292" s="154" t="s">
        <v>60</v>
      </c>
    </row>
    <row r="293" spans="1:37" ht="30" customHeight="1">
      <c r="A293" s="64"/>
      <c r="B293" s="64"/>
      <c r="C293" s="64"/>
      <c r="D293" s="64"/>
      <c r="E293" s="64"/>
      <c r="F293" s="64"/>
      <c r="G293" s="64"/>
      <c r="H293" s="64"/>
      <c r="I293" s="64"/>
      <c r="J293" s="64"/>
      <c r="K293" s="64"/>
      <c r="L293" s="64"/>
      <c r="M293" s="64"/>
      <c r="N293" s="194"/>
      <c r="O293" s="157"/>
      <c r="P293" s="92"/>
      <c r="Q293" s="145"/>
      <c r="R293" s="92"/>
      <c r="S293" s="145"/>
      <c r="T293" s="92"/>
      <c r="U293" s="145"/>
      <c r="V293" s="92"/>
      <c r="W293" s="145"/>
      <c r="X293" s="92"/>
      <c r="Y293" s="145"/>
      <c r="Z293" s="92"/>
      <c r="AA293" s="145"/>
      <c r="AB293" s="92"/>
      <c r="AC293" s="145"/>
      <c r="AD293" s="92"/>
      <c r="AE293" s="145"/>
      <c r="AF293" s="142" t="str">
        <f t="shared" si="14"/>
        <v/>
      </c>
      <c r="AG293" s="190" t="b">
        <f t="shared" si="13"/>
        <v>0</v>
      </c>
      <c r="AH293" s="145"/>
      <c r="AI293" s="153" t="s">
        <v>6</v>
      </c>
      <c r="AJ293" s="150">
        <f t="shared" si="15"/>
        <v>0</v>
      </c>
      <c r="AK293" s="154" t="s">
        <v>60</v>
      </c>
    </row>
    <row r="294" spans="1:37" ht="30" customHeight="1">
      <c r="A294" s="64"/>
      <c r="B294" s="64"/>
      <c r="C294" s="64"/>
      <c r="D294" s="64"/>
      <c r="E294" s="64"/>
      <c r="F294" s="64"/>
      <c r="G294" s="64"/>
      <c r="H294" s="64"/>
      <c r="I294" s="64"/>
      <c r="J294" s="64"/>
      <c r="K294" s="64"/>
      <c r="L294" s="64"/>
      <c r="M294" s="64"/>
      <c r="N294" s="194"/>
      <c r="O294" s="157"/>
      <c r="P294" s="92"/>
      <c r="Q294" s="145"/>
      <c r="R294" s="92"/>
      <c r="S294" s="145"/>
      <c r="T294" s="92"/>
      <c r="U294" s="145"/>
      <c r="V294" s="92"/>
      <c r="W294" s="145"/>
      <c r="X294" s="92"/>
      <c r="Y294" s="145"/>
      <c r="Z294" s="92"/>
      <c r="AA294" s="145"/>
      <c r="AB294" s="92"/>
      <c r="AC294" s="145"/>
      <c r="AD294" s="92"/>
      <c r="AE294" s="145"/>
      <c r="AF294" s="142" t="str">
        <f t="shared" si="14"/>
        <v/>
      </c>
      <c r="AG294" s="190" t="b">
        <f t="shared" si="13"/>
        <v>0</v>
      </c>
      <c r="AH294" s="145"/>
      <c r="AI294" s="153" t="s">
        <v>6</v>
      </c>
      <c r="AJ294" s="150">
        <f t="shared" si="15"/>
        <v>0</v>
      </c>
      <c r="AK294" s="154" t="s">
        <v>60</v>
      </c>
    </row>
    <row r="295" spans="1:37" ht="30" customHeight="1">
      <c r="A295" s="64"/>
      <c r="B295" s="64"/>
      <c r="C295" s="64"/>
      <c r="D295" s="64"/>
      <c r="E295" s="64"/>
      <c r="F295" s="64"/>
      <c r="G295" s="64"/>
      <c r="H295" s="64"/>
      <c r="I295" s="64"/>
      <c r="J295" s="64"/>
      <c r="K295" s="64"/>
      <c r="L295" s="64"/>
      <c r="M295" s="64"/>
      <c r="N295" s="194"/>
      <c r="O295" s="157"/>
      <c r="P295" s="92"/>
      <c r="Q295" s="145"/>
      <c r="R295" s="92"/>
      <c r="S295" s="145"/>
      <c r="T295" s="92"/>
      <c r="U295" s="145"/>
      <c r="V295" s="92"/>
      <c r="W295" s="145"/>
      <c r="X295" s="92"/>
      <c r="Y295" s="145"/>
      <c r="Z295" s="92"/>
      <c r="AA295" s="145"/>
      <c r="AB295" s="92"/>
      <c r="AC295" s="145"/>
      <c r="AD295" s="92"/>
      <c r="AE295" s="145"/>
      <c r="AF295" s="142" t="str">
        <f t="shared" si="14"/>
        <v/>
      </c>
      <c r="AG295" s="190" t="b">
        <f t="shared" ref="AG295:AG358" si="16">IF(AND(AE295="C",AF295="C"),"UTILIZOU O PDA CORRETAMENTE",IF(AND(AE295="C",AF295="NC"),"UTILIZOU O PDA CORRETAMENTE. NÃO HÁ FOTOS DE TODAS AS ETAPAS",IF(AND(AE295="NC",AF295="NC"),"NÃO UTILIZOU O PDA",IF(AND(AE295="NA",AF295="NA"),"NÃO AVALIADO POR FALHA DE SINCRONISMO"))))</f>
        <v>0</v>
      </c>
      <c r="AH295" s="145"/>
      <c r="AI295" s="153" t="s">
        <v>6</v>
      </c>
      <c r="AJ295" s="150">
        <f t="shared" si="15"/>
        <v>0</v>
      </c>
      <c r="AK295" s="154" t="s">
        <v>60</v>
      </c>
    </row>
    <row r="296" spans="1:37" ht="30" customHeight="1">
      <c r="A296" s="64"/>
      <c r="B296" s="64"/>
      <c r="C296" s="64"/>
      <c r="D296" s="64"/>
      <c r="E296" s="64"/>
      <c r="F296" s="64"/>
      <c r="G296" s="64"/>
      <c r="H296" s="64"/>
      <c r="I296" s="64"/>
      <c r="J296" s="64"/>
      <c r="K296" s="64"/>
      <c r="L296" s="64"/>
      <c r="M296" s="64"/>
      <c r="N296" s="194"/>
      <c r="O296" s="157"/>
      <c r="P296" s="92"/>
      <c r="Q296" s="145"/>
      <c r="R296" s="92"/>
      <c r="S296" s="145"/>
      <c r="T296" s="92"/>
      <c r="U296" s="145"/>
      <c r="V296" s="92"/>
      <c r="W296" s="145"/>
      <c r="X296" s="92"/>
      <c r="Y296" s="145"/>
      <c r="Z296" s="92"/>
      <c r="AA296" s="145"/>
      <c r="AB296" s="92"/>
      <c r="AC296" s="145"/>
      <c r="AD296" s="92"/>
      <c r="AE296" s="145"/>
      <c r="AF296" s="142" t="str">
        <f t="shared" ref="AF296:AF359" si="17">IF(AND(O296="",Q296="",S296="",U296="",W296="",Y296="",AA296="",AC296=""),"",IF(OR(AND(O296&lt;&gt;"NA",O296&lt;&gt;"C",O296&lt;&gt;"NC",O296&lt;&gt;"SF",O296&lt;&gt;""),AND(Q296&lt;&gt;"NA",Q296&lt;&gt;"C",Q296&lt;&gt;"NC",Q296&lt;&gt;"SF",Q296&lt;&gt;""),AND(S296&lt;&gt;"NA",S296&lt;&gt;"C",S296&lt;&gt;"NC",S296&lt;&gt;"SF",S296&lt;&gt;""),AND(U296&lt;&gt;"NA",U296&lt;&gt;"C",U296&lt;&gt;"NC",U296&lt;&gt;"SF",U296&lt;&gt;""),AND(W296&lt;&gt;"NA",W296&lt;&gt;"C",W296&lt;&gt;"NC",W296&lt;&gt;"SF",W296&lt;&gt;""),AND(Y296&lt;&gt;"NA",Y296&lt;&gt;"C",Y296&lt;&gt;"NC",Y296&lt;&gt;"SF",Y296&lt;&gt;""),AND(AA296&lt;&gt;"NA",AA296&lt;&gt;"C",AA296&lt;&gt;"NC",AA296&lt;&gt;"SF",AA296&lt;&gt;""),AND(AC296&lt;&gt;"NA",AC296&lt;&gt;"C",AC296&lt;&gt;"NC",AC296&lt;&gt;"SF",AC296&lt;&gt;"")),"FALSO",IF(AND(O296="NA",Q296="NA",S296="NA",U296="NA",W296="NA",Y296="NA",AA296="NA",AC296="NA"),"NA",IF(OR(O296="NC",Q296="NC",S296="NC",U296="NC",W296="NC",Y296="NC",AA296="NC",AC296="NC",O296="SF",Q296="SF",S296="SF",U296="SF",W296="SF",Y296="SF",AA296="SF",AC296="SF"),"NC",IF(OR(O296="C",Q296="C",S296="C",U296="C",W296="C",Y296="C",AA296="C",AC296="C"),"C","")))))</f>
        <v/>
      </c>
      <c r="AG296" s="190" t="b">
        <f t="shared" si="16"/>
        <v>0</v>
      </c>
      <c r="AH296" s="145"/>
      <c r="AI296" s="153" t="s">
        <v>6</v>
      </c>
      <c r="AJ296" s="150">
        <f t="shared" si="15"/>
        <v>0</v>
      </c>
      <c r="AK296" s="154" t="s">
        <v>60</v>
      </c>
    </row>
    <row r="297" spans="1:37" ht="30" customHeight="1">
      <c r="A297" s="64"/>
      <c r="B297" s="64"/>
      <c r="C297" s="64"/>
      <c r="D297" s="64"/>
      <c r="E297" s="64"/>
      <c r="F297" s="64"/>
      <c r="G297" s="64"/>
      <c r="H297" s="64"/>
      <c r="I297" s="64"/>
      <c r="J297" s="64"/>
      <c r="K297" s="64"/>
      <c r="L297" s="64"/>
      <c r="M297" s="64"/>
      <c r="N297" s="194"/>
      <c r="O297" s="157"/>
      <c r="P297" s="92"/>
      <c r="Q297" s="145"/>
      <c r="R297" s="92"/>
      <c r="S297" s="145"/>
      <c r="T297" s="92"/>
      <c r="U297" s="145"/>
      <c r="V297" s="92"/>
      <c r="W297" s="145"/>
      <c r="X297" s="92"/>
      <c r="Y297" s="145"/>
      <c r="Z297" s="92"/>
      <c r="AA297" s="145"/>
      <c r="AB297" s="92"/>
      <c r="AC297" s="145"/>
      <c r="AD297" s="92"/>
      <c r="AE297" s="145"/>
      <c r="AF297" s="142" t="str">
        <f t="shared" si="17"/>
        <v/>
      </c>
      <c r="AG297" s="190" t="b">
        <f t="shared" si="16"/>
        <v>0</v>
      </c>
      <c r="AH297" s="145"/>
      <c r="AI297" s="153" t="s">
        <v>6</v>
      </c>
      <c r="AJ297" s="150">
        <f t="shared" si="15"/>
        <v>0</v>
      </c>
      <c r="AK297" s="154" t="s">
        <v>60</v>
      </c>
    </row>
    <row r="298" spans="1:37" ht="30" customHeight="1">
      <c r="A298" s="64"/>
      <c r="B298" s="64"/>
      <c r="C298" s="64"/>
      <c r="D298" s="64"/>
      <c r="E298" s="64"/>
      <c r="F298" s="64"/>
      <c r="G298" s="64"/>
      <c r="H298" s="64"/>
      <c r="I298" s="64"/>
      <c r="J298" s="64"/>
      <c r="K298" s="64"/>
      <c r="L298" s="64"/>
      <c r="M298" s="64"/>
      <c r="N298" s="194"/>
      <c r="O298" s="157"/>
      <c r="P298" s="92"/>
      <c r="Q298" s="145"/>
      <c r="R298" s="92"/>
      <c r="S298" s="145"/>
      <c r="T298" s="92"/>
      <c r="U298" s="145"/>
      <c r="V298" s="92"/>
      <c r="W298" s="145"/>
      <c r="X298" s="92"/>
      <c r="Y298" s="145"/>
      <c r="Z298" s="92"/>
      <c r="AA298" s="145"/>
      <c r="AB298" s="92"/>
      <c r="AC298" s="145"/>
      <c r="AD298" s="92"/>
      <c r="AE298" s="145"/>
      <c r="AF298" s="142" t="str">
        <f t="shared" si="17"/>
        <v/>
      </c>
      <c r="AG298" s="190" t="b">
        <f t="shared" si="16"/>
        <v>0</v>
      </c>
      <c r="AH298" s="145"/>
      <c r="AI298" s="153" t="s">
        <v>6</v>
      </c>
      <c r="AJ298" s="150">
        <f t="shared" si="15"/>
        <v>0</v>
      </c>
      <c r="AK298" s="154" t="s">
        <v>60</v>
      </c>
    </row>
    <row r="299" spans="1:37" ht="30" customHeight="1">
      <c r="A299" s="64"/>
      <c r="B299" s="64"/>
      <c r="C299" s="64"/>
      <c r="D299" s="64"/>
      <c r="E299" s="64"/>
      <c r="F299" s="64"/>
      <c r="G299" s="64"/>
      <c r="H299" s="64"/>
      <c r="I299" s="64"/>
      <c r="J299" s="64"/>
      <c r="K299" s="64"/>
      <c r="L299" s="64"/>
      <c r="M299" s="64"/>
      <c r="N299" s="194"/>
      <c r="O299" s="157"/>
      <c r="P299" s="92"/>
      <c r="Q299" s="145"/>
      <c r="R299" s="92"/>
      <c r="S299" s="145"/>
      <c r="T299" s="92"/>
      <c r="U299" s="145"/>
      <c r="V299" s="92"/>
      <c r="W299" s="145"/>
      <c r="X299" s="92"/>
      <c r="Y299" s="145"/>
      <c r="Z299" s="92"/>
      <c r="AA299" s="145"/>
      <c r="AB299" s="92"/>
      <c r="AC299" s="145"/>
      <c r="AD299" s="92"/>
      <c r="AE299" s="145"/>
      <c r="AF299" s="142" t="str">
        <f t="shared" si="17"/>
        <v/>
      </c>
      <c r="AG299" s="190" t="b">
        <f t="shared" si="16"/>
        <v>0</v>
      </c>
      <c r="AH299" s="145"/>
      <c r="AI299" s="153" t="s">
        <v>6</v>
      </c>
      <c r="AJ299" s="150">
        <f t="shared" si="15"/>
        <v>0</v>
      </c>
      <c r="AK299" s="154" t="s">
        <v>60</v>
      </c>
    </row>
    <row r="300" spans="1:37" ht="30" customHeight="1">
      <c r="A300" s="64"/>
      <c r="B300" s="64"/>
      <c r="C300" s="64"/>
      <c r="D300" s="64"/>
      <c r="E300" s="64"/>
      <c r="F300" s="64"/>
      <c r="G300" s="64"/>
      <c r="H300" s="64"/>
      <c r="I300" s="64"/>
      <c r="J300" s="64"/>
      <c r="K300" s="64"/>
      <c r="L300" s="64"/>
      <c r="M300" s="64"/>
      <c r="N300" s="194"/>
      <c r="O300" s="157"/>
      <c r="P300" s="92"/>
      <c r="Q300" s="145"/>
      <c r="R300" s="92"/>
      <c r="S300" s="145"/>
      <c r="T300" s="92"/>
      <c r="U300" s="145"/>
      <c r="V300" s="92"/>
      <c r="W300" s="145"/>
      <c r="X300" s="92"/>
      <c r="Y300" s="145"/>
      <c r="Z300" s="92"/>
      <c r="AA300" s="145"/>
      <c r="AB300" s="92"/>
      <c r="AC300" s="145"/>
      <c r="AD300" s="92"/>
      <c r="AE300" s="145"/>
      <c r="AF300" s="142" t="str">
        <f t="shared" si="17"/>
        <v/>
      </c>
      <c r="AG300" s="190" t="b">
        <f t="shared" si="16"/>
        <v>0</v>
      </c>
      <c r="AH300" s="145"/>
      <c r="AI300" s="153" t="s">
        <v>6</v>
      </c>
      <c r="AJ300" s="150">
        <f t="shared" si="15"/>
        <v>0</v>
      </c>
      <c r="AK300" s="154" t="s">
        <v>60</v>
      </c>
    </row>
    <row r="301" spans="1:37" ht="30" customHeight="1">
      <c r="A301" s="64"/>
      <c r="B301" s="64"/>
      <c r="C301" s="64"/>
      <c r="D301" s="64"/>
      <c r="E301" s="64"/>
      <c r="F301" s="64"/>
      <c r="G301" s="64"/>
      <c r="H301" s="64"/>
      <c r="I301" s="64"/>
      <c r="J301" s="64"/>
      <c r="K301" s="64"/>
      <c r="L301" s="64"/>
      <c r="M301" s="64"/>
      <c r="N301" s="194"/>
      <c r="O301" s="157"/>
      <c r="P301" s="92"/>
      <c r="Q301" s="145"/>
      <c r="R301" s="92"/>
      <c r="S301" s="145"/>
      <c r="T301" s="92"/>
      <c r="U301" s="145"/>
      <c r="V301" s="92"/>
      <c r="W301" s="145"/>
      <c r="X301" s="92"/>
      <c r="Y301" s="145"/>
      <c r="Z301" s="92"/>
      <c r="AA301" s="145"/>
      <c r="AB301" s="92"/>
      <c r="AC301" s="145"/>
      <c r="AD301" s="92"/>
      <c r="AE301" s="145"/>
      <c r="AF301" s="142" t="str">
        <f t="shared" si="17"/>
        <v/>
      </c>
      <c r="AG301" s="190" t="b">
        <f t="shared" si="16"/>
        <v>0</v>
      </c>
      <c r="AH301" s="145"/>
      <c r="AI301" s="153" t="s">
        <v>6</v>
      </c>
      <c r="AJ301" s="150">
        <f t="shared" si="15"/>
        <v>0</v>
      </c>
      <c r="AK301" s="154" t="s">
        <v>60</v>
      </c>
    </row>
    <row r="302" spans="1:37" ht="30" customHeight="1">
      <c r="A302" s="64"/>
      <c r="B302" s="64"/>
      <c r="C302" s="64"/>
      <c r="D302" s="64"/>
      <c r="E302" s="64"/>
      <c r="F302" s="64"/>
      <c r="G302" s="64"/>
      <c r="H302" s="64"/>
      <c r="I302" s="64"/>
      <c r="J302" s="64"/>
      <c r="K302" s="64"/>
      <c r="L302" s="64"/>
      <c r="M302" s="64"/>
      <c r="N302" s="194"/>
      <c r="O302" s="157"/>
      <c r="P302" s="92"/>
      <c r="Q302" s="145"/>
      <c r="R302" s="92"/>
      <c r="S302" s="145"/>
      <c r="T302" s="92"/>
      <c r="U302" s="145"/>
      <c r="V302" s="92"/>
      <c r="W302" s="145"/>
      <c r="X302" s="92"/>
      <c r="Y302" s="145"/>
      <c r="Z302" s="92"/>
      <c r="AA302" s="145"/>
      <c r="AB302" s="92"/>
      <c r="AC302" s="145"/>
      <c r="AD302" s="92"/>
      <c r="AE302" s="145"/>
      <c r="AF302" s="142" t="str">
        <f t="shared" si="17"/>
        <v/>
      </c>
      <c r="AG302" s="190" t="b">
        <f t="shared" si="16"/>
        <v>0</v>
      </c>
      <c r="AH302" s="145"/>
      <c r="AI302" s="153" t="s">
        <v>6</v>
      </c>
      <c r="AJ302" s="150">
        <f t="shared" si="15"/>
        <v>0</v>
      </c>
      <c r="AK302" s="154" t="s">
        <v>60</v>
      </c>
    </row>
    <row r="303" spans="1:37" ht="30" customHeight="1">
      <c r="A303" s="64"/>
      <c r="B303" s="64"/>
      <c r="C303" s="64"/>
      <c r="D303" s="64"/>
      <c r="E303" s="64"/>
      <c r="F303" s="64"/>
      <c r="G303" s="64"/>
      <c r="H303" s="64"/>
      <c r="I303" s="64"/>
      <c r="J303" s="64"/>
      <c r="K303" s="64"/>
      <c r="L303" s="64"/>
      <c r="M303" s="64"/>
      <c r="N303" s="194"/>
      <c r="O303" s="157"/>
      <c r="P303" s="92"/>
      <c r="Q303" s="145"/>
      <c r="R303" s="92"/>
      <c r="S303" s="145"/>
      <c r="T303" s="92"/>
      <c r="U303" s="145"/>
      <c r="V303" s="92"/>
      <c r="W303" s="145"/>
      <c r="X303" s="92"/>
      <c r="Y303" s="145"/>
      <c r="Z303" s="92"/>
      <c r="AA303" s="145"/>
      <c r="AB303" s="92"/>
      <c r="AC303" s="145"/>
      <c r="AD303" s="92"/>
      <c r="AE303" s="145"/>
      <c r="AF303" s="142" t="str">
        <f t="shared" si="17"/>
        <v/>
      </c>
      <c r="AG303" s="190" t="b">
        <f t="shared" si="16"/>
        <v>0</v>
      </c>
      <c r="AH303" s="145"/>
      <c r="AI303" s="153" t="s">
        <v>6</v>
      </c>
      <c r="AJ303" s="150">
        <f t="shared" si="15"/>
        <v>0</v>
      </c>
      <c r="AK303" s="154" t="s">
        <v>60</v>
      </c>
    </row>
    <row r="304" spans="1:37" ht="30" customHeight="1">
      <c r="A304" s="64"/>
      <c r="B304" s="64"/>
      <c r="C304" s="64"/>
      <c r="D304" s="64"/>
      <c r="E304" s="64"/>
      <c r="F304" s="64"/>
      <c r="G304" s="64"/>
      <c r="H304" s="64"/>
      <c r="I304" s="64"/>
      <c r="J304" s="64"/>
      <c r="K304" s="64"/>
      <c r="L304" s="64"/>
      <c r="M304" s="64"/>
      <c r="N304" s="194"/>
      <c r="O304" s="157"/>
      <c r="P304" s="92"/>
      <c r="Q304" s="145"/>
      <c r="R304" s="92"/>
      <c r="S304" s="145"/>
      <c r="T304" s="92"/>
      <c r="U304" s="145"/>
      <c r="V304" s="92"/>
      <c r="W304" s="145"/>
      <c r="X304" s="92"/>
      <c r="Y304" s="145"/>
      <c r="Z304" s="92"/>
      <c r="AA304" s="145"/>
      <c r="AB304" s="92"/>
      <c r="AC304" s="145"/>
      <c r="AD304" s="92"/>
      <c r="AE304" s="145"/>
      <c r="AF304" s="142" t="str">
        <f t="shared" si="17"/>
        <v/>
      </c>
      <c r="AG304" s="190" t="b">
        <f t="shared" si="16"/>
        <v>0</v>
      </c>
      <c r="AH304" s="145"/>
      <c r="AI304" s="153" t="s">
        <v>6</v>
      </c>
      <c r="AJ304" s="150">
        <f t="shared" si="15"/>
        <v>0</v>
      </c>
      <c r="AK304" s="154" t="s">
        <v>60</v>
      </c>
    </row>
    <row r="305" spans="1:37" ht="30" customHeight="1">
      <c r="A305" s="64"/>
      <c r="B305" s="64"/>
      <c r="C305" s="64"/>
      <c r="D305" s="64"/>
      <c r="E305" s="64"/>
      <c r="F305" s="64"/>
      <c r="G305" s="64"/>
      <c r="H305" s="64"/>
      <c r="I305" s="64"/>
      <c r="J305" s="64"/>
      <c r="K305" s="64"/>
      <c r="L305" s="64"/>
      <c r="M305" s="64"/>
      <c r="N305" s="194"/>
      <c r="O305" s="157"/>
      <c r="P305" s="92"/>
      <c r="Q305" s="145"/>
      <c r="R305" s="92"/>
      <c r="S305" s="145"/>
      <c r="T305" s="92"/>
      <c r="U305" s="145"/>
      <c r="V305" s="92"/>
      <c r="W305" s="145"/>
      <c r="X305" s="92"/>
      <c r="Y305" s="145"/>
      <c r="Z305" s="92"/>
      <c r="AA305" s="145"/>
      <c r="AB305" s="92"/>
      <c r="AC305" s="145"/>
      <c r="AD305" s="92"/>
      <c r="AE305" s="145"/>
      <c r="AF305" s="142" t="str">
        <f t="shared" si="17"/>
        <v/>
      </c>
      <c r="AG305" s="190" t="b">
        <f t="shared" si="16"/>
        <v>0</v>
      </c>
      <c r="AH305" s="145"/>
      <c r="AI305" s="153" t="s">
        <v>6</v>
      </c>
      <c r="AJ305" s="150">
        <f t="shared" si="15"/>
        <v>0</v>
      </c>
      <c r="AK305" s="154" t="s">
        <v>60</v>
      </c>
    </row>
    <row r="306" spans="1:37" ht="30" customHeight="1">
      <c r="A306" s="64"/>
      <c r="B306" s="64"/>
      <c r="C306" s="64"/>
      <c r="D306" s="64"/>
      <c r="E306" s="64"/>
      <c r="F306" s="64"/>
      <c r="G306" s="64"/>
      <c r="H306" s="64"/>
      <c r="I306" s="64"/>
      <c r="J306" s="64"/>
      <c r="K306" s="64"/>
      <c r="L306" s="64"/>
      <c r="M306" s="64"/>
      <c r="N306" s="194"/>
      <c r="O306" s="157"/>
      <c r="P306" s="92"/>
      <c r="Q306" s="145"/>
      <c r="R306" s="92"/>
      <c r="S306" s="145"/>
      <c r="T306" s="92"/>
      <c r="U306" s="145"/>
      <c r="V306" s="92"/>
      <c r="W306" s="145"/>
      <c r="X306" s="92"/>
      <c r="Y306" s="145"/>
      <c r="Z306" s="92"/>
      <c r="AA306" s="145"/>
      <c r="AB306" s="92"/>
      <c r="AC306" s="145"/>
      <c r="AD306" s="92"/>
      <c r="AE306" s="145"/>
      <c r="AF306" s="142" t="str">
        <f t="shared" si="17"/>
        <v/>
      </c>
      <c r="AG306" s="190" t="b">
        <f t="shared" si="16"/>
        <v>0</v>
      </c>
      <c r="AH306" s="145"/>
      <c r="AI306" s="153" t="s">
        <v>6</v>
      </c>
      <c r="AJ306" s="150">
        <f t="shared" si="15"/>
        <v>0</v>
      </c>
      <c r="AK306" s="154" t="s">
        <v>60</v>
      </c>
    </row>
    <row r="307" spans="1:37" ht="30" customHeight="1">
      <c r="A307" s="64"/>
      <c r="B307" s="64"/>
      <c r="C307" s="64"/>
      <c r="D307" s="64"/>
      <c r="E307" s="64"/>
      <c r="F307" s="64"/>
      <c r="G307" s="64"/>
      <c r="H307" s="64"/>
      <c r="I307" s="64"/>
      <c r="J307" s="64"/>
      <c r="K307" s="64"/>
      <c r="L307" s="64"/>
      <c r="M307" s="64"/>
      <c r="N307" s="194"/>
      <c r="O307" s="157"/>
      <c r="P307" s="92"/>
      <c r="Q307" s="145"/>
      <c r="R307" s="92"/>
      <c r="S307" s="145"/>
      <c r="T307" s="92"/>
      <c r="U307" s="145"/>
      <c r="V307" s="92"/>
      <c r="W307" s="145"/>
      <c r="X307" s="92"/>
      <c r="Y307" s="145"/>
      <c r="Z307" s="92"/>
      <c r="AA307" s="145"/>
      <c r="AB307" s="92"/>
      <c r="AC307" s="145"/>
      <c r="AD307" s="92"/>
      <c r="AE307" s="145"/>
      <c r="AF307" s="142" t="str">
        <f t="shared" si="17"/>
        <v/>
      </c>
      <c r="AG307" s="190" t="b">
        <f t="shared" si="16"/>
        <v>0</v>
      </c>
      <c r="AH307" s="145"/>
      <c r="AI307" s="153" t="s">
        <v>6</v>
      </c>
      <c r="AJ307" s="150">
        <f t="shared" si="15"/>
        <v>0</v>
      </c>
      <c r="AK307" s="154" t="s">
        <v>60</v>
      </c>
    </row>
    <row r="308" spans="1:37" ht="30" customHeight="1">
      <c r="A308" s="64"/>
      <c r="B308" s="64"/>
      <c r="C308" s="64"/>
      <c r="D308" s="64"/>
      <c r="E308" s="64"/>
      <c r="F308" s="64"/>
      <c r="G308" s="64"/>
      <c r="H308" s="64"/>
      <c r="I308" s="64"/>
      <c r="J308" s="64"/>
      <c r="K308" s="64"/>
      <c r="L308" s="64"/>
      <c r="M308" s="64"/>
      <c r="N308" s="194"/>
      <c r="O308" s="157"/>
      <c r="P308" s="92"/>
      <c r="Q308" s="145"/>
      <c r="R308" s="92"/>
      <c r="S308" s="145"/>
      <c r="T308" s="92"/>
      <c r="U308" s="145"/>
      <c r="V308" s="92"/>
      <c r="W308" s="145"/>
      <c r="X308" s="92"/>
      <c r="Y308" s="145"/>
      <c r="Z308" s="92"/>
      <c r="AA308" s="145"/>
      <c r="AB308" s="92"/>
      <c r="AC308" s="145"/>
      <c r="AD308" s="92"/>
      <c r="AE308" s="145"/>
      <c r="AF308" s="142" t="str">
        <f t="shared" si="17"/>
        <v/>
      </c>
      <c r="AG308" s="190" t="b">
        <f t="shared" si="16"/>
        <v>0</v>
      </c>
      <c r="AH308" s="145"/>
      <c r="AI308" s="153" t="s">
        <v>6</v>
      </c>
      <c r="AJ308" s="150">
        <f t="shared" si="15"/>
        <v>0</v>
      </c>
      <c r="AK308" s="154" t="s">
        <v>60</v>
      </c>
    </row>
    <row r="309" spans="1:37" ht="30" customHeight="1">
      <c r="A309" s="64"/>
      <c r="B309" s="64"/>
      <c r="C309" s="64"/>
      <c r="D309" s="64"/>
      <c r="E309" s="64"/>
      <c r="F309" s="64"/>
      <c r="G309" s="64"/>
      <c r="H309" s="64"/>
      <c r="I309" s="64"/>
      <c r="J309" s="64"/>
      <c r="K309" s="64"/>
      <c r="L309" s="64"/>
      <c r="M309" s="64"/>
      <c r="N309" s="194"/>
      <c r="O309" s="157"/>
      <c r="P309" s="92"/>
      <c r="Q309" s="145"/>
      <c r="R309" s="92"/>
      <c r="S309" s="145"/>
      <c r="T309" s="92"/>
      <c r="U309" s="145"/>
      <c r="V309" s="92"/>
      <c r="W309" s="145"/>
      <c r="X309" s="92"/>
      <c r="Y309" s="145"/>
      <c r="Z309" s="92"/>
      <c r="AA309" s="145"/>
      <c r="AB309" s="92"/>
      <c r="AC309" s="145"/>
      <c r="AD309" s="92"/>
      <c r="AE309" s="145"/>
      <c r="AF309" s="142" t="str">
        <f t="shared" si="17"/>
        <v/>
      </c>
      <c r="AG309" s="190" t="b">
        <f t="shared" si="16"/>
        <v>0</v>
      </c>
      <c r="AH309" s="145"/>
      <c r="AI309" s="153" t="s">
        <v>6</v>
      </c>
      <c r="AJ309" s="150">
        <f t="shared" si="15"/>
        <v>0</v>
      </c>
      <c r="AK309" s="154" t="s">
        <v>60</v>
      </c>
    </row>
    <row r="310" spans="1:37" ht="30" customHeight="1">
      <c r="A310" s="64"/>
      <c r="B310" s="64"/>
      <c r="C310" s="64"/>
      <c r="D310" s="64"/>
      <c r="E310" s="64"/>
      <c r="F310" s="64"/>
      <c r="G310" s="64"/>
      <c r="H310" s="64"/>
      <c r="I310" s="64"/>
      <c r="J310" s="64"/>
      <c r="K310" s="64"/>
      <c r="L310" s="64"/>
      <c r="M310" s="64"/>
      <c r="N310" s="194"/>
      <c r="O310" s="157"/>
      <c r="P310" s="92"/>
      <c r="Q310" s="145"/>
      <c r="R310" s="92"/>
      <c r="S310" s="145"/>
      <c r="T310" s="92"/>
      <c r="U310" s="145"/>
      <c r="V310" s="92"/>
      <c r="W310" s="145"/>
      <c r="X310" s="92"/>
      <c r="Y310" s="145"/>
      <c r="Z310" s="92"/>
      <c r="AA310" s="145"/>
      <c r="AB310" s="92"/>
      <c r="AC310" s="145"/>
      <c r="AD310" s="92"/>
      <c r="AE310" s="145"/>
      <c r="AF310" s="142" t="str">
        <f t="shared" si="17"/>
        <v/>
      </c>
      <c r="AG310" s="190" t="b">
        <f t="shared" si="16"/>
        <v>0</v>
      </c>
      <c r="AH310" s="145"/>
      <c r="AI310" s="153" t="s">
        <v>6</v>
      </c>
      <c r="AJ310" s="150">
        <f t="shared" si="15"/>
        <v>0</v>
      </c>
      <c r="AK310" s="154" t="s">
        <v>60</v>
      </c>
    </row>
    <row r="311" spans="1:37" ht="30" customHeight="1">
      <c r="A311" s="64"/>
      <c r="B311" s="64"/>
      <c r="C311" s="64"/>
      <c r="D311" s="64"/>
      <c r="E311" s="64"/>
      <c r="F311" s="64"/>
      <c r="G311" s="64"/>
      <c r="H311" s="64"/>
      <c r="I311" s="64"/>
      <c r="J311" s="64"/>
      <c r="K311" s="64"/>
      <c r="L311" s="64"/>
      <c r="M311" s="64"/>
      <c r="N311" s="194"/>
      <c r="O311" s="157"/>
      <c r="P311" s="92"/>
      <c r="Q311" s="145"/>
      <c r="R311" s="92"/>
      <c r="S311" s="145"/>
      <c r="T311" s="92"/>
      <c r="U311" s="145"/>
      <c r="V311" s="92"/>
      <c r="W311" s="145"/>
      <c r="X311" s="92"/>
      <c r="Y311" s="145"/>
      <c r="Z311" s="92"/>
      <c r="AA311" s="145"/>
      <c r="AB311" s="92"/>
      <c r="AC311" s="145"/>
      <c r="AD311" s="92"/>
      <c r="AE311" s="145"/>
      <c r="AF311" s="142" t="str">
        <f t="shared" si="17"/>
        <v/>
      </c>
      <c r="AG311" s="190" t="b">
        <f t="shared" si="16"/>
        <v>0</v>
      </c>
      <c r="AH311" s="145"/>
      <c r="AI311" s="153" t="s">
        <v>6</v>
      </c>
      <c r="AJ311" s="150">
        <f t="shared" si="15"/>
        <v>0</v>
      </c>
      <c r="AK311" s="154" t="s">
        <v>60</v>
      </c>
    </row>
    <row r="312" spans="1:37" ht="30" customHeight="1">
      <c r="A312" s="64"/>
      <c r="B312" s="64"/>
      <c r="C312" s="64"/>
      <c r="D312" s="64"/>
      <c r="E312" s="64"/>
      <c r="F312" s="64"/>
      <c r="G312" s="64"/>
      <c r="H312" s="64"/>
      <c r="I312" s="64"/>
      <c r="J312" s="64"/>
      <c r="K312" s="64"/>
      <c r="L312" s="64"/>
      <c r="M312" s="64"/>
      <c r="N312" s="194"/>
      <c r="O312" s="157"/>
      <c r="P312" s="92"/>
      <c r="Q312" s="145"/>
      <c r="R312" s="92"/>
      <c r="S312" s="145"/>
      <c r="T312" s="92"/>
      <c r="U312" s="145"/>
      <c r="V312" s="92"/>
      <c r="W312" s="145"/>
      <c r="X312" s="92"/>
      <c r="Y312" s="145"/>
      <c r="Z312" s="92"/>
      <c r="AA312" s="145"/>
      <c r="AB312" s="92"/>
      <c r="AC312" s="145"/>
      <c r="AD312" s="92"/>
      <c r="AE312" s="145"/>
      <c r="AF312" s="142" t="str">
        <f t="shared" si="17"/>
        <v/>
      </c>
      <c r="AG312" s="190" t="b">
        <f t="shared" si="16"/>
        <v>0</v>
      </c>
      <c r="AH312" s="145"/>
      <c r="AI312" s="153" t="s">
        <v>6</v>
      </c>
      <c r="AJ312" s="150">
        <f t="shared" si="15"/>
        <v>0</v>
      </c>
      <c r="AK312" s="154" t="s">
        <v>60</v>
      </c>
    </row>
    <row r="313" spans="1:37" ht="30" customHeight="1">
      <c r="A313" s="64"/>
      <c r="B313" s="64"/>
      <c r="C313" s="64"/>
      <c r="D313" s="64"/>
      <c r="E313" s="64"/>
      <c r="F313" s="64"/>
      <c r="G313" s="64"/>
      <c r="H313" s="64"/>
      <c r="I313" s="64"/>
      <c r="J313" s="64"/>
      <c r="K313" s="64"/>
      <c r="L313" s="64"/>
      <c r="M313" s="64"/>
      <c r="N313" s="194"/>
      <c r="O313" s="157"/>
      <c r="P313" s="92"/>
      <c r="Q313" s="145"/>
      <c r="R313" s="92"/>
      <c r="S313" s="145"/>
      <c r="T313" s="92"/>
      <c r="U313" s="145"/>
      <c r="V313" s="92"/>
      <c r="W313" s="145"/>
      <c r="X313" s="92"/>
      <c r="Y313" s="145"/>
      <c r="Z313" s="92"/>
      <c r="AA313" s="145"/>
      <c r="AB313" s="92"/>
      <c r="AC313" s="145"/>
      <c r="AD313" s="92"/>
      <c r="AE313" s="145"/>
      <c r="AF313" s="142" t="str">
        <f t="shared" si="17"/>
        <v/>
      </c>
      <c r="AG313" s="190" t="b">
        <f t="shared" si="16"/>
        <v>0</v>
      </c>
      <c r="AH313" s="145"/>
      <c r="AI313" s="153" t="s">
        <v>6</v>
      </c>
      <c r="AJ313" s="150">
        <f t="shared" si="15"/>
        <v>0</v>
      </c>
      <c r="AK313" s="154" t="s">
        <v>60</v>
      </c>
    </row>
    <row r="314" spans="1:37" ht="30" customHeight="1">
      <c r="A314" s="64"/>
      <c r="B314" s="64"/>
      <c r="C314" s="64"/>
      <c r="D314" s="64"/>
      <c r="E314" s="64"/>
      <c r="F314" s="64"/>
      <c r="G314" s="64"/>
      <c r="H314" s="64"/>
      <c r="I314" s="64"/>
      <c r="J314" s="64"/>
      <c r="K314" s="64"/>
      <c r="L314" s="64"/>
      <c r="M314" s="64"/>
      <c r="N314" s="194"/>
      <c r="O314" s="157"/>
      <c r="P314" s="92"/>
      <c r="Q314" s="145"/>
      <c r="R314" s="92"/>
      <c r="S314" s="145"/>
      <c r="T314" s="92"/>
      <c r="U314" s="145"/>
      <c r="V314" s="92"/>
      <c r="W314" s="145"/>
      <c r="X314" s="92"/>
      <c r="Y314" s="145"/>
      <c r="Z314" s="92"/>
      <c r="AA314" s="145"/>
      <c r="AB314" s="92"/>
      <c r="AC314" s="145"/>
      <c r="AD314" s="92"/>
      <c r="AE314" s="145"/>
      <c r="AF314" s="142" t="str">
        <f t="shared" si="17"/>
        <v/>
      </c>
      <c r="AG314" s="190" t="b">
        <f t="shared" si="16"/>
        <v>0</v>
      </c>
      <c r="AH314" s="145"/>
      <c r="AI314" s="153" t="s">
        <v>6</v>
      </c>
      <c r="AJ314" s="150">
        <f t="shared" si="15"/>
        <v>0</v>
      </c>
      <c r="AK314" s="154" t="s">
        <v>60</v>
      </c>
    </row>
    <row r="315" spans="1:37" ht="30" customHeight="1">
      <c r="A315" s="64"/>
      <c r="B315" s="64"/>
      <c r="C315" s="64"/>
      <c r="D315" s="64"/>
      <c r="E315" s="64"/>
      <c r="F315" s="64"/>
      <c r="G315" s="64"/>
      <c r="H315" s="64"/>
      <c r="I315" s="64"/>
      <c r="J315" s="64"/>
      <c r="K315" s="64"/>
      <c r="L315" s="64"/>
      <c r="M315" s="64"/>
      <c r="N315" s="194"/>
      <c r="O315" s="157"/>
      <c r="P315" s="92"/>
      <c r="Q315" s="145"/>
      <c r="R315" s="92"/>
      <c r="S315" s="145"/>
      <c r="T315" s="92"/>
      <c r="U315" s="145"/>
      <c r="V315" s="92"/>
      <c r="W315" s="145"/>
      <c r="X315" s="92"/>
      <c r="Y315" s="145"/>
      <c r="Z315" s="92"/>
      <c r="AA315" s="145"/>
      <c r="AB315" s="92"/>
      <c r="AC315" s="145"/>
      <c r="AD315" s="92"/>
      <c r="AE315" s="145"/>
      <c r="AF315" s="142" t="str">
        <f t="shared" si="17"/>
        <v/>
      </c>
      <c r="AG315" s="190" t="b">
        <f t="shared" si="16"/>
        <v>0</v>
      </c>
      <c r="AH315" s="145"/>
      <c r="AI315" s="153" t="s">
        <v>6</v>
      </c>
      <c r="AJ315" s="150">
        <f t="shared" si="15"/>
        <v>0</v>
      </c>
      <c r="AK315" s="154" t="s">
        <v>60</v>
      </c>
    </row>
    <row r="316" spans="1:37" ht="30" customHeight="1">
      <c r="A316" s="64"/>
      <c r="B316" s="64"/>
      <c r="C316" s="64"/>
      <c r="D316" s="64"/>
      <c r="E316" s="64"/>
      <c r="F316" s="64"/>
      <c r="G316" s="64"/>
      <c r="H316" s="64"/>
      <c r="I316" s="64"/>
      <c r="J316" s="64"/>
      <c r="K316" s="64"/>
      <c r="L316" s="64"/>
      <c r="M316" s="64"/>
      <c r="N316" s="194"/>
      <c r="O316" s="157"/>
      <c r="P316" s="92"/>
      <c r="Q316" s="145"/>
      <c r="R316" s="92"/>
      <c r="S316" s="145"/>
      <c r="T316" s="92"/>
      <c r="U316" s="145"/>
      <c r="V316" s="92"/>
      <c r="W316" s="145"/>
      <c r="X316" s="92"/>
      <c r="Y316" s="145"/>
      <c r="Z316" s="92"/>
      <c r="AA316" s="145"/>
      <c r="AB316" s="92"/>
      <c r="AC316" s="145"/>
      <c r="AD316" s="92"/>
      <c r="AE316" s="145"/>
      <c r="AF316" s="142" t="str">
        <f t="shared" si="17"/>
        <v/>
      </c>
      <c r="AG316" s="190" t="b">
        <f t="shared" si="16"/>
        <v>0</v>
      </c>
      <c r="AH316" s="145"/>
      <c r="AI316" s="153" t="s">
        <v>6</v>
      </c>
      <c r="AJ316" s="150">
        <f t="shared" si="15"/>
        <v>0</v>
      </c>
      <c r="AK316" s="154" t="s">
        <v>60</v>
      </c>
    </row>
    <row r="317" spans="1:37" ht="30" customHeight="1">
      <c r="A317" s="64"/>
      <c r="B317" s="64"/>
      <c r="C317" s="64"/>
      <c r="D317" s="64"/>
      <c r="E317" s="64"/>
      <c r="F317" s="64"/>
      <c r="G317" s="64"/>
      <c r="H317" s="64"/>
      <c r="I317" s="64"/>
      <c r="J317" s="64"/>
      <c r="K317" s="64"/>
      <c r="L317" s="64"/>
      <c r="M317" s="64"/>
      <c r="N317" s="194"/>
      <c r="O317" s="157"/>
      <c r="P317" s="92"/>
      <c r="Q317" s="145"/>
      <c r="R317" s="92"/>
      <c r="S317" s="145"/>
      <c r="T317" s="92"/>
      <c r="U317" s="145"/>
      <c r="V317" s="92"/>
      <c r="W317" s="145"/>
      <c r="X317" s="92"/>
      <c r="Y317" s="145"/>
      <c r="Z317" s="92"/>
      <c r="AA317" s="145"/>
      <c r="AB317" s="92"/>
      <c r="AC317" s="145"/>
      <c r="AD317" s="92"/>
      <c r="AE317" s="145"/>
      <c r="AF317" s="142" t="str">
        <f t="shared" si="17"/>
        <v/>
      </c>
      <c r="AG317" s="190" t="b">
        <f t="shared" si="16"/>
        <v>0</v>
      </c>
      <c r="AH317" s="145"/>
      <c r="AI317" s="153" t="s">
        <v>6</v>
      </c>
      <c r="AJ317" s="150">
        <f t="shared" si="15"/>
        <v>0</v>
      </c>
      <c r="AK317" s="154" t="s">
        <v>60</v>
      </c>
    </row>
    <row r="318" spans="1:37" ht="30" customHeight="1">
      <c r="A318" s="64"/>
      <c r="B318" s="64"/>
      <c r="C318" s="64"/>
      <c r="D318" s="64"/>
      <c r="E318" s="64"/>
      <c r="F318" s="64"/>
      <c r="G318" s="64"/>
      <c r="H318" s="64"/>
      <c r="I318" s="64"/>
      <c r="J318" s="64"/>
      <c r="K318" s="64"/>
      <c r="L318" s="64"/>
      <c r="M318" s="64"/>
      <c r="N318" s="194"/>
      <c r="O318" s="157"/>
      <c r="P318" s="92"/>
      <c r="Q318" s="145"/>
      <c r="R318" s="92"/>
      <c r="S318" s="145"/>
      <c r="T318" s="92"/>
      <c r="U318" s="145"/>
      <c r="V318" s="92"/>
      <c r="W318" s="145"/>
      <c r="X318" s="92"/>
      <c r="Y318" s="145"/>
      <c r="Z318" s="92"/>
      <c r="AA318" s="145"/>
      <c r="AB318" s="92"/>
      <c r="AC318" s="145"/>
      <c r="AD318" s="92"/>
      <c r="AE318" s="145"/>
      <c r="AF318" s="142" t="str">
        <f t="shared" si="17"/>
        <v/>
      </c>
      <c r="AG318" s="190" t="b">
        <f t="shared" si="16"/>
        <v>0</v>
      </c>
      <c r="AH318" s="145"/>
      <c r="AI318" s="153" t="s">
        <v>6</v>
      </c>
      <c r="AJ318" s="150">
        <f t="shared" si="15"/>
        <v>0</v>
      </c>
      <c r="AK318" s="154" t="s">
        <v>60</v>
      </c>
    </row>
    <row r="319" spans="1:37" ht="30" customHeight="1">
      <c r="A319" s="64"/>
      <c r="B319" s="64"/>
      <c r="C319" s="64"/>
      <c r="D319" s="64"/>
      <c r="E319" s="64"/>
      <c r="F319" s="64"/>
      <c r="G319" s="64"/>
      <c r="H319" s="64"/>
      <c r="I319" s="64"/>
      <c r="J319" s="64"/>
      <c r="K319" s="64"/>
      <c r="L319" s="64"/>
      <c r="M319" s="64"/>
      <c r="N319" s="194"/>
      <c r="O319" s="157"/>
      <c r="P319" s="92"/>
      <c r="Q319" s="145"/>
      <c r="R319" s="92"/>
      <c r="S319" s="145"/>
      <c r="T319" s="92"/>
      <c r="U319" s="145"/>
      <c r="V319" s="92"/>
      <c r="W319" s="145"/>
      <c r="X319" s="92"/>
      <c r="Y319" s="145"/>
      <c r="Z319" s="92"/>
      <c r="AA319" s="145"/>
      <c r="AB319" s="92"/>
      <c r="AC319" s="145"/>
      <c r="AD319" s="92"/>
      <c r="AE319" s="145"/>
      <c r="AF319" s="142" t="str">
        <f t="shared" si="17"/>
        <v/>
      </c>
      <c r="AG319" s="190" t="b">
        <f t="shared" si="16"/>
        <v>0</v>
      </c>
      <c r="AH319" s="145"/>
      <c r="AI319" s="153" t="s">
        <v>6</v>
      </c>
      <c r="AJ319" s="150">
        <f t="shared" si="15"/>
        <v>0</v>
      </c>
      <c r="AK319" s="154" t="s">
        <v>60</v>
      </c>
    </row>
    <row r="320" spans="1:37" ht="30" customHeight="1">
      <c r="A320" s="64"/>
      <c r="B320" s="64"/>
      <c r="C320" s="64"/>
      <c r="D320" s="64"/>
      <c r="E320" s="64"/>
      <c r="F320" s="64"/>
      <c r="G320" s="64"/>
      <c r="H320" s="64"/>
      <c r="I320" s="64"/>
      <c r="J320" s="64"/>
      <c r="K320" s="64"/>
      <c r="L320" s="64"/>
      <c r="M320" s="64"/>
      <c r="N320" s="194"/>
      <c r="O320" s="157"/>
      <c r="P320" s="92"/>
      <c r="Q320" s="145"/>
      <c r="R320" s="92"/>
      <c r="S320" s="145"/>
      <c r="T320" s="92"/>
      <c r="U320" s="145"/>
      <c r="V320" s="92"/>
      <c r="W320" s="145"/>
      <c r="X320" s="92"/>
      <c r="Y320" s="145"/>
      <c r="Z320" s="92"/>
      <c r="AA320" s="145"/>
      <c r="AB320" s="92"/>
      <c r="AC320" s="145"/>
      <c r="AD320" s="92"/>
      <c r="AE320" s="145"/>
      <c r="AF320" s="142" t="str">
        <f t="shared" si="17"/>
        <v/>
      </c>
      <c r="AG320" s="190" t="b">
        <f t="shared" si="16"/>
        <v>0</v>
      </c>
      <c r="AH320" s="145"/>
      <c r="AI320" s="153" t="s">
        <v>6</v>
      </c>
      <c r="AJ320" s="150">
        <f t="shared" si="15"/>
        <v>0</v>
      </c>
      <c r="AK320" s="154" t="s">
        <v>60</v>
      </c>
    </row>
    <row r="321" spans="1:37" ht="30" customHeight="1">
      <c r="A321" s="64"/>
      <c r="B321" s="64"/>
      <c r="C321" s="64"/>
      <c r="D321" s="64"/>
      <c r="E321" s="64"/>
      <c r="F321" s="64"/>
      <c r="G321" s="64"/>
      <c r="H321" s="64"/>
      <c r="I321" s="64"/>
      <c r="J321" s="64"/>
      <c r="K321" s="64"/>
      <c r="L321" s="64"/>
      <c r="M321" s="64"/>
      <c r="N321" s="194"/>
      <c r="O321" s="157"/>
      <c r="P321" s="92"/>
      <c r="Q321" s="145"/>
      <c r="R321" s="92"/>
      <c r="S321" s="145"/>
      <c r="T321" s="92"/>
      <c r="U321" s="145"/>
      <c r="V321" s="92"/>
      <c r="W321" s="145"/>
      <c r="X321" s="92"/>
      <c r="Y321" s="145"/>
      <c r="Z321" s="92"/>
      <c r="AA321" s="145"/>
      <c r="AB321" s="92"/>
      <c r="AC321" s="145"/>
      <c r="AD321" s="92"/>
      <c r="AE321" s="145"/>
      <c r="AF321" s="142" t="str">
        <f t="shared" si="17"/>
        <v/>
      </c>
      <c r="AG321" s="190" t="b">
        <f t="shared" si="16"/>
        <v>0</v>
      </c>
      <c r="AH321" s="145"/>
      <c r="AI321" s="153" t="s">
        <v>6</v>
      </c>
      <c r="AJ321" s="150">
        <f t="shared" si="15"/>
        <v>0</v>
      </c>
      <c r="AK321" s="154" t="s">
        <v>60</v>
      </c>
    </row>
    <row r="322" spans="1:37" ht="30" customHeight="1">
      <c r="A322" s="64"/>
      <c r="B322" s="64"/>
      <c r="C322" s="64"/>
      <c r="D322" s="64"/>
      <c r="E322" s="64"/>
      <c r="F322" s="64"/>
      <c r="G322" s="64"/>
      <c r="H322" s="64"/>
      <c r="I322" s="64"/>
      <c r="J322" s="64"/>
      <c r="K322" s="64"/>
      <c r="L322" s="64"/>
      <c r="M322" s="64"/>
      <c r="N322" s="194"/>
      <c r="O322" s="157"/>
      <c r="P322" s="92"/>
      <c r="Q322" s="145"/>
      <c r="R322" s="92"/>
      <c r="S322" s="145"/>
      <c r="T322" s="92"/>
      <c r="U322" s="145"/>
      <c r="V322" s="92"/>
      <c r="W322" s="145"/>
      <c r="X322" s="92"/>
      <c r="Y322" s="145"/>
      <c r="Z322" s="92"/>
      <c r="AA322" s="145"/>
      <c r="AB322" s="92"/>
      <c r="AC322" s="145"/>
      <c r="AD322" s="92"/>
      <c r="AE322" s="145"/>
      <c r="AF322" s="142" t="str">
        <f t="shared" si="17"/>
        <v/>
      </c>
      <c r="AG322" s="190" t="b">
        <f t="shared" si="16"/>
        <v>0</v>
      </c>
      <c r="AH322" s="145"/>
      <c r="AI322" s="153" t="s">
        <v>6</v>
      </c>
      <c r="AJ322" s="150">
        <f t="shared" si="15"/>
        <v>0</v>
      </c>
      <c r="AK322" s="154" t="s">
        <v>60</v>
      </c>
    </row>
    <row r="323" spans="1:37" ht="30" customHeight="1">
      <c r="A323" s="64"/>
      <c r="B323" s="64"/>
      <c r="C323" s="64"/>
      <c r="D323" s="64"/>
      <c r="E323" s="64"/>
      <c r="F323" s="64"/>
      <c r="G323" s="64"/>
      <c r="H323" s="64"/>
      <c r="I323" s="64"/>
      <c r="J323" s="64"/>
      <c r="K323" s="64"/>
      <c r="L323" s="64"/>
      <c r="M323" s="64"/>
      <c r="N323" s="194"/>
      <c r="O323" s="157"/>
      <c r="P323" s="92"/>
      <c r="Q323" s="145"/>
      <c r="R323" s="92"/>
      <c r="S323" s="145"/>
      <c r="T323" s="92"/>
      <c r="U323" s="145"/>
      <c r="V323" s="92"/>
      <c r="W323" s="145"/>
      <c r="X323" s="92"/>
      <c r="Y323" s="145"/>
      <c r="Z323" s="92"/>
      <c r="AA323" s="145"/>
      <c r="AB323" s="92"/>
      <c r="AC323" s="145"/>
      <c r="AD323" s="92"/>
      <c r="AE323" s="145"/>
      <c r="AF323" s="142" t="str">
        <f t="shared" si="17"/>
        <v/>
      </c>
      <c r="AG323" s="190" t="b">
        <f t="shared" si="16"/>
        <v>0</v>
      </c>
      <c r="AH323" s="145"/>
      <c r="AI323" s="153" t="s">
        <v>6</v>
      </c>
      <c r="AJ323" s="150">
        <f t="shared" si="15"/>
        <v>0</v>
      </c>
      <c r="AK323" s="154" t="s">
        <v>60</v>
      </c>
    </row>
    <row r="324" spans="1:37" ht="30" customHeight="1">
      <c r="A324" s="64"/>
      <c r="B324" s="64"/>
      <c r="C324" s="64"/>
      <c r="D324" s="64"/>
      <c r="E324" s="64"/>
      <c r="F324" s="64"/>
      <c r="G324" s="64"/>
      <c r="H324" s="64"/>
      <c r="I324" s="64"/>
      <c r="J324" s="64"/>
      <c r="K324" s="64"/>
      <c r="L324" s="64"/>
      <c r="M324" s="64"/>
      <c r="N324" s="194"/>
      <c r="O324" s="157"/>
      <c r="P324" s="92"/>
      <c r="Q324" s="145"/>
      <c r="R324" s="92"/>
      <c r="S324" s="145"/>
      <c r="T324" s="92"/>
      <c r="U324" s="145"/>
      <c r="V324" s="92"/>
      <c r="W324" s="145"/>
      <c r="X324" s="92"/>
      <c r="Y324" s="145"/>
      <c r="Z324" s="92"/>
      <c r="AA324" s="145"/>
      <c r="AB324" s="92"/>
      <c r="AC324" s="145"/>
      <c r="AD324" s="92"/>
      <c r="AE324" s="145"/>
      <c r="AF324" s="142" t="str">
        <f t="shared" si="17"/>
        <v/>
      </c>
      <c r="AG324" s="190" t="b">
        <f t="shared" si="16"/>
        <v>0</v>
      </c>
      <c r="AH324" s="145"/>
      <c r="AI324" s="153" t="s">
        <v>6</v>
      </c>
      <c r="AJ324" s="150">
        <f t="shared" si="15"/>
        <v>0</v>
      </c>
      <c r="AK324" s="154" t="s">
        <v>60</v>
      </c>
    </row>
    <row r="325" spans="1:37" ht="30" customHeight="1">
      <c r="A325" s="64"/>
      <c r="B325" s="64"/>
      <c r="C325" s="64"/>
      <c r="D325" s="64"/>
      <c r="E325" s="64"/>
      <c r="F325" s="64"/>
      <c r="G325" s="64"/>
      <c r="H325" s="64"/>
      <c r="I325" s="64"/>
      <c r="J325" s="64"/>
      <c r="K325" s="64"/>
      <c r="L325" s="64"/>
      <c r="M325" s="64"/>
      <c r="N325" s="194"/>
      <c r="O325" s="157"/>
      <c r="P325" s="92"/>
      <c r="Q325" s="145"/>
      <c r="R325" s="92"/>
      <c r="S325" s="145"/>
      <c r="T325" s="92"/>
      <c r="U325" s="145"/>
      <c r="V325" s="92"/>
      <c r="W325" s="145"/>
      <c r="X325" s="92"/>
      <c r="Y325" s="145"/>
      <c r="Z325" s="92"/>
      <c r="AA325" s="145"/>
      <c r="AB325" s="92"/>
      <c r="AC325" s="145"/>
      <c r="AD325" s="92"/>
      <c r="AE325" s="145"/>
      <c r="AF325" s="142" t="str">
        <f t="shared" si="17"/>
        <v/>
      </c>
      <c r="AG325" s="190" t="b">
        <f t="shared" si="16"/>
        <v>0</v>
      </c>
      <c r="AH325" s="145"/>
      <c r="AI325" s="153" t="s">
        <v>6</v>
      </c>
      <c r="AJ325" s="150">
        <f t="shared" si="15"/>
        <v>0</v>
      </c>
      <c r="AK325" s="154" t="s">
        <v>60</v>
      </c>
    </row>
    <row r="326" spans="1:37" ht="30" customHeight="1">
      <c r="A326" s="64"/>
      <c r="B326" s="64"/>
      <c r="C326" s="64"/>
      <c r="D326" s="64"/>
      <c r="E326" s="64"/>
      <c r="F326" s="64"/>
      <c r="G326" s="64"/>
      <c r="H326" s="64"/>
      <c r="I326" s="64"/>
      <c r="J326" s="64"/>
      <c r="K326" s="64"/>
      <c r="L326" s="64"/>
      <c r="M326" s="64"/>
      <c r="N326" s="194"/>
      <c r="O326" s="157"/>
      <c r="P326" s="92"/>
      <c r="Q326" s="145"/>
      <c r="R326" s="92"/>
      <c r="S326" s="145"/>
      <c r="T326" s="92"/>
      <c r="U326" s="145"/>
      <c r="V326" s="92"/>
      <c r="W326" s="145"/>
      <c r="X326" s="92"/>
      <c r="Y326" s="145"/>
      <c r="Z326" s="92"/>
      <c r="AA326" s="145"/>
      <c r="AB326" s="92"/>
      <c r="AC326" s="145"/>
      <c r="AD326" s="92"/>
      <c r="AE326" s="145"/>
      <c r="AF326" s="142" t="str">
        <f t="shared" si="17"/>
        <v/>
      </c>
      <c r="AG326" s="190" t="b">
        <f t="shared" si="16"/>
        <v>0</v>
      </c>
      <c r="AH326" s="145"/>
      <c r="AI326" s="153" t="s">
        <v>6</v>
      </c>
      <c r="AJ326" s="150">
        <f t="shared" si="15"/>
        <v>0</v>
      </c>
      <c r="AK326" s="154" t="s">
        <v>60</v>
      </c>
    </row>
    <row r="327" spans="1:37" ht="30" customHeight="1">
      <c r="A327" s="64"/>
      <c r="B327" s="64"/>
      <c r="C327" s="64"/>
      <c r="D327" s="64"/>
      <c r="E327" s="64"/>
      <c r="F327" s="64"/>
      <c r="G327" s="64"/>
      <c r="H327" s="64"/>
      <c r="I327" s="64"/>
      <c r="J327" s="64"/>
      <c r="K327" s="64"/>
      <c r="L327" s="64"/>
      <c r="M327" s="64"/>
      <c r="N327" s="194"/>
      <c r="O327" s="157"/>
      <c r="P327" s="92"/>
      <c r="Q327" s="145"/>
      <c r="R327" s="92"/>
      <c r="S327" s="145"/>
      <c r="T327" s="92"/>
      <c r="U327" s="145"/>
      <c r="V327" s="92"/>
      <c r="W327" s="145"/>
      <c r="X327" s="92"/>
      <c r="Y327" s="145"/>
      <c r="Z327" s="92"/>
      <c r="AA327" s="145"/>
      <c r="AB327" s="92"/>
      <c r="AC327" s="145"/>
      <c r="AD327" s="92"/>
      <c r="AE327" s="145"/>
      <c r="AF327" s="142" t="str">
        <f t="shared" si="17"/>
        <v/>
      </c>
      <c r="AG327" s="190" t="b">
        <f t="shared" si="16"/>
        <v>0</v>
      </c>
      <c r="AH327" s="145"/>
      <c r="AI327" s="153" t="s">
        <v>6</v>
      </c>
      <c r="AJ327" s="150">
        <f t="shared" ref="AJ327:AJ390" si="18">E327</f>
        <v>0</v>
      </c>
      <c r="AK327" s="154" t="s">
        <v>60</v>
      </c>
    </row>
    <row r="328" spans="1:37" ht="30" customHeight="1">
      <c r="A328" s="64"/>
      <c r="B328" s="64"/>
      <c r="C328" s="64"/>
      <c r="D328" s="64"/>
      <c r="E328" s="64"/>
      <c r="F328" s="64"/>
      <c r="G328" s="64"/>
      <c r="H328" s="64"/>
      <c r="I328" s="64"/>
      <c r="J328" s="64"/>
      <c r="K328" s="64"/>
      <c r="L328" s="64"/>
      <c r="M328" s="64"/>
      <c r="N328" s="194"/>
      <c r="O328" s="157"/>
      <c r="P328" s="92"/>
      <c r="Q328" s="145"/>
      <c r="R328" s="92"/>
      <c r="S328" s="145"/>
      <c r="T328" s="92"/>
      <c r="U328" s="145"/>
      <c r="V328" s="92"/>
      <c r="W328" s="145"/>
      <c r="X328" s="92"/>
      <c r="Y328" s="145"/>
      <c r="Z328" s="92"/>
      <c r="AA328" s="145"/>
      <c r="AB328" s="92"/>
      <c r="AC328" s="145"/>
      <c r="AD328" s="92"/>
      <c r="AE328" s="145"/>
      <c r="AF328" s="142" t="str">
        <f t="shared" si="17"/>
        <v/>
      </c>
      <c r="AG328" s="190" t="b">
        <f t="shared" si="16"/>
        <v>0</v>
      </c>
      <c r="AH328" s="145"/>
      <c r="AI328" s="153" t="s">
        <v>6</v>
      </c>
      <c r="AJ328" s="150">
        <f t="shared" si="18"/>
        <v>0</v>
      </c>
      <c r="AK328" s="154" t="s">
        <v>60</v>
      </c>
    </row>
    <row r="329" spans="1:37" ht="30" customHeight="1">
      <c r="A329" s="64"/>
      <c r="B329" s="64"/>
      <c r="C329" s="64"/>
      <c r="D329" s="64"/>
      <c r="E329" s="64"/>
      <c r="F329" s="64"/>
      <c r="G329" s="64"/>
      <c r="H329" s="64"/>
      <c r="I329" s="64"/>
      <c r="J329" s="64"/>
      <c r="K329" s="64"/>
      <c r="L329" s="64"/>
      <c r="M329" s="64"/>
      <c r="N329" s="194"/>
      <c r="O329" s="157"/>
      <c r="P329" s="92"/>
      <c r="Q329" s="145"/>
      <c r="R329" s="92"/>
      <c r="S329" s="145"/>
      <c r="T329" s="92"/>
      <c r="U329" s="145"/>
      <c r="V329" s="92"/>
      <c r="W329" s="145"/>
      <c r="X329" s="92"/>
      <c r="Y329" s="145"/>
      <c r="Z329" s="92"/>
      <c r="AA329" s="145"/>
      <c r="AB329" s="92"/>
      <c r="AC329" s="145"/>
      <c r="AD329" s="92"/>
      <c r="AE329" s="145"/>
      <c r="AF329" s="142" t="str">
        <f t="shared" si="17"/>
        <v/>
      </c>
      <c r="AG329" s="190" t="b">
        <f t="shared" si="16"/>
        <v>0</v>
      </c>
      <c r="AH329" s="145"/>
      <c r="AI329" s="153" t="s">
        <v>6</v>
      </c>
      <c r="AJ329" s="150">
        <f t="shared" si="18"/>
        <v>0</v>
      </c>
      <c r="AK329" s="154" t="s">
        <v>60</v>
      </c>
    </row>
    <row r="330" spans="1:37" ht="30" customHeight="1">
      <c r="A330" s="64"/>
      <c r="B330" s="64"/>
      <c r="C330" s="64"/>
      <c r="D330" s="64"/>
      <c r="E330" s="64"/>
      <c r="F330" s="64"/>
      <c r="G330" s="64"/>
      <c r="H330" s="64"/>
      <c r="I330" s="64"/>
      <c r="J330" s="64"/>
      <c r="K330" s="64"/>
      <c r="L330" s="64"/>
      <c r="M330" s="64"/>
      <c r="N330" s="194"/>
      <c r="O330" s="157"/>
      <c r="P330" s="92"/>
      <c r="Q330" s="145"/>
      <c r="R330" s="92"/>
      <c r="S330" s="145"/>
      <c r="T330" s="92"/>
      <c r="U330" s="145"/>
      <c r="V330" s="92"/>
      <c r="W330" s="145"/>
      <c r="X330" s="92"/>
      <c r="Y330" s="145"/>
      <c r="Z330" s="92"/>
      <c r="AA330" s="145"/>
      <c r="AB330" s="92"/>
      <c r="AC330" s="145"/>
      <c r="AD330" s="92"/>
      <c r="AE330" s="145"/>
      <c r="AF330" s="142" t="str">
        <f t="shared" si="17"/>
        <v/>
      </c>
      <c r="AG330" s="190" t="b">
        <f t="shared" si="16"/>
        <v>0</v>
      </c>
      <c r="AH330" s="145"/>
      <c r="AI330" s="153" t="s">
        <v>6</v>
      </c>
      <c r="AJ330" s="150">
        <f t="shared" si="18"/>
        <v>0</v>
      </c>
      <c r="AK330" s="154" t="s">
        <v>60</v>
      </c>
    </row>
    <row r="331" spans="1:37" ht="30" customHeight="1">
      <c r="A331" s="64"/>
      <c r="B331" s="64"/>
      <c r="C331" s="64"/>
      <c r="D331" s="64"/>
      <c r="E331" s="64"/>
      <c r="F331" s="64"/>
      <c r="G331" s="64"/>
      <c r="H331" s="64"/>
      <c r="I331" s="64"/>
      <c r="J331" s="64"/>
      <c r="K331" s="64"/>
      <c r="L331" s="64"/>
      <c r="M331" s="64"/>
      <c r="N331" s="194"/>
      <c r="O331" s="157"/>
      <c r="P331" s="92"/>
      <c r="Q331" s="145"/>
      <c r="R331" s="92"/>
      <c r="S331" s="145"/>
      <c r="T331" s="92"/>
      <c r="U331" s="145"/>
      <c r="V331" s="92"/>
      <c r="W331" s="145"/>
      <c r="X331" s="92"/>
      <c r="Y331" s="145"/>
      <c r="Z331" s="92"/>
      <c r="AA331" s="145"/>
      <c r="AB331" s="92"/>
      <c r="AC331" s="145"/>
      <c r="AD331" s="92"/>
      <c r="AE331" s="145"/>
      <c r="AF331" s="142" t="str">
        <f t="shared" si="17"/>
        <v/>
      </c>
      <c r="AG331" s="190" t="b">
        <f t="shared" si="16"/>
        <v>0</v>
      </c>
      <c r="AH331" s="145"/>
      <c r="AI331" s="153" t="s">
        <v>6</v>
      </c>
      <c r="AJ331" s="150">
        <f t="shared" si="18"/>
        <v>0</v>
      </c>
      <c r="AK331" s="154" t="s">
        <v>60</v>
      </c>
    </row>
    <row r="332" spans="1:37" ht="30" customHeight="1">
      <c r="A332" s="64"/>
      <c r="B332" s="64"/>
      <c r="C332" s="64"/>
      <c r="D332" s="64"/>
      <c r="E332" s="64"/>
      <c r="F332" s="64"/>
      <c r="G332" s="64"/>
      <c r="H332" s="64"/>
      <c r="I332" s="64"/>
      <c r="J332" s="64"/>
      <c r="K332" s="64"/>
      <c r="L332" s="64"/>
      <c r="M332" s="64"/>
      <c r="N332" s="194"/>
      <c r="O332" s="157"/>
      <c r="P332" s="92"/>
      <c r="Q332" s="145"/>
      <c r="R332" s="92"/>
      <c r="S332" s="145"/>
      <c r="T332" s="92"/>
      <c r="U332" s="145"/>
      <c r="V332" s="92"/>
      <c r="W332" s="145"/>
      <c r="X332" s="92"/>
      <c r="Y332" s="145"/>
      <c r="Z332" s="92"/>
      <c r="AA332" s="145"/>
      <c r="AB332" s="92"/>
      <c r="AC332" s="145"/>
      <c r="AD332" s="92"/>
      <c r="AE332" s="145"/>
      <c r="AF332" s="142" t="str">
        <f t="shared" si="17"/>
        <v/>
      </c>
      <c r="AG332" s="190" t="b">
        <f t="shared" si="16"/>
        <v>0</v>
      </c>
      <c r="AH332" s="145"/>
      <c r="AI332" s="153" t="s">
        <v>6</v>
      </c>
      <c r="AJ332" s="150">
        <f t="shared" si="18"/>
        <v>0</v>
      </c>
      <c r="AK332" s="154" t="s">
        <v>60</v>
      </c>
    </row>
    <row r="333" spans="1:37" ht="30" customHeight="1">
      <c r="A333" s="64"/>
      <c r="B333" s="64"/>
      <c r="C333" s="64"/>
      <c r="D333" s="64"/>
      <c r="E333" s="64"/>
      <c r="F333" s="64"/>
      <c r="G333" s="64"/>
      <c r="H333" s="64"/>
      <c r="I333" s="64"/>
      <c r="J333" s="64"/>
      <c r="K333" s="64"/>
      <c r="L333" s="64"/>
      <c r="M333" s="64"/>
      <c r="N333" s="194"/>
      <c r="O333" s="157"/>
      <c r="P333" s="92"/>
      <c r="Q333" s="145"/>
      <c r="R333" s="92"/>
      <c r="S333" s="145"/>
      <c r="T333" s="92"/>
      <c r="U333" s="145"/>
      <c r="V333" s="92"/>
      <c r="W333" s="145"/>
      <c r="X333" s="92"/>
      <c r="Y333" s="145"/>
      <c r="Z333" s="92"/>
      <c r="AA333" s="145"/>
      <c r="AB333" s="92"/>
      <c r="AC333" s="145"/>
      <c r="AD333" s="92"/>
      <c r="AE333" s="145"/>
      <c r="AF333" s="142" t="str">
        <f t="shared" si="17"/>
        <v/>
      </c>
      <c r="AG333" s="190" t="b">
        <f t="shared" si="16"/>
        <v>0</v>
      </c>
      <c r="AH333" s="145"/>
      <c r="AI333" s="153" t="s">
        <v>6</v>
      </c>
      <c r="AJ333" s="150">
        <f t="shared" si="18"/>
        <v>0</v>
      </c>
      <c r="AK333" s="154" t="s">
        <v>60</v>
      </c>
    </row>
    <row r="334" spans="1:37" ht="30" customHeight="1">
      <c r="A334" s="64"/>
      <c r="B334" s="64"/>
      <c r="C334" s="64"/>
      <c r="D334" s="64"/>
      <c r="E334" s="64"/>
      <c r="F334" s="64"/>
      <c r="G334" s="64"/>
      <c r="H334" s="64"/>
      <c r="I334" s="64"/>
      <c r="J334" s="64"/>
      <c r="K334" s="64"/>
      <c r="L334" s="64"/>
      <c r="M334" s="64"/>
      <c r="N334" s="194"/>
      <c r="O334" s="157"/>
      <c r="P334" s="92"/>
      <c r="Q334" s="145"/>
      <c r="R334" s="92"/>
      <c r="S334" s="145"/>
      <c r="T334" s="92"/>
      <c r="U334" s="145"/>
      <c r="V334" s="92"/>
      <c r="W334" s="145"/>
      <c r="X334" s="92"/>
      <c r="Y334" s="145"/>
      <c r="Z334" s="92"/>
      <c r="AA334" s="145"/>
      <c r="AB334" s="92"/>
      <c r="AC334" s="145"/>
      <c r="AD334" s="92"/>
      <c r="AE334" s="145"/>
      <c r="AF334" s="142" t="str">
        <f t="shared" si="17"/>
        <v/>
      </c>
      <c r="AG334" s="190" t="b">
        <f t="shared" si="16"/>
        <v>0</v>
      </c>
      <c r="AH334" s="145"/>
      <c r="AI334" s="153" t="s">
        <v>6</v>
      </c>
      <c r="AJ334" s="150">
        <f t="shared" si="18"/>
        <v>0</v>
      </c>
      <c r="AK334" s="154" t="s">
        <v>60</v>
      </c>
    </row>
    <row r="335" spans="1:37" ht="30" customHeight="1">
      <c r="A335" s="64"/>
      <c r="B335" s="64"/>
      <c r="C335" s="64"/>
      <c r="D335" s="64"/>
      <c r="E335" s="64"/>
      <c r="F335" s="64"/>
      <c r="G335" s="64"/>
      <c r="H335" s="64"/>
      <c r="I335" s="64"/>
      <c r="J335" s="64"/>
      <c r="K335" s="64"/>
      <c r="L335" s="64"/>
      <c r="M335" s="64"/>
      <c r="N335" s="194"/>
      <c r="O335" s="157"/>
      <c r="P335" s="92"/>
      <c r="Q335" s="145"/>
      <c r="R335" s="92"/>
      <c r="S335" s="145"/>
      <c r="T335" s="92"/>
      <c r="U335" s="145"/>
      <c r="V335" s="92"/>
      <c r="W335" s="145"/>
      <c r="X335" s="92"/>
      <c r="Y335" s="145"/>
      <c r="Z335" s="92"/>
      <c r="AA335" s="145"/>
      <c r="AB335" s="92"/>
      <c r="AC335" s="145"/>
      <c r="AD335" s="92"/>
      <c r="AE335" s="145"/>
      <c r="AF335" s="142" t="str">
        <f t="shared" si="17"/>
        <v/>
      </c>
      <c r="AG335" s="190" t="b">
        <f t="shared" si="16"/>
        <v>0</v>
      </c>
      <c r="AH335" s="145"/>
      <c r="AI335" s="153" t="s">
        <v>6</v>
      </c>
      <c r="AJ335" s="150">
        <f t="shared" si="18"/>
        <v>0</v>
      </c>
      <c r="AK335" s="154" t="s">
        <v>60</v>
      </c>
    </row>
    <row r="336" spans="1:37" ht="30" customHeight="1">
      <c r="A336" s="64"/>
      <c r="B336" s="64"/>
      <c r="C336" s="64"/>
      <c r="D336" s="64"/>
      <c r="E336" s="64"/>
      <c r="F336" s="64"/>
      <c r="G336" s="64"/>
      <c r="H336" s="64"/>
      <c r="I336" s="64"/>
      <c r="J336" s="64"/>
      <c r="K336" s="64"/>
      <c r="L336" s="64"/>
      <c r="M336" s="64"/>
      <c r="N336" s="194"/>
      <c r="O336" s="157"/>
      <c r="P336" s="92"/>
      <c r="Q336" s="145"/>
      <c r="R336" s="92"/>
      <c r="S336" s="145"/>
      <c r="T336" s="92"/>
      <c r="U336" s="145"/>
      <c r="V336" s="92"/>
      <c r="W336" s="145"/>
      <c r="X336" s="92"/>
      <c r="Y336" s="145"/>
      <c r="Z336" s="92"/>
      <c r="AA336" s="145"/>
      <c r="AB336" s="92"/>
      <c r="AC336" s="145"/>
      <c r="AD336" s="92"/>
      <c r="AE336" s="145"/>
      <c r="AF336" s="142" t="str">
        <f t="shared" si="17"/>
        <v/>
      </c>
      <c r="AG336" s="190" t="b">
        <f t="shared" si="16"/>
        <v>0</v>
      </c>
      <c r="AH336" s="145"/>
      <c r="AI336" s="153" t="s">
        <v>6</v>
      </c>
      <c r="AJ336" s="150">
        <f t="shared" si="18"/>
        <v>0</v>
      </c>
      <c r="AK336" s="154" t="s">
        <v>60</v>
      </c>
    </row>
    <row r="337" spans="1:37" ht="30" customHeight="1">
      <c r="A337" s="64"/>
      <c r="B337" s="64"/>
      <c r="C337" s="64"/>
      <c r="D337" s="64"/>
      <c r="E337" s="64"/>
      <c r="F337" s="64"/>
      <c r="G337" s="64"/>
      <c r="H337" s="64"/>
      <c r="I337" s="64"/>
      <c r="J337" s="64"/>
      <c r="K337" s="64"/>
      <c r="L337" s="64"/>
      <c r="M337" s="64"/>
      <c r="N337" s="194"/>
      <c r="O337" s="157"/>
      <c r="P337" s="92"/>
      <c r="Q337" s="145"/>
      <c r="R337" s="92"/>
      <c r="S337" s="145"/>
      <c r="T337" s="92"/>
      <c r="U337" s="145"/>
      <c r="V337" s="92"/>
      <c r="W337" s="145"/>
      <c r="X337" s="92"/>
      <c r="Y337" s="145"/>
      <c r="Z337" s="92"/>
      <c r="AA337" s="145"/>
      <c r="AB337" s="92"/>
      <c r="AC337" s="145"/>
      <c r="AD337" s="92"/>
      <c r="AE337" s="145"/>
      <c r="AF337" s="142" t="str">
        <f t="shared" si="17"/>
        <v/>
      </c>
      <c r="AG337" s="190" t="b">
        <f t="shared" si="16"/>
        <v>0</v>
      </c>
      <c r="AH337" s="145"/>
      <c r="AI337" s="153" t="s">
        <v>6</v>
      </c>
      <c r="AJ337" s="150">
        <f t="shared" si="18"/>
        <v>0</v>
      </c>
      <c r="AK337" s="154" t="s">
        <v>60</v>
      </c>
    </row>
    <row r="338" spans="1:37" ht="30" customHeight="1">
      <c r="A338" s="64"/>
      <c r="B338" s="64"/>
      <c r="C338" s="64"/>
      <c r="D338" s="64"/>
      <c r="E338" s="64"/>
      <c r="F338" s="64"/>
      <c r="G338" s="64"/>
      <c r="H338" s="64"/>
      <c r="I338" s="64"/>
      <c r="J338" s="64"/>
      <c r="K338" s="64"/>
      <c r="L338" s="64"/>
      <c r="M338" s="64"/>
      <c r="N338" s="194"/>
      <c r="O338" s="157"/>
      <c r="P338" s="92"/>
      <c r="Q338" s="145"/>
      <c r="R338" s="92"/>
      <c r="S338" s="145"/>
      <c r="T338" s="92"/>
      <c r="U338" s="145"/>
      <c r="V338" s="92"/>
      <c r="W338" s="145"/>
      <c r="X338" s="92"/>
      <c r="Y338" s="145"/>
      <c r="Z338" s="92"/>
      <c r="AA338" s="145"/>
      <c r="AB338" s="92"/>
      <c r="AC338" s="145"/>
      <c r="AD338" s="92"/>
      <c r="AE338" s="145"/>
      <c r="AF338" s="142" t="str">
        <f t="shared" si="17"/>
        <v/>
      </c>
      <c r="AG338" s="190" t="b">
        <f t="shared" si="16"/>
        <v>0</v>
      </c>
      <c r="AH338" s="145"/>
      <c r="AI338" s="153" t="s">
        <v>6</v>
      </c>
      <c r="AJ338" s="150">
        <f t="shared" si="18"/>
        <v>0</v>
      </c>
      <c r="AK338" s="154" t="s">
        <v>60</v>
      </c>
    </row>
    <row r="339" spans="1:37" ht="30" customHeight="1">
      <c r="A339" s="64"/>
      <c r="B339" s="64"/>
      <c r="C339" s="64"/>
      <c r="D339" s="64"/>
      <c r="E339" s="64"/>
      <c r="F339" s="64"/>
      <c r="G339" s="64"/>
      <c r="H339" s="64"/>
      <c r="I339" s="64"/>
      <c r="J339" s="64"/>
      <c r="K339" s="64"/>
      <c r="L339" s="64"/>
      <c r="M339" s="64"/>
      <c r="N339" s="194"/>
      <c r="O339" s="157"/>
      <c r="P339" s="92"/>
      <c r="Q339" s="145"/>
      <c r="R339" s="92"/>
      <c r="S339" s="145"/>
      <c r="T339" s="92"/>
      <c r="U339" s="145"/>
      <c r="V339" s="92"/>
      <c r="W339" s="145"/>
      <c r="X339" s="92"/>
      <c r="Y339" s="145"/>
      <c r="Z339" s="92"/>
      <c r="AA339" s="145"/>
      <c r="AB339" s="92"/>
      <c r="AC339" s="145"/>
      <c r="AD339" s="92"/>
      <c r="AE339" s="145"/>
      <c r="AF339" s="142" t="str">
        <f t="shared" si="17"/>
        <v/>
      </c>
      <c r="AG339" s="190" t="b">
        <f t="shared" si="16"/>
        <v>0</v>
      </c>
      <c r="AH339" s="145"/>
      <c r="AI339" s="153" t="s">
        <v>6</v>
      </c>
      <c r="AJ339" s="150">
        <f t="shared" si="18"/>
        <v>0</v>
      </c>
      <c r="AK339" s="154" t="s">
        <v>60</v>
      </c>
    </row>
    <row r="340" spans="1:37" ht="30" customHeight="1">
      <c r="A340" s="64"/>
      <c r="B340" s="64"/>
      <c r="C340" s="64"/>
      <c r="D340" s="64"/>
      <c r="E340" s="64"/>
      <c r="F340" s="64"/>
      <c r="G340" s="64"/>
      <c r="H340" s="64"/>
      <c r="I340" s="64"/>
      <c r="J340" s="64"/>
      <c r="K340" s="64"/>
      <c r="L340" s="64"/>
      <c r="M340" s="64"/>
      <c r="N340" s="194"/>
      <c r="O340" s="157"/>
      <c r="P340" s="92"/>
      <c r="Q340" s="145"/>
      <c r="R340" s="92"/>
      <c r="S340" s="145"/>
      <c r="T340" s="92"/>
      <c r="U340" s="145"/>
      <c r="V340" s="92"/>
      <c r="W340" s="145"/>
      <c r="X340" s="92"/>
      <c r="Y340" s="145"/>
      <c r="Z340" s="92"/>
      <c r="AA340" s="145"/>
      <c r="AB340" s="92"/>
      <c r="AC340" s="145"/>
      <c r="AD340" s="92"/>
      <c r="AE340" s="145"/>
      <c r="AF340" s="142" t="str">
        <f t="shared" si="17"/>
        <v/>
      </c>
      <c r="AG340" s="190" t="b">
        <f t="shared" si="16"/>
        <v>0</v>
      </c>
      <c r="AH340" s="145"/>
      <c r="AI340" s="153" t="s">
        <v>6</v>
      </c>
      <c r="AJ340" s="150">
        <f t="shared" si="18"/>
        <v>0</v>
      </c>
      <c r="AK340" s="154" t="s">
        <v>60</v>
      </c>
    </row>
    <row r="341" spans="1:37" ht="30" customHeight="1">
      <c r="A341" s="64"/>
      <c r="B341" s="64"/>
      <c r="C341" s="64"/>
      <c r="D341" s="64"/>
      <c r="E341" s="64"/>
      <c r="F341" s="64"/>
      <c r="G341" s="64"/>
      <c r="H341" s="64"/>
      <c r="I341" s="64"/>
      <c r="J341" s="64"/>
      <c r="K341" s="64"/>
      <c r="L341" s="64"/>
      <c r="M341" s="64"/>
      <c r="N341" s="194"/>
      <c r="O341" s="157"/>
      <c r="P341" s="92"/>
      <c r="Q341" s="145"/>
      <c r="R341" s="92"/>
      <c r="S341" s="145"/>
      <c r="T341" s="92"/>
      <c r="U341" s="145"/>
      <c r="V341" s="92"/>
      <c r="W341" s="145"/>
      <c r="X341" s="92"/>
      <c r="Y341" s="145"/>
      <c r="Z341" s="92"/>
      <c r="AA341" s="145"/>
      <c r="AB341" s="92"/>
      <c r="AC341" s="145"/>
      <c r="AD341" s="92"/>
      <c r="AE341" s="145"/>
      <c r="AF341" s="142" t="str">
        <f t="shared" si="17"/>
        <v/>
      </c>
      <c r="AG341" s="190" t="b">
        <f t="shared" si="16"/>
        <v>0</v>
      </c>
      <c r="AH341" s="145"/>
      <c r="AI341" s="153" t="s">
        <v>6</v>
      </c>
      <c r="AJ341" s="150">
        <f t="shared" si="18"/>
        <v>0</v>
      </c>
      <c r="AK341" s="154" t="s">
        <v>60</v>
      </c>
    </row>
    <row r="342" spans="1:37" ht="30" customHeight="1">
      <c r="A342" s="64"/>
      <c r="B342" s="64"/>
      <c r="C342" s="64"/>
      <c r="D342" s="64"/>
      <c r="E342" s="64"/>
      <c r="F342" s="64"/>
      <c r="G342" s="64"/>
      <c r="H342" s="64"/>
      <c r="I342" s="64"/>
      <c r="J342" s="64"/>
      <c r="K342" s="64"/>
      <c r="L342" s="64"/>
      <c r="M342" s="64"/>
      <c r="N342" s="194"/>
      <c r="O342" s="157"/>
      <c r="P342" s="92"/>
      <c r="Q342" s="145"/>
      <c r="R342" s="92"/>
      <c r="S342" s="145"/>
      <c r="T342" s="92"/>
      <c r="U342" s="145"/>
      <c r="V342" s="92"/>
      <c r="W342" s="145"/>
      <c r="X342" s="92"/>
      <c r="Y342" s="145"/>
      <c r="Z342" s="92"/>
      <c r="AA342" s="145"/>
      <c r="AB342" s="92"/>
      <c r="AC342" s="145"/>
      <c r="AD342" s="92"/>
      <c r="AE342" s="145"/>
      <c r="AF342" s="142" t="str">
        <f t="shared" si="17"/>
        <v/>
      </c>
      <c r="AG342" s="190" t="b">
        <f t="shared" si="16"/>
        <v>0</v>
      </c>
      <c r="AH342" s="145"/>
      <c r="AI342" s="153" t="s">
        <v>6</v>
      </c>
      <c r="AJ342" s="150">
        <f t="shared" si="18"/>
        <v>0</v>
      </c>
      <c r="AK342" s="154" t="s">
        <v>60</v>
      </c>
    </row>
    <row r="343" spans="1:37" ht="30" customHeight="1">
      <c r="A343" s="64"/>
      <c r="B343" s="64"/>
      <c r="C343" s="64"/>
      <c r="D343" s="64"/>
      <c r="E343" s="64"/>
      <c r="F343" s="64"/>
      <c r="G343" s="64"/>
      <c r="H343" s="64"/>
      <c r="I343" s="64"/>
      <c r="J343" s="64"/>
      <c r="K343" s="64"/>
      <c r="L343" s="64"/>
      <c r="M343" s="64"/>
      <c r="N343" s="194"/>
      <c r="O343" s="157"/>
      <c r="P343" s="92"/>
      <c r="Q343" s="145"/>
      <c r="R343" s="92"/>
      <c r="S343" s="145"/>
      <c r="T343" s="92"/>
      <c r="U343" s="145"/>
      <c r="V343" s="92"/>
      <c r="W343" s="145"/>
      <c r="X343" s="92"/>
      <c r="Y343" s="145"/>
      <c r="Z343" s="92"/>
      <c r="AA343" s="145"/>
      <c r="AB343" s="92"/>
      <c r="AC343" s="145"/>
      <c r="AD343" s="92"/>
      <c r="AE343" s="145"/>
      <c r="AF343" s="142" t="str">
        <f t="shared" si="17"/>
        <v/>
      </c>
      <c r="AG343" s="190" t="b">
        <f t="shared" si="16"/>
        <v>0</v>
      </c>
      <c r="AH343" s="145"/>
      <c r="AI343" s="153" t="s">
        <v>6</v>
      </c>
      <c r="AJ343" s="150">
        <f t="shared" si="18"/>
        <v>0</v>
      </c>
      <c r="AK343" s="154" t="s">
        <v>60</v>
      </c>
    </row>
    <row r="344" spans="1:37" ht="30" customHeight="1">
      <c r="A344" s="64"/>
      <c r="B344" s="64"/>
      <c r="C344" s="64"/>
      <c r="D344" s="64"/>
      <c r="E344" s="64"/>
      <c r="F344" s="64"/>
      <c r="G344" s="64"/>
      <c r="H344" s="64"/>
      <c r="I344" s="64"/>
      <c r="J344" s="64"/>
      <c r="K344" s="64"/>
      <c r="L344" s="64"/>
      <c r="M344" s="64"/>
      <c r="N344" s="194"/>
      <c r="O344" s="157"/>
      <c r="P344" s="92"/>
      <c r="Q344" s="145"/>
      <c r="R344" s="92"/>
      <c r="S344" s="145"/>
      <c r="T344" s="92"/>
      <c r="U344" s="145"/>
      <c r="V344" s="92"/>
      <c r="W344" s="145"/>
      <c r="X344" s="92"/>
      <c r="Y344" s="145"/>
      <c r="Z344" s="92"/>
      <c r="AA344" s="145"/>
      <c r="AB344" s="92"/>
      <c r="AC344" s="145"/>
      <c r="AD344" s="92"/>
      <c r="AE344" s="145"/>
      <c r="AF344" s="142" t="str">
        <f t="shared" si="17"/>
        <v/>
      </c>
      <c r="AG344" s="190" t="b">
        <f t="shared" si="16"/>
        <v>0</v>
      </c>
      <c r="AH344" s="145"/>
      <c r="AI344" s="153" t="s">
        <v>6</v>
      </c>
      <c r="AJ344" s="150">
        <f t="shared" si="18"/>
        <v>0</v>
      </c>
      <c r="AK344" s="154" t="s">
        <v>60</v>
      </c>
    </row>
    <row r="345" spans="1:37" ht="30" customHeight="1">
      <c r="A345" s="64"/>
      <c r="B345" s="64"/>
      <c r="C345" s="64"/>
      <c r="D345" s="64"/>
      <c r="E345" s="64"/>
      <c r="F345" s="64"/>
      <c r="G345" s="64"/>
      <c r="H345" s="64"/>
      <c r="I345" s="64"/>
      <c r="J345" s="64"/>
      <c r="K345" s="64"/>
      <c r="L345" s="64"/>
      <c r="M345" s="64"/>
      <c r="N345" s="194"/>
      <c r="O345" s="157"/>
      <c r="P345" s="92"/>
      <c r="Q345" s="145"/>
      <c r="R345" s="92"/>
      <c r="S345" s="145"/>
      <c r="T345" s="92"/>
      <c r="U345" s="145"/>
      <c r="V345" s="92"/>
      <c r="W345" s="145"/>
      <c r="X345" s="92"/>
      <c r="Y345" s="145"/>
      <c r="Z345" s="92"/>
      <c r="AA345" s="145"/>
      <c r="AB345" s="92"/>
      <c r="AC345" s="145"/>
      <c r="AD345" s="92"/>
      <c r="AE345" s="145"/>
      <c r="AF345" s="142" t="str">
        <f t="shared" si="17"/>
        <v/>
      </c>
      <c r="AG345" s="190" t="b">
        <f t="shared" si="16"/>
        <v>0</v>
      </c>
      <c r="AH345" s="145"/>
      <c r="AI345" s="153" t="s">
        <v>6</v>
      </c>
      <c r="AJ345" s="150">
        <f t="shared" si="18"/>
        <v>0</v>
      </c>
      <c r="AK345" s="154" t="s">
        <v>60</v>
      </c>
    </row>
    <row r="346" spans="1:37" ht="30" customHeight="1">
      <c r="A346" s="64"/>
      <c r="B346" s="64"/>
      <c r="C346" s="64"/>
      <c r="D346" s="64"/>
      <c r="E346" s="64"/>
      <c r="F346" s="64"/>
      <c r="G346" s="64"/>
      <c r="H346" s="64"/>
      <c r="I346" s="64"/>
      <c r="J346" s="64"/>
      <c r="K346" s="64"/>
      <c r="L346" s="64"/>
      <c r="M346" s="64"/>
      <c r="N346" s="194"/>
      <c r="O346" s="157"/>
      <c r="P346" s="92"/>
      <c r="Q346" s="145"/>
      <c r="R346" s="92"/>
      <c r="S346" s="145"/>
      <c r="T346" s="92"/>
      <c r="U346" s="145"/>
      <c r="V346" s="92"/>
      <c r="W346" s="145"/>
      <c r="X346" s="92"/>
      <c r="Y346" s="145"/>
      <c r="Z346" s="92"/>
      <c r="AA346" s="145"/>
      <c r="AB346" s="92"/>
      <c r="AC346" s="145"/>
      <c r="AD346" s="92"/>
      <c r="AE346" s="145"/>
      <c r="AF346" s="142" t="str">
        <f t="shared" si="17"/>
        <v/>
      </c>
      <c r="AG346" s="190" t="b">
        <f t="shared" si="16"/>
        <v>0</v>
      </c>
      <c r="AH346" s="145"/>
      <c r="AI346" s="153" t="s">
        <v>6</v>
      </c>
      <c r="AJ346" s="150">
        <f t="shared" si="18"/>
        <v>0</v>
      </c>
      <c r="AK346" s="154" t="s">
        <v>60</v>
      </c>
    </row>
    <row r="347" spans="1:37" ht="30" customHeight="1">
      <c r="A347" s="64"/>
      <c r="B347" s="64"/>
      <c r="C347" s="64"/>
      <c r="D347" s="64"/>
      <c r="E347" s="64"/>
      <c r="F347" s="64"/>
      <c r="G347" s="64"/>
      <c r="H347" s="64"/>
      <c r="I347" s="64"/>
      <c r="J347" s="64"/>
      <c r="K347" s="64"/>
      <c r="L347" s="64"/>
      <c r="M347" s="64"/>
      <c r="N347" s="194"/>
      <c r="O347" s="157"/>
      <c r="P347" s="92"/>
      <c r="Q347" s="145"/>
      <c r="R347" s="92"/>
      <c r="S347" s="145"/>
      <c r="T347" s="92"/>
      <c r="U347" s="145"/>
      <c r="V347" s="92"/>
      <c r="W347" s="145"/>
      <c r="X347" s="92"/>
      <c r="Y347" s="145"/>
      <c r="Z347" s="92"/>
      <c r="AA347" s="145"/>
      <c r="AB347" s="92"/>
      <c r="AC347" s="145"/>
      <c r="AD347" s="92"/>
      <c r="AE347" s="145"/>
      <c r="AF347" s="142" t="str">
        <f t="shared" si="17"/>
        <v/>
      </c>
      <c r="AG347" s="190" t="b">
        <f t="shared" si="16"/>
        <v>0</v>
      </c>
      <c r="AH347" s="145"/>
      <c r="AI347" s="153" t="s">
        <v>6</v>
      </c>
      <c r="AJ347" s="150">
        <f t="shared" si="18"/>
        <v>0</v>
      </c>
      <c r="AK347" s="154" t="s">
        <v>60</v>
      </c>
    </row>
    <row r="348" spans="1:37" ht="30" customHeight="1">
      <c r="A348" s="64"/>
      <c r="B348" s="64"/>
      <c r="C348" s="64"/>
      <c r="D348" s="64"/>
      <c r="E348" s="64"/>
      <c r="F348" s="64"/>
      <c r="G348" s="64"/>
      <c r="H348" s="64"/>
      <c r="I348" s="64"/>
      <c r="J348" s="64"/>
      <c r="K348" s="64"/>
      <c r="L348" s="64"/>
      <c r="M348" s="64"/>
      <c r="N348" s="194"/>
      <c r="O348" s="157"/>
      <c r="P348" s="92"/>
      <c r="Q348" s="145"/>
      <c r="R348" s="92"/>
      <c r="S348" s="145"/>
      <c r="T348" s="92"/>
      <c r="U348" s="145"/>
      <c r="V348" s="92"/>
      <c r="W348" s="145"/>
      <c r="X348" s="92"/>
      <c r="Y348" s="145"/>
      <c r="Z348" s="92"/>
      <c r="AA348" s="145"/>
      <c r="AB348" s="92"/>
      <c r="AC348" s="145"/>
      <c r="AD348" s="92"/>
      <c r="AE348" s="145"/>
      <c r="AF348" s="142" t="str">
        <f t="shared" si="17"/>
        <v/>
      </c>
      <c r="AG348" s="190" t="b">
        <f t="shared" si="16"/>
        <v>0</v>
      </c>
      <c r="AH348" s="145"/>
      <c r="AI348" s="153" t="s">
        <v>6</v>
      </c>
      <c r="AJ348" s="150">
        <f t="shared" si="18"/>
        <v>0</v>
      </c>
      <c r="AK348" s="154" t="s">
        <v>60</v>
      </c>
    </row>
    <row r="349" spans="1:37" ht="30" customHeight="1">
      <c r="A349" s="64"/>
      <c r="B349" s="64"/>
      <c r="C349" s="64"/>
      <c r="D349" s="64"/>
      <c r="E349" s="64"/>
      <c r="F349" s="64"/>
      <c r="G349" s="64"/>
      <c r="H349" s="64"/>
      <c r="I349" s="64"/>
      <c r="J349" s="64"/>
      <c r="K349" s="64"/>
      <c r="L349" s="64"/>
      <c r="M349" s="64"/>
      <c r="N349" s="194"/>
      <c r="O349" s="157"/>
      <c r="P349" s="92"/>
      <c r="Q349" s="145"/>
      <c r="R349" s="92"/>
      <c r="S349" s="145"/>
      <c r="T349" s="92"/>
      <c r="U349" s="145"/>
      <c r="V349" s="92"/>
      <c r="W349" s="145"/>
      <c r="X349" s="92"/>
      <c r="Y349" s="145"/>
      <c r="Z349" s="92"/>
      <c r="AA349" s="145"/>
      <c r="AB349" s="92"/>
      <c r="AC349" s="145"/>
      <c r="AD349" s="92"/>
      <c r="AE349" s="145"/>
      <c r="AF349" s="142" t="str">
        <f t="shared" si="17"/>
        <v/>
      </c>
      <c r="AG349" s="190" t="b">
        <f t="shared" si="16"/>
        <v>0</v>
      </c>
      <c r="AH349" s="145"/>
      <c r="AI349" s="153" t="s">
        <v>6</v>
      </c>
      <c r="AJ349" s="150">
        <f t="shared" si="18"/>
        <v>0</v>
      </c>
      <c r="AK349" s="154" t="s">
        <v>60</v>
      </c>
    </row>
    <row r="350" spans="1:37" ht="30" customHeight="1">
      <c r="A350" s="64"/>
      <c r="B350" s="64"/>
      <c r="C350" s="64"/>
      <c r="D350" s="64"/>
      <c r="E350" s="64"/>
      <c r="F350" s="64"/>
      <c r="G350" s="64"/>
      <c r="H350" s="64"/>
      <c r="I350" s="64"/>
      <c r="J350" s="64"/>
      <c r="K350" s="64"/>
      <c r="L350" s="64"/>
      <c r="M350" s="64"/>
      <c r="N350" s="194"/>
      <c r="O350" s="157"/>
      <c r="P350" s="92"/>
      <c r="Q350" s="145"/>
      <c r="R350" s="92"/>
      <c r="S350" s="145"/>
      <c r="T350" s="92"/>
      <c r="U350" s="145"/>
      <c r="V350" s="92"/>
      <c r="W350" s="145"/>
      <c r="X350" s="92"/>
      <c r="Y350" s="145"/>
      <c r="Z350" s="92"/>
      <c r="AA350" s="145"/>
      <c r="AB350" s="92"/>
      <c r="AC350" s="145"/>
      <c r="AD350" s="92"/>
      <c r="AE350" s="145"/>
      <c r="AF350" s="142" t="str">
        <f t="shared" si="17"/>
        <v/>
      </c>
      <c r="AG350" s="190" t="b">
        <f t="shared" si="16"/>
        <v>0</v>
      </c>
      <c r="AH350" s="145"/>
      <c r="AI350" s="153" t="s">
        <v>6</v>
      </c>
      <c r="AJ350" s="150">
        <f t="shared" si="18"/>
        <v>0</v>
      </c>
      <c r="AK350" s="154" t="s">
        <v>60</v>
      </c>
    </row>
    <row r="351" spans="1:37" ht="30" customHeight="1">
      <c r="A351" s="64"/>
      <c r="B351" s="64"/>
      <c r="C351" s="64"/>
      <c r="D351" s="64"/>
      <c r="E351" s="64"/>
      <c r="F351" s="64"/>
      <c r="G351" s="64"/>
      <c r="H351" s="64"/>
      <c r="I351" s="64"/>
      <c r="J351" s="64"/>
      <c r="K351" s="64"/>
      <c r="L351" s="64"/>
      <c r="M351" s="64"/>
      <c r="N351" s="194"/>
      <c r="O351" s="157"/>
      <c r="P351" s="92"/>
      <c r="Q351" s="145"/>
      <c r="R351" s="92"/>
      <c r="S351" s="145"/>
      <c r="T351" s="92"/>
      <c r="U351" s="145"/>
      <c r="V351" s="92"/>
      <c r="W351" s="145"/>
      <c r="X351" s="92"/>
      <c r="Y351" s="145"/>
      <c r="Z351" s="92"/>
      <c r="AA351" s="145"/>
      <c r="AB351" s="92"/>
      <c r="AC351" s="145"/>
      <c r="AD351" s="92"/>
      <c r="AE351" s="145"/>
      <c r="AF351" s="142" t="str">
        <f t="shared" si="17"/>
        <v/>
      </c>
      <c r="AG351" s="190" t="b">
        <f t="shared" si="16"/>
        <v>0</v>
      </c>
      <c r="AH351" s="145"/>
      <c r="AI351" s="153" t="s">
        <v>6</v>
      </c>
      <c r="AJ351" s="150">
        <f t="shared" si="18"/>
        <v>0</v>
      </c>
      <c r="AK351" s="154" t="s">
        <v>60</v>
      </c>
    </row>
    <row r="352" spans="1:37" ht="30" customHeight="1">
      <c r="A352" s="64"/>
      <c r="B352" s="64"/>
      <c r="C352" s="64"/>
      <c r="D352" s="64"/>
      <c r="E352" s="64"/>
      <c r="F352" s="64"/>
      <c r="G352" s="64"/>
      <c r="H352" s="64"/>
      <c r="I352" s="64"/>
      <c r="J352" s="64"/>
      <c r="K352" s="64"/>
      <c r="L352" s="64"/>
      <c r="M352" s="64"/>
      <c r="N352" s="194"/>
      <c r="O352" s="157"/>
      <c r="P352" s="92"/>
      <c r="Q352" s="145"/>
      <c r="R352" s="92"/>
      <c r="S352" s="145"/>
      <c r="T352" s="92"/>
      <c r="U352" s="145"/>
      <c r="V352" s="92"/>
      <c r="W352" s="145"/>
      <c r="X352" s="92"/>
      <c r="Y352" s="145"/>
      <c r="Z352" s="92"/>
      <c r="AA352" s="145"/>
      <c r="AB352" s="92"/>
      <c r="AC352" s="145"/>
      <c r="AD352" s="92"/>
      <c r="AE352" s="145"/>
      <c r="AF352" s="142" t="str">
        <f t="shared" si="17"/>
        <v/>
      </c>
      <c r="AG352" s="190" t="b">
        <f t="shared" si="16"/>
        <v>0</v>
      </c>
      <c r="AH352" s="145"/>
      <c r="AI352" s="153" t="s">
        <v>6</v>
      </c>
      <c r="AJ352" s="150">
        <f t="shared" si="18"/>
        <v>0</v>
      </c>
      <c r="AK352" s="154" t="s">
        <v>60</v>
      </c>
    </row>
    <row r="353" spans="1:37" ht="30" customHeight="1">
      <c r="A353" s="64"/>
      <c r="B353" s="64"/>
      <c r="C353" s="64"/>
      <c r="D353" s="64"/>
      <c r="E353" s="64"/>
      <c r="F353" s="64"/>
      <c r="G353" s="64"/>
      <c r="H353" s="64"/>
      <c r="I353" s="64"/>
      <c r="J353" s="64"/>
      <c r="K353" s="64"/>
      <c r="L353" s="64"/>
      <c r="M353" s="64"/>
      <c r="N353" s="194"/>
      <c r="O353" s="157"/>
      <c r="P353" s="92"/>
      <c r="Q353" s="145"/>
      <c r="R353" s="92"/>
      <c r="S353" s="145"/>
      <c r="T353" s="92"/>
      <c r="U353" s="145"/>
      <c r="V353" s="92"/>
      <c r="W353" s="145"/>
      <c r="X353" s="92"/>
      <c r="Y353" s="145"/>
      <c r="Z353" s="92"/>
      <c r="AA353" s="145"/>
      <c r="AB353" s="92"/>
      <c r="AC353" s="145"/>
      <c r="AD353" s="92"/>
      <c r="AE353" s="145"/>
      <c r="AF353" s="142" t="str">
        <f t="shared" si="17"/>
        <v/>
      </c>
      <c r="AG353" s="190" t="b">
        <f t="shared" si="16"/>
        <v>0</v>
      </c>
      <c r="AH353" s="145"/>
      <c r="AI353" s="153" t="s">
        <v>6</v>
      </c>
      <c r="AJ353" s="150">
        <f t="shared" si="18"/>
        <v>0</v>
      </c>
      <c r="AK353" s="154" t="s">
        <v>60</v>
      </c>
    </row>
    <row r="354" spans="1:37" ht="30" customHeight="1">
      <c r="A354" s="64"/>
      <c r="B354" s="64"/>
      <c r="C354" s="64"/>
      <c r="D354" s="64"/>
      <c r="E354" s="64"/>
      <c r="F354" s="64"/>
      <c r="G354" s="64"/>
      <c r="H354" s="64"/>
      <c r="I354" s="64"/>
      <c r="J354" s="64"/>
      <c r="K354" s="64"/>
      <c r="L354" s="64"/>
      <c r="M354" s="64"/>
      <c r="N354" s="194"/>
      <c r="O354" s="157"/>
      <c r="P354" s="92"/>
      <c r="Q354" s="145"/>
      <c r="R354" s="92"/>
      <c r="S354" s="145"/>
      <c r="T354" s="92"/>
      <c r="U354" s="145"/>
      <c r="V354" s="92"/>
      <c r="W354" s="145"/>
      <c r="X354" s="92"/>
      <c r="Y354" s="145"/>
      <c r="Z354" s="92"/>
      <c r="AA354" s="145"/>
      <c r="AB354" s="92"/>
      <c r="AC354" s="145"/>
      <c r="AD354" s="92"/>
      <c r="AE354" s="145"/>
      <c r="AF354" s="142" t="str">
        <f t="shared" si="17"/>
        <v/>
      </c>
      <c r="AG354" s="190" t="b">
        <f t="shared" si="16"/>
        <v>0</v>
      </c>
      <c r="AH354" s="145"/>
      <c r="AI354" s="153" t="s">
        <v>6</v>
      </c>
      <c r="AJ354" s="150">
        <f t="shared" si="18"/>
        <v>0</v>
      </c>
      <c r="AK354" s="154" t="s">
        <v>60</v>
      </c>
    </row>
    <row r="355" spans="1:37" ht="30" customHeight="1">
      <c r="A355" s="64"/>
      <c r="B355" s="64"/>
      <c r="C355" s="64"/>
      <c r="D355" s="64"/>
      <c r="E355" s="64"/>
      <c r="F355" s="64"/>
      <c r="G355" s="64"/>
      <c r="H355" s="64"/>
      <c r="I355" s="64"/>
      <c r="J355" s="64"/>
      <c r="K355" s="64"/>
      <c r="L355" s="64"/>
      <c r="M355" s="64"/>
      <c r="N355" s="194"/>
      <c r="O355" s="157"/>
      <c r="P355" s="92"/>
      <c r="Q355" s="145"/>
      <c r="R355" s="92"/>
      <c r="S355" s="145"/>
      <c r="T355" s="92"/>
      <c r="U355" s="145"/>
      <c r="V355" s="92"/>
      <c r="W355" s="145"/>
      <c r="X355" s="92"/>
      <c r="Y355" s="145"/>
      <c r="Z355" s="92"/>
      <c r="AA355" s="145"/>
      <c r="AB355" s="92"/>
      <c r="AC355" s="145"/>
      <c r="AD355" s="92"/>
      <c r="AE355" s="145"/>
      <c r="AF355" s="142" t="str">
        <f t="shared" si="17"/>
        <v/>
      </c>
      <c r="AG355" s="190" t="b">
        <f t="shared" si="16"/>
        <v>0</v>
      </c>
      <c r="AH355" s="145"/>
      <c r="AI355" s="153" t="s">
        <v>6</v>
      </c>
      <c r="AJ355" s="150">
        <f t="shared" si="18"/>
        <v>0</v>
      </c>
      <c r="AK355" s="154" t="s">
        <v>60</v>
      </c>
    </row>
    <row r="356" spans="1:37" ht="30" customHeight="1">
      <c r="A356" s="64"/>
      <c r="B356" s="64"/>
      <c r="C356" s="64"/>
      <c r="D356" s="64"/>
      <c r="E356" s="64"/>
      <c r="F356" s="64"/>
      <c r="G356" s="64"/>
      <c r="H356" s="64"/>
      <c r="I356" s="64"/>
      <c r="J356" s="64"/>
      <c r="K356" s="64"/>
      <c r="L356" s="64"/>
      <c r="M356" s="64"/>
      <c r="N356" s="194"/>
      <c r="O356" s="157"/>
      <c r="P356" s="92"/>
      <c r="Q356" s="145"/>
      <c r="R356" s="92"/>
      <c r="S356" s="145"/>
      <c r="T356" s="92"/>
      <c r="U356" s="145"/>
      <c r="V356" s="92"/>
      <c r="W356" s="145"/>
      <c r="X356" s="92"/>
      <c r="Y356" s="145"/>
      <c r="Z356" s="92"/>
      <c r="AA356" s="145"/>
      <c r="AB356" s="92"/>
      <c r="AC356" s="145"/>
      <c r="AD356" s="92"/>
      <c r="AE356" s="145"/>
      <c r="AF356" s="142" t="str">
        <f t="shared" si="17"/>
        <v/>
      </c>
      <c r="AG356" s="190" t="b">
        <f t="shared" si="16"/>
        <v>0</v>
      </c>
      <c r="AH356" s="145"/>
      <c r="AI356" s="153" t="s">
        <v>6</v>
      </c>
      <c r="AJ356" s="150">
        <f t="shared" si="18"/>
        <v>0</v>
      </c>
      <c r="AK356" s="154" t="s">
        <v>60</v>
      </c>
    </row>
    <row r="357" spans="1:37" ht="30" customHeight="1">
      <c r="A357" s="64"/>
      <c r="B357" s="64"/>
      <c r="C357" s="64"/>
      <c r="D357" s="64"/>
      <c r="E357" s="64"/>
      <c r="F357" s="64"/>
      <c r="G357" s="64"/>
      <c r="H357" s="64"/>
      <c r="I357" s="64"/>
      <c r="J357" s="64"/>
      <c r="K357" s="64"/>
      <c r="L357" s="64"/>
      <c r="M357" s="64"/>
      <c r="N357" s="194"/>
      <c r="O357" s="157"/>
      <c r="P357" s="92"/>
      <c r="Q357" s="145"/>
      <c r="R357" s="92"/>
      <c r="S357" s="145"/>
      <c r="T357" s="92"/>
      <c r="U357" s="145"/>
      <c r="V357" s="92"/>
      <c r="W357" s="145"/>
      <c r="X357" s="92"/>
      <c r="Y357" s="145"/>
      <c r="Z357" s="92"/>
      <c r="AA357" s="145"/>
      <c r="AB357" s="92"/>
      <c r="AC357" s="145"/>
      <c r="AD357" s="92"/>
      <c r="AE357" s="145"/>
      <c r="AF357" s="142" t="str">
        <f t="shared" si="17"/>
        <v/>
      </c>
      <c r="AG357" s="190" t="b">
        <f t="shared" si="16"/>
        <v>0</v>
      </c>
      <c r="AH357" s="145"/>
      <c r="AI357" s="153" t="s">
        <v>6</v>
      </c>
      <c r="AJ357" s="150">
        <f t="shared" si="18"/>
        <v>0</v>
      </c>
      <c r="AK357" s="154" t="s">
        <v>60</v>
      </c>
    </row>
    <row r="358" spans="1:37" ht="30" customHeight="1">
      <c r="A358" s="64"/>
      <c r="B358" s="64"/>
      <c r="C358" s="64"/>
      <c r="D358" s="64"/>
      <c r="E358" s="64"/>
      <c r="F358" s="64"/>
      <c r="G358" s="64"/>
      <c r="H358" s="64"/>
      <c r="I358" s="64"/>
      <c r="J358" s="64"/>
      <c r="K358" s="64"/>
      <c r="L358" s="64"/>
      <c r="M358" s="64"/>
      <c r="N358" s="194"/>
      <c r="O358" s="157"/>
      <c r="P358" s="92"/>
      <c r="Q358" s="145"/>
      <c r="R358" s="92"/>
      <c r="S358" s="145"/>
      <c r="T358" s="92"/>
      <c r="U358" s="145"/>
      <c r="V358" s="92"/>
      <c r="W358" s="145"/>
      <c r="X358" s="92"/>
      <c r="Y358" s="145"/>
      <c r="Z358" s="92"/>
      <c r="AA358" s="145"/>
      <c r="AB358" s="92"/>
      <c r="AC358" s="145"/>
      <c r="AD358" s="92"/>
      <c r="AE358" s="145"/>
      <c r="AF358" s="142" t="str">
        <f t="shared" si="17"/>
        <v/>
      </c>
      <c r="AG358" s="190" t="b">
        <f t="shared" si="16"/>
        <v>0</v>
      </c>
      <c r="AH358" s="145"/>
      <c r="AI358" s="153" t="s">
        <v>6</v>
      </c>
      <c r="AJ358" s="150">
        <f t="shared" si="18"/>
        <v>0</v>
      </c>
      <c r="AK358" s="154" t="s">
        <v>60</v>
      </c>
    </row>
    <row r="359" spans="1:37" ht="30" customHeight="1">
      <c r="A359" s="64"/>
      <c r="B359" s="64"/>
      <c r="C359" s="64"/>
      <c r="D359" s="64"/>
      <c r="E359" s="64"/>
      <c r="F359" s="64"/>
      <c r="G359" s="64"/>
      <c r="H359" s="64"/>
      <c r="I359" s="64"/>
      <c r="J359" s="64"/>
      <c r="K359" s="64"/>
      <c r="L359" s="64"/>
      <c r="M359" s="64"/>
      <c r="N359" s="194"/>
      <c r="O359" s="157"/>
      <c r="P359" s="92"/>
      <c r="Q359" s="145"/>
      <c r="R359" s="92"/>
      <c r="S359" s="145"/>
      <c r="T359" s="92"/>
      <c r="U359" s="145"/>
      <c r="V359" s="92"/>
      <c r="W359" s="145"/>
      <c r="X359" s="92"/>
      <c r="Y359" s="145"/>
      <c r="Z359" s="92"/>
      <c r="AA359" s="145"/>
      <c r="AB359" s="92"/>
      <c r="AC359" s="145"/>
      <c r="AD359" s="92"/>
      <c r="AE359" s="145"/>
      <c r="AF359" s="142" t="str">
        <f t="shared" si="17"/>
        <v/>
      </c>
      <c r="AG359" s="190" t="b">
        <f t="shared" ref="AG359:AG422" si="19">IF(AND(AE359="C",AF359="C"),"UTILIZOU O PDA CORRETAMENTE",IF(AND(AE359="C",AF359="NC"),"UTILIZOU O PDA CORRETAMENTE. NÃO HÁ FOTOS DE TODAS AS ETAPAS",IF(AND(AE359="NC",AF359="NC"),"NÃO UTILIZOU O PDA",IF(AND(AE359="NA",AF359="NA"),"NÃO AVALIADO POR FALHA DE SINCRONISMO"))))</f>
        <v>0</v>
      </c>
      <c r="AH359" s="145"/>
      <c r="AI359" s="153" t="s">
        <v>6</v>
      </c>
      <c r="AJ359" s="150">
        <f t="shared" si="18"/>
        <v>0</v>
      </c>
      <c r="AK359" s="154" t="s">
        <v>60</v>
      </c>
    </row>
    <row r="360" spans="1:37" ht="30" customHeight="1">
      <c r="A360" s="64"/>
      <c r="B360" s="64"/>
      <c r="C360" s="64"/>
      <c r="D360" s="64"/>
      <c r="E360" s="64"/>
      <c r="F360" s="64"/>
      <c r="G360" s="64"/>
      <c r="H360" s="64"/>
      <c r="I360" s="64"/>
      <c r="J360" s="64"/>
      <c r="K360" s="64"/>
      <c r="L360" s="64"/>
      <c r="M360" s="64"/>
      <c r="N360" s="194"/>
      <c r="O360" s="157"/>
      <c r="P360" s="92"/>
      <c r="Q360" s="145"/>
      <c r="R360" s="92"/>
      <c r="S360" s="145"/>
      <c r="T360" s="92"/>
      <c r="U360" s="145"/>
      <c r="V360" s="92"/>
      <c r="W360" s="145"/>
      <c r="X360" s="92"/>
      <c r="Y360" s="145"/>
      <c r="Z360" s="92"/>
      <c r="AA360" s="145"/>
      <c r="AB360" s="92"/>
      <c r="AC360" s="145"/>
      <c r="AD360" s="92"/>
      <c r="AE360" s="145"/>
      <c r="AF360" s="142" t="str">
        <f t="shared" ref="AF360:AF423" si="20">IF(AND(O360="",Q360="",S360="",U360="",W360="",Y360="",AA360="",AC360=""),"",IF(OR(AND(O360&lt;&gt;"NA",O360&lt;&gt;"C",O360&lt;&gt;"NC",O360&lt;&gt;"SF",O360&lt;&gt;""),AND(Q360&lt;&gt;"NA",Q360&lt;&gt;"C",Q360&lt;&gt;"NC",Q360&lt;&gt;"SF",Q360&lt;&gt;""),AND(S360&lt;&gt;"NA",S360&lt;&gt;"C",S360&lt;&gt;"NC",S360&lt;&gt;"SF",S360&lt;&gt;""),AND(U360&lt;&gt;"NA",U360&lt;&gt;"C",U360&lt;&gt;"NC",U360&lt;&gt;"SF",U360&lt;&gt;""),AND(W360&lt;&gt;"NA",W360&lt;&gt;"C",W360&lt;&gt;"NC",W360&lt;&gt;"SF",W360&lt;&gt;""),AND(Y360&lt;&gt;"NA",Y360&lt;&gt;"C",Y360&lt;&gt;"NC",Y360&lt;&gt;"SF",Y360&lt;&gt;""),AND(AA360&lt;&gt;"NA",AA360&lt;&gt;"C",AA360&lt;&gt;"NC",AA360&lt;&gt;"SF",AA360&lt;&gt;""),AND(AC360&lt;&gt;"NA",AC360&lt;&gt;"C",AC360&lt;&gt;"NC",AC360&lt;&gt;"SF",AC360&lt;&gt;"")),"FALSO",IF(AND(O360="NA",Q360="NA",S360="NA",U360="NA",W360="NA",Y360="NA",AA360="NA",AC360="NA"),"NA",IF(OR(O360="NC",Q360="NC",S360="NC",U360="NC",W360="NC",Y360="NC",AA360="NC",AC360="NC",O360="SF",Q360="SF",S360="SF",U360="SF",W360="SF",Y360="SF",AA360="SF",AC360="SF"),"NC",IF(OR(O360="C",Q360="C",S360="C",U360="C",W360="C",Y360="C",AA360="C",AC360="C"),"C","")))))</f>
        <v/>
      </c>
      <c r="AG360" s="190" t="b">
        <f t="shared" si="19"/>
        <v>0</v>
      </c>
      <c r="AH360" s="145"/>
      <c r="AI360" s="153" t="s">
        <v>6</v>
      </c>
      <c r="AJ360" s="150">
        <f t="shared" si="18"/>
        <v>0</v>
      </c>
      <c r="AK360" s="154" t="s">
        <v>60</v>
      </c>
    </row>
    <row r="361" spans="1:37" ht="30" customHeight="1">
      <c r="A361" s="64"/>
      <c r="B361" s="64"/>
      <c r="C361" s="64"/>
      <c r="D361" s="64"/>
      <c r="E361" s="64"/>
      <c r="F361" s="64"/>
      <c r="G361" s="64"/>
      <c r="H361" s="64"/>
      <c r="I361" s="64"/>
      <c r="J361" s="64"/>
      <c r="K361" s="64"/>
      <c r="L361" s="64"/>
      <c r="M361" s="64"/>
      <c r="N361" s="194"/>
      <c r="O361" s="157"/>
      <c r="P361" s="92"/>
      <c r="Q361" s="145"/>
      <c r="R361" s="92"/>
      <c r="S361" s="145"/>
      <c r="T361" s="92"/>
      <c r="U361" s="145"/>
      <c r="V361" s="92"/>
      <c r="W361" s="145"/>
      <c r="X361" s="92"/>
      <c r="Y361" s="145"/>
      <c r="Z361" s="92"/>
      <c r="AA361" s="145"/>
      <c r="AB361" s="92"/>
      <c r="AC361" s="145"/>
      <c r="AD361" s="92"/>
      <c r="AE361" s="145"/>
      <c r="AF361" s="142" t="str">
        <f t="shared" si="20"/>
        <v/>
      </c>
      <c r="AG361" s="190" t="b">
        <f t="shared" si="19"/>
        <v>0</v>
      </c>
      <c r="AH361" s="145"/>
      <c r="AI361" s="153" t="s">
        <v>6</v>
      </c>
      <c r="AJ361" s="150">
        <f t="shared" si="18"/>
        <v>0</v>
      </c>
      <c r="AK361" s="154" t="s">
        <v>60</v>
      </c>
    </row>
    <row r="362" spans="1:37" ht="30" customHeight="1">
      <c r="A362" s="64"/>
      <c r="B362" s="64"/>
      <c r="C362" s="64"/>
      <c r="D362" s="64"/>
      <c r="E362" s="64"/>
      <c r="F362" s="64"/>
      <c r="G362" s="64"/>
      <c r="H362" s="64"/>
      <c r="I362" s="64"/>
      <c r="J362" s="64"/>
      <c r="K362" s="64"/>
      <c r="L362" s="64"/>
      <c r="M362" s="64"/>
      <c r="N362" s="194"/>
      <c r="O362" s="157"/>
      <c r="P362" s="92"/>
      <c r="Q362" s="145"/>
      <c r="R362" s="92"/>
      <c r="S362" s="145"/>
      <c r="T362" s="92"/>
      <c r="U362" s="145"/>
      <c r="V362" s="92"/>
      <c r="W362" s="145"/>
      <c r="X362" s="92"/>
      <c r="Y362" s="145"/>
      <c r="Z362" s="92"/>
      <c r="AA362" s="145"/>
      <c r="AB362" s="92"/>
      <c r="AC362" s="145"/>
      <c r="AD362" s="92"/>
      <c r="AE362" s="145"/>
      <c r="AF362" s="142" t="str">
        <f t="shared" si="20"/>
        <v/>
      </c>
      <c r="AG362" s="190" t="b">
        <f t="shared" si="19"/>
        <v>0</v>
      </c>
      <c r="AH362" s="145"/>
      <c r="AI362" s="153" t="s">
        <v>6</v>
      </c>
      <c r="AJ362" s="150">
        <f t="shared" si="18"/>
        <v>0</v>
      </c>
      <c r="AK362" s="154" t="s">
        <v>60</v>
      </c>
    </row>
    <row r="363" spans="1:37" ht="30" customHeight="1">
      <c r="A363" s="64"/>
      <c r="B363" s="64"/>
      <c r="C363" s="64"/>
      <c r="D363" s="64"/>
      <c r="E363" s="64"/>
      <c r="F363" s="64"/>
      <c r="G363" s="64"/>
      <c r="H363" s="64"/>
      <c r="I363" s="64"/>
      <c r="J363" s="64"/>
      <c r="K363" s="64"/>
      <c r="L363" s="64"/>
      <c r="M363" s="64"/>
      <c r="N363" s="194"/>
      <c r="O363" s="157"/>
      <c r="P363" s="92"/>
      <c r="Q363" s="145"/>
      <c r="R363" s="92"/>
      <c r="S363" s="145"/>
      <c r="T363" s="92"/>
      <c r="U363" s="145"/>
      <c r="V363" s="92"/>
      <c r="W363" s="145"/>
      <c r="X363" s="92"/>
      <c r="Y363" s="145"/>
      <c r="Z363" s="92"/>
      <c r="AA363" s="145"/>
      <c r="AB363" s="92"/>
      <c r="AC363" s="145"/>
      <c r="AD363" s="92"/>
      <c r="AE363" s="145"/>
      <c r="AF363" s="142" t="str">
        <f t="shared" si="20"/>
        <v/>
      </c>
      <c r="AG363" s="190" t="b">
        <f t="shared" si="19"/>
        <v>0</v>
      </c>
      <c r="AH363" s="145"/>
      <c r="AI363" s="153" t="s">
        <v>6</v>
      </c>
      <c r="AJ363" s="150">
        <f t="shared" si="18"/>
        <v>0</v>
      </c>
      <c r="AK363" s="154" t="s">
        <v>60</v>
      </c>
    </row>
    <row r="364" spans="1:37" ht="30" customHeight="1">
      <c r="A364" s="64"/>
      <c r="B364" s="64"/>
      <c r="C364" s="64"/>
      <c r="D364" s="64"/>
      <c r="E364" s="64"/>
      <c r="F364" s="64"/>
      <c r="G364" s="64"/>
      <c r="H364" s="64"/>
      <c r="I364" s="64"/>
      <c r="J364" s="64"/>
      <c r="K364" s="64"/>
      <c r="L364" s="64"/>
      <c r="M364" s="64"/>
      <c r="N364" s="194"/>
      <c r="O364" s="157"/>
      <c r="P364" s="92"/>
      <c r="Q364" s="145"/>
      <c r="R364" s="92"/>
      <c r="S364" s="145"/>
      <c r="T364" s="92"/>
      <c r="U364" s="145"/>
      <c r="V364" s="92"/>
      <c r="W364" s="145"/>
      <c r="X364" s="92"/>
      <c r="Y364" s="145"/>
      <c r="Z364" s="92"/>
      <c r="AA364" s="145"/>
      <c r="AB364" s="92"/>
      <c r="AC364" s="145"/>
      <c r="AD364" s="92"/>
      <c r="AE364" s="145"/>
      <c r="AF364" s="142" t="str">
        <f t="shared" si="20"/>
        <v/>
      </c>
      <c r="AG364" s="190" t="b">
        <f t="shared" si="19"/>
        <v>0</v>
      </c>
      <c r="AH364" s="145"/>
      <c r="AI364" s="153" t="s">
        <v>6</v>
      </c>
      <c r="AJ364" s="150">
        <f t="shared" si="18"/>
        <v>0</v>
      </c>
      <c r="AK364" s="154" t="s">
        <v>60</v>
      </c>
    </row>
    <row r="365" spans="1:37" ht="30" customHeight="1">
      <c r="A365" s="64"/>
      <c r="B365" s="64"/>
      <c r="C365" s="64"/>
      <c r="D365" s="64"/>
      <c r="E365" s="64"/>
      <c r="F365" s="64"/>
      <c r="G365" s="64"/>
      <c r="H365" s="64"/>
      <c r="I365" s="64"/>
      <c r="J365" s="64"/>
      <c r="K365" s="64"/>
      <c r="L365" s="64"/>
      <c r="M365" s="64"/>
      <c r="N365" s="194"/>
      <c r="O365" s="157"/>
      <c r="P365" s="92"/>
      <c r="Q365" s="145"/>
      <c r="R365" s="92"/>
      <c r="S365" s="145"/>
      <c r="T365" s="92"/>
      <c r="U365" s="145"/>
      <c r="V365" s="92"/>
      <c r="W365" s="145"/>
      <c r="X365" s="92"/>
      <c r="Y365" s="145"/>
      <c r="Z365" s="92"/>
      <c r="AA365" s="145"/>
      <c r="AB365" s="92"/>
      <c r="AC365" s="145"/>
      <c r="AD365" s="92"/>
      <c r="AE365" s="145"/>
      <c r="AF365" s="142" t="str">
        <f t="shared" si="20"/>
        <v/>
      </c>
      <c r="AG365" s="190" t="b">
        <f t="shared" si="19"/>
        <v>0</v>
      </c>
      <c r="AH365" s="145"/>
      <c r="AI365" s="153" t="s">
        <v>6</v>
      </c>
      <c r="AJ365" s="150">
        <f t="shared" si="18"/>
        <v>0</v>
      </c>
      <c r="AK365" s="154" t="s">
        <v>60</v>
      </c>
    </row>
    <row r="366" spans="1:37" ht="30" customHeight="1">
      <c r="A366" s="64"/>
      <c r="B366" s="64"/>
      <c r="C366" s="64"/>
      <c r="D366" s="64"/>
      <c r="E366" s="64"/>
      <c r="F366" s="64"/>
      <c r="G366" s="64"/>
      <c r="H366" s="64"/>
      <c r="I366" s="64"/>
      <c r="J366" s="64"/>
      <c r="K366" s="64"/>
      <c r="L366" s="64"/>
      <c r="M366" s="64"/>
      <c r="N366" s="194"/>
      <c r="O366" s="157"/>
      <c r="P366" s="92"/>
      <c r="Q366" s="145"/>
      <c r="R366" s="92"/>
      <c r="S366" s="145"/>
      <c r="T366" s="92"/>
      <c r="U366" s="145"/>
      <c r="V366" s="92"/>
      <c r="W366" s="145"/>
      <c r="X366" s="92"/>
      <c r="Y366" s="145"/>
      <c r="Z366" s="92"/>
      <c r="AA366" s="145"/>
      <c r="AB366" s="92"/>
      <c r="AC366" s="145"/>
      <c r="AD366" s="92"/>
      <c r="AE366" s="145"/>
      <c r="AF366" s="142" t="str">
        <f t="shared" si="20"/>
        <v/>
      </c>
      <c r="AG366" s="190" t="b">
        <f t="shared" si="19"/>
        <v>0</v>
      </c>
      <c r="AH366" s="145"/>
      <c r="AI366" s="153" t="s">
        <v>6</v>
      </c>
      <c r="AJ366" s="150">
        <f t="shared" si="18"/>
        <v>0</v>
      </c>
      <c r="AK366" s="154" t="s">
        <v>60</v>
      </c>
    </row>
    <row r="367" spans="1:37" ht="30" customHeight="1">
      <c r="A367" s="64"/>
      <c r="B367" s="64"/>
      <c r="C367" s="64"/>
      <c r="D367" s="64"/>
      <c r="E367" s="64"/>
      <c r="F367" s="64"/>
      <c r="G367" s="64"/>
      <c r="H367" s="64"/>
      <c r="I367" s="64"/>
      <c r="J367" s="64"/>
      <c r="K367" s="64"/>
      <c r="L367" s="64"/>
      <c r="M367" s="64"/>
      <c r="N367" s="194"/>
      <c r="O367" s="157"/>
      <c r="P367" s="92"/>
      <c r="Q367" s="145"/>
      <c r="R367" s="92"/>
      <c r="S367" s="145"/>
      <c r="T367" s="92"/>
      <c r="U367" s="145"/>
      <c r="V367" s="92"/>
      <c r="W367" s="145"/>
      <c r="X367" s="92"/>
      <c r="Y367" s="145"/>
      <c r="Z367" s="92"/>
      <c r="AA367" s="145"/>
      <c r="AB367" s="92"/>
      <c r="AC367" s="145"/>
      <c r="AD367" s="92"/>
      <c r="AE367" s="145"/>
      <c r="AF367" s="142" t="str">
        <f t="shared" si="20"/>
        <v/>
      </c>
      <c r="AG367" s="190" t="b">
        <f t="shared" si="19"/>
        <v>0</v>
      </c>
      <c r="AH367" s="145"/>
      <c r="AI367" s="153" t="s">
        <v>6</v>
      </c>
      <c r="AJ367" s="150">
        <f t="shared" si="18"/>
        <v>0</v>
      </c>
      <c r="AK367" s="154" t="s">
        <v>60</v>
      </c>
    </row>
    <row r="368" spans="1:37" ht="30" customHeight="1">
      <c r="A368" s="64"/>
      <c r="B368" s="64"/>
      <c r="C368" s="64"/>
      <c r="D368" s="64"/>
      <c r="E368" s="64"/>
      <c r="F368" s="64"/>
      <c r="G368" s="64"/>
      <c r="H368" s="64"/>
      <c r="I368" s="64"/>
      <c r="J368" s="64"/>
      <c r="K368" s="64"/>
      <c r="L368" s="64"/>
      <c r="M368" s="64"/>
      <c r="N368" s="194"/>
      <c r="O368" s="157"/>
      <c r="P368" s="92"/>
      <c r="Q368" s="145"/>
      <c r="R368" s="92"/>
      <c r="S368" s="145"/>
      <c r="T368" s="92"/>
      <c r="U368" s="145"/>
      <c r="V368" s="92"/>
      <c r="W368" s="145"/>
      <c r="X368" s="92"/>
      <c r="Y368" s="145"/>
      <c r="Z368" s="92"/>
      <c r="AA368" s="145"/>
      <c r="AB368" s="92"/>
      <c r="AC368" s="145"/>
      <c r="AD368" s="92"/>
      <c r="AE368" s="145"/>
      <c r="AF368" s="142" t="str">
        <f t="shared" si="20"/>
        <v/>
      </c>
      <c r="AG368" s="190" t="b">
        <f t="shared" si="19"/>
        <v>0</v>
      </c>
      <c r="AH368" s="145"/>
      <c r="AI368" s="153" t="s">
        <v>6</v>
      </c>
      <c r="AJ368" s="150">
        <f t="shared" si="18"/>
        <v>0</v>
      </c>
      <c r="AK368" s="154" t="s">
        <v>60</v>
      </c>
    </row>
    <row r="369" spans="1:37" ht="30" customHeight="1">
      <c r="A369" s="64"/>
      <c r="B369" s="64"/>
      <c r="C369" s="64"/>
      <c r="D369" s="64"/>
      <c r="E369" s="64"/>
      <c r="F369" s="64"/>
      <c r="G369" s="64"/>
      <c r="H369" s="64"/>
      <c r="I369" s="64"/>
      <c r="J369" s="64"/>
      <c r="K369" s="64"/>
      <c r="L369" s="64"/>
      <c r="M369" s="64"/>
      <c r="N369" s="194"/>
      <c r="O369" s="157"/>
      <c r="P369" s="92"/>
      <c r="Q369" s="145"/>
      <c r="R369" s="92"/>
      <c r="S369" s="145"/>
      <c r="T369" s="92"/>
      <c r="U369" s="145"/>
      <c r="V369" s="92"/>
      <c r="W369" s="145"/>
      <c r="X369" s="92"/>
      <c r="Y369" s="145"/>
      <c r="Z369" s="92"/>
      <c r="AA369" s="145"/>
      <c r="AB369" s="92"/>
      <c r="AC369" s="145"/>
      <c r="AD369" s="92"/>
      <c r="AE369" s="145"/>
      <c r="AF369" s="142" t="str">
        <f t="shared" si="20"/>
        <v/>
      </c>
      <c r="AG369" s="190" t="b">
        <f t="shared" si="19"/>
        <v>0</v>
      </c>
      <c r="AH369" s="145"/>
      <c r="AI369" s="153" t="s">
        <v>6</v>
      </c>
      <c r="AJ369" s="150">
        <f t="shared" si="18"/>
        <v>0</v>
      </c>
      <c r="AK369" s="154" t="s">
        <v>60</v>
      </c>
    </row>
    <row r="370" spans="1:37" ht="30" customHeight="1">
      <c r="A370" s="64"/>
      <c r="B370" s="64"/>
      <c r="C370" s="64"/>
      <c r="D370" s="64"/>
      <c r="E370" s="64"/>
      <c r="F370" s="64"/>
      <c r="G370" s="64"/>
      <c r="H370" s="64"/>
      <c r="I370" s="64"/>
      <c r="J370" s="64"/>
      <c r="K370" s="64"/>
      <c r="L370" s="64"/>
      <c r="M370" s="64"/>
      <c r="N370" s="194"/>
      <c r="O370" s="157"/>
      <c r="P370" s="92"/>
      <c r="Q370" s="145"/>
      <c r="R370" s="92"/>
      <c r="S370" s="145"/>
      <c r="T370" s="92"/>
      <c r="U370" s="145"/>
      <c r="V370" s="92"/>
      <c r="W370" s="145"/>
      <c r="X370" s="92"/>
      <c r="Y370" s="145"/>
      <c r="Z370" s="92"/>
      <c r="AA370" s="145"/>
      <c r="AB370" s="92"/>
      <c r="AC370" s="145"/>
      <c r="AD370" s="92"/>
      <c r="AE370" s="145"/>
      <c r="AF370" s="142" t="str">
        <f t="shared" si="20"/>
        <v/>
      </c>
      <c r="AG370" s="190" t="b">
        <f t="shared" si="19"/>
        <v>0</v>
      </c>
      <c r="AH370" s="145"/>
      <c r="AI370" s="153" t="s">
        <v>6</v>
      </c>
      <c r="AJ370" s="150">
        <f t="shared" si="18"/>
        <v>0</v>
      </c>
      <c r="AK370" s="154" t="s">
        <v>60</v>
      </c>
    </row>
    <row r="371" spans="1:37" ht="30" customHeight="1">
      <c r="A371" s="64"/>
      <c r="B371" s="64"/>
      <c r="C371" s="64"/>
      <c r="D371" s="64"/>
      <c r="E371" s="64"/>
      <c r="F371" s="64"/>
      <c r="G371" s="64"/>
      <c r="H371" s="64"/>
      <c r="I371" s="64"/>
      <c r="J371" s="64"/>
      <c r="K371" s="64"/>
      <c r="L371" s="64"/>
      <c r="M371" s="64"/>
      <c r="N371" s="194"/>
      <c r="O371" s="157"/>
      <c r="P371" s="92"/>
      <c r="Q371" s="145"/>
      <c r="R371" s="92"/>
      <c r="S371" s="145"/>
      <c r="T371" s="92"/>
      <c r="U371" s="145"/>
      <c r="V371" s="92"/>
      <c r="W371" s="145"/>
      <c r="X371" s="92"/>
      <c r="Y371" s="145"/>
      <c r="Z371" s="92"/>
      <c r="AA371" s="145"/>
      <c r="AB371" s="92"/>
      <c r="AC371" s="145"/>
      <c r="AD371" s="92"/>
      <c r="AE371" s="145"/>
      <c r="AF371" s="142" t="str">
        <f t="shared" si="20"/>
        <v/>
      </c>
      <c r="AG371" s="190" t="b">
        <f t="shared" si="19"/>
        <v>0</v>
      </c>
      <c r="AH371" s="145"/>
      <c r="AI371" s="153" t="s">
        <v>6</v>
      </c>
      <c r="AJ371" s="150">
        <f t="shared" si="18"/>
        <v>0</v>
      </c>
      <c r="AK371" s="154" t="s">
        <v>60</v>
      </c>
    </row>
    <row r="372" spans="1:37" ht="30" customHeight="1">
      <c r="A372" s="64"/>
      <c r="B372" s="64"/>
      <c r="C372" s="64"/>
      <c r="D372" s="64"/>
      <c r="E372" s="64"/>
      <c r="F372" s="64"/>
      <c r="G372" s="64"/>
      <c r="H372" s="64"/>
      <c r="I372" s="64"/>
      <c r="J372" s="64"/>
      <c r="K372" s="64"/>
      <c r="L372" s="64"/>
      <c r="M372" s="64"/>
      <c r="N372" s="194"/>
      <c r="O372" s="157"/>
      <c r="P372" s="92"/>
      <c r="Q372" s="145"/>
      <c r="R372" s="92"/>
      <c r="S372" s="145"/>
      <c r="T372" s="92"/>
      <c r="U372" s="145"/>
      <c r="V372" s="92"/>
      <c r="W372" s="145"/>
      <c r="X372" s="92"/>
      <c r="Y372" s="145"/>
      <c r="Z372" s="92"/>
      <c r="AA372" s="145"/>
      <c r="AB372" s="92"/>
      <c r="AC372" s="145"/>
      <c r="AD372" s="92"/>
      <c r="AE372" s="145"/>
      <c r="AF372" s="142" t="str">
        <f t="shared" si="20"/>
        <v/>
      </c>
      <c r="AG372" s="190" t="b">
        <f t="shared" si="19"/>
        <v>0</v>
      </c>
      <c r="AH372" s="145"/>
      <c r="AI372" s="153" t="s">
        <v>6</v>
      </c>
      <c r="AJ372" s="150">
        <f t="shared" si="18"/>
        <v>0</v>
      </c>
      <c r="AK372" s="154" t="s">
        <v>60</v>
      </c>
    </row>
    <row r="373" spans="1:37" ht="30" customHeight="1">
      <c r="A373" s="64"/>
      <c r="B373" s="64"/>
      <c r="C373" s="64"/>
      <c r="D373" s="64"/>
      <c r="E373" s="64"/>
      <c r="F373" s="64"/>
      <c r="G373" s="64"/>
      <c r="H373" s="64"/>
      <c r="I373" s="64"/>
      <c r="J373" s="64"/>
      <c r="K373" s="64"/>
      <c r="L373" s="64"/>
      <c r="M373" s="64"/>
      <c r="N373" s="194"/>
      <c r="O373" s="157"/>
      <c r="P373" s="92"/>
      <c r="Q373" s="145"/>
      <c r="R373" s="92"/>
      <c r="S373" s="145"/>
      <c r="T373" s="92"/>
      <c r="U373" s="145"/>
      <c r="V373" s="92"/>
      <c r="W373" s="145"/>
      <c r="X373" s="92"/>
      <c r="Y373" s="145"/>
      <c r="Z373" s="92"/>
      <c r="AA373" s="145"/>
      <c r="AB373" s="92"/>
      <c r="AC373" s="145"/>
      <c r="AD373" s="92"/>
      <c r="AE373" s="145"/>
      <c r="AF373" s="142" t="str">
        <f t="shared" si="20"/>
        <v/>
      </c>
      <c r="AG373" s="190" t="b">
        <f t="shared" si="19"/>
        <v>0</v>
      </c>
      <c r="AH373" s="145"/>
      <c r="AI373" s="153" t="s">
        <v>6</v>
      </c>
      <c r="AJ373" s="150">
        <f t="shared" si="18"/>
        <v>0</v>
      </c>
      <c r="AK373" s="154" t="s">
        <v>60</v>
      </c>
    </row>
    <row r="374" spans="1:37" ht="30" customHeight="1">
      <c r="A374" s="64"/>
      <c r="B374" s="64"/>
      <c r="C374" s="64"/>
      <c r="D374" s="64"/>
      <c r="E374" s="64"/>
      <c r="F374" s="64"/>
      <c r="G374" s="64"/>
      <c r="H374" s="64"/>
      <c r="I374" s="64"/>
      <c r="J374" s="64"/>
      <c r="K374" s="64"/>
      <c r="L374" s="64"/>
      <c r="M374" s="64"/>
      <c r="N374" s="194"/>
      <c r="O374" s="157"/>
      <c r="P374" s="92"/>
      <c r="Q374" s="145"/>
      <c r="R374" s="92"/>
      <c r="S374" s="145"/>
      <c r="T374" s="92"/>
      <c r="U374" s="145"/>
      <c r="V374" s="92"/>
      <c r="W374" s="145"/>
      <c r="X374" s="92"/>
      <c r="Y374" s="145"/>
      <c r="Z374" s="92"/>
      <c r="AA374" s="145"/>
      <c r="AB374" s="92"/>
      <c r="AC374" s="145"/>
      <c r="AD374" s="92"/>
      <c r="AE374" s="145"/>
      <c r="AF374" s="142" t="str">
        <f t="shared" si="20"/>
        <v/>
      </c>
      <c r="AG374" s="190" t="b">
        <f t="shared" si="19"/>
        <v>0</v>
      </c>
      <c r="AH374" s="145"/>
      <c r="AI374" s="153" t="s">
        <v>6</v>
      </c>
      <c r="AJ374" s="150">
        <f t="shared" si="18"/>
        <v>0</v>
      </c>
      <c r="AK374" s="154" t="s">
        <v>60</v>
      </c>
    </row>
    <row r="375" spans="1:37" ht="30" customHeight="1">
      <c r="A375" s="64"/>
      <c r="B375" s="64"/>
      <c r="C375" s="64"/>
      <c r="D375" s="64"/>
      <c r="E375" s="64"/>
      <c r="F375" s="64"/>
      <c r="G375" s="64"/>
      <c r="H375" s="64"/>
      <c r="I375" s="64"/>
      <c r="J375" s="64"/>
      <c r="K375" s="64"/>
      <c r="L375" s="64"/>
      <c r="M375" s="64"/>
      <c r="N375" s="194"/>
      <c r="O375" s="157"/>
      <c r="P375" s="92"/>
      <c r="Q375" s="145"/>
      <c r="R375" s="92"/>
      <c r="S375" s="145"/>
      <c r="T375" s="92"/>
      <c r="U375" s="145"/>
      <c r="V375" s="92"/>
      <c r="W375" s="145"/>
      <c r="X375" s="92"/>
      <c r="Y375" s="145"/>
      <c r="Z375" s="92"/>
      <c r="AA375" s="145"/>
      <c r="AB375" s="92"/>
      <c r="AC375" s="145"/>
      <c r="AD375" s="92"/>
      <c r="AE375" s="145"/>
      <c r="AF375" s="142" t="str">
        <f t="shared" si="20"/>
        <v/>
      </c>
      <c r="AG375" s="190" t="b">
        <f t="shared" si="19"/>
        <v>0</v>
      </c>
      <c r="AH375" s="145"/>
      <c r="AI375" s="153" t="s">
        <v>6</v>
      </c>
      <c r="AJ375" s="150">
        <f t="shared" si="18"/>
        <v>0</v>
      </c>
      <c r="AK375" s="154" t="s">
        <v>60</v>
      </c>
    </row>
    <row r="376" spans="1:37" ht="30" customHeight="1">
      <c r="A376" s="64"/>
      <c r="B376" s="64"/>
      <c r="C376" s="64"/>
      <c r="D376" s="64"/>
      <c r="E376" s="64"/>
      <c r="F376" s="64"/>
      <c r="G376" s="64"/>
      <c r="H376" s="64"/>
      <c r="I376" s="64"/>
      <c r="J376" s="64"/>
      <c r="K376" s="64"/>
      <c r="L376" s="64"/>
      <c r="M376" s="64"/>
      <c r="N376" s="194"/>
      <c r="O376" s="157"/>
      <c r="P376" s="92"/>
      <c r="Q376" s="145"/>
      <c r="R376" s="92"/>
      <c r="S376" s="145"/>
      <c r="T376" s="92"/>
      <c r="U376" s="145"/>
      <c r="V376" s="92"/>
      <c r="W376" s="145"/>
      <c r="X376" s="92"/>
      <c r="Y376" s="145"/>
      <c r="Z376" s="92"/>
      <c r="AA376" s="145"/>
      <c r="AB376" s="92"/>
      <c r="AC376" s="145"/>
      <c r="AD376" s="92"/>
      <c r="AE376" s="145"/>
      <c r="AF376" s="142" t="str">
        <f t="shared" si="20"/>
        <v/>
      </c>
      <c r="AG376" s="190" t="b">
        <f t="shared" si="19"/>
        <v>0</v>
      </c>
      <c r="AH376" s="145"/>
      <c r="AI376" s="153" t="s">
        <v>6</v>
      </c>
      <c r="AJ376" s="150">
        <f t="shared" si="18"/>
        <v>0</v>
      </c>
      <c r="AK376" s="154" t="s">
        <v>60</v>
      </c>
    </row>
    <row r="377" spans="1:37" ht="30" customHeight="1">
      <c r="A377" s="64"/>
      <c r="B377" s="64"/>
      <c r="C377" s="64"/>
      <c r="D377" s="64"/>
      <c r="E377" s="64"/>
      <c r="F377" s="64"/>
      <c r="G377" s="64"/>
      <c r="H377" s="64"/>
      <c r="I377" s="64"/>
      <c r="J377" s="64"/>
      <c r="K377" s="64"/>
      <c r="L377" s="64"/>
      <c r="M377" s="64"/>
      <c r="N377" s="194"/>
      <c r="O377" s="157"/>
      <c r="P377" s="92"/>
      <c r="Q377" s="145"/>
      <c r="R377" s="92"/>
      <c r="S377" s="145"/>
      <c r="T377" s="92"/>
      <c r="U377" s="145"/>
      <c r="V377" s="92"/>
      <c r="W377" s="145"/>
      <c r="X377" s="92"/>
      <c r="Y377" s="145"/>
      <c r="Z377" s="92"/>
      <c r="AA377" s="145"/>
      <c r="AB377" s="92"/>
      <c r="AC377" s="145"/>
      <c r="AD377" s="92"/>
      <c r="AE377" s="145"/>
      <c r="AF377" s="142" t="str">
        <f t="shared" si="20"/>
        <v/>
      </c>
      <c r="AG377" s="190" t="b">
        <f t="shared" si="19"/>
        <v>0</v>
      </c>
      <c r="AH377" s="145"/>
      <c r="AI377" s="153" t="s">
        <v>6</v>
      </c>
      <c r="AJ377" s="150">
        <f t="shared" si="18"/>
        <v>0</v>
      </c>
      <c r="AK377" s="154" t="s">
        <v>60</v>
      </c>
    </row>
    <row r="378" spans="1:37" ht="30" customHeight="1">
      <c r="A378" s="64"/>
      <c r="B378" s="64"/>
      <c r="C378" s="64"/>
      <c r="D378" s="64"/>
      <c r="E378" s="64"/>
      <c r="F378" s="64"/>
      <c r="G378" s="64"/>
      <c r="H378" s="64"/>
      <c r="I378" s="64"/>
      <c r="J378" s="64"/>
      <c r="K378" s="64"/>
      <c r="L378" s="64"/>
      <c r="M378" s="64"/>
      <c r="N378" s="194"/>
      <c r="O378" s="157"/>
      <c r="P378" s="92"/>
      <c r="Q378" s="145"/>
      <c r="R378" s="92"/>
      <c r="S378" s="145"/>
      <c r="T378" s="92"/>
      <c r="U378" s="145"/>
      <c r="V378" s="92"/>
      <c r="W378" s="145"/>
      <c r="X378" s="92"/>
      <c r="Y378" s="145"/>
      <c r="Z378" s="92"/>
      <c r="AA378" s="145"/>
      <c r="AB378" s="92"/>
      <c r="AC378" s="145"/>
      <c r="AD378" s="92"/>
      <c r="AE378" s="145"/>
      <c r="AF378" s="142" t="str">
        <f t="shared" si="20"/>
        <v/>
      </c>
      <c r="AG378" s="190" t="b">
        <f t="shared" si="19"/>
        <v>0</v>
      </c>
      <c r="AH378" s="145"/>
      <c r="AI378" s="153" t="s">
        <v>6</v>
      </c>
      <c r="AJ378" s="150">
        <f t="shared" si="18"/>
        <v>0</v>
      </c>
      <c r="AK378" s="154" t="s">
        <v>60</v>
      </c>
    </row>
    <row r="379" spans="1:37" ht="30" customHeight="1">
      <c r="A379" s="64"/>
      <c r="B379" s="64"/>
      <c r="C379" s="64"/>
      <c r="D379" s="64"/>
      <c r="E379" s="64"/>
      <c r="F379" s="64"/>
      <c r="G379" s="64"/>
      <c r="H379" s="64"/>
      <c r="I379" s="64"/>
      <c r="J379" s="64"/>
      <c r="K379" s="64"/>
      <c r="L379" s="64"/>
      <c r="M379" s="64"/>
      <c r="N379" s="194"/>
      <c r="O379" s="157"/>
      <c r="P379" s="92"/>
      <c r="Q379" s="145"/>
      <c r="R379" s="92"/>
      <c r="S379" s="145"/>
      <c r="T379" s="92"/>
      <c r="U379" s="145"/>
      <c r="V379" s="92"/>
      <c r="W379" s="145"/>
      <c r="X379" s="92"/>
      <c r="Y379" s="145"/>
      <c r="Z379" s="92"/>
      <c r="AA379" s="145"/>
      <c r="AB379" s="92"/>
      <c r="AC379" s="145"/>
      <c r="AD379" s="92"/>
      <c r="AE379" s="145"/>
      <c r="AF379" s="142" t="str">
        <f t="shared" si="20"/>
        <v/>
      </c>
      <c r="AG379" s="190" t="b">
        <f t="shared" si="19"/>
        <v>0</v>
      </c>
      <c r="AH379" s="145"/>
      <c r="AI379" s="153" t="s">
        <v>6</v>
      </c>
      <c r="AJ379" s="150">
        <f t="shared" si="18"/>
        <v>0</v>
      </c>
      <c r="AK379" s="154" t="s">
        <v>60</v>
      </c>
    </row>
    <row r="380" spans="1:37" ht="30" customHeight="1">
      <c r="A380" s="64"/>
      <c r="B380" s="64"/>
      <c r="C380" s="64"/>
      <c r="D380" s="64"/>
      <c r="E380" s="64"/>
      <c r="F380" s="64"/>
      <c r="G380" s="64"/>
      <c r="H380" s="64"/>
      <c r="I380" s="64"/>
      <c r="J380" s="64"/>
      <c r="K380" s="64"/>
      <c r="L380" s="64"/>
      <c r="M380" s="64"/>
      <c r="N380" s="194"/>
      <c r="O380" s="157"/>
      <c r="P380" s="92"/>
      <c r="Q380" s="145"/>
      <c r="R380" s="92"/>
      <c r="S380" s="145"/>
      <c r="T380" s="92"/>
      <c r="U380" s="145"/>
      <c r="V380" s="92"/>
      <c r="W380" s="145"/>
      <c r="X380" s="92"/>
      <c r="Y380" s="145"/>
      <c r="Z380" s="92"/>
      <c r="AA380" s="145"/>
      <c r="AB380" s="92"/>
      <c r="AC380" s="145"/>
      <c r="AD380" s="92"/>
      <c r="AE380" s="145"/>
      <c r="AF380" s="142" t="str">
        <f t="shared" si="20"/>
        <v/>
      </c>
      <c r="AG380" s="190" t="b">
        <f t="shared" si="19"/>
        <v>0</v>
      </c>
      <c r="AH380" s="145"/>
      <c r="AI380" s="153" t="s">
        <v>6</v>
      </c>
      <c r="AJ380" s="150">
        <f t="shared" si="18"/>
        <v>0</v>
      </c>
      <c r="AK380" s="154" t="s">
        <v>60</v>
      </c>
    </row>
    <row r="381" spans="1:37" ht="30" customHeight="1">
      <c r="A381" s="64"/>
      <c r="B381" s="64"/>
      <c r="C381" s="64"/>
      <c r="D381" s="64"/>
      <c r="E381" s="64"/>
      <c r="F381" s="64"/>
      <c r="G381" s="64"/>
      <c r="H381" s="64"/>
      <c r="I381" s="64"/>
      <c r="J381" s="64"/>
      <c r="K381" s="64"/>
      <c r="L381" s="64"/>
      <c r="M381" s="64"/>
      <c r="N381" s="194"/>
      <c r="O381" s="157"/>
      <c r="P381" s="92"/>
      <c r="Q381" s="145"/>
      <c r="R381" s="92"/>
      <c r="S381" s="145"/>
      <c r="T381" s="92"/>
      <c r="U381" s="145"/>
      <c r="V381" s="92"/>
      <c r="W381" s="145"/>
      <c r="X381" s="92"/>
      <c r="Y381" s="145"/>
      <c r="Z381" s="92"/>
      <c r="AA381" s="145"/>
      <c r="AB381" s="92"/>
      <c r="AC381" s="145"/>
      <c r="AD381" s="92"/>
      <c r="AE381" s="145"/>
      <c r="AF381" s="142" t="str">
        <f t="shared" si="20"/>
        <v/>
      </c>
      <c r="AG381" s="190" t="b">
        <f t="shared" si="19"/>
        <v>0</v>
      </c>
      <c r="AH381" s="145"/>
      <c r="AI381" s="153" t="s">
        <v>6</v>
      </c>
      <c r="AJ381" s="150">
        <f t="shared" si="18"/>
        <v>0</v>
      </c>
      <c r="AK381" s="154" t="s">
        <v>60</v>
      </c>
    </row>
    <row r="382" spans="1:37" ht="30" customHeight="1">
      <c r="A382" s="64"/>
      <c r="B382" s="64"/>
      <c r="C382" s="64"/>
      <c r="D382" s="64"/>
      <c r="E382" s="64"/>
      <c r="F382" s="64"/>
      <c r="G382" s="64"/>
      <c r="H382" s="64"/>
      <c r="I382" s="64"/>
      <c r="J382" s="64"/>
      <c r="K382" s="64"/>
      <c r="L382" s="64"/>
      <c r="M382" s="64"/>
      <c r="N382" s="194"/>
      <c r="O382" s="157"/>
      <c r="P382" s="92"/>
      <c r="Q382" s="145"/>
      <c r="R382" s="92"/>
      <c r="S382" s="145"/>
      <c r="T382" s="92"/>
      <c r="U382" s="145"/>
      <c r="V382" s="92"/>
      <c r="W382" s="145"/>
      <c r="X382" s="92"/>
      <c r="Y382" s="145"/>
      <c r="Z382" s="92"/>
      <c r="AA382" s="145"/>
      <c r="AB382" s="92"/>
      <c r="AC382" s="145"/>
      <c r="AD382" s="92"/>
      <c r="AE382" s="145"/>
      <c r="AF382" s="142" t="str">
        <f t="shared" si="20"/>
        <v/>
      </c>
      <c r="AG382" s="190" t="b">
        <f t="shared" si="19"/>
        <v>0</v>
      </c>
      <c r="AH382" s="145"/>
      <c r="AI382" s="153" t="s">
        <v>6</v>
      </c>
      <c r="AJ382" s="150">
        <f t="shared" si="18"/>
        <v>0</v>
      </c>
      <c r="AK382" s="154" t="s">
        <v>60</v>
      </c>
    </row>
    <row r="383" spans="1:37" ht="30" customHeight="1">
      <c r="A383" s="64"/>
      <c r="B383" s="64"/>
      <c r="C383" s="64"/>
      <c r="D383" s="64"/>
      <c r="E383" s="64"/>
      <c r="F383" s="64"/>
      <c r="G383" s="64"/>
      <c r="H383" s="64"/>
      <c r="I383" s="64"/>
      <c r="J383" s="64"/>
      <c r="K383" s="64"/>
      <c r="L383" s="64"/>
      <c r="M383" s="64"/>
      <c r="N383" s="194"/>
      <c r="O383" s="157"/>
      <c r="P383" s="92"/>
      <c r="Q383" s="145"/>
      <c r="R383" s="92"/>
      <c r="S383" s="145"/>
      <c r="T383" s="92"/>
      <c r="U383" s="145"/>
      <c r="V383" s="92"/>
      <c r="W383" s="145"/>
      <c r="X383" s="92"/>
      <c r="Y383" s="145"/>
      <c r="Z383" s="92"/>
      <c r="AA383" s="145"/>
      <c r="AB383" s="92"/>
      <c r="AC383" s="145"/>
      <c r="AD383" s="92"/>
      <c r="AE383" s="145"/>
      <c r="AF383" s="142" t="str">
        <f t="shared" si="20"/>
        <v/>
      </c>
      <c r="AG383" s="190" t="b">
        <f t="shared" si="19"/>
        <v>0</v>
      </c>
      <c r="AH383" s="145"/>
      <c r="AI383" s="153" t="s">
        <v>6</v>
      </c>
      <c r="AJ383" s="150">
        <f t="shared" si="18"/>
        <v>0</v>
      </c>
      <c r="AK383" s="154" t="s">
        <v>60</v>
      </c>
    </row>
    <row r="384" spans="1:37" ht="30" customHeight="1">
      <c r="A384" s="64"/>
      <c r="B384" s="64"/>
      <c r="C384" s="64"/>
      <c r="D384" s="64"/>
      <c r="E384" s="64"/>
      <c r="F384" s="64"/>
      <c r="G384" s="64"/>
      <c r="H384" s="64"/>
      <c r="I384" s="64"/>
      <c r="J384" s="64"/>
      <c r="K384" s="64"/>
      <c r="L384" s="64"/>
      <c r="M384" s="64"/>
      <c r="N384" s="194"/>
      <c r="O384" s="157"/>
      <c r="P384" s="92"/>
      <c r="Q384" s="145"/>
      <c r="R384" s="92"/>
      <c r="S384" s="145"/>
      <c r="T384" s="92"/>
      <c r="U384" s="145"/>
      <c r="V384" s="92"/>
      <c r="W384" s="145"/>
      <c r="X384" s="92"/>
      <c r="Y384" s="145"/>
      <c r="Z384" s="92"/>
      <c r="AA384" s="145"/>
      <c r="AB384" s="92"/>
      <c r="AC384" s="145"/>
      <c r="AD384" s="92"/>
      <c r="AE384" s="145"/>
      <c r="AF384" s="142" t="str">
        <f t="shared" si="20"/>
        <v/>
      </c>
      <c r="AG384" s="190" t="b">
        <f t="shared" si="19"/>
        <v>0</v>
      </c>
      <c r="AH384" s="145"/>
      <c r="AI384" s="153" t="s">
        <v>6</v>
      </c>
      <c r="AJ384" s="150">
        <f t="shared" si="18"/>
        <v>0</v>
      </c>
      <c r="AK384" s="154" t="s">
        <v>60</v>
      </c>
    </row>
    <row r="385" spans="1:37" ht="30" customHeight="1">
      <c r="A385" s="64"/>
      <c r="B385" s="64"/>
      <c r="C385" s="64"/>
      <c r="D385" s="64"/>
      <c r="E385" s="64"/>
      <c r="F385" s="64"/>
      <c r="G385" s="64"/>
      <c r="H385" s="64"/>
      <c r="I385" s="64"/>
      <c r="J385" s="64"/>
      <c r="K385" s="64"/>
      <c r="L385" s="64"/>
      <c r="M385" s="64"/>
      <c r="N385" s="194"/>
      <c r="O385" s="157"/>
      <c r="P385" s="92"/>
      <c r="Q385" s="145"/>
      <c r="R385" s="92"/>
      <c r="S385" s="145"/>
      <c r="T385" s="92"/>
      <c r="U385" s="145"/>
      <c r="V385" s="92"/>
      <c r="W385" s="145"/>
      <c r="X385" s="92"/>
      <c r="Y385" s="145"/>
      <c r="Z385" s="92"/>
      <c r="AA385" s="145"/>
      <c r="AB385" s="92"/>
      <c r="AC385" s="145"/>
      <c r="AD385" s="92"/>
      <c r="AE385" s="145"/>
      <c r="AF385" s="142" t="str">
        <f t="shared" si="20"/>
        <v/>
      </c>
      <c r="AG385" s="190" t="b">
        <f t="shared" si="19"/>
        <v>0</v>
      </c>
      <c r="AH385" s="145"/>
      <c r="AI385" s="153" t="s">
        <v>6</v>
      </c>
      <c r="AJ385" s="150">
        <f t="shared" si="18"/>
        <v>0</v>
      </c>
      <c r="AK385" s="154" t="s">
        <v>60</v>
      </c>
    </row>
    <row r="386" spans="1:37" ht="30" customHeight="1">
      <c r="A386" s="64"/>
      <c r="B386" s="64"/>
      <c r="C386" s="64"/>
      <c r="D386" s="64"/>
      <c r="E386" s="64"/>
      <c r="F386" s="64"/>
      <c r="G386" s="64"/>
      <c r="H386" s="64"/>
      <c r="I386" s="64"/>
      <c r="J386" s="64"/>
      <c r="K386" s="64"/>
      <c r="L386" s="64"/>
      <c r="M386" s="64"/>
      <c r="N386" s="194"/>
      <c r="O386" s="157"/>
      <c r="P386" s="92"/>
      <c r="Q386" s="145"/>
      <c r="R386" s="92"/>
      <c r="S386" s="145"/>
      <c r="T386" s="92"/>
      <c r="U386" s="145"/>
      <c r="V386" s="92"/>
      <c r="W386" s="145"/>
      <c r="X386" s="92"/>
      <c r="Y386" s="145"/>
      <c r="Z386" s="92"/>
      <c r="AA386" s="145"/>
      <c r="AB386" s="92"/>
      <c r="AC386" s="145"/>
      <c r="AD386" s="92"/>
      <c r="AE386" s="145"/>
      <c r="AF386" s="142" t="str">
        <f t="shared" si="20"/>
        <v/>
      </c>
      <c r="AG386" s="190" t="b">
        <f t="shared" si="19"/>
        <v>0</v>
      </c>
      <c r="AH386" s="145"/>
      <c r="AI386" s="153" t="s">
        <v>6</v>
      </c>
      <c r="AJ386" s="150">
        <f t="shared" si="18"/>
        <v>0</v>
      </c>
      <c r="AK386" s="154" t="s">
        <v>60</v>
      </c>
    </row>
    <row r="387" spans="1:37" ht="30" customHeight="1">
      <c r="A387" s="64"/>
      <c r="B387" s="64"/>
      <c r="C387" s="64"/>
      <c r="D387" s="64"/>
      <c r="E387" s="64"/>
      <c r="F387" s="64"/>
      <c r="G387" s="64"/>
      <c r="H387" s="64"/>
      <c r="I387" s="64"/>
      <c r="J387" s="64"/>
      <c r="K387" s="64"/>
      <c r="L387" s="64"/>
      <c r="M387" s="64"/>
      <c r="N387" s="194"/>
      <c r="O387" s="157"/>
      <c r="P387" s="92"/>
      <c r="Q387" s="145"/>
      <c r="R387" s="92"/>
      <c r="S387" s="145"/>
      <c r="T387" s="92"/>
      <c r="U387" s="145"/>
      <c r="V387" s="92"/>
      <c r="W387" s="145"/>
      <c r="X387" s="92"/>
      <c r="Y387" s="145"/>
      <c r="Z387" s="92"/>
      <c r="AA387" s="145"/>
      <c r="AB387" s="92"/>
      <c r="AC387" s="145"/>
      <c r="AD387" s="92"/>
      <c r="AE387" s="145"/>
      <c r="AF387" s="142" t="str">
        <f t="shared" si="20"/>
        <v/>
      </c>
      <c r="AG387" s="190" t="b">
        <f t="shared" si="19"/>
        <v>0</v>
      </c>
      <c r="AH387" s="145"/>
      <c r="AI387" s="153" t="s">
        <v>6</v>
      </c>
      <c r="AJ387" s="150">
        <f t="shared" si="18"/>
        <v>0</v>
      </c>
      <c r="AK387" s="154" t="s">
        <v>60</v>
      </c>
    </row>
    <row r="388" spans="1:37" ht="30" customHeight="1">
      <c r="A388" s="64"/>
      <c r="B388" s="64"/>
      <c r="C388" s="64"/>
      <c r="D388" s="64"/>
      <c r="E388" s="64"/>
      <c r="F388" s="64"/>
      <c r="G388" s="64"/>
      <c r="H388" s="64"/>
      <c r="I388" s="64"/>
      <c r="J388" s="64"/>
      <c r="K388" s="64"/>
      <c r="L388" s="64"/>
      <c r="M388" s="64"/>
      <c r="N388" s="194"/>
      <c r="O388" s="157"/>
      <c r="P388" s="92"/>
      <c r="Q388" s="145"/>
      <c r="R388" s="92"/>
      <c r="S388" s="145"/>
      <c r="T388" s="92"/>
      <c r="U388" s="145"/>
      <c r="V388" s="92"/>
      <c r="W388" s="145"/>
      <c r="X388" s="92"/>
      <c r="Y388" s="145"/>
      <c r="Z388" s="92"/>
      <c r="AA388" s="145"/>
      <c r="AB388" s="92"/>
      <c r="AC388" s="145"/>
      <c r="AD388" s="92"/>
      <c r="AE388" s="145"/>
      <c r="AF388" s="142" t="str">
        <f t="shared" si="20"/>
        <v/>
      </c>
      <c r="AG388" s="190" t="b">
        <f t="shared" si="19"/>
        <v>0</v>
      </c>
      <c r="AH388" s="145"/>
      <c r="AI388" s="153" t="s">
        <v>6</v>
      </c>
      <c r="AJ388" s="150">
        <f t="shared" si="18"/>
        <v>0</v>
      </c>
      <c r="AK388" s="154" t="s">
        <v>60</v>
      </c>
    </row>
    <row r="389" spans="1:37" ht="30" customHeight="1">
      <c r="A389" s="64"/>
      <c r="B389" s="64"/>
      <c r="C389" s="64"/>
      <c r="D389" s="64"/>
      <c r="E389" s="64"/>
      <c r="F389" s="64"/>
      <c r="G389" s="64"/>
      <c r="H389" s="64"/>
      <c r="I389" s="64"/>
      <c r="J389" s="64"/>
      <c r="K389" s="64"/>
      <c r="L389" s="64"/>
      <c r="M389" s="64"/>
      <c r="N389" s="194"/>
      <c r="O389" s="157"/>
      <c r="P389" s="92"/>
      <c r="Q389" s="145"/>
      <c r="R389" s="92"/>
      <c r="S389" s="145"/>
      <c r="T389" s="92"/>
      <c r="U389" s="145"/>
      <c r="V389" s="92"/>
      <c r="W389" s="145"/>
      <c r="X389" s="92"/>
      <c r="Y389" s="145"/>
      <c r="Z389" s="92"/>
      <c r="AA389" s="145"/>
      <c r="AB389" s="92"/>
      <c r="AC389" s="145"/>
      <c r="AD389" s="92"/>
      <c r="AE389" s="145"/>
      <c r="AF389" s="142" t="str">
        <f t="shared" si="20"/>
        <v/>
      </c>
      <c r="AG389" s="190" t="b">
        <f t="shared" si="19"/>
        <v>0</v>
      </c>
      <c r="AH389" s="145"/>
      <c r="AI389" s="153" t="s">
        <v>6</v>
      </c>
      <c r="AJ389" s="150">
        <f t="shared" si="18"/>
        <v>0</v>
      </c>
      <c r="AK389" s="154" t="s">
        <v>60</v>
      </c>
    </row>
    <row r="390" spans="1:37" ht="30" customHeight="1">
      <c r="A390" s="64"/>
      <c r="B390" s="64"/>
      <c r="C390" s="64"/>
      <c r="D390" s="64"/>
      <c r="E390" s="64"/>
      <c r="F390" s="64"/>
      <c r="G390" s="64"/>
      <c r="H390" s="64"/>
      <c r="I390" s="64"/>
      <c r="J390" s="64"/>
      <c r="K390" s="64"/>
      <c r="L390" s="64"/>
      <c r="M390" s="64"/>
      <c r="N390" s="194"/>
      <c r="O390" s="157"/>
      <c r="P390" s="92"/>
      <c r="Q390" s="145"/>
      <c r="R390" s="92"/>
      <c r="S390" s="145"/>
      <c r="T390" s="92"/>
      <c r="U390" s="145"/>
      <c r="V390" s="92"/>
      <c r="W390" s="145"/>
      <c r="X390" s="92"/>
      <c r="Y390" s="145"/>
      <c r="Z390" s="92"/>
      <c r="AA390" s="145"/>
      <c r="AB390" s="92"/>
      <c r="AC390" s="145"/>
      <c r="AD390" s="92"/>
      <c r="AE390" s="145"/>
      <c r="AF390" s="142" t="str">
        <f t="shared" si="20"/>
        <v/>
      </c>
      <c r="AG390" s="190" t="b">
        <f t="shared" si="19"/>
        <v>0</v>
      </c>
      <c r="AH390" s="145"/>
      <c r="AI390" s="153" t="s">
        <v>6</v>
      </c>
      <c r="AJ390" s="150">
        <f t="shared" si="18"/>
        <v>0</v>
      </c>
      <c r="AK390" s="154" t="s">
        <v>60</v>
      </c>
    </row>
    <row r="391" spans="1:37" ht="30" customHeight="1">
      <c r="A391" s="64"/>
      <c r="B391" s="64"/>
      <c r="C391" s="64"/>
      <c r="D391" s="64"/>
      <c r="E391" s="64"/>
      <c r="F391" s="64"/>
      <c r="G391" s="64"/>
      <c r="H391" s="64"/>
      <c r="I391" s="64"/>
      <c r="J391" s="64"/>
      <c r="K391" s="64"/>
      <c r="L391" s="64"/>
      <c r="M391" s="64"/>
      <c r="N391" s="194"/>
      <c r="O391" s="157"/>
      <c r="P391" s="92"/>
      <c r="Q391" s="145"/>
      <c r="R391" s="92"/>
      <c r="S391" s="145"/>
      <c r="T391" s="92"/>
      <c r="U391" s="145"/>
      <c r="V391" s="92"/>
      <c r="W391" s="145"/>
      <c r="X391" s="92"/>
      <c r="Y391" s="145"/>
      <c r="Z391" s="92"/>
      <c r="AA391" s="145"/>
      <c r="AB391" s="92"/>
      <c r="AC391" s="145"/>
      <c r="AD391" s="92"/>
      <c r="AE391" s="145"/>
      <c r="AF391" s="142" t="str">
        <f t="shared" si="20"/>
        <v/>
      </c>
      <c r="AG391" s="190" t="b">
        <f t="shared" si="19"/>
        <v>0</v>
      </c>
      <c r="AH391" s="145"/>
      <c r="AI391" s="153" t="s">
        <v>6</v>
      </c>
      <c r="AJ391" s="150">
        <f t="shared" ref="AJ391:AJ454" si="21">E391</f>
        <v>0</v>
      </c>
      <c r="AK391" s="154" t="s">
        <v>60</v>
      </c>
    </row>
    <row r="392" spans="1:37" ht="30" customHeight="1">
      <c r="A392" s="64"/>
      <c r="B392" s="64"/>
      <c r="C392" s="64"/>
      <c r="D392" s="64"/>
      <c r="E392" s="64"/>
      <c r="F392" s="64"/>
      <c r="G392" s="64"/>
      <c r="H392" s="64"/>
      <c r="I392" s="64"/>
      <c r="J392" s="64"/>
      <c r="K392" s="64"/>
      <c r="L392" s="64"/>
      <c r="M392" s="64"/>
      <c r="N392" s="194"/>
      <c r="O392" s="157"/>
      <c r="P392" s="92"/>
      <c r="Q392" s="145"/>
      <c r="R392" s="92"/>
      <c r="S392" s="145"/>
      <c r="T392" s="92"/>
      <c r="U392" s="145"/>
      <c r="V392" s="92"/>
      <c r="W392" s="145"/>
      <c r="X392" s="92"/>
      <c r="Y392" s="145"/>
      <c r="Z392" s="92"/>
      <c r="AA392" s="145"/>
      <c r="AB392" s="92"/>
      <c r="AC392" s="145"/>
      <c r="AD392" s="92"/>
      <c r="AE392" s="145"/>
      <c r="AF392" s="142" t="str">
        <f t="shared" si="20"/>
        <v/>
      </c>
      <c r="AG392" s="190" t="b">
        <f t="shared" si="19"/>
        <v>0</v>
      </c>
      <c r="AH392" s="145"/>
      <c r="AI392" s="153" t="s">
        <v>6</v>
      </c>
      <c r="AJ392" s="150">
        <f t="shared" si="21"/>
        <v>0</v>
      </c>
      <c r="AK392" s="154" t="s">
        <v>60</v>
      </c>
    </row>
    <row r="393" spans="1:37" ht="30" customHeight="1">
      <c r="A393" s="64"/>
      <c r="B393" s="64"/>
      <c r="C393" s="64"/>
      <c r="D393" s="64"/>
      <c r="E393" s="64"/>
      <c r="F393" s="64"/>
      <c r="G393" s="64"/>
      <c r="H393" s="64"/>
      <c r="I393" s="64"/>
      <c r="J393" s="64"/>
      <c r="K393" s="64"/>
      <c r="L393" s="64"/>
      <c r="M393" s="64"/>
      <c r="N393" s="194"/>
      <c r="O393" s="157"/>
      <c r="P393" s="92"/>
      <c r="Q393" s="145"/>
      <c r="R393" s="92"/>
      <c r="S393" s="145"/>
      <c r="T393" s="92"/>
      <c r="U393" s="145"/>
      <c r="V393" s="92"/>
      <c r="W393" s="145"/>
      <c r="X393" s="92"/>
      <c r="Y393" s="145"/>
      <c r="Z393" s="92"/>
      <c r="AA393" s="145"/>
      <c r="AB393" s="92"/>
      <c r="AC393" s="145"/>
      <c r="AD393" s="92"/>
      <c r="AE393" s="145"/>
      <c r="AF393" s="142" t="str">
        <f t="shared" si="20"/>
        <v/>
      </c>
      <c r="AG393" s="190" t="b">
        <f t="shared" si="19"/>
        <v>0</v>
      </c>
      <c r="AH393" s="145"/>
      <c r="AI393" s="153" t="s">
        <v>6</v>
      </c>
      <c r="AJ393" s="150">
        <f t="shared" si="21"/>
        <v>0</v>
      </c>
      <c r="AK393" s="154" t="s">
        <v>60</v>
      </c>
    </row>
    <row r="394" spans="1:37" ht="30" customHeight="1">
      <c r="A394" s="64"/>
      <c r="B394" s="64"/>
      <c r="C394" s="64"/>
      <c r="D394" s="64"/>
      <c r="E394" s="64"/>
      <c r="F394" s="64"/>
      <c r="G394" s="64"/>
      <c r="H394" s="64"/>
      <c r="I394" s="64"/>
      <c r="J394" s="64"/>
      <c r="K394" s="64"/>
      <c r="L394" s="64"/>
      <c r="M394" s="64"/>
      <c r="N394" s="194"/>
      <c r="O394" s="157"/>
      <c r="P394" s="92"/>
      <c r="Q394" s="145"/>
      <c r="R394" s="92"/>
      <c r="S394" s="145"/>
      <c r="T394" s="92"/>
      <c r="U394" s="145"/>
      <c r="V394" s="92"/>
      <c r="W394" s="145"/>
      <c r="X394" s="92"/>
      <c r="Y394" s="145"/>
      <c r="Z394" s="92"/>
      <c r="AA394" s="145"/>
      <c r="AB394" s="92"/>
      <c r="AC394" s="145"/>
      <c r="AD394" s="92"/>
      <c r="AE394" s="145"/>
      <c r="AF394" s="142" t="str">
        <f t="shared" si="20"/>
        <v/>
      </c>
      <c r="AG394" s="190" t="b">
        <f t="shared" si="19"/>
        <v>0</v>
      </c>
      <c r="AH394" s="145"/>
      <c r="AI394" s="153" t="s">
        <v>6</v>
      </c>
      <c r="AJ394" s="150">
        <f t="shared" si="21"/>
        <v>0</v>
      </c>
      <c r="AK394" s="154" t="s">
        <v>60</v>
      </c>
    </row>
    <row r="395" spans="1:37" ht="30" customHeight="1">
      <c r="A395" s="64"/>
      <c r="B395" s="64"/>
      <c r="C395" s="64"/>
      <c r="D395" s="64"/>
      <c r="E395" s="64"/>
      <c r="F395" s="64"/>
      <c r="G395" s="64"/>
      <c r="H395" s="64"/>
      <c r="I395" s="64"/>
      <c r="J395" s="64"/>
      <c r="K395" s="64"/>
      <c r="L395" s="64"/>
      <c r="M395" s="64"/>
      <c r="N395" s="194"/>
      <c r="O395" s="157"/>
      <c r="P395" s="92"/>
      <c r="Q395" s="145"/>
      <c r="R395" s="92"/>
      <c r="S395" s="145"/>
      <c r="T395" s="92"/>
      <c r="U395" s="145"/>
      <c r="V395" s="92"/>
      <c r="W395" s="145"/>
      <c r="X395" s="92"/>
      <c r="Y395" s="145"/>
      <c r="Z395" s="92"/>
      <c r="AA395" s="145"/>
      <c r="AB395" s="92"/>
      <c r="AC395" s="145"/>
      <c r="AD395" s="92"/>
      <c r="AE395" s="145"/>
      <c r="AF395" s="142" t="str">
        <f t="shared" si="20"/>
        <v/>
      </c>
      <c r="AG395" s="190" t="b">
        <f t="shared" si="19"/>
        <v>0</v>
      </c>
      <c r="AH395" s="145"/>
      <c r="AI395" s="153" t="s">
        <v>6</v>
      </c>
      <c r="AJ395" s="150">
        <f t="shared" si="21"/>
        <v>0</v>
      </c>
      <c r="AK395" s="154" t="s">
        <v>60</v>
      </c>
    </row>
    <row r="396" spans="1:37" ht="30" customHeight="1">
      <c r="A396" s="64"/>
      <c r="B396" s="64"/>
      <c r="C396" s="64"/>
      <c r="D396" s="64"/>
      <c r="E396" s="64"/>
      <c r="F396" s="64"/>
      <c r="G396" s="64"/>
      <c r="H396" s="64"/>
      <c r="I396" s="64"/>
      <c r="J396" s="64"/>
      <c r="K396" s="64"/>
      <c r="L396" s="64"/>
      <c r="M396" s="64"/>
      <c r="N396" s="194"/>
      <c r="O396" s="157"/>
      <c r="P396" s="92"/>
      <c r="Q396" s="145"/>
      <c r="R396" s="92"/>
      <c r="S396" s="145"/>
      <c r="T396" s="92"/>
      <c r="U396" s="145"/>
      <c r="V396" s="92"/>
      <c r="W396" s="145"/>
      <c r="X396" s="92"/>
      <c r="Y396" s="145"/>
      <c r="Z396" s="92"/>
      <c r="AA396" s="145"/>
      <c r="AB396" s="92"/>
      <c r="AC396" s="145"/>
      <c r="AD396" s="92"/>
      <c r="AE396" s="145"/>
      <c r="AF396" s="142" t="str">
        <f t="shared" si="20"/>
        <v/>
      </c>
      <c r="AG396" s="190" t="b">
        <f t="shared" si="19"/>
        <v>0</v>
      </c>
      <c r="AH396" s="145"/>
      <c r="AI396" s="153" t="s">
        <v>6</v>
      </c>
      <c r="AJ396" s="150">
        <f t="shared" si="21"/>
        <v>0</v>
      </c>
      <c r="AK396" s="154" t="s">
        <v>60</v>
      </c>
    </row>
    <row r="397" spans="1:37" ht="30" customHeight="1">
      <c r="A397" s="64"/>
      <c r="B397" s="64"/>
      <c r="C397" s="64"/>
      <c r="D397" s="64"/>
      <c r="E397" s="64"/>
      <c r="F397" s="64"/>
      <c r="G397" s="64"/>
      <c r="H397" s="64"/>
      <c r="I397" s="64"/>
      <c r="J397" s="64"/>
      <c r="K397" s="64"/>
      <c r="L397" s="64"/>
      <c r="M397" s="64"/>
      <c r="N397" s="194"/>
      <c r="O397" s="157"/>
      <c r="P397" s="92"/>
      <c r="Q397" s="145"/>
      <c r="R397" s="92"/>
      <c r="S397" s="145"/>
      <c r="T397" s="92"/>
      <c r="U397" s="145"/>
      <c r="V397" s="92"/>
      <c r="W397" s="145"/>
      <c r="X397" s="92"/>
      <c r="Y397" s="145"/>
      <c r="Z397" s="92"/>
      <c r="AA397" s="145"/>
      <c r="AB397" s="92"/>
      <c r="AC397" s="145"/>
      <c r="AD397" s="92"/>
      <c r="AE397" s="145"/>
      <c r="AF397" s="142" t="str">
        <f t="shared" si="20"/>
        <v/>
      </c>
      <c r="AG397" s="190" t="b">
        <f t="shared" si="19"/>
        <v>0</v>
      </c>
      <c r="AH397" s="145"/>
      <c r="AI397" s="153" t="s">
        <v>6</v>
      </c>
      <c r="AJ397" s="150">
        <f t="shared" si="21"/>
        <v>0</v>
      </c>
      <c r="AK397" s="154" t="s">
        <v>60</v>
      </c>
    </row>
    <row r="398" spans="1:37" ht="30" customHeight="1">
      <c r="A398" s="64"/>
      <c r="B398" s="64"/>
      <c r="C398" s="64"/>
      <c r="D398" s="64"/>
      <c r="E398" s="64"/>
      <c r="F398" s="64"/>
      <c r="G398" s="64"/>
      <c r="H398" s="64"/>
      <c r="I398" s="64"/>
      <c r="J398" s="64"/>
      <c r="K398" s="64"/>
      <c r="L398" s="64"/>
      <c r="M398" s="64"/>
      <c r="N398" s="194"/>
      <c r="O398" s="157"/>
      <c r="P398" s="92"/>
      <c r="Q398" s="145"/>
      <c r="R398" s="92"/>
      <c r="S398" s="145"/>
      <c r="T398" s="92"/>
      <c r="U398" s="145"/>
      <c r="V398" s="92"/>
      <c r="W398" s="145"/>
      <c r="X398" s="92"/>
      <c r="Y398" s="145"/>
      <c r="Z398" s="92"/>
      <c r="AA398" s="145"/>
      <c r="AB398" s="92"/>
      <c r="AC398" s="145"/>
      <c r="AD398" s="92"/>
      <c r="AE398" s="145"/>
      <c r="AF398" s="142" t="str">
        <f t="shared" si="20"/>
        <v/>
      </c>
      <c r="AG398" s="190" t="b">
        <f t="shared" si="19"/>
        <v>0</v>
      </c>
      <c r="AH398" s="145"/>
      <c r="AI398" s="153" t="s">
        <v>6</v>
      </c>
      <c r="AJ398" s="150">
        <f t="shared" si="21"/>
        <v>0</v>
      </c>
      <c r="AK398" s="154" t="s">
        <v>60</v>
      </c>
    </row>
    <row r="399" spans="1:37" ht="30" customHeight="1">
      <c r="A399" s="64"/>
      <c r="B399" s="64"/>
      <c r="C399" s="64"/>
      <c r="D399" s="64"/>
      <c r="E399" s="64"/>
      <c r="F399" s="64"/>
      <c r="G399" s="64"/>
      <c r="H399" s="64"/>
      <c r="I399" s="64"/>
      <c r="J399" s="64"/>
      <c r="K399" s="64"/>
      <c r="L399" s="64"/>
      <c r="M399" s="64"/>
      <c r="N399" s="194"/>
      <c r="O399" s="157"/>
      <c r="P399" s="92"/>
      <c r="Q399" s="145"/>
      <c r="R399" s="92"/>
      <c r="S399" s="145"/>
      <c r="T399" s="92"/>
      <c r="U399" s="145"/>
      <c r="V399" s="92"/>
      <c r="W399" s="145"/>
      <c r="X399" s="92"/>
      <c r="Y399" s="145"/>
      <c r="Z399" s="92"/>
      <c r="AA399" s="145"/>
      <c r="AB399" s="92"/>
      <c r="AC399" s="145"/>
      <c r="AD399" s="92"/>
      <c r="AE399" s="145"/>
      <c r="AF399" s="142" t="str">
        <f t="shared" si="20"/>
        <v/>
      </c>
      <c r="AG399" s="190" t="b">
        <f t="shared" si="19"/>
        <v>0</v>
      </c>
      <c r="AH399" s="145"/>
      <c r="AI399" s="153" t="s">
        <v>6</v>
      </c>
      <c r="AJ399" s="150">
        <f t="shared" si="21"/>
        <v>0</v>
      </c>
      <c r="AK399" s="154" t="s">
        <v>60</v>
      </c>
    </row>
    <row r="400" spans="1:37" ht="30" customHeight="1">
      <c r="A400" s="64"/>
      <c r="B400" s="64"/>
      <c r="C400" s="64"/>
      <c r="D400" s="64"/>
      <c r="E400" s="64"/>
      <c r="F400" s="64"/>
      <c r="G400" s="64"/>
      <c r="H400" s="64"/>
      <c r="I400" s="64"/>
      <c r="J400" s="64"/>
      <c r="K400" s="64"/>
      <c r="L400" s="64"/>
      <c r="M400" s="64"/>
      <c r="N400" s="194"/>
      <c r="O400" s="157"/>
      <c r="P400" s="92"/>
      <c r="Q400" s="145"/>
      <c r="R400" s="92"/>
      <c r="S400" s="145"/>
      <c r="T400" s="92"/>
      <c r="U400" s="145"/>
      <c r="V400" s="92"/>
      <c r="W400" s="145"/>
      <c r="X400" s="92"/>
      <c r="Y400" s="145"/>
      <c r="Z400" s="92"/>
      <c r="AA400" s="145"/>
      <c r="AB400" s="92"/>
      <c r="AC400" s="145"/>
      <c r="AD400" s="92"/>
      <c r="AE400" s="145"/>
      <c r="AF400" s="142" t="str">
        <f t="shared" si="20"/>
        <v/>
      </c>
      <c r="AG400" s="190" t="b">
        <f t="shared" si="19"/>
        <v>0</v>
      </c>
      <c r="AH400" s="145"/>
      <c r="AI400" s="153" t="s">
        <v>6</v>
      </c>
      <c r="AJ400" s="150">
        <f t="shared" si="21"/>
        <v>0</v>
      </c>
      <c r="AK400" s="154" t="s">
        <v>60</v>
      </c>
    </row>
    <row r="401" spans="1:37" ht="30" customHeight="1">
      <c r="A401" s="64"/>
      <c r="B401" s="64"/>
      <c r="C401" s="64"/>
      <c r="D401" s="64"/>
      <c r="E401" s="64"/>
      <c r="F401" s="64"/>
      <c r="G401" s="64"/>
      <c r="H401" s="64"/>
      <c r="I401" s="64"/>
      <c r="J401" s="64"/>
      <c r="K401" s="64"/>
      <c r="L401" s="64"/>
      <c r="M401" s="64"/>
      <c r="N401" s="194"/>
      <c r="O401" s="157"/>
      <c r="P401" s="92"/>
      <c r="Q401" s="145"/>
      <c r="R401" s="92"/>
      <c r="S401" s="145"/>
      <c r="T401" s="92"/>
      <c r="U401" s="145"/>
      <c r="V401" s="92"/>
      <c r="W401" s="145"/>
      <c r="X401" s="92"/>
      <c r="Y401" s="145"/>
      <c r="Z401" s="92"/>
      <c r="AA401" s="145"/>
      <c r="AB401" s="92"/>
      <c r="AC401" s="145"/>
      <c r="AD401" s="92"/>
      <c r="AE401" s="145"/>
      <c r="AF401" s="142" t="str">
        <f t="shared" si="20"/>
        <v/>
      </c>
      <c r="AG401" s="190" t="b">
        <f t="shared" si="19"/>
        <v>0</v>
      </c>
      <c r="AH401" s="145"/>
      <c r="AI401" s="153" t="s">
        <v>6</v>
      </c>
      <c r="AJ401" s="150">
        <f t="shared" si="21"/>
        <v>0</v>
      </c>
      <c r="AK401" s="154" t="s">
        <v>60</v>
      </c>
    </row>
    <row r="402" spans="1:37" ht="30" customHeight="1">
      <c r="A402" s="64"/>
      <c r="B402" s="64"/>
      <c r="C402" s="64"/>
      <c r="D402" s="64"/>
      <c r="E402" s="64"/>
      <c r="F402" s="64"/>
      <c r="G402" s="64"/>
      <c r="H402" s="64"/>
      <c r="I402" s="64"/>
      <c r="J402" s="64"/>
      <c r="K402" s="64"/>
      <c r="L402" s="64"/>
      <c r="M402" s="64"/>
      <c r="N402" s="194"/>
      <c r="O402" s="157"/>
      <c r="P402" s="92"/>
      <c r="Q402" s="145"/>
      <c r="R402" s="92"/>
      <c r="S402" s="145"/>
      <c r="T402" s="92"/>
      <c r="U402" s="145"/>
      <c r="V402" s="92"/>
      <c r="W402" s="145"/>
      <c r="X402" s="92"/>
      <c r="Y402" s="145"/>
      <c r="Z402" s="92"/>
      <c r="AA402" s="145"/>
      <c r="AB402" s="92"/>
      <c r="AC402" s="145"/>
      <c r="AD402" s="92"/>
      <c r="AE402" s="145"/>
      <c r="AF402" s="142" t="str">
        <f t="shared" si="20"/>
        <v/>
      </c>
      <c r="AG402" s="190" t="b">
        <f t="shared" si="19"/>
        <v>0</v>
      </c>
      <c r="AH402" s="145"/>
      <c r="AI402" s="153" t="s">
        <v>6</v>
      </c>
      <c r="AJ402" s="150">
        <f t="shared" si="21"/>
        <v>0</v>
      </c>
      <c r="AK402" s="154" t="s">
        <v>60</v>
      </c>
    </row>
    <row r="403" spans="1:37" ht="30" customHeight="1">
      <c r="A403" s="64"/>
      <c r="B403" s="64"/>
      <c r="C403" s="64"/>
      <c r="D403" s="64"/>
      <c r="E403" s="64"/>
      <c r="F403" s="64"/>
      <c r="G403" s="64"/>
      <c r="H403" s="64"/>
      <c r="I403" s="64"/>
      <c r="J403" s="64"/>
      <c r="K403" s="64"/>
      <c r="L403" s="64"/>
      <c r="M403" s="64"/>
      <c r="N403" s="194"/>
      <c r="O403" s="157"/>
      <c r="P403" s="92"/>
      <c r="Q403" s="145"/>
      <c r="R403" s="92"/>
      <c r="S403" s="145"/>
      <c r="T403" s="92"/>
      <c r="U403" s="145"/>
      <c r="V403" s="92"/>
      <c r="W403" s="145"/>
      <c r="X403" s="92"/>
      <c r="Y403" s="145"/>
      <c r="Z403" s="92"/>
      <c r="AA403" s="145"/>
      <c r="AB403" s="92"/>
      <c r="AC403" s="145"/>
      <c r="AD403" s="92"/>
      <c r="AE403" s="145"/>
      <c r="AF403" s="142" t="str">
        <f t="shared" si="20"/>
        <v/>
      </c>
      <c r="AG403" s="190" t="b">
        <f t="shared" si="19"/>
        <v>0</v>
      </c>
      <c r="AH403" s="145"/>
      <c r="AI403" s="153" t="s">
        <v>6</v>
      </c>
      <c r="AJ403" s="150">
        <f t="shared" si="21"/>
        <v>0</v>
      </c>
      <c r="AK403" s="154" t="s">
        <v>60</v>
      </c>
    </row>
    <row r="404" spans="1:37" ht="30" customHeight="1">
      <c r="A404" s="64"/>
      <c r="B404" s="64"/>
      <c r="C404" s="64"/>
      <c r="D404" s="64"/>
      <c r="E404" s="64"/>
      <c r="F404" s="64"/>
      <c r="G404" s="64"/>
      <c r="H404" s="64"/>
      <c r="I404" s="64"/>
      <c r="J404" s="64"/>
      <c r="K404" s="64"/>
      <c r="L404" s="64"/>
      <c r="M404" s="64"/>
      <c r="N404" s="194"/>
      <c r="O404" s="157"/>
      <c r="P404" s="92"/>
      <c r="Q404" s="145"/>
      <c r="R404" s="92"/>
      <c r="S404" s="145"/>
      <c r="T404" s="92"/>
      <c r="U404" s="145"/>
      <c r="V404" s="92"/>
      <c r="W404" s="145"/>
      <c r="X404" s="92"/>
      <c r="Y404" s="145"/>
      <c r="Z404" s="92"/>
      <c r="AA404" s="145"/>
      <c r="AB404" s="92"/>
      <c r="AC404" s="145"/>
      <c r="AD404" s="92"/>
      <c r="AE404" s="145"/>
      <c r="AF404" s="142" t="str">
        <f t="shared" si="20"/>
        <v/>
      </c>
      <c r="AG404" s="190" t="b">
        <f t="shared" si="19"/>
        <v>0</v>
      </c>
      <c r="AH404" s="145"/>
      <c r="AI404" s="153" t="s">
        <v>6</v>
      </c>
      <c r="AJ404" s="150">
        <f t="shared" si="21"/>
        <v>0</v>
      </c>
      <c r="AK404" s="154" t="s">
        <v>60</v>
      </c>
    </row>
    <row r="405" spans="1:37" ht="30" customHeight="1">
      <c r="A405" s="64"/>
      <c r="B405" s="64"/>
      <c r="C405" s="64"/>
      <c r="D405" s="64"/>
      <c r="E405" s="64"/>
      <c r="F405" s="64"/>
      <c r="G405" s="64"/>
      <c r="H405" s="64"/>
      <c r="I405" s="64"/>
      <c r="J405" s="64"/>
      <c r="K405" s="64"/>
      <c r="L405" s="64"/>
      <c r="M405" s="64"/>
      <c r="N405" s="194"/>
      <c r="O405" s="157"/>
      <c r="P405" s="92"/>
      <c r="Q405" s="145"/>
      <c r="R405" s="92"/>
      <c r="S405" s="145"/>
      <c r="T405" s="92"/>
      <c r="U405" s="145"/>
      <c r="V405" s="92"/>
      <c r="W405" s="145"/>
      <c r="X405" s="92"/>
      <c r="Y405" s="145"/>
      <c r="Z405" s="92"/>
      <c r="AA405" s="145"/>
      <c r="AB405" s="92"/>
      <c r="AC405" s="145"/>
      <c r="AD405" s="92"/>
      <c r="AE405" s="145"/>
      <c r="AF405" s="142" t="str">
        <f t="shared" si="20"/>
        <v/>
      </c>
      <c r="AG405" s="190" t="b">
        <f t="shared" si="19"/>
        <v>0</v>
      </c>
      <c r="AH405" s="145"/>
      <c r="AI405" s="153" t="s">
        <v>6</v>
      </c>
      <c r="AJ405" s="150">
        <f t="shared" si="21"/>
        <v>0</v>
      </c>
      <c r="AK405" s="154" t="s">
        <v>60</v>
      </c>
    </row>
    <row r="406" spans="1:37" ht="30" customHeight="1">
      <c r="A406" s="64"/>
      <c r="B406" s="64"/>
      <c r="C406" s="64"/>
      <c r="D406" s="64"/>
      <c r="E406" s="64"/>
      <c r="F406" s="64"/>
      <c r="G406" s="64"/>
      <c r="H406" s="64"/>
      <c r="I406" s="64"/>
      <c r="J406" s="64"/>
      <c r="K406" s="64"/>
      <c r="L406" s="64"/>
      <c r="M406" s="64"/>
      <c r="N406" s="194"/>
      <c r="O406" s="157"/>
      <c r="P406" s="92"/>
      <c r="Q406" s="145"/>
      <c r="R406" s="92"/>
      <c r="S406" s="145"/>
      <c r="T406" s="92"/>
      <c r="U406" s="145"/>
      <c r="V406" s="92"/>
      <c r="W406" s="145"/>
      <c r="X406" s="92"/>
      <c r="Y406" s="145"/>
      <c r="Z406" s="92"/>
      <c r="AA406" s="145"/>
      <c r="AB406" s="92"/>
      <c r="AC406" s="145"/>
      <c r="AD406" s="92"/>
      <c r="AE406" s="145"/>
      <c r="AF406" s="142" t="str">
        <f t="shared" si="20"/>
        <v/>
      </c>
      <c r="AG406" s="190" t="b">
        <f t="shared" si="19"/>
        <v>0</v>
      </c>
      <c r="AH406" s="145"/>
      <c r="AI406" s="153" t="s">
        <v>6</v>
      </c>
      <c r="AJ406" s="150">
        <f t="shared" si="21"/>
        <v>0</v>
      </c>
      <c r="AK406" s="154" t="s">
        <v>60</v>
      </c>
    </row>
    <row r="407" spans="1:37" ht="30" customHeight="1">
      <c r="A407" s="64"/>
      <c r="B407" s="64"/>
      <c r="C407" s="64"/>
      <c r="D407" s="64"/>
      <c r="E407" s="64"/>
      <c r="F407" s="64"/>
      <c r="G407" s="64"/>
      <c r="H407" s="64"/>
      <c r="I407" s="64"/>
      <c r="J407" s="64"/>
      <c r="K407" s="64"/>
      <c r="L407" s="64"/>
      <c r="M407" s="64"/>
      <c r="N407" s="194"/>
      <c r="O407" s="157"/>
      <c r="P407" s="92"/>
      <c r="Q407" s="145"/>
      <c r="R407" s="92"/>
      <c r="S407" s="145"/>
      <c r="T407" s="92"/>
      <c r="U407" s="145"/>
      <c r="V407" s="92"/>
      <c r="W407" s="145"/>
      <c r="X407" s="92"/>
      <c r="Y407" s="145"/>
      <c r="Z407" s="92"/>
      <c r="AA407" s="145"/>
      <c r="AB407" s="92"/>
      <c r="AC407" s="145"/>
      <c r="AD407" s="92"/>
      <c r="AE407" s="145"/>
      <c r="AF407" s="142" t="str">
        <f t="shared" si="20"/>
        <v/>
      </c>
      <c r="AG407" s="190" t="b">
        <f t="shared" si="19"/>
        <v>0</v>
      </c>
      <c r="AH407" s="145"/>
      <c r="AI407" s="153" t="s">
        <v>6</v>
      </c>
      <c r="AJ407" s="150">
        <f t="shared" si="21"/>
        <v>0</v>
      </c>
      <c r="AK407" s="154" t="s">
        <v>60</v>
      </c>
    </row>
    <row r="408" spans="1:37" ht="30" customHeight="1">
      <c r="A408" s="64"/>
      <c r="B408" s="64"/>
      <c r="C408" s="64"/>
      <c r="D408" s="64"/>
      <c r="E408" s="64"/>
      <c r="F408" s="64"/>
      <c r="G408" s="64"/>
      <c r="H408" s="64"/>
      <c r="I408" s="64"/>
      <c r="J408" s="64"/>
      <c r="K408" s="64"/>
      <c r="L408" s="64"/>
      <c r="M408" s="64"/>
      <c r="N408" s="194"/>
      <c r="O408" s="157"/>
      <c r="P408" s="92"/>
      <c r="Q408" s="145"/>
      <c r="R408" s="92"/>
      <c r="S408" s="145"/>
      <c r="T408" s="92"/>
      <c r="U408" s="145"/>
      <c r="V408" s="92"/>
      <c r="W408" s="145"/>
      <c r="X408" s="92"/>
      <c r="Y408" s="145"/>
      <c r="Z408" s="92"/>
      <c r="AA408" s="145"/>
      <c r="AB408" s="92"/>
      <c r="AC408" s="145"/>
      <c r="AD408" s="92"/>
      <c r="AE408" s="145"/>
      <c r="AF408" s="142" t="str">
        <f t="shared" si="20"/>
        <v/>
      </c>
      <c r="AG408" s="190" t="b">
        <f t="shared" si="19"/>
        <v>0</v>
      </c>
      <c r="AH408" s="145"/>
      <c r="AI408" s="153" t="s">
        <v>6</v>
      </c>
      <c r="AJ408" s="150">
        <f t="shared" si="21"/>
        <v>0</v>
      </c>
      <c r="AK408" s="154" t="s">
        <v>60</v>
      </c>
    </row>
    <row r="409" spans="1:37" ht="30" customHeight="1">
      <c r="A409" s="64"/>
      <c r="B409" s="64"/>
      <c r="C409" s="64"/>
      <c r="D409" s="64"/>
      <c r="E409" s="64"/>
      <c r="F409" s="64"/>
      <c r="G409" s="64"/>
      <c r="H409" s="64"/>
      <c r="I409" s="64"/>
      <c r="J409" s="64"/>
      <c r="K409" s="64"/>
      <c r="L409" s="64"/>
      <c r="M409" s="64"/>
      <c r="N409" s="194"/>
      <c r="O409" s="157"/>
      <c r="P409" s="92"/>
      <c r="Q409" s="145"/>
      <c r="R409" s="92"/>
      <c r="S409" s="145"/>
      <c r="T409" s="92"/>
      <c r="U409" s="145"/>
      <c r="V409" s="92"/>
      <c r="W409" s="145"/>
      <c r="X409" s="92"/>
      <c r="Y409" s="145"/>
      <c r="Z409" s="92"/>
      <c r="AA409" s="145"/>
      <c r="AB409" s="92"/>
      <c r="AC409" s="145"/>
      <c r="AD409" s="92"/>
      <c r="AE409" s="145"/>
      <c r="AF409" s="142" t="str">
        <f t="shared" si="20"/>
        <v/>
      </c>
      <c r="AG409" s="190" t="b">
        <f t="shared" si="19"/>
        <v>0</v>
      </c>
      <c r="AH409" s="145"/>
      <c r="AI409" s="153" t="s">
        <v>6</v>
      </c>
      <c r="AJ409" s="150">
        <f t="shared" si="21"/>
        <v>0</v>
      </c>
      <c r="AK409" s="154" t="s">
        <v>60</v>
      </c>
    </row>
    <row r="410" spans="1:37" ht="30" customHeight="1">
      <c r="A410" s="64"/>
      <c r="B410" s="64"/>
      <c r="C410" s="64"/>
      <c r="D410" s="64"/>
      <c r="E410" s="64"/>
      <c r="F410" s="64"/>
      <c r="G410" s="64"/>
      <c r="H410" s="64"/>
      <c r="I410" s="64"/>
      <c r="J410" s="64"/>
      <c r="K410" s="64"/>
      <c r="L410" s="64"/>
      <c r="M410" s="64"/>
      <c r="N410" s="194"/>
      <c r="O410" s="157"/>
      <c r="P410" s="92"/>
      <c r="Q410" s="145"/>
      <c r="R410" s="92"/>
      <c r="S410" s="145"/>
      <c r="T410" s="92"/>
      <c r="U410" s="145"/>
      <c r="V410" s="92"/>
      <c r="W410" s="145"/>
      <c r="X410" s="92"/>
      <c r="Y410" s="145"/>
      <c r="Z410" s="92"/>
      <c r="AA410" s="145"/>
      <c r="AB410" s="92"/>
      <c r="AC410" s="145"/>
      <c r="AD410" s="92"/>
      <c r="AE410" s="145"/>
      <c r="AF410" s="142" t="str">
        <f t="shared" si="20"/>
        <v/>
      </c>
      <c r="AG410" s="190" t="b">
        <f t="shared" si="19"/>
        <v>0</v>
      </c>
      <c r="AH410" s="145"/>
      <c r="AI410" s="153" t="s">
        <v>6</v>
      </c>
      <c r="AJ410" s="150">
        <f t="shared" si="21"/>
        <v>0</v>
      </c>
      <c r="AK410" s="154" t="s">
        <v>60</v>
      </c>
    </row>
    <row r="411" spans="1:37" ht="30" customHeight="1">
      <c r="A411" s="64"/>
      <c r="B411" s="64"/>
      <c r="C411" s="64"/>
      <c r="D411" s="64"/>
      <c r="E411" s="64"/>
      <c r="F411" s="64"/>
      <c r="G411" s="64"/>
      <c r="H411" s="64"/>
      <c r="I411" s="64"/>
      <c r="J411" s="64"/>
      <c r="K411" s="64"/>
      <c r="L411" s="64"/>
      <c r="M411" s="64"/>
      <c r="N411" s="194"/>
      <c r="O411" s="157"/>
      <c r="P411" s="92"/>
      <c r="Q411" s="145"/>
      <c r="R411" s="92"/>
      <c r="S411" s="145"/>
      <c r="T411" s="92"/>
      <c r="U411" s="145"/>
      <c r="V411" s="92"/>
      <c r="W411" s="145"/>
      <c r="X411" s="92"/>
      <c r="Y411" s="145"/>
      <c r="Z411" s="92"/>
      <c r="AA411" s="145"/>
      <c r="AB411" s="92"/>
      <c r="AC411" s="145"/>
      <c r="AD411" s="92"/>
      <c r="AE411" s="145"/>
      <c r="AF411" s="142" t="str">
        <f t="shared" si="20"/>
        <v/>
      </c>
      <c r="AG411" s="190" t="b">
        <f t="shared" si="19"/>
        <v>0</v>
      </c>
      <c r="AH411" s="145"/>
      <c r="AI411" s="153" t="s">
        <v>6</v>
      </c>
      <c r="AJ411" s="150">
        <f t="shared" si="21"/>
        <v>0</v>
      </c>
      <c r="AK411" s="154" t="s">
        <v>60</v>
      </c>
    </row>
    <row r="412" spans="1:37" ht="30" customHeight="1">
      <c r="A412" s="64"/>
      <c r="B412" s="64"/>
      <c r="C412" s="64"/>
      <c r="D412" s="64"/>
      <c r="E412" s="64"/>
      <c r="F412" s="64"/>
      <c r="G412" s="64"/>
      <c r="H412" s="64"/>
      <c r="I412" s="64"/>
      <c r="J412" s="64"/>
      <c r="K412" s="64"/>
      <c r="L412" s="64"/>
      <c r="M412" s="64"/>
      <c r="N412" s="194"/>
      <c r="O412" s="157"/>
      <c r="P412" s="92"/>
      <c r="Q412" s="145"/>
      <c r="R412" s="92"/>
      <c r="S412" s="145"/>
      <c r="T412" s="92"/>
      <c r="U412" s="145"/>
      <c r="V412" s="92"/>
      <c r="W412" s="145"/>
      <c r="X412" s="92"/>
      <c r="Y412" s="145"/>
      <c r="Z412" s="92"/>
      <c r="AA412" s="145"/>
      <c r="AB412" s="92"/>
      <c r="AC412" s="145"/>
      <c r="AD412" s="92"/>
      <c r="AE412" s="145"/>
      <c r="AF412" s="142" t="str">
        <f t="shared" si="20"/>
        <v/>
      </c>
      <c r="AG412" s="190" t="b">
        <f t="shared" si="19"/>
        <v>0</v>
      </c>
      <c r="AH412" s="145"/>
      <c r="AI412" s="153" t="s">
        <v>6</v>
      </c>
      <c r="AJ412" s="150">
        <f t="shared" si="21"/>
        <v>0</v>
      </c>
      <c r="AK412" s="154" t="s">
        <v>60</v>
      </c>
    </row>
    <row r="413" spans="1:37" ht="30" customHeight="1">
      <c r="A413" s="64"/>
      <c r="B413" s="64"/>
      <c r="C413" s="64"/>
      <c r="D413" s="64"/>
      <c r="E413" s="64"/>
      <c r="F413" s="64"/>
      <c r="G413" s="64"/>
      <c r="H413" s="64"/>
      <c r="I413" s="64"/>
      <c r="J413" s="64"/>
      <c r="K413" s="64"/>
      <c r="L413" s="64"/>
      <c r="M413" s="64"/>
      <c r="N413" s="194"/>
      <c r="O413" s="157"/>
      <c r="P413" s="92"/>
      <c r="Q413" s="145"/>
      <c r="R413" s="92"/>
      <c r="S413" s="145"/>
      <c r="T413" s="92"/>
      <c r="U413" s="145"/>
      <c r="V413" s="92"/>
      <c r="W413" s="145"/>
      <c r="X413" s="92"/>
      <c r="Y413" s="145"/>
      <c r="Z413" s="92"/>
      <c r="AA413" s="145"/>
      <c r="AB413" s="92"/>
      <c r="AC413" s="145"/>
      <c r="AD413" s="92"/>
      <c r="AE413" s="145"/>
      <c r="AF413" s="142" t="str">
        <f t="shared" si="20"/>
        <v/>
      </c>
      <c r="AG413" s="190" t="b">
        <f t="shared" si="19"/>
        <v>0</v>
      </c>
      <c r="AH413" s="145"/>
      <c r="AI413" s="153" t="s">
        <v>6</v>
      </c>
      <c r="AJ413" s="150">
        <f t="shared" si="21"/>
        <v>0</v>
      </c>
      <c r="AK413" s="154" t="s">
        <v>60</v>
      </c>
    </row>
    <row r="414" spans="1:37" ht="30" customHeight="1">
      <c r="A414" s="64"/>
      <c r="B414" s="64"/>
      <c r="C414" s="64"/>
      <c r="D414" s="64"/>
      <c r="E414" s="64"/>
      <c r="F414" s="64"/>
      <c r="G414" s="64"/>
      <c r="H414" s="64"/>
      <c r="I414" s="64"/>
      <c r="J414" s="64"/>
      <c r="K414" s="64"/>
      <c r="L414" s="64"/>
      <c r="M414" s="64"/>
      <c r="N414" s="194"/>
      <c r="O414" s="157"/>
      <c r="P414" s="92"/>
      <c r="Q414" s="145"/>
      <c r="R414" s="92"/>
      <c r="S414" s="145"/>
      <c r="T414" s="92"/>
      <c r="U414" s="145"/>
      <c r="V414" s="92"/>
      <c r="W414" s="145"/>
      <c r="X414" s="92"/>
      <c r="Y414" s="145"/>
      <c r="Z414" s="92"/>
      <c r="AA414" s="145"/>
      <c r="AB414" s="92"/>
      <c r="AC414" s="145"/>
      <c r="AD414" s="92"/>
      <c r="AE414" s="145"/>
      <c r="AF414" s="142" t="str">
        <f t="shared" si="20"/>
        <v/>
      </c>
      <c r="AG414" s="190" t="b">
        <f t="shared" si="19"/>
        <v>0</v>
      </c>
      <c r="AH414" s="145"/>
      <c r="AI414" s="153" t="s">
        <v>6</v>
      </c>
      <c r="AJ414" s="150">
        <f t="shared" si="21"/>
        <v>0</v>
      </c>
      <c r="AK414" s="154" t="s">
        <v>60</v>
      </c>
    </row>
    <row r="415" spans="1:37" ht="30" customHeight="1">
      <c r="A415" s="64"/>
      <c r="B415" s="64"/>
      <c r="C415" s="64"/>
      <c r="D415" s="64"/>
      <c r="E415" s="64"/>
      <c r="F415" s="64"/>
      <c r="G415" s="64"/>
      <c r="H415" s="64"/>
      <c r="I415" s="64"/>
      <c r="J415" s="64"/>
      <c r="K415" s="64"/>
      <c r="L415" s="64"/>
      <c r="M415" s="64"/>
      <c r="N415" s="194"/>
      <c r="O415" s="157"/>
      <c r="P415" s="92"/>
      <c r="Q415" s="145"/>
      <c r="R415" s="92"/>
      <c r="S415" s="145"/>
      <c r="T415" s="92"/>
      <c r="U415" s="145"/>
      <c r="V415" s="92"/>
      <c r="W415" s="145"/>
      <c r="X415" s="92"/>
      <c r="Y415" s="145"/>
      <c r="Z415" s="92"/>
      <c r="AA415" s="145"/>
      <c r="AB415" s="92"/>
      <c r="AC415" s="145"/>
      <c r="AD415" s="92"/>
      <c r="AE415" s="145"/>
      <c r="AF415" s="142" t="str">
        <f t="shared" si="20"/>
        <v/>
      </c>
      <c r="AG415" s="190" t="b">
        <f t="shared" si="19"/>
        <v>0</v>
      </c>
      <c r="AH415" s="145"/>
      <c r="AI415" s="153" t="s">
        <v>6</v>
      </c>
      <c r="AJ415" s="150">
        <f t="shared" si="21"/>
        <v>0</v>
      </c>
      <c r="AK415" s="154" t="s">
        <v>60</v>
      </c>
    </row>
    <row r="416" spans="1:37" ht="30" customHeight="1">
      <c r="A416" s="64"/>
      <c r="B416" s="64"/>
      <c r="C416" s="64"/>
      <c r="D416" s="64"/>
      <c r="E416" s="64"/>
      <c r="F416" s="64"/>
      <c r="G416" s="64"/>
      <c r="H416" s="64"/>
      <c r="I416" s="64"/>
      <c r="J416" s="64"/>
      <c r="K416" s="64"/>
      <c r="L416" s="64"/>
      <c r="M416" s="64"/>
      <c r="N416" s="194"/>
      <c r="O416" s="157"/>
      <c r="P416" s="92"/>
      <c r="Q416" s="145"/>
      <c r="R416" s="92"/>
      <c r="S416" s="145"/>
      <c r="T416" s="92"/>
      <c r="U416" s="145"/>
      <c r="V416" s="92"/>
      <c r="W416" s="145"/>
      <c r="X416" s="92"/>
      <c r="Y416" s="145"/>
      <c r="Z416" s="92"/>
      <c r="AA416" s="145"/>
      <c r="AB416" s="92"/>
      <c r="AC416" s="145"/>
      <c r="AD416" s="92"/>
      <c r="AE416" s="145"/>
      <c r="AF416" s="142" t="str">
        <f t="shared" si="20"/>
        <v/>
      </c>
      <c r="AG416" s="190" t="b">
        <f t="shared" si="19"/>
        <v>0</v>
      </c>
      <c r="AH416" s="145"/>
      <c r="AI416" s="153" t="s">
        <v>6</v>
      </c>
      <c r="AJ416" s="150">
        <f t="shared" si="21"/>
        <v>0</v>
      </c>
      <c r="AK416" s="154" t="s">
        <v>60</v>
      </c>
    </row>
    <row r="417" spans="1:37" ht="30" customHeight="1">
      <c r="A417" s="64"/>
      <c r="B417" s="64"/>
      <c r="C417" s="64"/>
      <c r="D417" s="64"/>
      <c r="E417" s="64"/>
      <c r="F417" s="64"/>
      <c r="G417" s="64"/>
      <c r="H417" s="64"/>
      <c r="I417" s="64"/>
      <c r="J417" s="64"/>
      <c r="K417" s="64"/>
      <c r="L417" s="64"/>
      <c r="M417" s="64"/>
      <c r="N417" s="194"/>
      <c r="O417" s="157"/>
      <c r="P417" s="92"/>
      <c r="Q417" s="145"/>
      <c r="R417" s="92"/>
      <c r="S417" s="145"/>
      <c r="T417" s="92"/>
      <c r="U417" s="145"/>
      <c r="V417" s="92"/>
      <c r="W417" s="145"/>
      <c r="X417" s="92"/>
      <c r="Y417" s="145"/>
      <c r="Z417" s="92"/>
      <c r="AA417" s="145"/>
      <c r="AB417" s="92"/>
      <c r="AC417" s="145"/>
      <c r="AD417" s="92"/>
      <c r="AE417" s="145"/>
      <c r="AF417" s="142" t="str">
        <f t="shared" si="20"/>
        <v/>
      </c>
      <c r="AG417" s="190" t="b">
        <f t="shared" si="19"/>
        <v>0</v>
      </c>
      <c r="AH417" s="145"/>
      <c r="AI417" s="153" t="s">
        <v>6</v>
      </c>
      <c r="AJ417" s="150">
        <f t="shared" si="21"/>
        <v>0</v>
      </c>
      <c r="AK417" s="154" t="s">
        <v>60</v>
      </c>
    </row>
    <row r="418" spans="1:37" ht="30" customHeight="1">
      <c r="A418" s="64"/>
      <c r="B418" s="64"/>
      <c r="C418" s="64"/>
      <c r="D418" s="64"/>
      <c r="E418" s="64"/>
      <c r="F418" s="64"/>
      <c r="G418" s="64"/>
      <c r="H418" s="64"/>
      <c r="I418" s="64"/>
      <c r="J418" s="64"/>
      <c r="K418" s="64"/>
      <c r="L418" s="64"/>
      <c r="M418" s="64"/>
      <c r="N418" s="194"/>
      <c r="O418" s="157"/>
      <c r="P418" s="92"/>
      <c r="Q418" s="145"/>
      <c r="R418" s="92"/>
      <c r="S418" s="145"/>
      <c r="T418" s="92"/>
      <c r="U418" s="145"/>
      <c r="V418" s="92"/>
      <c r="W418" s="145"/>
      <c r="X418" s="92"/>
      <c r="Y418" s="145"/>
      <c r="Z418" s="92"/>
      <c r="AA418" s="145"/>
      <c r="AB418" s="92"/>
      <c r="AC418" s="145"/>
      <c r="AD418" s="92"/>
      <c r="AE418" s="145"/>
      <c r="AF418" s="142" t="str">
        <f t="shared" si="20"/>
        <v/>
      </c>
      <c r="AG418" s="190" t="b">
        <f t="shared" si="19"/>
        <v>0</v>
      </c>
      <c r="AH418" s="145"/>
      <c r="AI418" s="153" t="s">
        <v>6</v>
      </c>
      <c r="AJ418" s="150">
        <f t="shared" si="21"/>
        <v>0</v>
      </c>
      <c r="AK418" s="154" t="s">
        <v>60</v>
      </c>
    </row>
    <row r="419" spans="1:37" ht="30" customHeight="1">
      <c r="A419" s="64"/>
      <c r="B419" s="64"/>
      <c r="C419" s="64"/>
      <c r="D419" s="64"/>
      <c r="E419" s="64"/>
      <c r="F419" s="64"/>
      <c r="G419" s="64"/>
      <c r="H419" s="64"/>
      <c r="I419" s="64"/>
      <c r="J419" s="64"/>
      <c r="K419" s="64"/>
      <c r="L419" s="64"/>
      <c r="M419" s="64"/>
      <c r="N419" s="194"/>
      <c r="O419" s="157"/>
      <c r="P419" s="92"/>
      <c r="Q419" s="145"/>
      <c r="R419" s="92"/>
      <c r="S419" s="145"/>
      <c r="T419" s="92"/>
      <c r="U419" s="145"/>
      <c r="V419" s="92"/>
      <c r="W419" s="145"/>
      <c r="X419" s="92"/>
      <c r="Y419" s="145"/>
      <c r="Z419" s="92"/>
      <c r="AA419" s="145"/>
      <c r="AB419" s="92"/>
      <c r="AC419" s="145"/>
      <c r="AD419" s="92"/>
      <c r="AE419" s="145"/>
      <c r="AF419" s="142" t="str">
        <f t="shared" si="20"/>
        <v/>
      </c>
      <c r="AG419" s="190" t="b">
        <f t="shared" si="19"/>
        <v>0</v>
      </c>
      <c r="AH419" s="145"/>
      <c r="AI419" s="153" t="s">
        <v>6</v>
      </c>
      <c r="AJ419" s="150">
        <f t="shared" si="21"/>
        <v>0</v>
      </c>
      <c r="AK419" s="154" t="s">
        <v>60</v>
      </c>
    </row>
    <row r="420" spans="1:37" ht="30" customHeight="1">
      <c r="A420" s="64"/>
      <c r="B420" s="64"/>
      <c r="C420" s="64"/>
      <c r="D420" s="64"/>
      <c r="E420" s="64"/>
      <c r="F420" s="64"/>
      <c r="G420" s="64"/>
      <c r="H420" s="64"/>
      <c r="I420" s="64"/>
      <c r="J420" s="64"/>
      <c r="K420" s="64"/>
      <c r="L420" s="64"/>
      <c r="M420" s="64"/>
      <c r="N420" s="194"/>
      <c r="O420" s="157"/>
      <c r="P420" s="92"/>
      <c r="Q420" s="145"/>
      <c r="R420" s="92"/>
      <c r="S420" s="145"/>
      <c r="T420" s="92"/>
      <c r="U420" s="145"/>
      <c r="V420" s="92"/>
      <c r="W420" s="145"/>
      <c r="X420" s="92"/>
      <c r="Y420" s="145"/>
      <c r="Z420" s="92"/>
      <c r="AA420" s="145"/>
      <c r="AB420" s="92"/>
      <c r="AC420" s="145"/>
      <c r="AD420" s="92"/>
      <c r="AE420" s="145"/>
      <c r="AF420" s="142" t="str">
        <f t="shared" si="20"/>
        <v/>
      </c>
      <c r="AG420" s="190" t="b">
        <f t="shared" si="19"/>
        <v>0</v>
      </c>
      <c r="AH420" s="145"/>
      <c r="AI420" s="153" t="s">
        <v>6</v>
      </c>
      <c r="AJ420" s="150">
        <f t="shared" si="21"/>
        <v>0</v>
      </c>
      <c r="AK420" s="154" t="s">
        <v>60</v>
      </c>
    </row>
    <row r="421" spans="1:37" ht="30" customHeight="1">
      <c r="A421" s="64"/>
      <c r="B421" s="64"/>
      <c r="C421" s="64"/>
      <c r="D421" s="64"/>
      <c r="E421" s="64"/>
      <c r="F421" s="64"/>
      <c r="G421" s="64"/>
      <c r="H421" s="64"/>
      <c r="I421" s="64"/>
      <c r="J421" s="64"/>
      <c r="K421" s="64"/>
      <c r="L421" s="64"/>
      <c r="M421" s="64"/>
      <c r="N421" s="194"/>
      <c r="O421" s="157"/>
      <c r="P421" s="92"/>
      <c r="Q421" s="145"/>
      <c r="R421" s="92"/>
      <c r="S421" s="145"/>
      <c r="T421" s="92"/>
      <c r="U421" s="145"/>
      <c r="V421" s="92"/>
      <c r="W421" s="145"/>
      <c r="X421" s="92"/>
      <c r="Y421" s="145"/>
      <c r="Z421" s="92"/>
      <c r="AA421" s="145"/>
      <c r="AB421" s="92"/>
      <c r="AC421" s="145"/>
      <c r="AD421" s="92"/>
      <c r="AE421" s="145"/>
      <c r="AF421" s="142" t="str">
        <f t="shared" si="20"/>
        <v/>
      </c>
      <c r="AG421" s="190" t="b">
        <f t="shared" si="19"/>
        <v>0</v>
      </c>
      <c r="AH421" s="145"/>
      <c r="AI421" s="153" t="s">
        <v>6</v>
      </c>
      <c r="AJ421" s="150">
        <f t="shared" si="21"/>
        <v>0</v>
      </c>
      <c r="AK421" s="154" t="s">
        <v>60</v>
      </c>
    </row>
    <row r="422" spans="1:37" ht="30" customHeight="1">
      <c r="A422" s="64"/>
      <c r="B422" s="64"/>
      <c r="C422" s="64"/>
      <c r="D422" s="64"/>
      <c r="E422" s="64"/>
      <c r="F422" s="64"/>
      <c r="G422" s="64"/>
      <c r="H422" s="64"/>
      <c r="I422" s="64"/>
      <c r="J422" s="64"/>
      <c r="K422" s="64"/>
      <c r="L422" s="64"/>
      <c r="M422" s="64"/>
      <c r="N422" s="194"/>
      <c r="O422" s="157"/>
      <c r="P422" s="92"/>
      <c r="Q422" s="145"/>
      <c r="R422" s="92"/>
      <c r="S422" s="145"/>
      <c r="T422" s="92"/>
      <c r="U422" s="145"/>
      <c r="V422" s="92"/>
      <c r="W422" s="145"/>
      <c r="X422" s="92"/>
      <c r="Y422" s="145"/>
      <c r="Z422" s="92"/>
      <c r="AA422" s="145"/>
      <c r="AB422" s="92"/>
      <c r="AC422" s="145"/>
      <c r="AD422" s="92"/>
      <c r="AE422" s="145"/>
      <c r="AF422" s="142" t="str">
        <f t="shared" si="20"/>
        <v/>
      </c>
      <c r="AG422" s="190" t="b">
        <f t="shared" si="19"/>
        <v>0</v>
      </c>
      <c r="AH422" s="145"/>
      <c r="AI422" s="153" t="s">
        <v>6</v>
      </c>
      <c r="AJ422" s="150">
        <f t="shared" si="21"/>
        <v>0</v>
      </c>
      <c r="AK422" s="154" t="s">
        <v>60</v>
      </c>
    </row>
    <row r="423" spans="1:37" ht="30" customHeight="1">
      <c r="A423" s="64"/>
      <c r="B423" s="64"/>
      <c r="C423" s="64"/>
      <c r="D423" s="64"/>
      <c r="E423" s="64"/>
      <c r="F423" s="64"/>
      <c r="G423" s="64"/>
      <c r="H423" s="64"/>
      <c r="I423" s="64"/>
      <c r="J423" s="64"/>
      <c r="K423" s="64"/>
      <c r="L423" s="64"/>
      <c r="M423" s="64"/>
      <c r="N423" s="194"/>
      <c r="O423" s="157"/>
      <c r="P423" s="92"/>
      <c r="Q423" s="145"/>
      <c r="R423" s="92"/>
      <c r="S423" s="145"/>
      <c r="T423" s="92"/>
      <c r="U423" s="145"/>
      <c r="V423" s="92"/>
      <c r="W423" s="145"/>
      <c r="X423" s="92"/>
      <c r="Y423" s="145"/>
      <c r="Z423" s="92"/>
      <c r="AA423" s="145"/>
      <c r="AB423" s="92"/>
      <c r="AC423" s="145"/>
      <c r="AD423" s="92"/>
      <c r="AE423" s="145"/>
      <c r="AF423" s="142" t="str">
        <f t="shared" si="20"/>
        <v/>
      </c>
      <c r="AG423" s="190" t="b">
        <f t="shared" ref="AG423:AG486" si="22">IF(AND(AE423="C",AF423="C"),"UTILIZOU O PDA CORRETAMENTE",IF(AND(AE423="C",AF423="NC"),"UTILIZOU O PDA CORRETAMENTE. NÃO HÁ FOTOS DE TODAS AS ETAPAS",IF(AND(AE423="NC",AF423="NC"),"NÃO UTILIZOU O PDA",IF(AND(AE423="NA",AF423="NA"),"NÃO AVALIADO POR FALHA DE SINCRONISMO"))))</f>
        <v>0</v>
      </c>
      <c r="AH423" s="145"/>
      <c r="AI423" s="153" t="s">
        <v>6</v>
      </c>
      <c r="AJ423" s="150">
        <f t="shared" si="21"/>
        <v>0</v>
      </c>
      <c r="AK423" s="154" t="s">
        <v>60</v>
      </c>
    </row>
    <row r="424" spans="1:37" ht="30" customHeight="1">
      <c r="A424" s="64"/>
      <c r="B424" s="64"/>
      <c r="C424" s="64"/>
      <c r="D424" s="64"/>
      <c r="E424" s="64"/>
      <c r="F424" s="64"/>
      <c r="G424" s="64"/>
      <c r="H424" s="64"/>
      <c r="I424" s="64"/>
      <c r="J424" s="64"/>
      <c r="K424" s="64"/>
      <c r="L424" s="64"/>
      <c r="M424" s="64"/>
      <c r="N424" s="194"/>
      <c r="O424" s="157"/>
      <c r="P424" s="92"/>
      <c r="Q424" s="145"/>
      <c r="R424" s="92"/>
      <c r="S424" s="145"/>
      <c r="T424" s="92"/>
      <c r="U424" s="145"/>
      <c r="V424" s="92"/>
      <c r="W424" s="145"/>
      <c r="X424" s="92"/>
      <c r="Y424" s="145"/>
      <c r="Z424" s="92"/>
      <c r="AA424" s="145"/>
      <c r="AB424" s="92"/>
      <c r="AC424" s="145"/>
      <c r="AD424" s="92"/>
      <c r="AE424" s="145"/>
      <c r="AF424" s="142" t="str">
        <f t="shared" ref="AF424:AF487" si="23">IF(AND(O424="",Q424="",S424="",U424="",W424="",Y424="",AA424="",AC424=""),"",IF(OR(AND(O424&lt;&gt;"NA",O424&lt;&gt;"C",O424&lt;&gt;"NC",O424&lt;&gt;"SF",O424&lt;&gt;""),AND(Q424&lt;&gt;"NA",Q424&lt;&gt;"C",Q424&lt;&gt;"NC",Q424&lt;&gt;"SF",Q424&lt;&gt;""),AND(S424&lt;&gt;"NA",S424&lt;&gt;"C",S424&lt;&gt;"NC",S424&lt;&gt;"SF",S424&lt;&gt;""),AND(U424&lt;&gt;"NA",U424&lt;&gt;"C",U424&lt;&gt;"NC",U424&lt;&gt;"SF",U424&lt;&gt;""),AND(W424&lt;&gt;"NA",W424&lt;&gt;"C",W424&lt;&gt;"NC",W424&lt;&gt;"SF",W424&lt;&gt;""),AND(Y424&lt;&gt;"NA",Y424&lt;&gt;"C",Y424&lt;&gt;"NC",Y424&lt;&gt;"SF",Y424&lt;&gt;""),AND(AA424&lt;&gt;"NA",AA424&lt;&gt;"C",AA424&lt;&gt;"NC",AA424&lt;&gt;"SF",AA424&lt;&gt;""),AND(AC424&lt;&gt;"NA",AC424&lt;&gt;"C",AC424&lt;&gt;"NC",AC424&lt;&gt;"SF",AC424&lt;&gt;"")),"FALSO",IF(AND(O424="NA",Q424="NA",S424="NA",U424="NA",W424="NA",Y424="NA",AA424="NA",AC424="NA"),"NA",IF(OR(O424="NC",Q424="NC",S424="NC",U424="NC",W424="NC",Y424="NC",AA424="NC",AC424="NC",O424="SF",Q424="SF",S424="SF",U424="SF",W424="SF",Y424="SF",AA424="SF",AC424="SF"),"NC",IF(OR(O424="C",Q424="C",S424="C",U424="C",W424="C",Y424="C",AA424="C",AC424="C"),"C","")))))</f>
        <v/>
      </c>
      <c r="AG424" s="190" t="b">
        <f t="shared" si="22"/>
        <v>0</v>
      </c>
      <c r="AH424" s="145"/>
      <c r="AI424" s="153" t="s">
        <v>6</v>
      </c>
      <c r="AJ424" s="150">
        <f t="shared" si="21"/>
        <v>0</v>
      </c>
      <c r="AK424" s="154" t="s">
        <v>60</v>
      </c>
    </row>
    <row r="425" spans="1:37" ht="30" customHeight="1">
      <c r="A425" s="64"/>
      <c r="B425" s="64"/>
      <c r="C425" s="64"/>
      <c r="D425" s="64"/>
      <c r="E425" s="64"/>
      <c r="F425" s="64"/>
      <c r="G425" s="64"/>
      <c r="H425" s="64"/>
      <c r="I425" s="64"/>
      <c r="J425" s="64"/>
      <c r="K425" s="64"/>
      <c r="L425" s="64"/>
      <c r="M425" s="64"/>
      <c r="N425" s="194"/>
      <c r="O425" s="157"/>
      <c r="P425" s="92"/>
      <c r="Q425" s="145"/>
      <c r="R425" s="92"/>
      <c r="S425" s="145"/>
      <c r="T425" s="92"/>
      <c r="U425" s="145"/>
      <c r="V425" s="92"/>
      <c r="W425" s="145"/>
      <c r="X425" s="92"/>
      <c r="Y425" s="145"/>
      <c r="Z425" s="92"/>
      <c r="AA425" s="145"/>
      <c r="AB425" s="92"/>
      <c r="AC425" s="145"/>
      <c r="AD425" s="92"/>
      <c r="AE425" s="145"/>
      <c r="AF425" s="142" t="str">
        <f t="shared" si="23"/>
        <v/>
      </c>
      <c r="AG425" s="190" t="b">
        <f t="shared" si="22"/>
        <v>0</v>
      </c>
      <c r="AH425" s="145"/>
      <c r="AI425" s="153" t="s">
        <v>6</v>
      </c>
      <c r="AJ425" s="150">
        <f t="shared" si="21"/>
        <v>0</v>
      </c>
      <c r="AK425" s="154" t="s">
        <v>60</v>
      </c>
    </row>
    <row r="426" spans="1:37" ht="30" customHeight="1">
      <c r="A426" s="64"/>
      <c r="B426" s="64"/>
      <c r="C426" s="64"/>
      <c r="D426" s="64"/>
      <c r="E426" s="64"/>
      <c r="F426" s="64"/>
      <c r="G426" s="64"/>
      <c r="H426" s="64"/>
      <c r="I426" s="64"/>
      <c r="J426" s="64"/>
      <c r="K426" s="64"/>
      <c r="L426" s="64"/>
      <c r="M426" s="64"/>
      <c r="N426" s="194"/>
      <c r="O426" s="157"/>
      <c r="P426" s="92"/>
      <c r="Q426" s="145"/>
      <c r="R426" s="92"/>
      <c r="S426" s="145"/>
      <c r="T426" s="92"/>
      <c r="U426" s="145"/>
      <c r="V426" s="92"/>
      <c r="W426" s="145"/>
      <c r="X426" s="92"/>
      <c r="Y426" s="145"/>
      <c r="Z426" s="92"/>
      <c r="AA426" s="145"/>
      <c r="AB426" s="92"/>
      <c r="AC426" s="145"/>
      <c r="AD426" s="92"/>
      <c r="AE426" s="145"/>
      <c r="AF426" s="142" t="str">
        <f t="shared" si="23"/>
        <v/>
      </c>
      <c r="AG426" s="190" t="b">
        <f t="shared" si="22"/>
        <v>0</v>
      </c>
      <c r="AH426" s="145"/>
      <c r="AI426" s="153" t="s">
        <v>6</v>
      </c>
      <c r="AJ426" s="150">
        <f t="shared" si="21"/>
        <v>0</v>
      </c>
      <c r="AK426" s="154" t="s">
        <v>60</v>
      </c>
    </row>
    <row r="427" spans="1:37" ht="30" customHeight="1">
      <c r="A427" s="64"/>
      <c r="B427" s="64"/>
      <c r="C427" s="64"/>
      <c r="D427" s="64"/>
      <c r="E427" s="64"/>
      <c r="F427" s="64"/>
      <c r="G427" s="64"/>
      <c r="H427" s="64"/>
      <c r="I427" s="64"/>
      <c r="J427" s="64"/>
      <c r="K427" s="64"/>
      <c r="L427" s="64"/>
      <c r="M427" s="64"/>
      <c r="N427" s="194"/>
      <c r="O427" s="157"/>
      <c r="P427" s="92"/>
      <c r="Q427" s="145"/>
      <c r="R427" s="92"/>
      <c r="S427" s="145"/>
      <c r="T427" s="92"/>
      <c r="U427" s="145"/>
      <c r="V427" s="92"/>
      <c r="W427" s="145"/>
      <c r="X427" s="92"/>
      <c r="Y427" s="145"/>
      <c r="Z427" s="92"/>
      <c r="AA427" s="145"/>
      <c r="AB427" s="92"/>
      <c r="AC427" s="145"/>
      <c r="AD427" s="92"/>
      <c r="AE427" s="145"/>
      <c r="AF427" s="142" t="str">
        <f t="shared" si="23"/>
        <v/>
      </c>
      <c r="AG427" s="190" t="b">
        <f t="shared" si="22"/>
        <v>0</v>
      </c>
      <c r="AH427" s="145"/>
      <c r="AI427" s="153" t="s">
        <v>6</v>
      </c>
      <c r="AJ427" s="150">
        <f t="shared" si="21"/>
        <v>0</v>
      </c>
      <c r="AK427" s="154" t="s">
        <v>60</v>
      </c>
    </row>
    <row r="428" spans="1:37" ht="30" customHeight="1">
      <c r="A428" s="64"/>
      <c r="B428" s="64"/>
      <c r="C428" s="64"/>
      <c r="D428" s="64"/>
      <c r="E428" s="64"/>
      <c r="F428" s="64"/>
      <c r="G428" s="64"/>
      <c r="H428" s="64"/>
      <c r="I428" s="64"/>
      <c r="J428" s="64"/>
      <c r="K428" s="64"/>
      <c r="L428" s="64"/>
      <c r="M428" s="64"/>
      <c r="N428" s="194"/>
      <c r="O428" s="157"/>
      <c r="P428" s="92"/>
      <c r="Q428" s="145"/>
      <c r="R428" s="92"/>
      <c r="S428" s="145"/>
      <c r="T428" s="92"/>
      <c r="U428" s="145"/>
      <c r="V428" s="92"/>
      <c r="W428" s="145"/>
      <c r="X428" s="92"/>
      <c r="Y428" s="145"/>
      <c r="Z428" s="92"/>
      <c r="AA428" s="145"/>
      <c r="AB428" s="92"/>
      <c r="AC428" s="145"/>
      <c r="AD428" s="92"/>
      <c r="AE428" s="145"/>
      <c r="AF428" s="142" t="str">
        <f t="shared" si="23"/>
        <v/>
      </c>
      <c r="AG428" s="190" t="b">
        <f t="shared" si="22"/>
        <v>0</v>
      </c>
      <c r="AH428" s="145"/>
      <c r="AI428" s="153" t="s">
        <v>6</v>
      </c>
      <c r="AJ428" s="150">
        <f t="shared" si="21"/>
        <v>0</v>
      </c>
      <c r="AK428" s="154" t="s">
        <v>60</v>
      </c>
    </row>
    <row r="429" spans="1:37" ht="30" customHeight="1">
      <c r="A429" s="64"/>
      <c r="B429" s="64"/>
      <c r="C429" s="64"/>
      <c r="D429" s="64"/>
      <c r="E429" s="64"/>
      <c r="F429" s="64"/>
      <c r="G429" s="64"/>
      <c r="H429" s="64"/>
      <c r="I429" s="64"/>
      <c r="J429" s="64"/>
      <c r="K429" s="64"/>
      <c r="L429" s="64"/>
      <c r="M429" s="64"/>
      <c r="N429" s="194"/>
      <c r="O429" s="157"/>
      <c r="P429" s="92"/>
      <c r="Q429" s="145"/>
      <c r="R429" s="92"/>
      <c r="S429" s="145"/>
      <c r="T429" s="92"/>
      <c r="U429" s="145"/>
      <c r="V429" s="92"/>
      <c r="W429" s="145"/>
      <c r="X429" s="92"/>
      <c r="Y429" s="145"/>
      <c r="Z429" s="92"/>
      <c r="AA429" s="145"/>
      <c r="AB429" s="92"/>
      <c r="AC429" s="145"/>
      <c r="AD429" s="92"/>
      <c r="AE429" s="145"/>
      <c r="AF429" s="142" t="str">
        <f t="shared" si="23"/>
        <v/>
      </c>
      <c r="AG429" s="190" t="b">
        <f t="shared" si="22"/>
        <v>0</v>
      </c>
      <c r="AH429" s="145"/>
      <c r="AI429" s="153" t="s">
        <v>6</v>
      </c>
      <c r="AJ429" s="150">
        <f t="shared" si="21"/>
        <v>0</v>
      </c>
      <c r="AK429" s="154" t="s">
        <v>60</v>
      </c>
    </row>
    <row r="430" spans="1:37" ht="30" customHeight="1">
      <c r="A430" s="64"/>
      <c r="B430" s="64"/>
      <c r="C430" s="64"/>
      <c r="D430" s="64"/>
      <c r="E430" s="64"/>
      <c r="F430" s="64"/>
      <c r="G430" s="64"/>
      <c r="H430" s="64"/>
      <c r="I430" s="64"/>
      <c r="J430" s="64"/>
      <c r="K430" s="64"/>
      <c r="L430" s="64"/>
      <c r="M430" s="64"/>
      <c r="N430" s="194"/>
      <c r="O430" s="157"/>
      <c r="P430" s="92"/>
      <c r="Q430" s="145"/>
      <c r="R430" s="92"/>
      <c r="S430" s="145"/>
      <c r="T430" s="92"/>
      <c r="U430" s="145"/>
      <c r="V430" s="92"/>
      <c r="W430" s="145"/>
      <c r="X430" s="92"/>
      <c r="Y430" s="145"/>
      <c r="Z430" s="92"/>
      <c r="AA430" s="145"/>
      <c r="AB430" s="92"/>
      <c r="AC430" s="145"/>
      <c r="AD430" s="92"/>
      <c r="AE430" s="145"/>
      <c r="AF430" s="142" t="str">
        <f t="shared" si="23"/>
        <v/>
      </c>
      <c r="AG430" s="190" t="b">
        <f t="shared" si="22"/>
        <v>0</v>
      </c>
      <c r="AH430" s="145"/>
      <c r="AI430" s="153" t="s">
        <v>6</v>
      </c>
      <c r="AJ430" s="150">
        <f t="shared" si="21"/>
        <v>0</v>
      </c>
      <c r="AK430" s="154" t="s">
        <v>60</v>
      </c>
    </row>
    <row r="431" spans="1:37" ht="30" customHeight="1">
      <c r="A431" s="64"/>
      <c r="B431" s="64"/>
      <c r="C431" s="64"/>
      <c r="D431" s="64"/>
      <c r="E431" s="64"/>
      <c r="F431" s="64"/>
      <c r="G431" s="64"/>
      <c r="H431" s="64"/>
      <c r="I431" s="64"/>
      <c r="J431" s="64"/>
      <c r="K431" s="64"/>
      <c r="L431" s="64"/>
      <c r="M431" s="64"/>
      <c r="N431" s="194"/>
      <c r="O431" s="157"/>
      <c r="P431" s="92"/>
      <c r="Q431" s="145"/>
      <c r="R431" s="92"/>
      <c r="S431" s="145"/>
      <c r="T431" s="92"/>
      <c r="U431" s="145"/>
      <c r="V431" s="92"/>
      <c r="W431" s="145"/>
      <c r="X431" s="92"/>
      <c r="Y431" s="145"/>
      <c r="Z431" s="92"/>
      <c r="AA431" s="145"/>
      <c r="AB431" s="92"/>
      <c r="AC431" s="145"/>
      <c r="AD431" s="92"/>
      <c r="AE431" s="145"/>
      <c r="AF431" s="142" t="str">
        <f t="shared" si="23"/>
        <v/>
      </c>
      <c r="AG431" s="190" t="b">
        <f t="shared" si="22"/>
        <v>0</v>
      </c>
      <c r="AH431" s="145"/>
      <c r="AI431" s="153" t="s">
        <v>6</v>
      </c>
      <c r="AJ431" s="150">
        <f t="shared" si="21"/>
        <v>0</v>
      </c>
      <c r="AK431" s="154" t="s">
        <v>60</v>
      </c>
    </row>
    <row r="432" spans="1:37" ht="30" customHeight="1">
      <c r="A432" s="64"/>
      <c r="B432" s="64"/>
      <c r="C432" s="64"/>
      <c r="D432" s="64"/>
      <c r="E432" s="64"/>
      <c r="F432" s="64"/>
      <c r="G432" s="64"/>
      <c r="H432" s="64"/>
      <c r="I432" s="64"/>
      <c r="J432" s="64"/>
      <c r="K432" s="64"/>
      <c r="L432" s="64"/>
      <c r="M432" s="64"/>
      <c r="N432" s="194"/>
      <c r="O432" s="157"/>
      <c r="P432" s="92"/>
      <c r="Q432" s="145"/>
      <c r="R432" s="92"/>
      <c r="S432" s="145"/>
      <c r="T432" s="92"/>
      <c r="U432" s="145"/>
      <c r="V432" s="92"/>
      <c r="W432" s="145"/>
      <c r="X432" s="92"/>
      <c r="Y432" s="145"/>
      <c r="Z432" s="92"/>
      <c r="AA432" s="145"/>
      <c r="AB432" s="92"/>
      <c r="AC432" s="145"/>
      <c r="AD432" s="92"/>
      <c r="AE432" s="145"/>
      <c r="AF432" s="142" t="str">
        <f t="shared" si="23"/>
        <v/>
      </c>
      <c r="AG432" s="190" t="b">
        <f t="shared" si="22"/>
        <v>0</v>
      </c>
      <c r="AH432" s="145"/>
      <c r="AI432" s="153" t="s">
        <v>6</v>
      </c>
      <c r="AJ432" s="150">
        <f t="shared" si="21"/>
        <v>0</v>
      </c>
      <c r="AK432" s="154" t="s">
        <v>60</v>
      </c>
    </row>
    <row r="433" spans="1:37" ht="30" customHeight="1">
      <c r="A433" s="64"/>
      <c r="B433" s="64"/>
      <c r="C433" s="64"/>
      <c r="D433" s="64"/>
      <c r="E433" s="64"/>
      <c r="F433" s="64"/>
      <c r="G433" s="64"/>
      <c r="H433" s="64"/>
      <c r="I433" s="64"/>
      <c r="J433" s="64"/>
      <c r="K433" s="64"/>
      <c r="L433" s="64"/>
      <c r="M433" s="64"/>
      <c r="N433" s="194"/>
      <c r="O433" s="157"/>
      <c r="P433" s="92"/>
      <c r="Q433" s="145"/>
      <c r="R433" s="92"/>
      <c r="S433" s="145"/>
      <c r="T433" s="92"/>
      <c r="U433" s="145"/>
      <c r="V433" s="92"/>
      <c r="W433" s="145"/>
      <c r="X433" s="92"/>
      <c r="Y433" s="145"/>
      <c r="Z433" s="92"/>
      <c r="AA433" s="145"/>
      <c r="AB433" s="92"/>
      <c r="AC433" s="145"/>
      <c r="AD433" s="92"/>
      <c r="AE433" s="145"/>
      <c r="AF433" s="142" t="str">
        <f t="shared" si="23"/>
        <v/>
      </c>
      <c r="AG433" s="190" t="b">
        <f t="shared" si="22"/>
        <v>0</v>
      </c>
      <c r="AH433" s="145"/>
      <c r="AI433" s="153" t="s">
        <v>6</v>
      </c>
      <c r="AJ433" s="150">
        <f t="shared" si="21"/>
        <v>0</v>
      </c>
      <c r="AK433" s="154" t="s">
        <v>60</v>
      </c>
    </row>
    <row r="434" spans="1:37" ht="30" customHeight="1">
      <c r="A434" s="64"/>
      <c r="B434" s="64"/>
      <c r="C434" s="64"/>
      <c r="D434" s="64"/>
      <c r="E434" s="64"/>
      <c r="F434" s="64"/>
      <c r="G434" s="64"/>
      <c r="H434" s="64"/>
      <c r="I434" s="64"/>
      <c r="J434" s="64"/>
      <c r="K434" s="64"/>
      <c r="L434" s="64"/>
      <c r="M434" s="64"/>
      <c r="N434" s="194"/>
      <c r="O434" s="157"/>
      <c r="P434" s="92"/>
      <c r="Q434" s="145"/>
      <c r="R434" s="92"/>
      <c r="S434" s="145"/>
      <c r="T434" s="92"/>
      <c r="U434" s="145"/>
      <c r="V434" s="92"/>
      <c r="W434" s="145"/>
      <c r="X434" s="92"/>
      <c r="Y434" s="145"/>
      <c r="Z434" s="92"/>
      <c r="AA434" s="145"/>
      <c r="AB434" s="92"/>
      <c r="AC434" s="145"/>
      <c r="AD434" s="92"/>
      <c r="AE434" s="145"/>
      <c r="AF434" s="142" t="str">
        <f t="shared" si="23"/>
        <v/>
      </c>
      <c r="AG434" s="190" t="b">
        <f t="shared" si="22"/>
        <v>0</v>
      </c>
      <c r="AH434" s="145"/>
      <c r="AI434" s="153" t="s">
        <v>6</v>
      </c>
      <c r="AJ434" s="150">
        <f t="shared" si="21"/>
        <v>0</v>
      </c>
      <c r="AK434" s="154" t="s">
        <v>60</v>
      </c>
    </row>
    <row r="435" spans="1:37" ht="30" customHeight="1">
      <c r="A435" s="64"/>
      <c r="B435" s="64"/>
      <c r="C435" s="64"/>
      <c r="D435" s="64"/>
      <c r="E435" s="64"/>
      <c r="F435" s="64"/>
      <c r="G435" s="64"/>
      <c r="H435" s="64"/>
      <c r="I435" s="64"/>
      <c r="J435" s="64"/>
      <c r="K435" s="64"/>
      <c r="L435" s="64"/>
      <c r="M435" s="64"/>
      <c r="N435" s="194"/>
      <c r="O435" s="157"/>
      <c r="P435" s="92"/>
      <c r="Q435" s="145"/>
      <c r="R435" s="92"/>
      <c r="S435" s="145"/>
      <c r="T435" s="92"/>
      <c r="U435" s="145"/>
      <c r="V435" s="92"/>
      <c r="W435" s="145"/>
      <c r="X435" s="92"/>
      <c r="Y435" s="145"/>
      <c r="Z435" s="92"/>
      <c r="AA435" s="145"/>
      <c r="AB435" s="92"/>
      <c r="AC435" s="145"/>
      <c r="AD435" s="92"/>
      <c r="AE435" s="145"/>
      <c r="AF435" s="142" t="str">
        <f t="shared" si="23"/>
        <v/>
      </c>
      <c r="AG435" s="190" t="b">
        <f t="shared" si="22"/>
        <v>0</v>
      </c>
      <c r="AH435" s="145"/>
      <c r="AI435" s="153" t="s">
        <v>6</v>
      </c>
      <c r="AJ435" s="150">
        <f t="shared" si="21"/>
        <v>0</v>
      </c>
      <c r="AK435" s="154" t="s">
        <v>60</v>
      </c>
    </row>
    <row r="436" spans="1:37" ht="30" customHeight="1">
      <c r="A436" s="64"/>
      <c r="B436" s="64"/>
      <c r="C436" s="64"/>
      <c r="D436" s="64"/>
      <c r="E436" s="64"/>
      <c r="F436" s="64"/>
      <c r="G436" s="64"/>
      <c r="H436" s="64"/>
      <c r="I436" s="64"/>
      <c r="J436" s="64"/>
      <c r="K436" s="64"/>
      <c r="L436" s="64"/>
      <c r="M436" s="64"/>
      <c r="N436" s="194"/>
      <c r="O436" s="157"/>
      <c r="P436" s="92"/>
      <c r="Q436" s="145"/>
      <c r="R436" s="92"/>
      <c r="S436" s="145"/>
      <c r="T436" s="92"/>
      <c r="U436" s="145"/>
      <c r="V436" s="92"/>
      <c r="W436" s="145"/>
      <c r="X436" s="92"/>
      <c r="Y436" s="145"/>
      <c r="Z436" s="92"/>
      <c r="AA436" s="145"/>
      <c r="AB436" s="92"/>
      <c r="AC436" s="145"/>
      <c r="AD436" s="92"/>
      <c r="AE436" s="145"/>
      <c r="AF436" s="142" t="str">
        <f t="shared" si="23"/>
        <v/>
      </c>
      <c r="AG436" s="190" t="b">
        <f t="shared" si="22"/>
        <v>0</v>
      </c>
      <c r="AH436" s="145"/>
      <c r="AI436" s="153" t="s">
        <v>6</v>
      </c>
      <c r="AJ436" s="150">
        <f t="shared" si="21"/>
        <v>0</v>
      </c>
      <c r="AK436" s="154" t="s">
        <v>60</v>
      </c>
    </row>
    <row r="437" spans="1:37" ht="30" customHeight="1">
      <c r="A437" s="64"/>
      <c r="B437" s="64"/>
      <c r="C437" s="64"/>
      <c r="D437" s="64"/>
      <c r="E437" s="64"/>
      <c r="F437" s="64"/>
      <c r="G437" s="64"/>
      <c r="H437" s="64"/>
      <c r="I437" s="64"/>
      <c r="J437" s="64"/>
      <c r="K437" s="64"/>
      <c r="L437" s="64"/>
      <c r="M437" s="64"/>
      <c r="N437" s="194"/>
      <c r="O437" s="157"/>
      <c r="P437" s="92"/>
      <c r="Q437" s="145"/>
      <c r="R437" s="92"/>
      <c r="S437" s="145"/>
      <c r="T437" s="92"/>
      <c r="U437" s="145"/>
      <c r="V437" s="92"/>
      <c r="W437" s="145"/>
      <c r="X437" s="92"/>
      <c r="Y437" s="145"/>
      <c r="Z437" s="92"/>
      <c r="AA437" s="145"/>
      <c r="AB437" s="92"/>
      <c r="AC437" s="145"/>
      <c r="AD437" s="92"/>
      <c r="AE437" s="145"/>
      <c r="AF437" s="142" t="str">
        <f t="shared" si="23"/>
        <v/>
      </c>
      <c r="AG437" s="190" t="b">
        <f t="shared" si="22"/>
        <v>0</v>
      </c>
      <c r="AH437" s="145"/>
      <c r="AI437" s="153" t="s">
        <v>6</v>
      </c>
      <c r="AJ437" s="150">
        <f t="shared" si="21"/>
        <v>0</v>
      </c>
      <c r="AK437" s="154" t="s">
        <v>60</v>
      </c>
    </row>
    <row r="438" spans="1:37" ht="30" customHeight="1">
      <c r="A438" s="64"/>
      <c r="B438" s="64"/>
      <c r="C438" s="64"/>
      <c r="D438" s="64"/>
      <c r="E438" s="64"/>
      <c r="F438" s="64"/>
      <c r="G438" s="64"/>
      <c r="H438" s="64"/>
      <c r="I438" s="64"/>
      <c r="J438" s="64"/>
      <c r="K438" s="64"/>
      <c r="L438" s="64"/>
      <c r="M438" s="64"/>
      <c r="N438" s="194"/>
      <c r="O438" s="157"/>
      <c r="P438" s="92"/>
      <c r="Q438" s="145"/>
      <c r="R438" s="92"/>
      <c r="S438" s="145"/>
      <c r="T438" s="92"/>
      <c r="U438" s="145"/>
      <c r="V438" s="92"/>
      <c r="W438" s="145"/>
      <c r="X438" s="92"/>
      <c r="Y438" s="145"/>
      <c r="Z438" s="92"/>
      <c r="AA438" s="145"/>
      <c r="AB438" s="92"/>
      <c r="AC438" s="145"/>
      <c r="AD438" s="92"/>
      <c r="AE438" s="145"/>
      <c r="AF438" s="142" t="str">
        <f t="shared" si="23"/>
        <v/>
      </c>
      <c r="AG438" s="190" t="b">
        <f t="shared" si="22"/>
        <v>0</v>
      </c>
      <c r="AH438" s="145"/>
      <c r="AI438" s="153" t="s">
        <v>6</v>
      </c>
      <c r="AJ438" s="150">
        <f t="shared" si="21"/>
        <v>0</v>
      </c>
      <c r="AK438" s="154" t="s">
        <v>60</v>
      </c>
    </row>
    <row r="439" spans="1:37" ht="30" customHeight="1">
      <c r="A439" s="64"/>
      <c r="B439" s="64"/>
      <c r="C439" s="64"/>
      <c r="D439" s="64"/>
      <c r="E439" s="64"/>
      <c r="F439" s="64"/>
      <c r="G439" s="64"/>
      <c r="H439" s="64"/>
      <c r="I439" s="64"/>
      <c r="J439" s="64"/>
      <c r="K439" s="64"/>
      <c r="L439" s="64"/>
      <c r="M439" s="64"/>
      <c r="N439" s="194"/>
      <c r="O439" s="157"/>
      <c r="P439" s="92"/>
      <c r="Q439" s="145"/>
      <c r="R439" s="92"/>
      <c r="S439" s="145"/>
      <c r="T439" s="92"/>
      <c r="U439" s="145"/>
      <c r="V439" s="92"/>
      <c r="W439" s="145"/>
      <c r="X439" s="92"/>
      <c r="Y439" s="145"/>
      <c r="Z439" s="92"/>
      <c r="AA439" s="145"/>
      <c r="AB439" s="92"/>
      <c r="AC439" s="145"/>
      <c r="AD439" s="92"/>
      <c r="AE439" s="145"/>
      <c r="AF439" s="142" t="str">
        <f t="shared" si="23"/>
        <v/>
      </c>
      <c r="AG439" s="190" t="b">
        <f t="shared" si="22"/>
        <v>0</v>
      </c>
      <c r="AH439" s="145"/>
      <c r="AI439" s="153" t="s">
        <v>6</v>
      </c>
      <c r="AJ439" s="150">
        <f t="shared" si="21"/>
        <v>0</v>
      </c>
      <c r="AK439" s="154" t="s">
        <v>60</v>
      </c>
    </row>
    <row r="440" spans="1:37" ht="30" customHeight="1">
      <c r="A440" s="64"/>
      <c r="B440" s="64"/>
      <c r="C440" s="64"/>
      <c r="D440" s="64"/>
      <c r="E440" s="64"/>
      <c r="F440" s="64"/>
      <c r="G440" s="64"/>
      <c r="H440" s="64"/>
      <c r="I440" s="64"/>
      <c r="J440" s="64"/>
      <c r="K440" s="64"/>
      <c r="L440" s="64"/>
      <c r="M440" s="64"/>
      <c r="N440" s="194"/>
      <c r="O440" s="157"/>
      <c r="P440" s="92"/>
      <c r="Q440" s="145"/>
      <c r="R440" s="92"/>
      <c r="S440" s="145"/>
      <c r="T440" s="92"/>
      <c r="U440" s="145"/>
      <c r="V440" s="92"/>
      <c r="W440" s="145"/>
      <c r="X440" s="92"/>
      <c r="Y440" s="145"/>
      <c r="Z440" s="92"/>
      <c r="AA440" s="145"/>
      <c r="AB440" s="92"/>
      <c r="AC440" s="145"/>
      <c r="AD440" s="92"/>
      <c r="AE440" s="145"/>
      <c r="AF440" s="142" t="str">
        <f t="shared" si="23"/>
        <v/>
      </c>
      <c r="AG440" s="190" t="b">
        <f t="shared" si="22"/>
        <v>0</v>
      </c>
      <c r="AH440" s="145"/>
      <c r="AI440" s="153" t="s">
        <v>6</v>
      </c>
      <c r="AJ440" s="150">
        <f t="shared" si="21"/>
        <v>0</v>
      </c>
      <c r="AK440" s="154" t="s">
        <v>60</v>
      </c>
    </row>
    <row r="441" spans="1:37" ht="30" customHeight="1">
      <c r="A441" s="64"/>
      <c r="B441" s="64"/>
      <c r="C441" s="64"/>
      <c r="D441" s="64"/>
      <c r="E441" s="64"/>
      <c r="F441" s="64"/>
      <c r="G441" s="64"/>
      <c r="H441" s="64"/>
      <c r="I441" s="64"/>
      <c r="J441" s="64"/>
      <c r="K441" s="64"/>
      <c r="L441" s="64"/>
      <c r="M441" s="64"/>
      <c r="N441" s="194"/>
      <c r="O441" s="157"/>
      <c r="P441" s="92"/>
      <c r="Q441" s="145"/>
      <c r="R441" s="92"/>
      <c r="S441" s="145"/>
      <c r="T441" s="92"/>
      <c r="U441" s="145"/>
      <c r="V441" s="92"/>
      <c r="W441" s="145"/>
      <c r="X441" s="92"/>
      <c r="Y441" s="145"/>
      <c r="Z441" s="92"/>
      <c r="AA441" s="145"/>
      <c r="AB441" s="92"/>
      <c r="AC441" s="145"/>
      <c r="AD441" s="92"/>
      <c r="AE441" s="145"/>
      <c r="AF441" s="142" t="str">
        <f t="shared" si="23"/>
        <v/>
      </c>
      <c r="AG441" s="190" t="b">
        <f t="shared" si="22"/>
        <v>0</v>
      </c>
      <c r="AH441" s="145"/>
      <c r="AI441" s="153" t="s">
        <v>6</v>
      </c>
      <c r="AJ441" s="150">
        <f t="shared" si="21"/>
        <v>0</v>
      </c>
      <c r="AK441" s="154" t="s">
        <v>60</v>
      </c>
    </row>
    <row r="442" spans="1:37" ht="30" customHeight="1">
      <c r="A442" s="64"/>
      <c r="B442" s="64"/>
      <c r="C442" s="64"/>
      <c r="D442" s="64"/>
      <c r="E442" s="64"/>
      <c r="F442" s="64"/>
      <c r="G442" s="64"/>
      <c r="H442" s="64"/>
      <c r="I442" s="64"/>
      <c r="J442" s="64"/>
      <c r="K442" s="64"/>
      <c r="L442" s="64"/>
      <c r="M442" s="64"/>
      <c r="N442" s="194"/>
      <c r="O442" s="157"/>
      <c r="P442" s="92"/>
      <c r="Q442" s="145"/>
      <c r="R442" s="92"/>
      <c r="S442" s="145"/>
      <c r="T442" s="92"/>
      <c r="U442" s="145"/>
      <c r="V442" s="92"/>
      <c r="W442" s="145"/>
      <c r="X442" s="92"/>
      <c r="Y442" s="145"/>
      <c r="Z442" s="92"/>
      <c r="AA442" s="145"/>
      <c r="AB442" s="92"/>
      <c r="AC442" s="145"/>
      <c r="AD442" s="92"/>
      <c r="AE442" s="145"/>
      <c r="AF442" s="142" t="str">
        <f t="shared" si="23"/>
        <v/>
      </c>
      <c r="AG442" s="190" t="b">
        <f t="shared" si="22"/>
        <v>0</v>
      </c>
      <c r="AH442" s="145"/>
      <c r="AI442" s="153" t="s">
        <v>6</v>
      </c>
      <c r="AJ442" s="150">
        <f t="shared" si="21"/>
        <v>0</v>
      </c>
      <c r="AK442" s="154" t="s">
        <v>60</v>
      </c>
    </row>
    <row r="443" spans="1:37" ht="30" customHeight="1">
      <c r="A443" s="64"/>
      <c r="B443" s="64"/>
      <c r="C443" s="64"/>
      <c r="D443" s="64"/>
      <c r="E443" s="64"/>
      <c r="F443" s="64"/>
      <c r="G443" s="64"/>
      <c r="H443" s="64"/>
      <c r="I443" s="64"/>
      <c r="J443" s="64"/>
      <c r="K443" s="64"/>
      <c r="L443" s="64"/>
      <c r="M443" s="64"/>
      <c r="N443" s="194"/>
      <c r="O443" s="157"/>
      <c r="P443" s="92"/>
      <c r="Q443" s="145"/>
      <c r="R443" s="92"/>
      <c r="S443" s="145"/>
      <c r="T443" s="92"/>
      <c r="U443" s="145"/>
      <c r="V443" s="92"/>
      <c r="W443" s="145"/>
      <c r="X443" s="92"/>
      <c r="Y443" s="145"/>
      <c r="Z443" s="92"/>
      <c r="AA443" s="145"/>
      <c r="AB443" s="92"/>
      <c r="AC443" s="145"/>
      <c r="AD443" s="92"/>
      <c r="AE443" s="145"/>
      <c r="AF443" s="142" t="str">
        <f t="shared" si="23"/>
        <v/>
      </c>
      <c r="AG443" s="190" t="b">
        <f t="shared" si="22"/>
        <v>0</v>
      </c>
      <c r="AH443" s="145"/>
      <c r="AI443" s="153" t="s">
        <v>6</v>
      </c>
      <c r="AJ443" s="150">
        <f t="shared" si="21"/>
        <v>0</v>
      </c>
      <c r="AK443" s="154" t="s">
        <v>60</v>
      </c>
    </row>
    <row r="444" spans="1:37" ht="30" customHeight="1">
      <c r="A444" s="64"/>
      <c r="B444" s="64"/>
      <c r="C444" s="64"/>
      <c r="D444" s="64"/>
      <c r="E444" s="64"/>
      <c r="F444" s="64"/>
      <c r="G444" s="64"/>
      <c r="H444" s="64"/>
      <c r="I444" s="64"/>
      <c r="J444" s="64"/>
      <c r="K444" s="64"/>
      <c r="L444" s="64"/>
      <c r="M444" s="64"/>
      <c r="N444" s="194"/>
      <c r="O444" s="157"/>
      <c r="P444" s="92"/>
      <c r="Q444" s="145"/>
      <c r="R444" s="92"/>
      <c r="S444" s="145"/>
      <c r="T444" s="92"/>
      <c r="U444" s="145"/>
      <c r="V444" s="92"/>
      <c r="W444" s="145"/>
      <c r="X444" s="92"/>
      <c r="Y444" s="145"/>
      <c r="Z444" s="92"/>
      <c r="AA444" s="145"/>
      <c r="AB444" s="92"/>
      <c r="AC444" s="145"/>
      <c r="AD444" s="92"/>
      <c r="AE444" s="145"/>
      <c r="AF444" s="142" t="str">
        <f t="shared" si="23"/>
        <v/>
      </c>
      <c r="AG444" s="190" t="b">
        <f t="shared" si="22"/>
        <v>0</v>
      </c>
      <c r="AH444" s="145"/>
      <c r="AI444" s="153" t="s">
        <v>6</v>
      </c>
      <c r="AJ444" s="150">
        <f t="shared" si="21"/>
        <v>0</v>
      </c>
      <c r="AK444" s="154" t="s">
        <v>60</v>
      </c>
    </row>
    <row r="445" spans="1:37" ht="30" customHeight="1">
      <c r="A445" s="64"/>
      <c r="B445" s="64"/>
      <c r="C445" s="64"/>
      <c r="D445" s="64"/>
      <c r="E445" s="64"/>
      <c r="F445" s="64"/>
      <c r="G445" s="64"/>
      <c r="H445" s="64"/>
      <c r="I445" s="64"/>
      <c r="J445" s="64"/>
      <c r="K445" s="64"/>
      <c r="L445" s="64"/>
      <c r="M445" s="64"/>
      <c r="N445" s="194"/>
      <c r="O445" s="157"/>
      <c r="P445" s="92"/>
      <c r="Q445" s="145"/>
      <c r="R445" s="92"/>
      <c r="S445" s="145"/>
      <c r="T445" s="92"/>
      <c r="U445" s="145"/>
      <c r="V445" s="92"/>
      <c r="W445" s="145"/>
      <c r="X445" s="92"/>
      <c r="Y445" s="145"/>
      <c r="Z445" s="92"/>
      <c r="AA445" s="145"/>
      <c r="AB445" s="92"/>
      <c r="AC445" s="145"/>
      <c r="AD445" s="92"/>
      <c r="AE445" s="145"/>
      <c r="AF445" s="142" t="str">
        <f t="shared" si="23"/>
        <v/>
      </c>
      <c r="AG445" s="190" t="b">
        <f t="shared" si="22"/>
        <v>0</v>
      </c>
      <c r="AH445" s="145"/>
      <c r="AI445" s="153" t="s">
        <v>6</v>
      </c>
      <c r="AJ445" s="150">
        <f t="shared" si="21"/>
        <v>0</v>
      </c>
      <c r="AK445" s="154" t="s">
        <v>60</v>
      </c>
    </row>
    <row r="446" spans="1:37" ht="30" customHeight="1">
      <c r="A446" s="64"/>
      <c r="B446" s="64"/>
      <c r="C446" s="64"/>
      <c r="D446" s="64"/>
      <c r="E446" s="64"/>
      <c r="F446" s="64"/>
      <c r="G446" s="64"/>
      <c r="H446" s="64"/>
      <c r="I446" s="64"/>
      <c r="J446" s="64"/>
      <c r="K446" s="64"/>
      <c r="L446" s="64"/>
      <c r="M446" s="64"/>
      <c r="N446" s="194"/>
      <c r="O446" s="157"/>
      <c r="P446" s="92"/>
      <c r="Q446" s="145"/>
      <c r="R446" s="92"/>
      <c r="S446" s="145"/>
      <c r="T446" s="92"/>
      <c r="U446" s="145"/>
      <c r="V446" s="92"/>
      <c r="W446" s="145"/>
      <c r="X446" s="92"/>
      <c r="Y446" s="145"/>
      <c r="Z446" s="92"/>
      <c r="AA446" s="145"/>
      <c r="AB446" s="92"/>
      <c r="AC446" s="145"/>
      <c r="AD446" s="92"/>
      <c r="AE446" s="145"/>
      <c r="AF446" s="142" t="str">
        <f t="shared" si="23"/>
        <v/>
      </c>
      <c r="AG446" s="190" t="b">
        <f t="shared" si="22"/>
        <v>0</v>
      </c>
      <c r="AH446" s="145"/>
      <c r="AI446" s="153" t="s">
        <v>6</v>
      </c>
      <c r="AJ446" s="150">
        <f t="shared" si="21"/>
        <v>0</v>
      </c>
      <c r="AK446" s="154" t="s">
        <v>60</v>
      </c>
    </row>
    <row r="447" spans="1:37" ht="30" customHeight="1">
      <c r="A447" s="64"/>
      <c r="B447" s="64"/>
      <c r="C447" s="64"/>
      <c r="D447" s="64"/>
      <c r="E447" s="64"/>
      <c r="F447" s="64"/>
      <c r="G447" s="64"/>
      <c r="H447" s="64"/>
      <c r="I447" s="64"/>
      <c r="J447" s="64"/>
      <c r="K447" s="64"/>
      <c r="L447" s="64"/>
      <c r="M447" s="64"/>
      <c r="N447" s="194"/>
      <c r="O447" s="157"/>
      <c r="P447" s="92"/>
      <c r="Q447" s="145"/>
      <c r="R447" s="92"/>
      <c r="S447" s="145"/>
      <c r="T447" s="92"/>
      <c r="U447" s="145"/>
      <c r="V447" s="92"/>
      <c r="W447" s="145"/>
      <c r="X447" s="92"/>
      <c r="Y447" s="145"/>
      <c r="Z447" s="92"/>
      <c r="AA447" s="145"/>
      <c r="AB447" s="92"/>
      <c r="AC447" s="145"/>
      <c r="AD447" s="92"/>
      <c r="AE447" s="145"/>
      <c r="AF447" s="142" t="str">
        <f t="shared" si="23"/>
        <v/>
      </c>
      <c r="AG447" s="190" t="b">
        <f t="shared" si="22"/>
        <v>0</v>
      </c>
      <c r="AH447" s="145"/>
      <c r="AI447" s="153" t="s">
        <v>6</v>
      </c>
      <c r="AJ447" s="150">
        <f t="shared" si="21"/>
        <v>0</v>
      </c>
      <c r="AK447" s="154" t="s">
        <v>60</v>
      </c>
    </row>
    <row r="448" spans="1:37" ht="30" customHeight="1">
      <c r="A448" s="64"/>
      <c r="B448" s="64"/>
      <c r="C448" s="64"/>
      <c r="D448" s="64"/>
      <c r="E448" s="64"/>
      <c r="F448" s="64"/>
      <c r="G448" s="64"/>
      <c r="H448" s="64"/>
      <c r="I448" s="64"/>
      <c r="J448" s="64"/>
      <c r="K448" s="64"/>
      <c r="L448" s="64"/>
      <c r="M448" s="64"/>
      <c r="N448" s="194"/>
      <c r="O448" s="157"/>
      <c r="P448" s="92"/>
      <c r="Q448" s="145"/>
      <c r="R448" s="92"/>
      <c r="S448" s="145"/>
      <c r="T448" s="92"/>
      <c r="U448" s="145"/>
      <c r="V448" s="92"/>
      <c r="W448" s="145"/>
      <c r="X448" s="92"/>
      <c r="Y448" s="145"/>
      <c r="Z448" s="92"/>
      <c r="AA448" s="145"/>
      <c r="AB448" s="92"/>
      <c r="AC448" s="145"/>
      <c r="AD448" s="92"/>
      <c r="AE448" s="145"/>
      <c r="AF448" s="142" t="str">
        <f t="shared" si="23"/>
        <v/>
      </c>
      <c r="AG448" s="190" t="b">
        <f t="shared" si="22"/>
        <v>0</v>
      </c>
      <c r="AH448" s="145"/>
      <c r="AI448" s="153" t="s">
        <v>6</v>
      </c>
      <c r="AJ448" s="150">
        <f t="shared" si="21"/>
        <v>0</v>
      </c>
      <c r="AK448" s="154" t="s">
        <v>60</v>
      </c>
    </row>
    <row r="449" spans="1:37" ht="30" customHeight="1">
      <c r="A449" s="64"/>
      <c r="B449" s="64"/>
      <c r="C449" s="64"/>
      <c r="D449" s="64"/>
      <c r="E449" s="64"/>
      <c r="F449" s="64"/>
      <c r="G449" s="64"/>
      <c r="H449" s="64"/>
      <c r="I449" s="64"/>
      <c r="J449" s="64"/>
      <c r="K449" s="64"/>
      <c r="L449" s="64"/>
      <c r="M449" s="64"/>
      <c r="N449" s="194"/>
      <c r="O449" s="157"/>
      <c r="P449" s="92"/>
      <c r="Q449" s="145"/>
      <c r="R449" s="92"/>
      <c r="S449" s="145"/>
      <c r="T449" s="92"/>
      <c r="U449" s="145"/>
      <c r="V449" s="92"/>
      <c r="W449" s="145"/>
      <c r="X449" s="92"/>
      <c r="Y449" s="145"/>
      <c r="Z449" s="92"/>
      <c r="AA449" s="145"/>
      <c r="AB449" s="92"/>
      <c r="AC449" s="145"/>
      <c r="AD449" s="92"/>
      <c r="AE449" s="145"/>
      <c r="AF449" s="142" t="str">
        <f t="shared" si="23"/>
        <v/>
      </c>
      <c r="AG449" s="190" t="b">
        <f t="shared" si="22"/>
        <v>0</v>
      </c>
      <c r="AH449" s="145"/>
      <c r="AI449" s="153" t="s">
        <v>6</v>
      </c>
      <c r="AJ449" s="150">
        <f t="shared" si="21"/>
        <v>0</v>
      </c>
      <c r="AK449" s="154" t="s">
        <v>60</v>
      </c>
    </row>
    <row r="450" spans="1:37" ht="30" customHeight="1">
      <c r="A450" s="64"/>
      <c r="B450" s="64"/>
      <c r="C450" s="64"/>
      <c r="D450" s="64"/>
      <c r="E450" s="64"/>
      <c r="F450" s="64"/>
      <c r="G450" s="64"/>
      <c r="H450" s="64"/>
      <c r="I450" s="64"/>
      <c r="J450" s="64"/>
      <c r="K450" s="64"/>
      <c r="L450" s="64"/>
      <c r="M450" s="64"/>
      <c r="N450" s="194"/>
      <c r="O450" s="157"/>
      <c r="P450" s="92"/>
      <c r="Q450" s="145"/>
      <c r="R450" s="92"/>
      <c r="S450" s="145"/>
      <c r="T450" s="92"/>
      <c r="U450" s="145"/>
      <c r="V450" s="92"/>
      <c r="W450" s="145"/>
      <c r="X450" s="92"/>
      <c r="Y450" s="145"/>
      <c r="Z450" s="92"/>
      <c r="AA450" s="145"/>
      <c r="AB450" s="92"/>
      <c r="AC450" s="145"/>
      <c r="AD450" s="92"/>
      <c r="AE450" s="145"/>
      <c r="AF450" s="142" t="str">
        <f t="shared" si="23"/>
        <v/>
      </c>
      <c r="AG450" s="190" t="b">
        <f t="shared" si="22"/>
        <v>0</v>
      </c>
      <c r="AH450" s="145"/>
      <c r="AI450" s="153" t="s">
        <v>6</v>
      </c>
      <c r="AJ450" s="150">
        <f t="shared" si="21"/>
        <v>0</v>
      </c>
      <c r="AK450" s="154" t="s">
        <v>60</v>
      </c>
    </row>
    <row r="451" spans="1:37" ht="30" customHeight="1">
      <c r="A451" s="64"/>
      <c r="B451" s="64"/>
      <c r="C451" s="64"/>
      <c r="D451" s="64"/>
      <c r="E451" s="64"/>
      <c r="F451" s="64"/>
      <c r="G451" s="64"/>
      <c r="H451" s="64"/>
      <c r="I451" s="64"/>
      <c r="J451" s="64"/>
      <c r="K451" s="64"/>
      <c r="L451" s="64"/>
      <c r="M451" s="64"/>
      <c r="N451" s="194"/>
      <c r="O451" s="157"/>
      <c r="P451" s="92"/>
      <c r="Q451" s="145"/>
      <c r="R451" s="92"/>
      <c r="S451" s="145"/>
      <c r="T451" s="92"/>
      <c r="U451" s="145"/>
      <c r="V451" s="92"/>
      <c r="W451" s="145"/>
      <c r="X451" s="92"/>
      <c r="Y451" s="145"/>
      <c r="Z451" s="92"/>
      <c r="AA451" s="145"/>
      <c r="AB451" s="92"/>
      <c r="AC451" s="145"/>
      <c r="AD451" s="92"/>
      <c r="AE451" s="145"/>
      <c r="AF451" s="142" t="str">
        <f t="shared" si="23"/>
        <v/>
      </c>
      <c r="AG451" s="190" t="b">
        <f t="shared" si="22"/>
        <v>0</v>
      </c>
      <c r="AH451" s="145"/>
      <c r="AI451" s="153" t="s">
        <v>6</v>
      </c>
      <c r="AJ451" s="150">
        <f t="shared" si="21"/>
        <v>0</v>
      </c>
      <c r="AK451" s="154" t="s">
        <v>60</v>
      </c>
    </row>
    <row r="452" spans="1:37" ht="30" customHeight="1">
      <c r="A452" s="64"/>
      <c r="B452" s="64"/>
      <c r="C452" s="64"/>
      <c r="D452" s="64"/>
      <c r="E452" s="64"/>
      <c r="F452" s="64"/>
      <c r="G452" s="64"/>
      <c r="H452" s="64"/>
      <c r="I452" s="64"/>
      <c r="J452" s="64"/>
      <c r="K452" s="64"/>
      <c r="L452" s="64"/>
      <c r="M452" s="64"/>
      <c r="N452" s="194"/>
      <c r="O452" s="157"/>
      <c r="P452" s="92"/>
      <c r="Q452" s="145"/>
      <c r="R452" s="92"/>
      <c r="S452" s="145"/>
      <c r="T452" s="92"/>
      <c r="U452" s="145"/>
      <c r="V452" s="92"/>
      <c r="W452" s="145"/>
      <c r="X452" s="92"/>
      <c r="Y452" s="145"/>
      <c r="Z452" s="92"/>
      <c r="AA452" s="145"/>
      <c r="AB452" s="92"/>
      <c r="AC452" s="145"/>
      <c r="AD452" s="92"/>
      <c r="AE452" s="145"/>
      <c r="AF452" s="142" t="str">
        <f t="shared" si="23"/>
        <v/>
      </c>
      <c r="AG452" s="190" t="b">
        <f t="shared" si="22"/>
        <v>0</v>
      </c>
      <c r="AH452" s="145"/>
      <c r="AI452" s="153" t="s">
        <v>6</v>
      </c>
      <c r="AJ452" s="150">
        <f t="shared" si="21"/>
        <v>0</v>
      </c>
      <c r="AK452" s="154" t="s">
        <v>60</v>
      </c>
    </row>
    <row r="453" spans="1:37" ht="30" customHeight="1">
      <c r="A453" s="64"/>
      <c r="B453" s="64"/>
      <c r="C453" s="64"/>
      <c r="D453" s="64"/>
      <c r="E453" s="64"/>
      <c r="F453" s="64"/>
      <c r="G453" s="64"/>
      <c r="H453" s="64"/>
      <c r="I453" s="64"/>
      <c r="J453" s="64"/>
      <c r="K453" s="64"/>
      <c r="L453" s="64"/>
      <c r="M453" s="64"/>
      <c r="N453" s="194"/>
      <c r="O453" s="157"/>
      <c r="P453" s="92"/>
      <c r="Q453" s="145"/>
      <c r="R453" s="92"/>
      <c r="S453" s="145"/>
      <c r="T453" s="92"/>
      <c r="U453" s="145"/>
      <c r="V453" s="92"/>
      <c r="W453" s="145"/>
      <c r="X453" s="92"/>
      <c r="Y453" s="145"/>
      <c r="Z453" s="92"/>
      <c r="AA453" s="145"/>
      <c r="AB453" s="92"/>
      <c r="AC453" s="145"/>
      <c r="AD453" s="92"/>
      <c r="AE453" s="145"/>
      <c r="AF453" s="142" t="str">
        <f t="shared" si="23"/>
        <v/>
      </c>
      <c r="AG453" s="190" t="b">
        <f t="shared" si="22"/>
        <v>0</v>
      </c>
      <c r="AH453" s="145"/>
      <c r="AI453" s="153" t="s">
        <v>6</v>
      </c>
      <c r="AJ453" s="150">
        <f t="shared" si="21"/>
        <v>0</v>
      </c>
      <c r="AK453" s="154" t="s">
        <v>60</v>
      </c>
    </row>
    <row r="454" spans="1:37" ht="30" customHeight="1">
      <c r="A454" s="64"/>
      <c r="B454" s="64"/>
      <c r="C454" s="64"/>
      <c r="D454" s="64"/>
      <c r="E454" s="64"/>
      <c r="F454" s="64"/>
      <c r="G454" s="64"/>
      <c r="H454" s="64"/>
      <c r="I454" s="64"/>
      <c r="J454" s="64"/>
      <c r="K454" s="64"/>
      <c r="L454" s="64"/>
      <c r="M454" s="64"/>
      <c r="N454" s="194"/>
      <c r="O454" s="157"/>
      <c r="P454" s="92"/>
      <c r="Q454" s="145"/>
      <c r="R454" s="92"/>
      <c r="S454" s="145"/>
      <c r="T454" s="92"/>
      <c r="U454" s="145"/>
      <c r="V454" s="92"/>
      <c r="W454" s="145"/>
      <c r="X454" s="92"/>
      <c r="Y454" s="145"/>
      <c r="Z454" s="92"/>
      <c r="AA454" s="145"/>
      <c r="AB454" s="92"/>
      <c r="AC454" s="145"/>
      <c r="AD454" s="92"/>
      <c r="AE454" s="145"/>
      <c r="AF454" s="142" t="str">
        <f t="shared" si="23"/>
        <v/>
      </c>
      <c r="AG454" s="190" t="b">
        <f t="shared" si="22"/>
        <v>0</v>
      </c>
      <c r="AH454" s="145"/>
      <c r="AI454" s="153" t="s">
        <v>6</v>
      </c>
      <c r="AJ454" s="150">
        <f t="shared" si="21"/>
        <v>0</v>
      </c>
      <c r="AK454" s="154" t="s">
        <v>60</v>
      </c>
    </row>
    <row r="455" spans="1:37" ht="30" customHeight="1">
      <c r="A455" s="64"/>
      <c r="B455" s="64"/>
      <c r="C455" s="64"/>
      <c r="D455" s="64"/>
      <c r="E455" s="64"/>
      <c r="F455" s="64"/>
      <c r="G455" s="64"/>
      <c r="H455" s="64"/>
      <c r="I455" s="64"/>
      <c r="J455" s="64"/>
      <c r="K455" s="64"/>
      <c r="L455" s="64"/>
      <c r="M455" s="64"/>
      <c r="N455" s="194"/>
      <c r="O455" s="157"/>
      <c r="P455" s="92"/>
      <c r="Q455" s="145"/>
      <c r="R455" s="92"/>
      <c r="S455" s="145"/>
      <c r="T455" s="92"/>
      <c r="U455" s="145"/>
      <c r="V455" s="92"/>
      <c r="W455" s="145"/>
      <c r="X455" s="92"/>
      <c r="Y455" s="145"/>
      <c r="Z455" s="92"/>
      <c r="AA455" s="145"/>
      <c r="AB455" s="92"/>
      <c r="AC455" s="145"/>
      <c r="AD455" s="92"/>
      <c r="AE455" s="145"/>
      <c r="AF455" s="142" t="str">
        <f t="shared" si="23"/>
        <v/>
      </c>
      <c r="AG455" s="190" t="b">
        <f t="shared" si="22"/>
        <v>0</v>
      </c>
      <c r="AH455" s="145"/>
      <c r="AI455" s="153" t="s">
        <v>6</v>
      </c>
      <c r="AJ455" s="150">
        <f t="shared" ref="AJ455:AJ518" si="24">E455</f>
        <v>0</v>
      </c>
      <c r="AK455" s="154" t="s">
        <v>60</v>
      </c>
    </row>
    <row r="456" spans="1:37" ht="30" customHeight="1">
      <c r="A456" s="64"/>
      <c r="B456" s="64"/>
      <c r="C456" s="64"/>
      <c r="D456" s="64"/>
      <c r="E456" s="64"/>
      <c r="F456" s="64"/>
      <c r="G456" s="64"/>
      <c r="H456" s="64"/>
      <c r="I456" s="64"/>
      <c r="J456" s="64"/>
      <c r="K456" s="64"/>
      <c r="L456" s="64"/>
      <c r="M456" s="64"/>
      <c r="N456" s="194"/>
      <c r="O456" s="157"/>
      <c r="P456" s="92"/>
      <c r="Q456" s="145"/>
      <c r="R456" s="92"/>
      <c r="S456" s="145"/>
      <c r="T456" s="92"/>
      <c r="U456" s="145"/>
      <c r="V456" s="92"/>
      <c r="W456" s="145"/>
      <c r="X456" s="92"/>
      <c r="Y456" s="145"/>
      <c r="Z456" s="92"/>
      <c r="AA456" s="145"/>
      <c r="AB456" s="92"/>
      <c r="AC456" s="145"/>
      <c r="AD456" s="92"/>
      <c r="AE456" s="145"/>
      <c r="AF456" s="142" t="str">
        <f t="shared" si="23"/>
        <v/>
      </c>
      <c r="AG456" s="190" t="b">
        <f t="shared" si="22"/>
        <v>0</v>
      </c>
      <c r="AH456" s="145"/>
      <c r="AI456" s="153" t="s">
        <v>6</v>
      </c>
      <c r="AJ456" s="150">
        <f t="shared" si="24"/>
        <v>0</v>
      </c>
      <c r="AK456" s="154" t="s">
        <v>60</v>
      </c>
    </row>
    <row r="457" spans="1:37" ht="30" customHeight="1">
      <c r="A457" s="64"/>
      <c r="B457" s="64"/>
      <c r="C457" s="64"/>
      <c r="D457" s="64"/>
      <c r="E457" s="64"/>
      <c r="F457" s="64"/>
      <c r="G457" s="64"/>
      <c r="H457" s="64"/>
      <c r="I457" s="64"/>
      <c r="J457" s="64"/>
      <c r="K457" s="64"/>
      <c r="L457" s="64"/>
      <c r="M457" s="64"/>
      <c r="N457" s="194"/>
      <c r="O457" s="157"/>
      <c r="P457" s="92"/>
      <c r="Q457" s="145"/>
      <c r="R457" s="92"/>
      <c r="S457" s="145"/>
      <c r="T457" s="92"/>
      <c r="U457" s="145"/>
      <c r="V457" s="92"/>
      <c r="W457" s="145"/>
      <c r="X457" s="92"/>
      <c r="Y457" s="145"/>
      <c r="Z457" s="92"/>
      <c r="AA457" s="145"/>
      <c r="AB457" s="92"/>
      <c r="AC457" s="145"/>
      <c r="AD457" s="92"/>
      <c r="AE457" s="145"/>
      <c r="AF457" s="142" t="str">
        <f t="shared" si="23"/>
        <v/>
      </c>
      <c r="AG457" s="190" t="b">
        <f t="shared" si="22"/>
        <v>0</v>
      </c>
      <c r="AH457" s="145"/>
      <c r="AI457" s="153" t="s">
        <v>6</v>
      </c>
      <c r="AJ457" s="150">
        <f t="shared" si="24"/>
        <v>0</v>
      </c>
      <c r="AK457" s="154" t="s">
        <v>60</v>
      </c>
    </row>
    <row r="458" spans="1:37" ht="30" customHeight="1">
      <c r="A458" s="64"/>
      <c r="B458" s="64"/>
      <c r="C458" s="64"/>
      <c r="D458" s="64"/>
      <c r="E458" s="64"/>
      <c r="F458" s="64"/>
      <c r="G458" s="64"/>
      <c r="H458" s="64"/>
      <c r="I458" s="64"/>
      <c r="J458" s="64"/>
      <c r="K458" s="64"/>
      <c r="L458" s="64"/>
      <c r="M458" s="64"/>
      <c r="N458" s="194"/>
      <c r="O458" s="157"/>
      <c r="P458" s="92"/>
      <c r="Q458" s="145"/>
      <c r="R458" s="92"/>
      <c r="S458" s="145"/>
      <c r="T458" s="92"/>
      <c r="U458" s="145"/>
      <c r="V458" s="92"/>
      <c r="W458" s="145"/>
      <c r="X458" s="92"/>
      <c r="Y458" s="145"/>
      <c r="Z458" s="92"/>
      <c r="AA458" s="145"/>
      <c r="AB458" s="92"/>
      <c r="AC458" s="145"/>
      <c r="AD458" s="92"/>
      <c r="AE458" s="145"/>
      <c r="AF458" s="142" t="str">
        <f t="shared" si="23"/>
        <v/>
      </c>
      <c r="AG458" s="190" t="b">
        <f t="shared" si="22"/>
        <v>0</v>
      </c>
      <c r="AH458" s="145"/>
      <c r="AI458" s="153" t="s">
        <v>6</v>
      </c>
      <c r="AJ458" s="150">
        <f t="shared" si="24"/>
        <v>0</v>
      </c>
      <c r="AK458" s="154" t="s">
        <v>60</v>
      </c>
    </row>
    <row r="459" spans="1:37" ht="30" customHeight="1">
      <c r="A459" s="64"/>
      <c r="B459" s="64"/>
      <c r="C459" s="64"/>
      <c r="D459" s="64"/>
      <c r="E459" s="64"/>
      <c r="F459" s="64"/>
      <c r="G459" s="64"/>
      <c r="H459" s="64"/>
      <c r="I459" s="64"/>
      <c r="J459" s="64"/>
      <c r="K459" s="64"/>
      <c r="L459" s="64"/>
      <c r="M459" s="64"/>
      <c r="N459" s="194"/>
      <c r="O459" s="157"/>
      <c r="P459" s="92"/>
      <c r="Q459" s="145"/>
      <c r="R459" s="92"/>
      <c r="S459" s="145"/>
      <c r="T459" s="92"/>
      <c r="U459" s="145"/>
      <c r="V459" s="92"/>
      <c r="W459" s="145"/>
      <c r="X459" s="92"/>
      <c r="Y459" s="145"/>
      <c r="Z459" s="92"/>
      <c r="AA459" s="145"/>
      <c r="AB459" s="92"/>
      <c r="AC459" s="145"/>
      <c r="AD459" s="92"/>
      <c r="AE459" s="145"/>
      <c r="AF459" s="142" t="str">
        <f t="shared" si="23"/>
        <v/>
      </c>
      <c r="AG459" s="190" t="b">
        <f t="shared" si="22"/>
        <v>0</v>
      </c>
      <c r="AH459" s="145"/>
      <c r="AI459" s="153" t="s">
        <v>6</v>
      </c>
      <c r="AJ459" s="150">
        <f t="shared" si="24"/>
        <v>0</v>
      </c>
      <c r="AK459" s="154" t="s">
        <v>60</v>
      </c>
    </row>
    <row r="460" spans="1:37" ht="30" customHeight="1">
      <c r="A460" s="64"/>
      <c r="B460" s="64"/>
      <c r="C460" s="64"/>
      <c r="D460" s="64"/>
      <c r="E460" s="64"/>
      <c r="F460" s="64"/>
      <c r="G460" s="64"/>
      <c r="H460" s="64"/>
      <c r="I460" s="64"/>
      <c r="J460" s="64"/>
      <c r="K460" s="64"/>
      <c r="L460" s="64"/>
      <c r="M460" s="64"/>
      <c r="N460" s="194"/>
      <c r="O460" s="157"/>
      <c r="P460" s="92"/>
      <c r="Q460" s="145"/>
      <c r="R460" s="92"/>
      <c r="S460" s="145"/>
      <c r="T460" s="92"/>
      <c r="U460" s="145"/>
      <c r="V460" s="92"/>
      <c r="W460" s="145"/>
      <c r="X460" s="92"/>
      <c r="Y460" s="145"/>
      <c r="Z460" s="92"/>
      <c r="AA460" s="145"/>
      <c r="AB460" s="92"/>
      <c r="AC460" s="145"/>
      <c r="AD460" s="92"/>
      <c r="AE460" s="145"/>
      <c r="AF460" s="142" t="str">
        <f t="shared" si="23"/>
        <v/>
      </c>
      <c r="AG460" s="190" t="b">
        <f t="shared" si="22"/>
        <v>0</v>
      </c>
      <c r="AH460" s="145"/>
      <c r="AI460" s="153" t="s">
        <v>6</v>
      </c>
      <c r="AJ460" s="150">
        <f t="shared" si="24"/>
        <v>0</v>
      </c>
      <c r="AK460" s="154" t="s">
        <v>60</v>
      </c>
    </row>
    <row r="461" spans="1:37" ht="30" customHeight="1">
      <c r="A461" s="64"/>
      <c r="B461" s="64"/>
      <c r="C461" s="64"/>
      <c r="D461" s="64"/>
      <c r="E461" s="64"/>
      <c r="F461" s="64"/>
      <c r="G461" s="64"/>
      <c r="H461" s="64"/>
      <c r="I461" s="64"/>
      <c r="J461" s="64"/>
      <c r="K461" s="64"/>
      <c r="L461" s="64"/>
      <c r="M461" s="64"/>
      <c r="N461" s="194"/>
      <c r="O461" s="157"/>
      <c r="P461" s="92"/>
      <c r="Q461" s="145"/>
      <c r="R461" s="92"/>
      <c r="S461" s="145"/>
      <c r="T461" s="92"/>
      <c r="U461" s="145"/>
      <c r="V461" s="92"/>
      <c r="W461" s="145"/>
      <c r="X461" s="92"/>
      <c r="Y461" s="145"/>
      <c r="Z461" s="92"/>
      <c r="AA461" s="145"/>
      <c r="AB461" s="92"/>
      <c r="AC461" s="145"/>
      <c r="AD461" s="92"/>
      <c r="AE461" s="145"/>
      <c r="AF461" s="142" t="str">
        <f t="shared" si="23"/>
        <v/>
      </c>
      <c r="AG461" s="190" t="b">
        <f t="shared" si="22"/>
        <v>0</v>
      </c>
      <c r="AH461" s="145"/>
      <c r="AI461" s="153" t="s">
        <v>6</v>
      </c>
      <c r="AJ461" s="150">
        <f t="shared" si="24"/>
        <v>0</v>
      </c>
      <c r="AK461" s="154" t="s">
        <v>60</v>
      </c>
    </row>
    <row r="462" spans="1:37" ht="30" customHeight="1">
      <c r="A462" s="64"/>
      <c r="B462" s="64"/>
      <c r="C462" s="64"/>
      <c r="D462" s="64"/>
      <c r="E462" s="64"/>
      <c r="F462" s="64"/>
      <c r="G462" s="64"/>
      <c r="H462" s="64"/>
      <c r="I462" s="64"/>
      <c r="J462" s="64"/>
      <c r="K462" s="64"/>
      <c r="L462" s="64"/>
      <c r="M462" s="64"/>
      <c r="N462" s="194"/>
      <c r="O462" s="157"/>
      <c r="P462" s="92"/>
      <c r="Q462" s="145"/>
      <c r="R462" s="92"/>
      <c r="S462" s="145"/>
      <c r="T462" s="92"/>
      <c r="U462" s="145"/>
      <c r="V462" s="92"/>
      <c r="W462" s="145"/>
      <c r="X462" s="92"/>
      <c r="Y462" s="145"/>
      <c r="Z462" s="92"/>
      <c r="AA462" s="145"/>
      <c r="AB462" s="92"/>
      <c r="AC462" s="145"/>
      <c r="AD462" s="92"/>
      <c r="AE462" s="145"/>
      <c r="AF462" s="142" t="str">
        <f t="shared" si="23"/>
        <v/>
      </c>
      <c r="AG462" s="190" t="b">
        <f t="shared" si="22"/>
        <v>0</v>
      </c>
      <c r="AH462" s="145"/>
      <c r="AI462" s="153" t="s">
        <v>6</v>
      </c>
      <c r="AJ462" s="150">
        <f t="shared" si="24"/>
        <v>0</v>
      </c>
      <c r="AK462" s="154" t="s">
        <v>60</v>
      </c>
    </row>
    <row r="463" spans="1:37" ht="30" customHeight="1">
      <c r="A463" s="64"/>
      <c r="B463" s="64"/>
      <c r="C463" s="64"/>
      <c r="D463" s="64"/>
      <c r="E463" s="64"/>
      <c r="F463" s="64"/>
      <c r="G463" s="64"/>
      <c r="H463" s="64"/>
      <c r="I463" s="64"/>
      <c r="J463" s="64"/>
      <c r="K463" s="64"/>
      <c r="L463" s="64"/>
      <c r="M463" s="64"/>
      <c r="N463" s="194"/>
      <c r="O463" s="157"/>
      <c r="P463" s="92"/>
      <c r="Q463" s="145"/>
      <c r="R463" s="92"/>
      <c r="S463" s="145"/>
      <c r="T463" s="92"/>
      <c r="U463" s="145"/>
      <c r="V463" s="92"/>
      <c r="W463" s="145"/>
      <c r="X463" s="92"/>
      <c r="Y463" s="145"/>
      <c r="Z463" s="92"/>
      <c r="AA463" s="145"/>
      <c r="AB463" s="92"/>
      <c r="AC463" s="145"/>
      <c r="AD463" s="92"/>
      <c r="AE463" s="145"/>
      <c r="AF463" s="142" t="str">
        <f t="shared" si="23"/>
        <v/>
      </c>
      <c r="AG463" s="190" t="b">
        <f t="shared" si="22"/>
        <v>0</v>
      </c>
      <c r="AH463" s="145"/>
      <c r="AI463" s="153" t="s">
        <v>6</v>
      </c>
      <c r="AJ463" s="150">
        <f t="shared" si="24"/>
        <v>0</v>
      </c>
      <c r="AK463" s="154" t="s">
        <v>60</v>
      </c>
    </row>
    <row r="464" spans="1:37" ht="30" customHeight="1">
      <c r="A464" s="64"/>
      <c r="B464" s="64"/>
      <c r="C464" s="64"/>
      <c r="D464" s="64"/>
      <c r="E464" s="64"/>
      <c r="F464" s="64"/>
      <c r="G464" s="64"/>
      <c r="H464" s="64"/>
      <c r="I464" s="64"/>
      <c r="J464" s="64"/>
      <c r="K464" s="64"/>
      <c r="L464" s="64"/>
      <c r="M464" s="64"/>
      <c r="N464" s="194"/>
      <c r="O464" s="157"/>
      <c r="P464" s="92"/>
      <c r="Q464" s="145"/>
      <c r="R464" s="92"/>
      <c r="S464" s="145"/>
      <c r="T464" s="92"/>
      <c r="U464" s="145"/>
      <c r="V464" s="92"/>
      <c r="W464" s="145"/>
      <c r="X464" s="92"/>
      <c r="Y464" s="145"/>
      <c r="Z464" s="92"/>
      <c r="AA464" s="145"/>
      <c r="AB464" s="92"/>
      <c r="AC464" s="145"/>
      <c r="AD464" s="92"/>
      <c r="AE464" s="145"/>
      <c r="AF464" s="142" t="str">
        <f t="shared" si="23"/>
        <v/>
      </c>
      <c r="AG464" s="190" t="b">
        <f t="shared" si="22"/>
        <v>0</v>
      </c>
      <c r="AH464" s="145"/>
      <c r="AI464" s="153" t="s">
        <v>6</v>
      </c>
      <c r="AJ464" s="150">
        <f t="shared" si="24"/>
        <v>0</v>
      </c>
      <c r="AK464" s="154" t="s">
        <v>60</v>
      </c>
    </row>
    <row r="465" spans="1:37" ht="30" customHeight="1">
      <c r="A465" s="64"/>
      <c r="B465" s="64"/>
      <c r="C465" s="64"/>
      <c r="D465" s="64"/>
      <c r="E465" s="64"/>
      <c r="F465" s="64"/>
      <c r="G465" s="64"/>
      <c r="H465" s="64"/>
      <c r="I465" s="64"/>
      <c r="J465" s="64"/>
      <c r="K465" s="64"/>
      <c r="L465" s="64"/>
      <c r="M465" s="64"/>
      <c r="N465" s="194"/>
      <c r="O465" s="157"/>
      <c r="P465" s="92"/>
      <c r="Q465" s="145"/>
      <c r="R465" s="92"/>
      <c r="S465" s="145"/>
      <c r="T465" s="92"/>
      <c r="U465" s="145"/>
      <c r="V465" s="92"/>
      <c r="W465" s="145"/>
      <c r="X465" s="92"/>
      <c r="Y465" s="145"/>
      <c r="Z465" s="92"/>
      <c r="AA465" s="145"/>
      <c r="AB465" s="92"/>
      <c r="AC465" s="145"/>
      <c r="AD465" s="92"/>
      <c r="AE465" s="145"/>
      <c r="AF465" s="142" t="str">
        <f t="shared" si="23"/>
        <v/>
      </c>
      <c r="AG465" s="190" t="b">
        <f t="shared" si="22"/>
        <v>0</v>
      </c>
      <c r="AH465" s="145"/>
      <c r="AI465" s="153" t="s">
        <v>6</v>
      </c>
      <c r="AJ465" s="150">
        <f t="shared" si="24"/>
        <v>0</v>
      </c>
      <c r="AK465" s="154" t="s">
        <v>60</v>
      </c>
    </row>
    <row r="466" spans="1:37" ht="30" customHeight="1">
      <c r="A466" s="64"/>
      <c r="B466" s="64"/>
      <c r="C466" s="64"/>
      <c r="D466" s="64"/>
      <c r="E466" s="64"/>
      <c r="F466" s="64"/>
      <c r="G466" s="64"/>
      <c r="H466" s="64"/>
      <c r="I466" s="64"/>
      <c r="J466" s="64"/>
      <c r="K466" s="64"/>
      <c r="L466" s="64"/>
      <c r="M466" s="64"/>
      <c r="N466" s="194"/>
      <c r="O466" s="157"/>
      <c r="P466" s="92"/>
      <c r="Q466" s="145"/>
      <c r="R466" s="92"/>
      <c r="S466" s="145"/>
      <c r="T466" s="92"/>
      <c r="U466" s="145"/>
      <c r="V466" s="92"/>
      <c r="W466" s="145"/>
      <c r="X466" s="92"/>
      <c r="Y466" s="145"/>
      <c r="Z466" s="92"/>
      <c r="AA466" s="145"/>
      <c r="AB466" s="92"/>
      <c r="AC466" s="145"/>
      <c r="AD466" s="92"/>
      <c r="AE466" s="145"/>
      <c r="AF466" s="142" t="str">
        <f t="shared" si="23"/>
        <v/>
      </c>
      <c r="AG466" s="190" t="b">
        <f t="shared" si="22"/>
        <v>0</v>
      </c>
      <c r="AH466" s="145"/>
      <c r="AI466" s="153" t="s">
        <v>6</v>
      </c>
      <c r="AJ466" s="150">
        <f t="shared" si="24"/>
        <v>0</v>
      </c>
      <c r="AK466" s="154" t="s">
        <v>60</v>
      </c>
    </row>
    <row r="467" spans="1:37" ht="30" customHeight="1">
      <c r="A467" s="64"/>
      <c r="B467" s="64"/>
      <c r="C467" s="64"/>
      <c r="D467" s="64"/>
      <c r="E467" s="64"/>
      <c r="F467" s="64"/>
      <c r="G467" s="64"/>
      <c r="H467" s="64"/>
      <c r="I467" s="64"/>
      <c r="J467" s="64"/>
      <c r="K467" s="64"/>
      <c r="L467" s="64"/>
      <c r="M467" s="64"/>
      <c r="N467" s="194"/>
      <c r="O467" s="157"/>
      <c r="P467" s="92"/>
      <c r="Q467" s="145"/>
      <c r="R467" s="92"/>
      <c r="S467" s="145"/>
      <c r="T467" s="92"/>
      <c r="U467" s="145"/>
      <c r="V467" s="92"/>
      <c r="W467" s="145"/>
      <c r="X467" s="92"/>
      <c r="Y467" s="145"/>
      <c r="Z467" s="92"/>
      <c r="AA467" s="145"/>
      <c r="AB467" s="92"/>
      <c r="AC467" s="145"/>
      <c r="AD467" s="92"/>
      <c r="AE467" s="145"/>
      <c r="AF467" s="142" t="str">
        <f t="shared" si="23"/>
        <v/>
      </c>
      <c r="AG467" s="190" t="b">
        <f t="shared" si="22"/>
        <v>0</v>
      </c>
      <c r="AH467" s="145"/>
      <c r="AI467" s="153" t="s">
        <v>6</v>
      </c>
      <c r="AJ467" s="150">
        <f t="shared" si="24"/>
        <v>0</v>
      </c>
      <c r="AK467" s="154" t="s">
        <v>60</v>
      </c>
    </row>
    <row r="468" spans="1:37" ht="30" customHeight="1">
      <c r="A468" s="64"/>
      <c r="B468" s="64"/>
      <c r="C468" s="64"/>
      <c r="D468" s="64"/>
      <c r="E468" s="64"/>
      <c r="F468" s="64"/>
      <c r="G468" s="64"/>
      <c r="H468" s="64"/>
      <c r="I468" s="64"/>
      <c r="J468" s="64"/>
      <c r="K468" s="64"/>
      <c r="L468" s="64"/>
      <c r="M468" s="64"/>
      <c r="N468" s="194"/>
      <c r="O468" s="157"/>
      <c r="P468" s="92"/>
      <c r="Q468" s="145"/>
      <c r="R468" s="92"/>
      <c r="S468" s="145"/>
      <c r="T468" s="92"/>
      <c r="U468" s="145"/>
      <c r="V468" s="92"/>
      <c r="W468" s="145"/>
      <c r="X468" s="92"/>
      <c r="Y468" s="145"/>
      <c r="Z468" s="92"/>
      <c r="AA468" s="145"/>
      <c r="AB468" s="92"/>
      <c r="AC468" s="145"/>
      <c r="AD468" s="92"/>
      <c r="AE468" s="145"/>
      <c r="AF468" s="142" t="str">
        <f t="shared" si="23"/>
        <v/>
      </c>
      <c r="AG468" s="190" t="b">
        <f t="shared" si="22"/>
        <v>0</v>
      </c>
      <c r="AH468" s="145"/>
      <c r="AI468" s="153" t="s">
        <v>6</v>
      </c>
      <c r="AJ468" s="150">
        <f t="shared" si="24"/>
        <v>0</v>
      </c>
      <c r="AK468" s="154" t="s">
        <v>60</v>
      </c>
    </row>
    <row r="469" spans="1:37" ht="30" customHeight="1">
      <c r="A469" s="64"/>
      <c r="B469" s="64"/>
      <c r="C469" s="64"/>
      <c r="D469" s="64"/>
      <c r="E469" s="64"/>
      <c r="F469" s="64"/>
      <c r="G469" s="64"/>
      <c r="H469" s="64"/>
      <c r="I469" s="64"/>
      <c r="J469" s="64"/>
      <c r="K469" s="64"/>
      <c r="L469" s="64"/>
      <c r="M469" s="64"/>
      <c r="N469" s="194"/>
      <c r="O469" s="157"/>
      <c r="P469" s="92"/>
      <c r="Q469" s="145"/>
      <c r="R469" s="92"/>
      <c r="S469" s="145"/>
      <c r="T469" s="92"/>
      <c r="U469" s="145"/>
      <c r="V469" s="92"/>
      <c r="W469" s="145"/>
      <c r="X469" s="92"/>
      <c r="Y469" s="145"/>
      <c r="Z469" s="92"/>
      <c r="AA469" s="145"/>
      <c r="AB469" s="92"/>
      <c r="AC469" s="145"/>
      <c r="AD469" s="92"/>
      <c r="AE469" s="145"/>
      <c r="AF469" s="142" t="str">
        <f t="shared" si="23"/>
        <v/>
      </c>
      <c r="AG469" s="190" t="b">
        <f t="shared" si="22"/>
        <v>0</v>
      </c>
      <c r="AH469" s="145"/>
      <c r="AI469" s="153" t="s">
        <v>6</v>
      </c>
      <c r="AJ469" s="150">
        <f t="shared" si="24"/>
        <v>0</v>
      </c>
      <c r="AK469" s="154" t="s">
        <v>60</v>
      </c>
    </row>
    <row r="470" spans="1:37" ht="30" customHeight="1">
      <c r="A470" s="64"/>
      <c r="B470" s="64"/>
      <c r="C470" s="64"/>
      <c r="D470" s="64"/>
      <c r="E470" s="64"/>
      <c r="F470" s="64"/>
      <c r="G470" s="64"/>
      <c r="H470" s="64"/>
      <c r="I470" s="64"/>
      <c r="J470" s="64"/>
      <c r="K470" s="64"/>
      <c r="L470" s="64"/>
      <c r="M470" s="64"/>
      <c r="N470" s="194"/>
      <c r="O470" s="157"/>
      <c r="P470" s="92"/>
      <c r="Q470" s="145"/>
      <c r="R470" s="92"/>
      <c r="S470" s="145"/>
      <c r="T470" s="92"/>
      <c r="U470" s="145"/>
      <c r="V470" s="92"/>
      <c r="W470" s="145"/>
      <c r="X470" s="92"/>
      <c r="Y470" s="145"/>
      <c r="Z470" s="92"/>
      <c r="AA470" s="145"/>
      <c r="AB470" s="92"/>
      <c r="AC470" s="145"/>
      <c r="AD470" s="92"/>
      <c r="AE470" s="145"/>
      <c r="AF470" s="142" t="str">
        <f t="shared" si="23"/>
        <v/>
      </c>
      <c r="AG470" s="190" t="b">
        <f t="shared" si="22"/>
        <v>0</v>
      </c>
      <c r="AH470" s="145"/>
      <c r="AI470" s="153" t="s">
        <v>6</v>
      </c>
      <c r="AJ470" s="150">
        <f t="shared" si="24"/>
        <v>0</v>
      </c>
      <c r="AK470" s="154" t="s">
        <v>60</v>
      </c>
    </row>
    <row r="471" spans="1:37" ht="30" customHeight="1">
      <c r="A471" s="64"/>
      <c r="B471" s="64"/>
      <c r="C471" s="64"/>
      <c r="D471" s="64"/>
      <c r="E471" s="64"/>
      <c r="F471" s="64"/>
      <c r="G471" s="64"/>
      <c r="H471" s="64"/>
      <c r="I471" s="64"/>
      <c r="J471" s="64"/>
      <c r="K471" s="64"/>
      <c r="L471" s="64"/>
      <c r="M471" s="64"/>
      <c r="N471" s="194"/>
      <c r="O471" s="157"/>
      <c r="P471" s="92"/>
      <c r="Q471" s="145"/>
      <c r="R471" s="92"/>
      <c r="S471" s="145"/>
      <c r="T471" s="92"/>
      <c r="U471" s="145"/>
      <c r="V471" s="92"/>
      <c r="W471" s="145"/>
      <c r="X471" s="92"/>
      <c r="Y471" s="145"/>
      <c r="Z471" s="92"/>
      <c r="AA471" s="145"/>
      <c r="AB471" s="92"/>
      <c r="AC471" s="145"/>
      <c r="AD471" s="92"/>
      <c r="AE471" s="145"/>
      <c r="AF471" s="142" t="str">
        <f t="shared" si="23"/>
        <v/>
      </c>
      <c r="AG471" s="190" t="b">
        <f t="shared" si="22"/>
        <v>0</v>
      </c>
      <c r="AH471" s="145"/>
      <c r="AI471" s="153" t="s">
        <v>6</v>
      </c>
      <c r="AJ471" s="150">
        <f t="shared" si="24"/>
        <v>0</v>
      </c>
      <c r="AK471" s="154" t="s">
        <v>60</v>
      </c>
    </row>
    <row r="472" spans="1:37" ht="30" customHeight="1">
      <c r="A472" s="64"/>
      <c r="B472" s="64"/>
      <c r="C472" s="64"/>
      <c r="D472" s="64"/>
      <c r="E472" s="64"/>
      <c r="F472" s="64"/>
      <c r="G472" s="64"/>
      <c r="H472" s="64"/>
      <c r="I472" s="64"/>
      <c r="J472" s="64"/>
      <c r="K472" s="64"/>
      <c r="L472" s="64"/>
      <c r="M472" s="64"/>
      <c r="N472" s="194"/>
      <c r="O472" s="157"/>
      <c r="P472" s="92"/>
      <c r="Q472" s="145"/>
      <c r="R472" s="92"/>
      <c r="S472" s="145"/>
      <c r="T472" s="92"/>
      <c r="U472" s="145"/>
      <c r="V472" s="92"/>
      <c r="W472" s="145"/>
      <c r="X472" s="92"/>
      <c r="Y472" s="145"/>
      <c r="Z472" s="92"/>
      <c r="AA472" s="145"/>
      <c r="AB472" s="92"/>
      <c r="AC472" s="145"/>
      <c r="AD472" s="92"/>
      <c r="AE472" s="145"/>
      <c r="AF472" s="142" t="str">
        <f t="shared" si="23"/>
        <v/>
      </c>
      <c r="AG472" s="190" t="b">
        <f t="shared" si="22"/>
        <v>0</v>
      </c>
      <c r="AH472" s="145"/>
      <c r="AI472" s="153" t="s">
        <v>6</v>
      </c>
      <c r="AJ472" s="150">
        <f t="shared" si="24"/>
        <v>0</v>
      </c>
      <c r="AK472" s="154" t="s">
        <v>60</v>
      </c>
    </row>
    <row r="473" spans="1:37" ht="30" customHeight="1">
      <c r="A473" s="64"/>
      <c r="B473" s="64"/>
      <c r="C473" s="64"/>
      <c r="D473" s="64"/>
      <c r="E473" s="64"/>
      <c r="F473" s="64"/>
      <c r="G473" s="64"/>
      <c r="H473" s="64"/>
      <c r="I473" s="64"/>
      <c r="J473" s="64"/>
      <c r="K473" s="64"/>
      <c r="L473" s="64"/>
      <c r="M473" s="64"/>
      <c r="N473" s="194"/>
      <c r="O473" s="157"/>
      <c r="P473" s="92"/>
      <c r="Q473" s="145"/>
      <c r="R473" s="92"/>
      <c r="S473" s="145"/>
      <c r="T473" s="92"/>
      <c r="U473" s="145"/>
      <c r="V473" s="92"/>
      <c r="W473" s="145"/>
      <c r="X473" s="92"/>
      <c r="Y473" s="145"/>
      <c r="Z473" s="92"/>
      <c r="AA473" s="145"/>
      <c r="AB473" s="92"/>
      <c r="AC473" s="145"/>
      <c r="AD473" s="92"/>
      <c r="AE473" s="145"/>
      <c r="AF473" s="142" t="str">
        <f t="shared" si="23"/>
        <v/>
      </c>
      <c r="AG473" s="190" t="b">
        <f t="shared" si="22"/>
        <v>0</v>
      </c>
      <c r="AH473" s="145"/>
      <c r="AI473" s="153" t="s">
        <v>6</v>
      </c>
      <c r="AJ473" s="150">
        <f t="shared" si="24"/>
        <v>0</v>
      </c>
      <c r="AK473" s="154" t="s">
        <v>60</v>
      </c>
    </row>
    <row r="474" spans="1:37" ht="30" customHeight="1">
      <c r="A474" s="64"/>
      <c r="B474" s="64"/>
      <c r="C474" s="64"/>
      <c r="D474" s="64"/>
      <c r="E474" s="64"/>
      <c r="F474" s="64"/>
      <c r="G474" s="64"/>
      <c r="H474" s="64"/>
      <c r="I474" s="64"/>
      <c r="J474" s="64"/>
      <c r="K474" s="64"/>
      <c r="L474" s="64"/>
      <c r="M474" s="64"/>
      <c r="N474" s="194"/>
      <c r="O474" s="157"/>
      <c r="P474" s="92"/>
      <c r="Q474" s="145"/>
      <c r="R474" s="92"/>
      <c r="S474" s="145"/>
      <c r="T474" s="92"/>
      <c r="U474" s="145"/>
      <c r="V474" s="92"/>
      <c r="W474" s="145"/>
      <c r="X474" s="92"/>
      <c r="Y474" s="145"/>
      <c r="Z474" s="92"/>
      <c r="AA474" s="145"/>
      <c r="AB474" s="92"/>
      <c r="AC474" s="145"/>
      <c r="AD474" s="92"/>
      <c r="AE474" s="145"/>
      <c r="AF474" s="142" t="str">
        <f t="shared" si="23"/>
        <v/>
      </c>
      <c r="AG474" s="190" t="b">
        <f t="shared" si="22"/>
        <v>0</v>
      </c>
      <c r="AH474" s="145"/>
      <c r="AI474" s="153" t="s">
        <v>6</v>
      </c>
      <c r="AJ474" s="150">
        <f t="shared" si="24"/>
        <v>0</v>
      </c>
      <c r="AK474" s="154" t="s">
        <v>60</v>
      </c>
    </row>
    <row r="475" spans="1:37" ht="30" customHeight="1">
      <c r="A475" s="64"/>
      <c r="B475" s="64"/>
      <c r="C475" s="64"/>
      <c r="D475" s="64"/>
      <c r="E475" s="64"/>
      <c r="F475" s="64"/>
      <c r="G475" s="64"/>
      <c r="H475" s="64"/>
      <c r="I475" s="64"/>
      <c r="J475" s="64"/>
      <c r="K475" s="64"/>
      <c r="L475" s="64"/>
      <c r="M475" s="64"/>
      <c r="N475" s="194"/>
      <c r="O475" s="157"/>
      <c r="P475" s="92"/>
      <c r="Q475" s="145"/>
      <c r="R475" s="92"/>
      <c r="S475" s="145"/>
      <c r="T475" s="92"/>
      <c r="U475" s="145"/>
      <c r="V475" s="92"/>
      <c r="W475" s="145"/>
      <c r="X475" s="92"/>
      <c r="Y475" s="145"/>
      <c r="Z475" s="92"/>
      <c r="AA475" s="145"/>
      <c r="AB475" s="92"/>
      <c r="AC475" s="145"/>
      <c r="AD475" s="92"/>
      <c r="AE475" s="145"/>
      <c r="AF475" s="142" t="str">
        <f t="shared" si="23"/>
        <v/>
      </c>
      <c r="AG475" s="190" t="b">
        <f t="shared" si="22"/>
        <v>0</v>
      </c>
      <c r="AH475" s="145"/>
      <c r="AI475" s="153" t="s">
        <v>6</v>
      </c>
      <c r="AJ475" s="150">
        <f t="shared" si="24"/>
        <v>0</v>
      </c>
      <c r="AK475" s="154" t="s">
        <v>60</v>
      </c>
    </row>
    <row r="476" spans="1:37" ht="30" customHeight="1">
      <c r="A476" s="64"/>
      <c r="B476" s="64"/>
      <c r="C476" s="64"/>
      <c r="D476" s="64"/>
      <c r="E476" s="64"/>
      <c r="F476" s="64"/>
      <c r="G476" s="64"/>
      <c r="H476" s="64"/>
      <c r="I476" s="64"/>
      <c r="J476" s="64"/>
      <c r="K476" s="64"/>
      <c r="L476" s="64"/>
      <c r="M476" s="64"/>
      <c r="N476" s="194"/>
      <c r="O476" s="157"/>
      <c r="P476" s="92"/>
      <c r="Q476" s="145"/>
      <c r="R476" s="92"/>
      <c r="S476" s="145"/>
      <c r="T476" s="92"/>
      <c r="U476" s="145"/>
      <c r="V476" s="92"/>
      <c r="W476" s="145"/>
      <c r="X476" s="92"/>
      <c r="Y476" s="145"/>
      <c r="Z476" s="92"/>
      <c r="AA476" s="145"/>
      <c r="AB476" s="92"/>
      <c r="AC476" s="145"/>
      <c r="AD476" s="92"/>
      <c r="AE476" s="145"/>
      <c r="AF476" s="142" t="str">
        <f t="shared" si="23"/>
        <v/>
      </c>
      <c r="AG476" s="190" t="b">
        <f t="shared" si="22"/>
        <v>0</v>
      </c>
      <c r="AH476" s="145"/>
      <c r="AI476" s="153" t="s">
        <v>6</v>
      </c>
      <c r="AJ476" s="150">
        <f t="shared" si="24"/>
        <v>0</v>
      </c>
      <c r="AK476" s="154" t="s">
        <v>60</v>
      </c>
    </row>
    <row r="477" spans="1:37" ht="30" customHeight="1">
      <c r="A477" s="64"/>
      <c r="B477" s="64"/>
      <c r="C477" s="64"/>
      <c r="D477" s="64"/>
      <c r="E477" s="64"/>
      <c r="F477" s="64"/>
      <c r="G477" s="64"/>
      <c r="H477" s="64"/>
      <c r="I477" s="64"/>
      <c r="J477" s="64"/>
      <c r="K477" s="64"/>
      <c r="L477" s="64"/>
      <c r="M477" s="64"/>
      <c r="N477" s="194"/>
      <c r="O477" s="157"/>
      <c r="P477" s="92"/>
      <c r="Q477" s="145"/>
      <c r="R477" s="92"/>
      <c r="S477" s="145"/>
      <c r="T477" s="92"/>
      <c r="U477" s="145"/>
      <c r="V477" s="92"/>
      <c r="W477" s="145"/>
      <c r="X477" s="92"/>
      <c r="Y477" s="145"/>
      <c r="Z477" s="92"/>
      <c r="AA477" s="145"/>
      <c r="AB477" s="92"/>
      <c r="AC477" s="145"/>
      <c r="AD477" s="92"/>
      <c r="AE477" s="145"/>
      <c r="AF477" s="142" t="str">
        <f t="shared" si="23"/>
        <v/>
      </c>
      <c r="AG477" s="190" t="b">
        <f t="shared" si="22"/>
        <v>0</v>
      </c>
      <c r="AH477" s="145"/>
      <c r="AI477" s="153" t="s">
        <v>6</v>
      </c>
      <c r="AJ477" s="150">
        <f t="shared" si="24"/>
        <v>0</v>
      </c>
      <c r="AK477" s="154" t="s">
        <v>60</v>
      </c>
    </row>
    <row r="478" spans="1:37" ht="30" customHeight="1">
      <c r="A478" s="64"/>
      <c r="B478" s="64"/>
      <c r="C478" s="64"/>
      <c r="D478" s="64"/>
      <c r="E478" s="64"/>
      <c r="F478" s="64"/>
      <c r="G478" s="64"/>
      <c r="H478" s="64"/>
      <c r="I478" s="64"/>
      <c r="J478" s="64"/>
      <c r="K478" s="64"/>
      <c r="L478" s="64"/>
      <c r="M478" s="64"/>
      <c r="N478" s="194"/>
      <c r="O478" s="157"/>
      <c r="P478" s="92"/>
      <c r="Q478" s="145"/>
      <c r="R478" s="92"/>
      <c r="S478" s="145"/>
      <c r="T478" s="92"/>
      <c r="U478" s="145"/>
      <c r="V478" s="92"/>
      <c r="W478" s="145"/>
      <c r="X478" s="92"/>
      <c r="Y478" s="145"/>
      <c r="Z478" s="92"/>
      <c r="AA478" s="145"/>
      <c r="AB478" s="92"/>
      <c r="AC478" s="145"/>
      <c r="AD478" s="92"/>
      <c r="AE478" s="145"/>
      <c r="AF478" s="142" t="str">
        <f t="shared" si="23"/>
        <v/>
      </c>
      <c r="AG478" s="190" t="b">
        <f t="shared" si="22"/>
        <v>0</v>
      </c>
      <c r="AH478" s="145"/>
      <c r="AI478" s="153" t="s">
        <v>6</v>
      </c>
      <c r="AJ478" s="150">
        <f t="shared" si="24"/>
        <v>0</v>
      </c>
      <c r="AK478" s="154" t="s">
        <v>60</v>
      </c>
    </row>
    <row r="479" spans="1:37" ht="30" customHeight="1">
      <c r="A479" s="64"/>
      <c r="B479" s="64"/>
      <c r="C479" s="64"/>
      <c r="D479" s="64"/>
      <c r="E479" s="64"/>
      <c r="F479" s="64"/>
      <c r="G479" s="64"/>
      <c r="H479" s="64"/>
      <c r="I479" s="64"/>
      <c r="J479" s="64"/>
      <c r="K479" s="64"/>
      <c r="L479" s="64"/>
      <c r="M479" s="64"/>
      <c r="N479" s="194"/>
      <c r="O479" s="157"/>
      <c r="P479" s="92"/>
      <c r="Q479" s="145"/>
      <c r="R479" s="92"/>
      <c r="S479" s="145"/>
      <c r="T479" s="92"/>
      <c r="U479" s="145"/>
      <c r="V479" s="92"/>
      <c r="W479" s="145"/>
      <c r="X479" s="92"/>
      <c r="Y479" s="145"/>
      <c r="Z479" s="92"/>
      <c r="AA479" s="145"/>
      <c r="AB479" s="92"/>
      <c r="AC479" s="145"/>
      <c r="AD479" s="92"/>
      <c r="AE479" s="145"/>
      <c r="AF479" s="142" t="str">
        <f t="shared" si="23"/>
        <v/>
      </c>
      <c r="AG479" s="190" t="b">
        <f t="shared" si="22"/>
        <v>0</v>
      </c>
      <c r="AH479" s="145"/>
      <c r="AI479" s="153" t="s">
        <v>6</v>
      </c>
      <c r="AJ479" s="150">
        <f t="shared" si="24"/>
        <v>0</v>
      </c>
      <c r="AK479" s="154" t="s">
        <v>60</v>
      </c>
    </row>
    <row r="480" spans="1:37" ht="30" customHeight="1">
      <c r="A480" s="64"/>
      <c r="B480" s="64"/>
      <c r="C480" s="64"/>
      <c r="D480" s="64"/>
      <c r="E480" s="64"/>
      <c r="F480" s="64"/>
      <c r="G480" s="64"/>
      <c r="H480" s="64"/>
      <c r="I480" s="64"/>
      <c r="J480" s="64"/>
      <c r="K480" s="64"/>
      <c r="L480" s="64"/>
      <c r="M480" s="64"/>
      <c r="N480" s="194"/>
      <c r="O480" s="157"/>
      <c r="P480" s="92"/>
      <c r="Q480" s="145"/>
      <c r="R480" s="92"/>
      <c r="S480" s="145"/>
      <c r="T480" s="92"/>
      <c r="U480" s="145"/>
      <c r="V480" s="92"/>
      <c r="W480" s="145"/>
      <c r="X480" s="92"/>
      <c r="Y480" s="145"/>
      <c r="Z480" s="92"/>
      <c r="AA480" s="145"/>
      <c r="AB480" s="92"/>
      <c r="AC480" s="145"/>
      <c r="AD480" s="92"/>
      <c r="AE480" s="145"/>
      <c r="AF480" s="142" t="str">
        <f t="shared" si="23"/>
        <v/>
      </c>
      <c r="AG480" s="190" t="b">
        <f t="shared" si="22"/>
        <v>0</v>
      </c>
      <c r="AH480" s="145"/>
      <c r="AI480" s="153" t="s">
        <v>6</v>
      </c>
      <c r="AJ480" s="150">
        <f t="shared" si="24"/>
        <v>0</v>
      </c>
      <c r="AK480" s="154" t="s">
        <v>60</v>
      </c>
    </row>
    <row r="481" spans="1:37" ht="30" customHeight="1">
      <c r="A481" s="64"/>
      <c r="B481" s="64"/>
      <c r="C481" s="64"/>
      <c r="D481" s="64"/>
      <c r="E481" s="64"/>
      <c r="F481" s="64"/>
      <c r="G481" s="64"/>
      <c r="H481" s="64"/>
      <c r="I481" s="64"/>
      <c r="J481" s="64"/>
      <c r="K481" s="64"/>
      <c r="L481" s="64"/>
      <c r="M481" s="64"/>
      <c r="N481" s="194"/>
      <c r="O481" s="157"/>
      <c r="P481" s="92"/>
      <c r="Q481" s="145"/>
      <c r="R481" s="92"/>
      <c r="S481" s="145"/>
      <c r="T481" s="92"/>
      <c r="U481" s="145"/>
      <c r="V481" s="92"/>
      <c r="W481" s="145"/>
      <c r="X481" s="92"/>
      <c r="Y481" s="145"/>
      <c r="Z481" s="92"/>
      <c r="AA481" s="145"/>
      <c r="AB481" s="92"/>
      <c r="AC481" s="145"/>
      <c r="AD481" s="92"/>
      <c r="AE481" s="145"/>
      <c r="AF481" s="142" t="str">
        <f t="shared" si="23"/>
        <v/>
      </c>
      <c r="AG481" s="190" t="b">
        <f t="shared" si="22"/>
        <v>0</v>
      </c>
      <c r="AH481" s="145"/>
      <c r="AI481" s="153" t="s">
        <v>6</v>
      </c>
      <c r="AJ481" s="150">
        <f t="shared" si="24"/>
        <v>0</v>
      </c>
      <c r="AK481" s="154" t="s">
        <v>60</v>
      </c>
    </row>
    <row r="482" spans="1:37" ht="30" customHeight="1">
      <c r="A482" s="64"/>
      <c r="B482" s="64"/>
      <c r="C482" s="64"/>
      <c r="D482" s="64"/>
      <c r="E482" s="64"/>
      <c r="F482" s="64"/>
      <c r="G482" s="64"/>
      <c r="H482" s="64"/>
      <c r="I482" s="64"/>
      <c r="J482" s="64"/>
      <c r="K482" s="64"/>
      <c r="L482" s="64"/>
      <c r="M482" s="64"/>
      <c r="N482" s="194"/>
      <c r="O482" s="157"/>
      <c r="P482" s="92"/>
      <c r="Q482" s="145"/>
      <c r="R482" s="92"/>
      <c r="S482" s="145"/>
      <c r="T482" s="92"/>
      <c r="U482" s="145"/>
      <c r="V482" s="92"/>
      <c r="W482" s="145"/>
      <c r="X482" s="92"/>
      <c r="Y482" s="145"/>
      <c r="Z482" s="92"/>
      <c r="AA482" s="145"/>
      <c r="AB482" s="92"/>
      <c r="AC482" s="145"/>
      <c r="AD482" s="92"/>
      <c r="AE482" s="145"/>
      <c r="AF482" s="142" t="str">
        <f t="shared" si="23"/>
        <v/>
      </c>
      <c r="AG482" s="190" t="b">
        <f t="shared" si="22"/>
        <v>0</v>
      </c>
      <c r="AH482" s="145"/>
      <c r="AI482" s="153" t="s">
        <v>6</v>
      </c>
      <c r="AJ482" s="150">
        <f t="shared" si="24"/>
        <v>0</v>
      </c>
      <c r="AK482" s="154" t="s">
        <v>60</v>
      </c>
    </row>
    <row r="483" spans="1:37" ht="30" customHeight="1">
      <c r="A483" s="64"/>
      <c r="B483" s="64"/>
      <c r="C483" s="64"/>
      <c r="D483" s="64"/>
      <c r="E483" s="64"/>
      <c r="F483" s="64"/>
      <c r="G483" s="64"/>
      <c r="H483" s="64"/>
      <c r="I483" s="64"/>
      <c r="J483" s="64"/>
      <c r="K483" s="64"/>
      <c r="L483" s="64"/>
      <c r="M483" s="64"/>
      <c r="N483" s="194"/>
      <c r="O483" s="157"/>
      <c r="P483" s="92"/>
      <c r="Q483" s="145"/>
      <c r="R483" s="92"/>
      <c r="S483" s="145"/>
      <c r="T483" s="92"/>
      <c r="U483" s="145"/>
      <c r="V483" s="92"/>
      <c r="W483" s="145"/>
      <c r="X483" s="92"/>
      <c r="Y483" s="145"/>
      <c r="Z483" s="92"/>
      <c r="AA483" s="145"/>
      <c r="AB483" s="92"/>
      <c r="AC483" s="145"/>
      <c r="AD483" s="92"/>
      <c r="AE483" s="145"/>
      <c r="AF483" s="142" t="str">
        <f t="shared" si="23"/>
        <v/>
      </c>
      <c r="AG483" s="190" t="b">
        <f t="shared" si="22"/>
        <v>0</v>
      </c>
      <c r="AH483" s="145"/>
      <c r="AI483" s="153" t="s">
        <v>6</v>
      </c>
      <c r="AJ483" s="150">
        <f t="shared" si="24"/>
        <v>0</v>
      </c>
      <c r="AK483" s="154" t="s">
        <v>60</v>
      </c>
    </row>
    <row r="484" spans="1:37" ht="30" customHeight="1">
      <c r="A484" s="64"/>
      <c r="B484" s="64"/>
      <c r="C484" s="64"/>
      <c r="D484" s="64"/>
      <c r="E484" s="64"/>
      <c r="F484" s="64"/>
      <c r="G484" s="64"/>
      <c r="H484" s="64"/>
      <c r="I484" s="64"/>
      <c r="J484" s="64"/>
      <c r="K484" s="64"/>
      <c r="L484" s="64"/>
      <c r="M484" s="64"/>
      <c r="N484" s="194"/>
      <c r="O484" s="157"/>
      <c r="P484" s="92"/>
      <c r="Q484" s="145"/>
      <c r="R484" s="92"/>
      <c r="S484" s="145"/>
      <c r="T484" s="92"/>
      <c r="U484" s="145"/>
      <c r="V484" s="92"/>
      <c r="W484" s="145"/>
      <c r="X484" s="92"/>
      <c r="Y484" s="145"/>
      <c r="Z484" s="92"/>
      <c r="AA484" s="145"/>
      <c r="AB484" s="92"/>
      <c r="AC484" s="145"/>
      <c r="AD484" s="92"/>
      <c r="AE484" s="145"/>
      <c r="AF484" s="142" t="str">
        <f t="shared" si="23"/>
        <v/>
      </c>
      <c r="AG484" s="190" t="b">
        <f t="shared" si="22"/>
        <v>0</v>
      </c>
      <c r="AH484" s="145"/>
      <c r="AI484" s="153" t="s">
        <v>6</v>
      </c>
      <c r="AJ484" s="150">
        <f t="shared" si="24"/>
        <v>0</v>
      </c>
      <c r="AK484" s="154" t="s">
        <v>60</v>
      </c>
    </row>
    <row r="485" spans="1:37" ht="30" customHeight="1">
      <c r="A485" s="64"/>
      <c r="B485" s="64"/>
      <c r="C485" s="64"/>
      <c r="D485" s="64"/>
      <c r="E485" s="64"/>
      <c r="F485" s="64"/>
      <c r="G485" s="64"/>
      <c r="H485" s="64"/>
      <c r="I485" s="64"/>
      <c r="J485" s="64"/>
      <c r="K485" s="64"/>
      <c r="L485" s="64"/>
      <c r="M485" s="64"/>
      <c r="N485" s="194"/>
      <c r="O485" s="157"/>
      <c r="P485" s="92"/>
      <c r="Q485" s="145"/>
      <c r="R485" s="92"/>
      <c r="S485" s="145"/>
      <c r="T485" s="92"/>
      <c r="U485" s="145"/>
      <c r="V485" s="92"/>
      <c r="W485" s="145"/>
      <c r="X485" s="92"/>
      <c r="Y485" s="145"/>
      <c r="Z485" s="92"/>
      <c r="AA485" s="145"/>
      <c r="AB485" s="92"/>
      <c r="AC485" s="145"/>
      <c r="AD485" s="92"/>
      <c r="AE485" s="145"/>
      <c r="AF485" s="142" t="str">
        <f t="shared" si="23"/>
        <v/>
      </c>
      <c r="AG485" s="190" t="b">
        <f t="shared" si="22"/>
        <v>0</v>
      </c>
      <c r="AH485" s="145"/>
      <c r="AI485" s="153" t="s">
        <v>6</v>
      </c>
      <c r="AJ485" s="150">
        <f t="shared" si="24"/>
        <v>0</v>
      </c>
      <c r="AK485" s="154" t="s">
        <v>60</v>
      </c>
    </row>
    <row r="486" spans="1:37" ht="30" customHeight="1">
      <c r="A486" s="64"/>
      <c r="B486" s="64"/>
      <c r="C486" s="64"/>
      <c r="D486" s="64"/>
      <c r="E486" s="64"/>
      <c r="F486" s="64"/>
      <c r="G486" s="64"/>
      <c r="H486" s="64"/>
      <c r="I486" s="64"/>
      <c r="J486" s="64"/>
      <c r="K486" s="64"/>
      <c r="L486" s="64"/>
      <c r="M486" s="64"/>
      <c r="N486" s="194"/>
      <c r="O486" s="157"/>
      <c r="P486" s="92"/>
      <c r="Q486" s="145"/>
      <c r="R486" s="92"/>
      <c r="S486" s="145"/>
      <c r="T486" s="92"/>
      <c r="U486" s="145"/>
      <c r="V486" s="92"/>
      <c r="W486" s="145"/>
      <c r="X486" s="92"/>
      <c r="Y486" s="145"/>
      <c r="Z486" s="92"/>
      <c r="AA486" s="145"/>
      <c r="AB486" s="92"/>
      <c r="AC486" s="145"/>
      <c r="AD486" s="92"/>
      <c r="AE486" s="145"/>
      <c r="AF486" s="142" t="str">
        <f t="shared" si="23"/>
        <v/>
      </c>
      <c r="AG486" s="190" t="b">
        <f t="shared" si="22"/>
        <v>0</v>
      </c>
      <c r="AH486" s="145"/>
      <c r="AI486" s="153" t="s">
        <v>6</v>
      </c>
      <c r="AJ486" s="150">
        <f t="shared" si="24"/>
        <v>0</v>
      </c>
      <c r="AK486" s="154" t="s">
        <v>60</v>
      </c>
    </row>
    <row r="487" spans="1:37" ht="30" customHeight="1">
      <c r="A487" s="64"/>
      <c r="B487" s="64"/>
      <c r="C487" s="64"/>
      <c r="D487" s="64"/>
      <c r="E487" s="64"/>
      <c r="F487" s="64"/>
      <c r="G487" s="64"/>
      <c r="H487" s="64"/>
      <c r="I487" s="64"/>
      <c r="J487" s="64"/>
      <c r="K487" s="64"/>
      <c r="L487" s="64"/>
      <c r="M487" s="64"/>
      <c r="N487" s="194"/>
      <c r="O487" s="157"/>
      <c r="P487" s="92"/>
      <c r="Q487" s="145"/>
      <c r="R487" s="92"/>
      <c r="S487" s="145"/>
      <c r="T487" s="92"/>
      <c r="U487" s="145"/>
      <c r="V487" s="92"/>
      <c r="W487" s="145"/>
      <c r="X487" s="92"/>
      <c r="Y487" s="145"/>
      <c r="Z487" s="92"/>
      <c r="AA487" s="145"/>
      <c r="AB487" s="92"/>
      <c r="AC487" s="145"/>
      <c r="AD487" s="92"/>
      <c r="AE487" s="145"/>
      <c r="AF487" s="142" t="str">
        <f t="shared" si="23"/>
        <v/>
      </c>
      <c r="AG487" s="190" t="b">
        <f t="shared" ref="AG487:AG550" si="25">IF(AND(AE487="C",AF487="C"),"UTILIZOU O PDA CORRETAMENTE",IF(AND(AE487="C",AF487="NC"),"UTILIZOU O PDA CORRETAMENTE. NÃO HÁ FOTOS DE TODAS AS ETAPAS",IF(AND(AE487="NC",AF487="NC"),"NÃO UTILIZOU O PDA",IF(AND(AE487="NA",AF487="NA"),"NÃO AVALIADO POR FALHA DE SINCRONISMO"))))</f>
        <v>0</v>
      </c>
      <c r="AH487" s="145"/>
      <c r="AI487" s="153" t="s">
        <v>6</v>
      </c>
      <c r="AJ487" s="150">
        <f t="shared" si="24"/>
        <v>0</v>
      </c>
      <c r="AK487" s="154" t="s">
        <v>60</v>
      </c>
    </row>
    <row r="488" spans="1:37" ht="30" customHeight="1">
      <c r="A488" s="64"/>
      <c r="B488" s="64"/>
      <c r="C488" s="64"/>
      <c r="D488" s="64"/>
      <c r="E488" s="64"/>
      <c r="F488" s="64"/>
      <c r="G488" s="64"/>
      <c r="H488" s="64"/>
      <c r="I488" s="64"/>
      <c r="J488" s="64"/>
      <c r="K488" s="64"/>
      <c r="L488" s="64"/>
      <c r="M488" s="64"/>
      <c r="N488" s="194"/>
      <c r="O488" s="157"/>
      <c r="P488" s="92"/>
      <c r="Q488" s="145"/>
      <c r="R488" s="92"/>
      <c r="S488" s="145"/>
      <c r="T488" s="92"/>
      <c r="U488" s="145"/>
      <c r="V488" s="92"/>
      <c r="W488" s="145"/>
      <c r="X488" s="92"/>
      <c r="Y488" s="145"/>
      <c r="Z488" s="92"/>
      <c r="AA488" s="145"/>
      <c r="AB488" s="92"/>
      <c r="AC488" s="145"/>
      <c r="AD488" s="92"/>
      <c r="AE488" s="145"/>
      <c r="AF488" s="142" t="str">
        <f t="shared" ref="AF488:AF551" si="26">IF(AND(O488="",Q488="",S488="",U488="",W488="",Y488="",AA488="",AC488=""),"",IF(OR(AND(O488&lt;&gt;"NA",O488&lt;&gt;"C",O488&lt;&gt;"NC",O488&lt;&gt;"SF",O488&lt;&gt;""),AND(Q488&lt;&gt;"NA",Q488&lt;&gt;"C",Q488&lt;&gt;"NC",Q488&lt;&gt;"SF",Q488&lt;&gt;""),AND(S488&lt;&gt;"NA",S488&lt;&gt;"C",S488&lt;&gt;"NC",S488&lt;&gt;"SF",S488&lt;&gt;""),AND(U488&lt;&gt;"NA",U488&lt;&gt;"C",U488&lt;&gt;"NC",U488&lt;&gt;"SF",U488&lt;&gt;""),AND(W488&lt;&gt;"NA",W488&lt;&gt;"C",W488&lt;&gt;"NC",W488&lt;&gt;"SF",W488&lt;&gt;""),AND(Y488&lt;&gt;"NA",Y488&lt;&gt;"C",Y488&lt;&gt;"NC",Y488&lt;&gt;"SF",Y488&lt;&gt;""),AND(AA488&lt;&gt;"NA",AA488&lt;&gt;"C",AA488&lt;&gt;"NC",AA488&lt;&gt;"SF",AA488&lt;&gt;""),AND(AC488&lt;&gt;"NA",AC488&lt;&gt;"C",AC488&lt;&gt;"NC",AC488&lt;&gt;"SF",AC488&lt;&gt;"")),"FALSO",IF(AND(O488="NA",Q488="NA",S488="NA",U488="NA",W488="NA",Y488="NA",AA488="NA",AC488="NA"),"NA",IF(OR(O488="NC",Q488="NC",S488="NC",U488="NC",W488="NC",Y488="NC",AA488="NC",AC488="NC",O488="SF",Q488="SF",S488="SF",U488="SF",W488="SF",Y488="SF",AA488="SF",AC488="SF"),"NC",IF(OR(O488="C",Q488="C",S488="C",U488="C",W488="C",Y488="C",AA488="C",AC488="C"),"C","")))))</f>
        <v/>
      </c>
      <c r="AG488" s="190" t="b">
        <f t="shared" si="25"/>
        <v>0</v>
      </c>
      <c r="AH488" s="145"/>
      <c r="AI488" s="153" t="s">
        <v>6</v>
      </c>
      <c r="AJ488" s="150">
        <f t="shared" si="24"/>
        <v>0</v>
      </c>
      <c r="AK488" s="154" t="s">
        <v>60</v>
      </c>
    </row>
    <row r="489" spans="1:37" ht="30" customHeight="1">
      <c r="A489" s="64"/>
      <c r="B489" s="64"/>
      <c r="C489" s="64"/>
      <c r="D489" s="64"/>
      <c r="E489" s="64"/>
      <c r="F489" s="64"/>
      <c r="G489" s="64"/>
      <c r="H489" s="64"/>
      <c r="I489" s="64"/>
      <c r="J489" s="64"/>
      <c r="K489" s="64"/>
      <c r="L489" s="64"/>
      <c r="M489" s="64"/>
      <c r="N489" s="194"/>
      <c r="O489" s="157"/>
      <c r="P489" s="92"/>
      <c r="Q489" s="145"/>
      <c r="R489" s="92"/>
      <c r="S489" s="145"/>
      <c r="T489" s="92"/>
      <c r="U489" s="145"/>
      <c r="V489" s="92"/>
      <c r="W489" s="145"/>
      <c r="X489" s="92"/>
      <c r="Y489" s="145"/>
      <c r="Z489" s="92"/>
      <c r="AA489" s="145"/>
      <c r="AB489" s="92"/>
      <c r="AC489" s="145"/>
      <c r="AD489" s="92"/>
      <c r="AE489" s="145"/>
      <c r="AF489" s="142" t="str">
        <f t="shared" si="26"/>
        <v/>
      </c>
      <c r="AG489" s="190" t="b">
        <f t="shared" si="25"/>
        <v>0</v>
      </c>
      <c r="AH489" s="145"/>
      <c r="AI489" s="153" t="s">
        <v>6</v>
      </c>
      <c r="AJ489" s="150">
        <f t="shared" si="24"/>
        <v>0</v>
      </c>
      <c r="AK489" s="154" t="s">
        <v>60</v>
      </c>
    </row>
    <row r="490" spans="1:37" ht="30" customHeight="1">
      <c r="A490" s="64"/>
      <c r="B490" s="64"/>
      <c r="C490" s="64"/>
      <c r="D490" s="64"/>
      <c r="E490" s="64"/>
      <c r="F490" s="64"/>
      <c r="G490" s="64"/>
      <c r="H490" s="64"/>
      <c r="I490" s="64"/>
      <c r="J490" s="64"/>
      <c r="K490" s="64"/>
      <c r="L490" s="64"/>
      <c r="M490" s="64"/>
      <c r="N490" s="194"/>
      <c r="O490" s="157"/>
      <c r="P490" s="92"/>
      <c r="Q490" s="145"/>
      <c r="R490" s="92"/>
      <c r="S490" s="145"/>
      <c r="T490" s="92"/>
      <c r="U490" s="145"/>
      <c r="V490" s="92"/>
      <c r="W490" s="145"/>
      <c r="X490" s="92"/>
      <c r="Y490" s="145"/>
      <c r="Z490" s="92"/>
      <c r="AA490" s="145"/>
      <c r="AB490" s="92"/>
      <c r="AC490" s="145"/>
      <c r="AD490" s="92"/>
      <c r="AE490" s="145"/>
      <c r="AF490" s="142" t="str">
        <f t="shared" si="26"/>
        <v/>
      </c>
      <c r="AG490" s="190" t="b">
        <f t="shared" si="25"/>
        <v>0</v>
      </c>
      <c r="AH490" s="145"/>
      <c r="AI490" s="153" t="s">
        <v>6</v>
      </c>
      <c r="AJ490" s="150">
        <f t="shared" si="24"/>
        <v>0</v>
      </c>
      <c r="AK490" s="154" t="s">
        <v>60</v>
      </c>
    </row>
    <row r="491" spans="1:37" ht="30" customHeight="1">
      <c r="A491" s="64"/>
      <c r="B491" s="64"/>
      <c r="C491" s="64"/>
      <c r="D491" s="64"/>
      <c r="E491" s="64"/>
      <c r="F491" s="64"/>
      <c r="G491" s="64"/>
      <c r="H491" s="64"/>
      <c r="I491" s="64"/>
      <c r="J491" s="64"/>
      <c r="K491" s="64"/>
      <c r="L491" s="64"/>
      <c r="M491" s="64"/>
      <c r="N491" s="194"/>
      <c r="O491" s="157"/>
      <c r="P491" s="92"/>
      <c r="Q491" s="145"/>
      <c r="R491" s="92"/>
      <c r="S491" s="145"/>
      <c r="T491" s="92"/>
      <c r="U491" s="145"/>
      <c r="V491" s="92"/>
      <c r="W491" s="145"/>
      <c r="X491" s="92"/>
      <c r="Y491" s="145"/>
      <c r="Z491" s="92"/>
      <c r="AA491" s="145"/>
      <c r="AB491" s="92"/>
      <c r="AC491" s="145"/>
      <c r="AD491" s="92"/>
      <c r="AE491" s="145"/>
      <c r="AF491" s="142" t="str">
        <f t="shared" si="26"/>
        <v/>
      </c>
      <c r="AG491" s="190" t="b">
        <f t="shared" si="25"/>
        <v>0</v>
      </c>
      <c r="AH491" s="145"/>
      <c r="AI491" s="153" t="s">
        <v>6</v>
      </c>
      <c r="AJ491" s="150">
        <f t="shared" si="24"/>
        <v>0</v>
      </c>
      <c r="AK491" s="154" t="s">
        <v>60</v>
      </c>
    </row>
    <row r="492" spans="1:37" ht="30" customHeight="1">
      <c r="A492" s="64"/>
      <c r="B492" s="64"/>
      <c r="C492" s="64"/>
      <c r="D492" s="64"/>
      <c r="E492" s="64"/>
      <c r="F492" s="64"/>
      <c r="G492" s="64"/>
      <c r="H492" s="64"/>
      <c r="I492" s="64"/>
      <c r="J492" s="64"/>
      <c r="K492" s="64"/>
      <c r="L492" s="64"/>
      <c r="M492" s="64"/>
      <c r="N492" s="194"/>
      <c r="O492" s="157"/>
      <c r="P492" s="92"/>
      <c r="Q492" s="145"/>
      <c r="R492" s="92"/>
      <c r="S492" s="145"/>
      <c r="T492" s="92"/>
      <c r="U492" s="145"/>
      <c r="V492" s="92"/>
      <c r="W492" s="145"/>
      <c r="X492" s="92"/>
      <c r="Y492" s="145"/>
      <c r="Z492" s="92"/>
      <c r="AA492" s="145"/>
      <c r="AB492" s="92"/>
      <c r="AC492" s="145"/>
      <c r="AD492" s="92"/>
      <c r="AE492" s="145"/>
      <c r="AF492" s="142" t="str">
        <f t="shared" si="26"/>
        <v/>
      </c>
      <c r="AG492" s="190" t="b">
        <f t="shared" si="25"/>
        <v>0</v>
      </c>
      <c r="AH492" s="145"/>
      <c r="AI492" s="153" t="s">
        <v>6</v>
      </c>
      <c r="AJ492" s="150">
        <f t="shared" si="24"/>
        <v>0</v>
      </c>
      <c r="AK492" s="154" t="s">
        <v>60</v>
      </c>
    </row>
    <row r="493" spans="1:37" ht="30" customHeight="1">
      <c r="A493" s="64"/>
      <c r="B493" s="64"/>
      <c r="C493" s="64"/>
      <c r="D493" s="64"/>
      <c r="E493" s="64"/>
      <c r="F493" s="64"/>
      <c r="G493" s="64"/>
      <c r="H493" s="64"/>
      <c r="I493" s="64"/>
      <c r="J493" s="64"/>
      <c r="K493" s="64"/>
      <c r="L493" s="64"/>
      <c r="M493" s="64"/>
      <c r="N493" s="194"/>
      <c r="O493" s="157"/>
      <c r="P493" s="92"/>
      <c r="Q493" s="145"/>
      <c r="R493" s="92"/>
      <c r="S493" s="145"/>
      <c r="T493" s="92"/>
      <c r="U493" s="145"/>
      <c r="V493" s="92"/>
      <c r="W493" s="145"/>
      <c r="X493" s="92"/>
      <c r="Y493" s="145"/>
      <c r="Z493" s="92"/>
      <c r="AA493" s="145"/>
      <c r="AB493" s="92"/>
      <c r="AC493" s="145"/>
      <c r="AD493" s="92"/>
      <c r="AE493" s="145"/>
      <c r="AF493" s="142" t="str">
        <f t="shared" si="26"/>
        <v/>
      </c>
      <c r="AG493" s="190" t="b">
        <f t="shared" si="25"/>
        <v>0</v>
      </c>
      <c r="AH493" s="145"/>
      <c r="AI493" s="153" t="s">
        <v>6</v>
      </c>
      <c r="AJ493" s="150">
        <f t="shared" si="24"/>
        <v>0</v>
      </c>
      <c r="AK493" s="154" t="s">
        <v>60</v>
      </c>
    </row>
    <row r="494" spans="1:37" ht="30" customHeight="1">
      <c r="A494" s="64"/>
      <c r="B494" s="64"/>
      <c r="C494" s="64"/>
      <c r="D494" s="64"/>
      <c r="E494" s="64"/>
      <c r="F494" s="64"/>
      <c r="G494" s="64"/>
      <c r="H494" s="64"/>
      <c r="I494" s="64"/>
      <c r="J494" s="64"/>
      <c r="K494" s="64"/>
      <c r="L494" s="64"/>
      <c r="M494" s="64"/>
      <c r="N494" s="194"/>
      <c r="O494" s="157"/>
      <c r="P494" s="92"/>
      <c r="Q494" s="145"/>
      <c r="R494" s="92"/>
      <c r="S494" s="145"/>
      <c r="T494" s="92"/>
      <c r="U494" s="145"/>
      <c r="V494" s="92"/>
      <c r="W494" s="145"/>
      <c r="X494" s="92"/>
      <c r="Y494" s="145"/>
      <c r="Z494" s="92"/>
      <c r="AA494" s="145"/>
      <c r="AB494" s="92"/>
      <c r="AC494" s="145"/>
      <c r="AD494" s="92"/>
      <c r="AE494" s="145"/>
      <c r="AF494" s="142" t="str">
        <f t="shared" si="26"/>
        <v/>
      </c>
      <c r="AG494" s="190" t="b">
        <f t="shared" si="25"/>
        <v>0</v>
      </c>
      <c r="AH494" s="145"/>
      <c r="AI494" s="153" t="s">
        <v>6</v>
      </c>
      <c r="AJ494" s="150">
        <f t="shared" si="24"/>
        <v>0</v>
      </c>
      <c r="AK494" s="154" t="s">
        <v>60</v>
      </c>
    </row>
    <row r="495" spans="1:37" ht="30" customHeight="1">
      <c r="A495" s="64"/>
      <c r="B495" s="64"/>
      <c r="C495" s="64"/>
      <c r="D495" s="64"/>
      <c r="E495" s="64"/>
      <c r="F495" s="64"/>
      <c r="G495" s="64"/>
      <c r="H495" s="64"/>
      <c r="I495" s="64"/>
      <c r="J495" s="64"/>
      <c r="K495" s="64"/>
      <c r="L495" s="64"/>
      <c r="M495" s="64"/>
      <c r="N495" s="194"/>
      <c r="O495" s="157"/>
      <c r="P495" s="92"/>
      <c r="Q495" s="145"/>
      <c r="R495" s="92"/>
      <c r="S495" s="145"/>
      <c r="T495" s="92"/>
      <c r="U495" s="145"/>
      <c r="V495" s="92"/>
      <c r="W495" s="145"/>
      <c r="X495" s="92"/>
      <c r="Y495" s="145"/>
      <c r="Z495" s="92"/>
      <c r="AA495" s="145"/>
      <c r="AB495" s="92"/>
      <c r="AC495" s="145"/>
      <c r="AD495" s="92"/>
      <c r="AE495" s="145"/>
      <c r="AF495" s="142" t="str">
        <f t="shared" si="26"/>
        <v/>
      </c>
      <c r="AG495" s="190" t="b">
        <f t="shared" si="25"/>
        <v>0</v>
      </c>
      <c r="AH495" s="145"/>
      <c r="AI495" s="153" t="s">
        <v>6</v>
      </c>
      <c r="AJ495" s="150">
        <f t="shared" si="24"/>
        <v>0</v>
      </c>
      <c r="AK495" s="154" t="s">
        <v>60</v>
      </c>
    </row>
    <row r="496" spans="1:37" ht="30" customHeight="1">
      <c r="A496" s="64"/>
      <c r="B496" s="64"/>
      <c r="C496" s="64"/>
      <c r="D496" s="64"/>
      <c r="E496" s="64"/>
      <c r="F496" s="64"/>
      <c r="G496" s="64"/>
      <c r="H496" s="64"/>
      <c r="I496" s="64"/>
      <c r="J496" s="64"/>
      <c r="K496" s="64"/>
      <c r="L496" s="64"/>
      <c r="M496" s="64"/>
      <c r="N496" s="194"/>
      <c r="O496" s="157"/>
      <c r="P496" s="92"/>
      <c r="Q496" s="145"/>
      <c r="R496" s="92"/>
      <c r="S496" s="145"/>
      <c r="T496" s="92"/>
      <c r="U496" s="145"/>
      <c r="V496" s="92"/>
      <c r="W496" s="145"/>
      <c r="X496" s="92"/>
      <c r="Y496" s="145"/>
      <c r="Z496" s="92"/>
      <c r="AA496" s="145"/>
      <c r="AB496" s="92"/>
      <c r="AC496" s="145"/>
      <c r="AD496" s="92"/>
      <c r="AE496" s="145"/>
      <c r="AF496" s="142" t="str">
        <f t="shared" si="26"/>
        <v/>
      </c>
      <c r="AG496" s="190" t="b">
        <f t="shared" si="25"/>
        <v>0</v>
      </c>
      <c r="AH496" s="145"/>
      <c r="AI496" s="153" t="s">
        <v>6</v>
      </c>
      <c r="AJ496" s="150">
        <f t="shared" si="24"/>
        <v>0</v>
      </c>
      <c r="AK496" s="154" t="s">
        <v>60</v>
      </c>
    </row>
    <row r="497" spans="1:37" ht="30" customHeight="1">
      <c r="A497" s="64"/>
      <c r="B497" s="64"/>
      <c r="C497" s="64"/>
      <c r="D497" s="64"/>
      <c r="E497" s="64"/>
      <c r="F497" s="64"/>
      <c r="G497" s="64"/>
      <c r="H497" s="64"/>
      <c r="I497" s="64"/>
      <c r="J497" s="64"/>
      <c r="K497" s="64"/>
      <c r="L497" s="64"/>
      <c r="M497" s="64"/>
      <c r="N497" s="194"/>
      <c r="O497" s="157"/>
      <c r="P497" s="92"/>
      <c r="Q497" s="145"/>
      <c r="R497" s="92"/>
      <c r="S497" s="145"/>
      <c r="T497" s="92"/>
      <c r="U497" s="145"/>
      <c r="V497" s="92"/>
      <c r="W497" s="145"/>
      <c r="X497" s="92"/>
      <c r="Y497" s="145"/>
      <c r="Z497" s="92"/>
      <c r="AA497" s="145"/>
      <c r="AB497" s="92"/>
      <c r="AC497" s="145"/>
      <c r="AD497" s="92"/>
      <c r="AE497" s="145"/>
      <c r="AF497" s="142" t="str">
        <f t="shared" si="26"/>
        <v/>
      </c>
      <c r="AG497" s="190" t="b">
        <f t="shared" si="25"/>
        <v>0</v>
      </c>
      <c r="AH497" s="145"/>
      <c r="AI497" s="153" t="s">
        <v>6</v>
      </c>
      <c r="AJ497" s="150">
        <f t="shared" si="24"/>
        <v>0</v>
      </c>
      <c r="AK497" s="154" t="s">
        <v>60</v>
      </c>
    </row>
    <row r="498" spans="1:37" ht="30" customHeight="1">
      <c r="A498" s="64"/>
      <c r="B498" s="64"/>
      <c r="C498" s="64"/>
      <c r="D498" s="64"/>
      <c r="E498" s="64"/>
      <c r="F498" s="64"/>
      <c r="G498" s="64"/>
      <c r="H498" s="64"/>
      <c r="I498" s="64"/>
      <c r="J498" s="64"/>
      <c r="K498" s="64"/>
      <c r="L498" s="64"/>
      <c r="M498" s="64"/>
      <c r="N498" s="194"/>
      <c r="O498" s="157"/>
      <c r="P498" s="92"/>
      <c r="Q498" s="145"/>
      <c r="R498" s="92"/>
      <c r="S498" s="145"/>
      <c r="T498" s="92"/>
      <c r="U498" s="145"/>
      <c r="V498" s="92"/>
      <c r="W498" s="145"/>
      <c r="X498" s="92"/>
      <c r="Y498" s="145"/>
      <c r="Z498" s="92"/>
      <c r="AA498" s="145"/>
      <c r="AB498" s="92"/>
      <c r="AC498" s="145"/>
      <c r="AD498" s="92"/>
      <c r="AE498" s="145"/>
      <c r="AF498" s="142" t="str">
        <f t="shared" si="26"/>
        <v/>
      </c>
      <c r="AG498" s="190" t="b">
        <f t="shared" si="25"/>
        <v>0</v>
      </c>
      <c r="AH498" s="145"/>
      <c r="AI498" s="153" t="s">
        <v>6</v>
      </c>
      <c r="AJ498" s="150">
        <f t="shared" si="24"/>
        <v>0</v>
      </c>
      <c r="AK498" s="154" t="s">
        <v>60</v>
      </c>
    </row>
    <row r="499" spans="1:37" ht="30" customHeight="1">
      <c r="A499" s="64"/>
      <c r="B499" s="64"/>
      <c r="C499" s="64"/>
      <c r="D499" s="64"/>
      <c r="E499" s="64"/>
      <c r="F499" s="64"/>
      <c r="G499" s="64"/>
      <c r="H499" s="64"/>
      <c r="I499" s="64"/>
      <c r="J499" s="64"/>
      <c r="K499" s="64"/>
      <c r="L499" s="64"/>
      <c r="M499" s="64"/>
      <c r="N499" s="194"/>
      <c r="O499" s="157"/>
      <c r="P499" s="92"/>
      <c r="Q499" s="145"/>
      <c r="R499" s="92"/>
      <c r="S499" s="145"/>
      <c r="T499" s="92"/>
      <c r="U499" s="145"/>
      <c r="V499" s="92"/>
      <c r="W499" s="145"/>
      <c r="X499" s="92"/>
      <c r="Y499" s="145"/>
      <c r="Z499" s="92"/>
      <c r="AA499" s="145"/>
      <c r="AB499" s="92"/>
      <c r="AC499" s="145"/>
      <c r="AD499" s="92"/>
      <c r="AE499" s="145"/>
      <c r="AF499" s="142" t="str">
        <f t="shared" si="26"/>
        <v/>
      </c>
      <c r="AG499" s="190" t="b">
        <f t="shared" si="25"/>
        <v>0</v>
      </c>
      <c r="AH499" s="145"/>
      <c r="AI499" s="153" t="s">
        <v>6</v>
      </c>
      <c r="AJ499" s="150">
        <f t="shared" si="24"/>
        <v>0</v>
      </c>
      <c r="AK499" s="154" t="s">
        <v>60</v>
      </c>
    </row>
    <row r="500" spans="1:37" ht="30" customHeight="1">
      <c r="A500" s="64"/>
      <c r="B500" s="64"/>
      <c r="C500" s="64"/>
      <c r="D500" s="64"/>
      <c r="E500" s="64"/>
      <c r="F500" s="64"/>
      <c r="G500" s="64"/>
      <c r="H500" s="64"/>
      <c r="I500" s="64"/>
      <c r="J500" s="64"/>
      <c r="K500" s="64"/>
      <c r="L500" s="64"/>
      <c r="M500" s="64"/>
      <c r="N500" s="194"/>
      <c r="O500" s="157"/>
      <c r="P500" s="92"/>
      <c r="Q500" s="145"/>
      <c r="R500" s="92"/>
      <c r="S500" s="145"/>
      <c r="T500" s="92"/>
      <c r="U500" s="145"/>
      <c r="V500" s="92"/>
      <c r="W500" s="145"/>
      <c r="X500" s="92"/>
      <c r="Y500" s="145"/>
      <c r="Z500" s="92"/>
      <c r="AA500" s="145"/>
      <c r="AB500" s="92"/>
      <c r="AC500" s="145"/>
      <c r="AD500" s="92"/>
      <c r="AE500" s="145"/>
      <c r="AF500" s="142" t="str">
        <f t="shared" si="26"/>
        <v/>
      </c>
      <c r="AG500" s="190" t="b">
        <f t="shared" si="25"/>
        <v>0</v>
      </c>
      <c r="AH500" s="145"/>
      <c r="AI500" s="153" t="s">
        <v>6</v>
      </c>
      <c r="AJ500" s="150">
        <f t="shared" si="24"/>
        <v>0</v>
      </c>
      <c r="AK500" s="154" t="s">
        <v>60</v>
      </c>
    </row>
    <row r="501" spans="1:37" ht="30" customHeight="1">
      <c r="A501" s="64"/>
      <c r="B501" s="64"/>
      <c r="C501" s="64"/>
      <c r="D501" s="64"/>
      <c r="E501" s="64"/>
      <c r="F501" s="64"/>
      <c r="G501" s="64"/>
      <c r="H501" s="64"/>
      <c r="I501" s="64"/>
      <c r="J501" s="64"/>
      <c r="K501" s="64"/>
      <c r="L501" s="64"/>
      <c r="M501" s="64"/>
      <c r="N501" s="194"/>
      <c r="O501" s="157"/>
      <c r="P501" s="92"/>
      <c r="Q501" s="145"/>
      <c r="R501" s="92"/>
      <c r="S501" s="145"/>
      <c r="T501" s="92"/>
      <c r="U501" s="145"/>
      <c r="V501" s="92"/>
      <c r="W501" s="145"/>
      <c r="X501" s="92"/>
      <c r="Y501" s="145"/>
      <c r="Z501" s="92"/>
      <c r="AA501" s="145"/>
      <c r="AB501" s="92"/>
      <c r="AC501" s="145"/>
      <c r="AD501" s="92"/>
      <c r="AE501" s="145"/>
      <c r="AF501" s="142" t="str">
        <f t="shared" si="26"/>
        <v/>
      </c>
      <c r="AG501" s="190" t="b">
        <f t="shared" si="25"/>
        <v>0</v>
      </c>
      <c r="AH501" s="145"/>
      <c r="AI501" s="153" t="s">
        <v>6</v>
      </c>
      <c r="AJ501" s="150">
        <f t="shared" si="24"/>
        <v>0</v>
      </c>
      <c r="AK501" s="154" t="s">
        <v>60</v>
      </c>
    </row>
    <row r="502" spans="1:37" ht="30" customHeight="1">
      <c r="A502" s="64"/>
      <c r="B502" s="64"/>
      <c r="C502" s="64"/>
      <c r="D502" s="64"/>
      <c r="E502" s="64"/>
      <c r="F502" s="64"/>
      <c r="G502" s="64"/>
      <c r="H502" s="64"/>
      <c r="I502" s="64"/>
      <c r="J502" s="64"/>
      <c r="K502" s="64"/>
      <c r="L502" s="64"/>
      <c r="M502" s="64"/>
      <c r="N502" s="194"/>
      <c r="O502" s="157"/>
      <c r="P502" s="92"/>
      <c r="Q502" s="145"/>
      <c r="R502" s="92"/>
      <c r="S502" s="145"/>
      <c r="T502" s="92"/>
      <c r="U502" s="145"/>
      <c r="V502" s="92"/>
      <c r="W502" s="145"/>
      <c r="X502" s="92"/>
      <c r="Y502" s="145"/>
      <c r="Z502" s="92"/>
      <c r="AA502" s="145"/>
      <c r="AB502" s="92"/>
      <c r="AC502" s="145"/>
      <c r="AD502" s="92"/>
      <c r="AE502" s="145"/>
      <c r="AF502" s="142" t="str">
        <f t="shared" si="26"/>
        <v/>
      </c>
      <c r="AG502" s="190" t="b">
        <f t="shared" si="25"/>
        <v>0</v>
      </c>
      <c r="AH502" s="145"/>
      <c r="AI502" s="153" t="s">
        <v>6</v>
      </c>
      <c r="AJ502" s="150">
        <f t="shared" si="24"/>
        <v>0</v>
      </c>
      <c r="AK502" s="154" t="s">
        <v>60</v>
      </c>
    </row>
    <row r="503" spans="1:37" ht="30" customHeight="1">
      <c r="A503" s="64"/>
      <c r="B503" s="64"/>
      <c r="C503" s="64"/>
      <c r="D503" s="64"/>
      <c r="E503" s="64"/>
      <c r="F503" s="64"/>
      <c r="G503" s="64"/>
      <c r="H503" s="64"/>
      <c r="I503" s="64"/>
      <c r="J503" s="64"/>
      <c r="K503" s="64"/>
      <c r="L503" s="64"/>
      <c r="M503" s="64"/>
      <c r="N503" s="194"/>
      <c r="O503" s="157"/>
      <c r="P503" s="92"/>
      <c r="Q503" s="145"/>
      <c r="R503" s="92"/>
      <c r="S503" s="145"/>
      <c r="T503" s="92"/>
      <c r="U503" s="145"/>
      <c r="V503" s="92"/>
      <c r="W503" s="145"/>
      <c r="X503" s="92"/>
      <c r="Y503" s="145"/>
      <c r="Z503" s="92"/>
      <c r="AA503" s="145"/>
      <c r="AB503" s="92"/>
      <c r="AC503" s="145"/>
      <c r="AD503" s="92"/>
      <c r="AE503" s="145"/>
      <c r="AF503" s="142" t="str">
        <f t="shared" si="26"/>
        <v/>
      </c>
      <c r="AG503" s="190" t="b">
        <f t="shared" si="25"/>
        <v>0</v>
      </c>
      <c r="AH503" s="145"/>
      <c r="AI503" s="153" t="s">
        <v>6</v>
      </c>
      <c r="AJ503" s="150">
        <f t="shared" si="24"/>
        <v>0</v>
      </c>
      <c r="AK503" s="154" t="s">
        <v>60</v>
      </c>
    </row>
    <row r="504" spans="1:37" ht="30" customHeight="1">
      <c r="A504" s="64"/>
      <c r="B504" s="64"/>
      <c r="C504" s="64"/>
      <c r="D504" s="64"/>
      <c r="E504" s="64"/>
      <c r="F504" s="64"/>
      <c r="G504" s="64"/>
      <c r="H504" s="64"/>
      <c r="I504" s="64"/>
      <c r="J504" s="64"/>
      <c r="K504" s="64"/>
      <c r="L504" s="64"/>
      <c r="M504" s="64"/>
      <c r="N504" s="194"/>
      <c r="O504" s="157"/>
      <c r="P504" s="92"/>
      <c r="Q504" s="145"/>
      <c r="R504" s="92"/>
      <c r="S504" s="145"/>
      <c r="T504" s="92"/>
      <c r="U504" s="145"/>
      <c r="V504" s="92"/>
      <c r="W504" s="145"/>
      <c r="X504" s="92"/>
      <c r="Y504" s="145"/>
      <c r="Z504" s="92"/>
      <c r="AA504" s="145"/>
      <c r="AB504" s="92"/>
      <c r="AC504" s="145"/>
      <c r="AD504" s="92"/>
      <c r="AE504" s="145"/>
      <c r="AF504" s="142" t="str">
        <f t="shared" si="26"/>
        <v/>
      </c>
      <c r="AG504" s="190" t="b">
        <f t="shared" si="25"/>
        <v>0</v>
      </c>
      <c r="AH504" s="145"/>
      <c r="AI504" s="153" t="s">
        <v>6</v>
      </c>
      <c r="AJ504" s="150">
        <f t="shared" si="24"/>
        <v>0</v>
      </c>
      <c r="AK504" s="154" t="s">
        <v>60</v>
      </c>
    </row>
    <row r="505" spans="1:37" ht="30" customHeight="1">
      <c r="A505" s="64"/>
      <c r="B505" s="64"/>
      <c r="C505" s="64"/>
      <c r="D505" s="64"/>
      <c r="E505" s="64"/>
      <c r="F505" s="64"/>
      <c r="G505" s="64"/>
      <c r="H505" s="64"/>
      <c r="I505" s="64"/>
      <c r="J505" s="64"/>
      <c r="K505" s="64"/>
      <c r="L505" s="64"/>
      <c r="M505" s="64"/>
      <c r="N505" s="194"/>
      <c r="O505" s="157"/>
      <c r="P505" s="92"/>
      <c r="Q505" s="145"/>
      <c r="R505" s="92"/>
      <c r="S505" s="145"/>
      <c r="T505" s="92"/>
      <c r="U505" s="145"/>
      <c r="V505" s="92"/>
      <c r="W505" s="145"/>
      <c r="X505" s="92"/>
      <c r="Y505" s="145"/>
      <c r="Z505" s="92"/>
      <c r="AA505" s="145"/>
      <c r="AB505" s="92"/>
      <c r="AC505" s="145"/>
      <c r="AD505" s="92"/>
      <c r="AE505" s="145"/>
      <c r="AF505" s="142" t="str">
        <f t="shared" si="26"/>
        <v/>
      </c>
      <c r="AG505" s="190" t="b">
        <f t="shared" si="25"/>
        <v>0</v>
      </c>
      <c r="AH505" s="145"/>
      <c r="AI505" s="153" t="s">
        <v>6</v>
      </c>
      <c r="AJ505" s="150">
        <f t="shared" si="24"/>
        <v>0</v>
      </c>
      <c r="AK505" s="154" t="s">
        <v>60</v>
      </c>
    </row>
    <row r="506" spans="1:37" ht="30" customHeight="1">
      <c r="A506" s="64"/>
      <c r="B506" s="64"/>
      <c r="C506" s="64"/>
      <c r="D506" s="64"/>
      <c r="E506" s="64"/>
      <c r="F506" s="64"/>
      <c r="G506" s="64"/>
      <c r="H506" s="64"/>
      <c r="I506" s="64"/>
      <c r="J506" s="64"/>
      <c r="K506" s="64"/>
      <c r="L506" s="64"/>
      <c r="M506" s="64"/>
      <c r="N506" s="194"/>
      <c r="O506" s="157"/>
      <c r="P506" s="92"/>
      <c r="Q506" s="145"/>
      <c r="R506" s="92"/>
      <c r="S506" s="145"/>
      <c r="T506" s="92"/>
      <c r="U506" s="145"/>
      <c r="V506" s="92"/>
      <c r="W506" s="145"/>
      <c r="X506" s="92"/>
      <c r="Y506" s="145"/>
      <c r="Z506" s="92"/>
      <c r="AA506" s="145"/>
      <c r="AB506" s="92"/>
      <c r="AC506" s="145"/>
      <c r="AD506" s="92"/>
      <c r="AE506" s="145"/>
      <c r="AF506" s="142" t="str">
        <f t="shared" si="26"/>
        <v/>
      </c>
      <c r="AG506" s="190" t="b">
        <f t="shared" si="25"/>
        <v>0</v>
      </c>
      <c r="AH506" s="145"/>
      <c r="AI506" s="153" t="s">
        <v>6</v>
      </c>
      <c r="AJ506" s="150">
        <f t="shared" si="24"/>
        <v>0</v>
      </c>
      <c r="AK506" s="154" t="s">
        <v>60</v>
      </c>
    </row>
    <row r="507" spans="1:37" ht="30" customHeight="1">
      <c r="A507" s="64"/>
      <c r="B507" s="64"/>
      <c r="C507" s="64"/>
      <c r="D507" s="64"/>
      <c r="E507" s="64"/>
      <c r="F507" s="64"/>
      <c r="G507" s="64"/>
      <c r="H507" s="64"/>
      <c r="I507" s="64"/>
      <c r="J507" s="64"/>
      <c r="K507" s="64"/>
      <c r="L507" s="64"/>
      <c r="M507" s="64"/>
      <c r="N507" s="194"/>
      <c r="O507" s="157"/>
      <c r="P507" s="92"/>
      <c r="Q507" s="145"/>
      <c r="R507" s="92"/>
      <c r="S507" s="145"/>
      <c r="T507" s="92"/>
      <c r="U507" s="145"/>
      <c r="V507" s="92"/>
      <c r="W507" s="145"/>
      <c r="X507" s="92"/>
      <c r="Y507" s="145"/>
      <c r="Z507" s="92"/>
      <c r="AA507" s="145"/>
      <c r="AB507" s="92"/>
      <c r="AC507" s="145"/>
      <c r="AD507" s="92"/>
      <c r="AE507" s="145"/>
      <c r="AF507" s="142" t="str">
        <f t="shared" si="26"/>
        <v/>
      </c>
      <c r="AG507" s="190" t="b">
        <f t="shared" si="25"/>
        <v>0</v>
      </c>
      <c r="AH507" s="145"/>
      <c r="AI507" s="153" t="s">
        <v>6</v>
      </c>
      <c r="AJ507" s="150">
        <f t="shared" si="24"/>
        <v>0</v>
      </c>
      <c r="AK507" s="154" t="s">
        <v>60</v>
      </c>
    </row>
    <row r="508" spans="1:37" ht="30" customHeight="1">
      <c r="A508" s="64"/>
      <c r="B508" s="64"/>
      <c r="C508" s="64"/>
      <c r="D508" s="64"/>
      <c r="E508" s="64"/>
      <c r="F508" s="64"/>
      <c r="G508" s="64"/>
      <c r="H508" s="64"/>
      <c r="I508" s="64"/>
      <c r="J508" s="64"/>
      <c r="K508" s="64"/>
      <c r="L508" s="64"/>
      <c r="M508" s="64"/>
      <c r="N508" s="194"/>
      <c r="O508" s="157"/>
      <c r="P508" s="92"/>
      <c r="Q508" s="145"/>
      <c r="R508" s="92"/>
      <c r="S508" s="145"/>
      <c r="T508" s="92"/>
      <c r="U508" s="145"/>
      <c r="V508" s="92"/>
      <c r="W508" s="145"/>
      <c r="X508" s="92"/>
      <c r="Y508" s="145"/>
      <c r="Z508" s="92"/>
      <c r="AA508" s="145"/>
      <c r="AB508" s="92"/>
      <c r="AC508" s="145"/>
      <c r="AD508" s="92"/>
      <c r="AE508" s="145"/>
      <c r="AF508" s="142" t="str">
        <f t="shared" si="26"/>
        <v/>
      </c>
      <c r="AG508" s="190" t="b">
        <f t="shared" si="25"/>
        <v>0</v>
      </c>
      <c r="AH508" s="145"/>
      <c r="AI508" s="153" t="s">
        <v>6</v>
      </c>
      <c r="AJ508" s="150">
        <f t="shared" si="24"/>
        <v>0</v>
      </c>
      <c r="AK508" s="154" t="s">
        <v>60</v>
      </c>
    </row>
    <row r="509" spans="1:37" ht="30" customHeight="1">
      <c r="A509" s="64"/>
      <c r="B509" s="64"/>
      <c r="C509" s="64"/>
      <c r="D509" s="64"/>
      <c r="E509" s="64"/>
      <c r="F509" s="64"/>
      <c r="G509" s="64"/>
      <c r="H509" s="64"/>
      <c r="I509" s="64"/>
      <c r="J509" s="64"/>
      <c r="K509" s="64"/>
      <c r="L509" s="64"/>
      <c r="M509" s="64"/>
      <c r="N509" s="194"/>
      <c r="O509" s="157"/>
      <c r="P509" s="92"/>
      <c r="Q509" s="145"/>
      <c r="R509" s="92"/>
      <c r="S509" s="145"/>
      <c r="T509" s="92"/>
      <c r="U509" s="145"/>
      <c r="V509" s="92"/>
      <c r="W509" s="145"/>
      <c r="X509" s="92"/>
      <c r="Y509" s="145"/>
      <c r="Z509" s="92"/>
      <c r="AA509" s="145"/>
      <c r="AB509" s="92"/>
      <c r="AC509" s="145"/>
      <c r="AD509" s="92"/>
      <c r="AE509" s="145"/>
      <c r="AF509" s="142" t="str">
        <f t="shared" si="26"/>
        <v/>
      </c>
      <c r="AG509" s="190" t="b">
        <f t="shared" si="25"/>
        <v>0</v>
      </c>
      <c r="AH509" s="145"/>
      <c r="AI509" s="153" t="s">
        <v>6</v>
      </c>
      <c r="AJ509" s="150">
        <f t="shared" si="24"/>
        <v>0</v>
      </c>
      <c r="AK509" s="154" t="s">
        <v>60</v>
      </c>
    </row>
    <row r="510" spans="1:37" ht="30" customHeight="1">
      <c r="A510" s="64"/>
      <c r="B510" s="64"/>
      <c r="C510" s="64"/>
      <c r="D510" s="64"/>
      <c r="E510" s="64"/>
      <c r="F510" s="64"/>
      <c r="G510" s="64"/>
      <c r="H510" s="64"/>
      <c r="I510" s="64"/>
      <c r="J510" s="64"/>
      <c r="K510" s="64"/>
      <c r="L510" s="64"/>
      <c r="M510" s="64"/>
      <c r="N510" s="194"/>
      <c r="O510" s="157"/>
      <c r="P510" s="92"/>
      <c r="Q510" s="145"/>
      <c r="R510" s="92"/>
      <c r="S510" s="145"/>
      <c r="T510" s="92"/>
      <c r="U510" s="145"/>
      <c r="V510" s="92"/>
      <c r="W510" s="145"/>
      <c r="X510" s="92"/>
      <c r="Y510" s="145"/>
      <c r="Z510" s="92"/>
      <c r="AA510" s="145"/>
      <c r="AB510" s="92"/>
      <c r="AC510" s="145"/>
      <c r="AD510" s="92"/>
      <c r="AE510" s="145"/>
      <c r="AF510" s="142" t="str">
        <f t="shared" si="26"/>
        <v/>
      </c>
      <c r="AG510" s="190" t="b">
        <f t="shared" si="25"/>
        <v>0</v>
      </c>
      <c r="AH510" s="145"/>
      <c r="AI510" s="153" t="s">
        <v>6</v>
      </c>
      <c r="AJ510" s="150">
        <f t="shared" si="24"/>
        <v>0</v>
      </c>
      <c r="AK510" s="154" t="s">
        <v>60</v>
      </c>
    </row>
    <row r="511" spans="1:37" ht="30" customHeight="1">
      <c r="A511" s="64"/>
      <c r="B511" s="64"/>
      <c r="C511" s="64"/>
      <c r="D511" s="64"/>
      <c r="E511" s="64"/>
      <c r="F511" s="64"/>
      <c r="G511" s="64"/>
      <c r="H511" s="64"/>
      <c r="I511" s="64"/>
      <c r="J511" s="64"/>
      <c r="K511" s="64"/>
      <c r="L511" s="64"/>
      <c r="M511" s="64"/>
      <c r="N511" s="194"/>
      <c r="O511" s="157"/>
      <c r="P511" s="92"/>
      <c r="Q511" s="145"/>
      <c r="R511" s="92"/>
      <c r="S511" s="145"/>
      <c r="T511" s="92"/>
      <c r="U511" s="145"/>
      <c r="V511" s="92"/>
      <c r="W511" s="145"/>
      <c r="X511" s="92"/>
      <c r="Y511" s="145"/>
      <c r="Z511" s="92"/>
      <c r="AA511" s="145"/>
      <c r="AB511" s="92"/>
      <c r="AC511" s="145"/>
      <c r="AD511" s="92"/>
      <c r="AE511" s="145"/>
      <c r="AF511" s="142" t="str">
        <f t="shared" si="26"/>
        <v/>
      </c>
      <c r="AG511" s="190" t="b">
        <f t="shared" si="25"/>
        <v>0</v>
      </c>
      <c r="AH511" s="145"/>
      <c r="AI511" s="153" t="s">
        <v>6</v>
      </c>
      <c r="AJ511" s="150">
        <f t="shared" si="24"/>
        <v>0</v>
      </c>
      <c r="AK511" s="154" t="s">
        <v>60</v>
      </c>
    </row>
    <row r="512" spans="1:37" ht="30" customHeight="1">
      <c r="A512" s="64"/>
      <c r="B512" s="64"/>
      <c r="C512" s="64"/>
      <c r="D512" s="64"/>
      <c r="E512" s="64"/>
      <c r="F512" s="64"/>
      <c r="G512" s="64"/>
      <c r="H512" s="64"/>
      <c r="I512" s="64"/>
      <c r="J512" s="64"/>
      <c r="K512" s="64"/>
      <c r="L512" s="64"/>
      <c r="M512" s="64"/>
      <c r="N512" s="194"/>
      <c r="O512" s="157"/>
      <c r="P512" s="92"/>
      <c r="Q512" s="145"/>
      <c r="R512" s="92"/>
      <c r="S512" s="145"/>
      <c r="T512" s="92"/>
      <c r="U512" s="145"/>
      <c r="V512" s="92"/>
      <c r="W512" s="145"/>
      <c r="X512" s="92"/>
      <c r="Y512" s="145"/>
      <c r="Z512" s="92"/>
      <c r="AA512" s="145"/>
      <c r="AB512" s="92"/>
      <c r="AC512" s="145"/>
      <c r="AD512" s="92"/>
      <c r="AE512" s="145"/>
      <c r="AF512" s="142" t="str">
        <f t="shared" si="26"/>
        <v/>
      </c>
      <c r="AG512" s="190" t="b">
        <f t="shared" si="25"/>
        <v>0</v>
      </c>
      <c r="AH512" s="145"/>
      <c r="AI512" s="153" t="s">
        <v>6</v>
      </c>
      <c r="AJ512" s="150">
        <f t="shared" si="24"/>
        <v>0</v>
      </c>
      <c r="AK512" s="154" t="s">
        <v>60</v>
      </c>
    </row>
    <row r="513" spans="1:37" ht="30" customHeight="1">
      <c r="A513" s="64"/>
      <c r="B513" s="64"/>
      <c r="C513" s="64"/>
      <c r="D513" s="64"/>
      <c r="E513" s="64"/>
      <c r="F513" s="64"/>
      <c r="G513" s="64"/>
      <c r="H513" s="64"/>
      <c r="I513" s="64"/>
      <c r="J513" s="64"/>
      <c r="K513" s="64"/>
      <c r="L513" s="64"/>
      <c r="M513" s="64"/>
      <c r="N513" s="194"/>
      <c r="O513" s="157"/>
      <c r="P513" s="92"/>
      <c r="Q513" s="145"/>
      <c r="R513" s="92"/>
      <c r="S513" s="145"/>
      <c r="T513" s="92"/>
      <c r="U513" s="145"/>
      <c r="V513" s="92"/>
      <c r="W513" s="145"/>
      <c r="X513" s="92"/>
      <c r="Y513" s="145"/>
      <c r="Z513" s="92"/>
      <c r="AA513" s="145"/>
      <c r="AB513" s="92"/>
      <c r="AC513" s="145"/>
      <c r="AD513" s="92"/>
      <c r="AE513" s="145"/>
      <c r="AF513" s="142" t="str">
        <f t="shared" si="26"/>
        <v/>
      </c>
      <c r="AG513" s="190" t="b">
        <f t="shared" si="25"/>
        <v>0</v>
      </c>
      <c r="AH513" s="145"/>
      <c r="AI513" s="153" t="s">
        <v>6</v>
      </c>
      <c r="AJ513" s="150">
        <f t="shared" si="24"/>
        <v>0</v>
      </c>
      <c r="AK513" s="154" t="s">
        <v>60</v>
      </c>
    </row>
    <row r="514" spans="1:37" ht="30" customHeight="1">
      <c r="A514" s="64"/>
      <c r="B514" s="64"/>
      <c r="C514" s="64"/>
      <c r="D514" s="64"/>
      <c r="E514" s="64"/>
      <c r="F514" s="64"/>
      <c r="G514" s="64"/>
      <c r="H514" s="64"/>
      <c r="I514" s="64"/>
      <c r="J514" s="64"/>
      <c r="K514" s="64"/>
      <c r="L514" s="64"/>
      <c r="M514" s="64"/>
      <c r="N514" s="194"/>
      <c r="O514" s="157"/>
      <c r="P514" s="92"/>
      <c r="Q514" s="145"/>
      <c r="R514" s="92"/>
      <c r="S514" s="145"/>
      <c r="T514" s="92"/>
      <c r="U514" s="145"/>
      <c r="V514" s="92"/>
      <c r="W514" s="145"/>
      <c r="X514" s="92"/>
      <c r="Y514" s="145"/>
      <c r="Z514" s="92"/>
      <c r="AA514" s="145"/>
      <c r="AB514" s="92"/>
      <c r="AC514" s="145"/>
      <c r="AD514" s="92"/>
      <c r="AE514" s="145"/>
      <c r="AF514" s="142" t="str">
        <f t="shared" si="26"/>
        <v/>
      </c>
      <c r="AG514" s="190" t="b">
        <f t="shared" si="25"/>
        <v>0</v>
      </c>
      <c r="AH514" s="145"/>
      <c r="AI514" s="153" t="s">
        <v>6</v>
      </c>
      <c r="AJ514" s="150">
        <f t="shared" si="24"/>
        <v>0</v>
      </c>
      <c r="AK514" s="154" t="s">
        <v>60</v>
      </c>
    </row>
    <row r="515" spans="1:37" ht="30" customHeight="1">
      <c r="A515" s="64"/>
      <c r="B515" s="64"/>
      <c r="C515" s="64"/>
      <c r="D515" s="64"/>
      <c r="E515" s="64"/>
      <c r="F515" s="64"/>
      <c r="G515" s="64"/>
      <c r="H515" s="64"/>
      <c r="I515" s="64"/>
      <c r="J515" s="64"/>
      <c r="K515" s="64"/>
      <c r="L515" s="64"/>
      <c r="M515" s="64"/>
      <c r="N515" s="194"/>
      <c r="O515" s="157"/>
      <c r="P515" s="92"/>
      <c r="Q515" s="145"/>
      <c r="R515" s="92"/>
      <c r="S515" s="145"/>
      <c r="T515" s="92"/>
      <c r="U515" s="145"/>
      <c r="V515" s="92"/>
      <c r="W515" s="145"/>
      <c r="X515" s="92"/>
      <c r="Y515" s="145"/>
      <c r="Z515" s="92"/>
      <c r="AA515" s="145"/>
      <c r="AB515" s="92"/>
      <c r="AC515" s="145"/>
      <c r="AD515" s="92"/>
      <c r="AE515" s="145"/>
      <c r="AF515" s="142" t="str">
        <f t="shared" si="26"/>
        <v/>
      </c>
      <c r="AG515" s="190" t="b">
        <f t="shared" si="25"/>
        <v>0</v>
      </c>
      <c r="AH515" s="145"/>
      <c r="AI515" s="153" t="s">
        <v>6</v>
      </c>
      <c r="AJ515" s="150">
        <f t="shared" si="24"/>
        <v>0</v>
      </c>
      <c r="AK515" s="154" t="s">
        <v>60</v>
      </c>
    </row>
    <row r="516" spans="1:37" ht="30" customHeight="1">
      <c r="A516" s="64"/>
      <c r="B516" s="64"/>
      <c r="C516" s="64"/>
      <c r="D516" s="64"/>
      <c r="E516" s="64"/>
      <c r="F516" s="64"/>
      <c r="G516" s="64"/>
      <c r="H516" s="64"/>
      <c r="I516" s="64"/>
      <c r="J516" s="64"/>
      <c r="K516" s="64"/>
      <c r="L516" s="64"/>
      <c r="M516" s="64"/>
      <c r="N516" s="194"/>
      <c r="O516" s="157"/>
      <c r="P516" s="92"/>
      <c r="Q516" s="145"/>
      <c r="R516" s="92"/>
      <c r="S516" s="145"/>
      <c r="T516" s="92"/>
      <c r="U516" s="145"/>
      <c r="V516" s="92"/>
      <c r="W516" s="145"/>
      <c r="X516" s="92"/>
      <c r="Y516" s="145"/>
      <c r="Z516" s="92"/>
      <c r="AA516" s="145"/>
      <c r="AB516" s="92"/>
      <c r="AC516" s="145"/>
      <c r="AD516" s="92"/>
      <c r="AE516" s="145"/>
      <c r="AF516" s="142" t="str">
        <f t="shared" si="26"/>
        <v/>
      </c>
      <c r="AG516" s="190" t="b">
        <f t="shared" si="25"/>
        <v>0</v>
      </c>
      <c r="AH516" s="145"/>
      <c r="AI516" s="153" t="s">
        <v>6</v>
      </c>
      <c r="AJ516" s="150">
        <f t="shared" si="24"/>
        <v>0</v>
      </c>
      <c r="AK516" s="154" t="s">
        <v>60</v>
      </c>
    </row>
    <row r="517" spans="1:37" ht="30" customHeight="1">
      <c r="A517" s="64"/>
      <c r="B517" s="64"/>
      <c r="C517" s="64"/>
      <c r="D517" s="64"/>
      <c r="E517" s="64"/>
      <c r="F517" s="64"/>
      <c r="G517" s="64"/>
      <c r="H517" s="64"/>
      <c r="I517" s="64"/>
      <c r="J517" s="64"/>
      <c r="K517" s="64"/>
      <c r="L517" s="64"/>
      <c r="M517" s="64"/>
      <c r="N517" s="194"/>
      <c r="O517" s="157"/>
      <c r="P517" s="92"/>
      <c r="Q517" s="145"/>
      <c r="R517" s="92"/>
      <c r="S517" s="145"/>
      <c r="T517" s="92"/>
      <c r="U517" s="145"/>
      <c r="V517" s="92"/>
      <c r="W517" s="145"/>
      <c r="X517" s="92"/>
      <c r="Y517" s="145"/>
      <c r="Z517" s="92"/>
      <c r="AA517" s="145"/>
      <c r="AB517" s="92"/>
      <c r="AC517" s="145"/>
      <c r="AD517" s="92"/>
      <c r="AE517" s="145"/>
      <c r="AF517" s="142" t="str">
        <f t="shared" si="26"/>
        <v/>
      </c>
      <c r="AG517" s="190" t="b">
        <f t="shared" si="25"/>
        <v>0</v>
      </c>
      <c r="AH517" s="145"/>
      <c r="AI517" s="153" t="s">
        <v>6</v>
      </c>
      <c r="AJ517" s="150">
        <f t="shared" si="24"/>
        <v>0</v>
      </c>
      <c r="AK517" s="154" t="s">
        <v>60</v>
      </c>
    </row>
    <row r="518" spans="1:37" ht="30" customHeight="1">
      <c r="A518" s="64"/>
      <c r="B518" s="64"/>
      <c r="C518" s="64"/>
      <c r="D518" s="64"/>
      <c r="E518" s="64"/>
      <c r="F518" s="64"/>
      <c r="G518" s="64"/>
      <c r="H518" s="64"/>
      <c r="I518" s="64"/>
      <c r="J518" s="64"/>
      <c r="K518" s="64"/>
      <c r="L518" s="64"/>
      <c r="M518" s="64"/>
      <c r="N518" s="194"/>
      <c r="O518" s="157"/>
      <c r="P518" s="92"/>
      <c r="Q518" s="145"/>
      <c r="R518" s="92"/>
      <c r="S518" s="145"/>
      <c r="T518" s="92"/>
      <c r="U518" s="145"/>
      <c r="V518" s="92"/>
      <c r="W518" s="145"/>
      <c r="X518" s="92"/>
      <c r="Y518" s="145"/>
      <c r="Z518" s="92"/>
      <c r="AA518" s="145"/>
      <c r="AB518" s="92"/>
      <c r="AC518" s="145"/>
      <c r="AD518" s="92"/>
      <c r="AE518" s="145"/>
      <c r="AF518" s="142" t="str">
        <f t="shared" si="26"/>
        <v/>
      </c>
      <c r="AG518" s="190" t="b">
        <f t="shared" si="25"/>
        <v>0</v>
      </c>
      <c r="AH518" s="145"/>
      <c r="AI518" s="153" t="s">
        <v>6</v>
      </c>
      <c r="AJ518" s="150">
        <f t="shared" si="24"/>
        <v>0</v>
      </c>
      <c r="AK518" s="154" t="s">
        <v>60</v>
      </c>
    </row>
    <row r="519" spans="1:37" ht="30" customHeight="1">
      <c r="A519" s="64"/>
      <c r="B519" s="64"/>
      <c r="C519" s="64"/>
      <c r="D519" s="64"/>
      <c r="E519" s="64"/>
      <c r="F519" s="64"/>
      <c r="G519" s="64"/>
      <c r="H519" s="64"/>
      <c r="I519" s="64"/>
      <c r="J519" s="64"/>
      <c r="K519" s="64"/>
      <c r="L519" s="64"/>
      <c r="M519" s="64"/>
      <c r="N519" s="194"/>
      <c r="O519" s="157"/>
      <c r="P519" s="92"/>
      <c r="Q519" s="145"/>
      <c r="R519" s="92"/>
      <c r="S519" s="145"/>
      <c r="T519" s="92"/>
      <c r="U519" s="145"/>
      <c r="V519" s="92"/>
      <c r="W519" s="145"/>
      <c r="X519" s="92"/>
      <c r="Y519" s="145"/>
      <c r="Z519" s="92"/>
      <c r="AA519" s="145"/>
      <c r="AB519" s="92"/>
      <c r="AC519" s="145"/>
      <c r="AD519" s="92"/>
      <c r="AE519" s="145"/>
      <c r="AF519" s="142" t="str">
        <f t="shared" si="26"/>
        <v/>
      </c>
      <c r="AG519" s="190" t="b">
        <f t="shared" si="25"/>
        <v>0</v>
      </c>
      <c r="AH519" s="145"/>
      <c r="AI519" s="153" t="s">
        <v>6</v>
      </c>
      <c r="AJ519" s="150">
        <f t="shared" ref="AJ519:AJ582" si="27">E519</f>
        <v>0</v>
      </c>
      <c r="AK519" s="154" t="s">
        <v>60</v>
      </c>
    </row>
    <row r="520" spans="1:37" ht="30" customHeight="1">
      <c r="A520" s="64"/>
      <c r="B520" s="64"/>
      <c r="C520" s="64"/>
      <c r="D520" s="64"/>
      <c r="E520" s="64"/>
      <c r="F520" s="64"/>
      <c r="G520" s="64"/>
      <c r="H520" s="64"/>
      <c r="I520" s="64"/>
      <c r="J520" s="64"/>
      <c r="K520" s="64"/>
      <c r="L520" s="64"/>
      <c r="M520" s="64"/>
      <c r="N520" s="194"/>
      <c r="O520" s="157"/>
      <c r="P520" s="92"/>
      <c r="Q520" s="145"/>
      <c r="R520" s="92"/>
      <c r="S520" s="145"/>
      <c r="T520" s="92"/>
      <c r="U520" s="145"/>
      <c r="V520" s="92"/>
      <c r="W520" s="145"/>
      <c r="X520" s="92"/>
      <c r="Y520" s="145"/>
      <c r="Z520" s="92"/>
      <c r="AA520" s="145"/>
      <c r="AB520" s="92"/>
      <c r="AC520" s="145"/>
      <c r="AD520" s="92"/>
      <c r="AE520" s="145"/>
      <c r="AF520" s="142" t="str">
        <f t="shared" si="26"/>
        <v/>
      </c>
      <c r="AG520" s="190" t="b">
        <f t="shared" si="25"/>
        <v>0</v>
      </c>
      <c r="AH520" s="145"/>
      <c r="AI520" s="153" t="s">
        <v>6</v>
      </c>
      <c r="AJ520" s="150">
        <f t="shared" si="27"/>
        <v>0</v>
      </c>
      <c r="AK520" s="154" t="s">
        <v>60</v>
      </c>
    </row>
    <row r="521" spans="1:37" ht="30" customHeight="1">
      <c r="A521" s="64"/>
      <c r="B521" s="64"/>
      <c r="C521" s="64"/>
      <c r="D521" s="64"/>
      <c r="E521" s="64"/>
      <c r="F521" s="64"/>
      <c r="G521" s="64"/>
      <c r="H521" s="64"/>
      <c r="I521" s="64"/>
      <c r="J521" s="64"/>
      <c r="K521" s="64"/>
      <c r="L521" s="64"/>
      <c r="M521" s="64"/>
      <c r="N521" s="194"/>
      <c r="O521" s="157"/>
      <c r="P521" s="92"/>
      <c r="Q521" s="145"/>
      <c r="R521" s="92"/>
      <c r="S521" s="145"/>
      <c r="T521" s="92"/>
      <c r="U521" s="145"/>
      <c r="V521" s="92"/>
      <c r="W521" s="145"/>
      <c r="X521" s="92"/>
      <c r="Y521" s="145"/>
      <c r="Z521" s="92"/>
      <c r="AA521" s="145"/>
      <c r="AB521" s="92"/>
      <c r="AC521" s="145"/>
      <c r="AD521" s="92"/>
      <c r="AE521" s="145"/>
      <c r="AF521" s="142" t="str">
        <f t="shared" si="26"/>
        <v/>
      </c>
      <c r="AG521" s="190" t="b">
        <f t="shared" si="25"/>
        <v>0</v>
      </c>
      <c r="AH521" s="145"/>
      <c r="AI521" s="153" t="s">
        <v>6</v>
      </c>
      <c r="AJ521" s="150">
        <f t="shared" si="27"/>
        <v>0</v>
      </c>
      <c r="AK521" s="154" t="s">
        <v>60</v>
      </c>
    </row>
    <row r="522" spans="1:37" ht="30" customHeight="1">
      <c r="A522" s="64"/>
      <c r="B522" s="64"/>
      <c r="C522" s="64"/>
      <c r="D522" s="64"/>
      <c r="E522" s="64"/>
      <c r="F522" s="64"/>
      <c r="G522" s="64"/>
      <c r="H522" s="64"/>
      <c r="I522" s="64"/>
      <c r="J522" s="64"/>
      <c r="K522" s="64"/>
      <c r="L522" s="64"/>
      <c r="M522" s="64"/>
      <c r="N522" s="194"/>
      <c r="O522" s="157"/>
      <c r="P522" s="92"/>
      <c r="Q522" s="145"/>
      <c r="R522" s="92"/>
      <c r="S522" s="145"/>
      <c r="T522" s="92"/>
      <c r="U522" s="145"/>
      <c r="V522" s="92"/>
      <c r="W522" s="145"/>
      <c r="X522" s="92"/>
      <c r="Y522" s="145"/>
      <c r="Z522" s="92"/>
      <c r="AA522" s="145"/>
      <c r="AB522" s="92"/>
      <c r="AC522" s="145"/>
      <c r="AD522" s="92"/>
      <c r="AE522" s="145"/>
      <c r="AF522" s="142" t="str">
        <f t="shared" si="26"/>
        <v/>
      </c>
      <c r="AG522" s="190" t="b">
        <f t="shared" si="25"/>
        <v>0</v>
      </c>
      <c r="AH522" s="145"/>
      <c r="AI522" s="153" t="s">
        <v>6</v>
      </c>
      <c r="AJ522" s="150">
        <f t="shared" si="27"/>
        <v>0</v>
      </c>
      <c r="AK522" s="154" t="s">
        <v>60</v>
      </c>
    </row>
    <row r="523" spans="1:37" ht="30" customHeight="1">
      <c r="A523" s="64"/>
      <c r="B523" s="64"/>
      <c r="C523" s="64"/>
      <c r="D523" s="64"/>
      <c r="E523" s="64"/>
      <c r="F523" s="64"/>
      <c r="G523" s="64"/>
      <c r="H523" s="64"/>
      <c r="I523" s="64"/>
      <c r="J523" s="64"/>
      <c r="K523" s="64"/>
      <c r="L523" s="64"/>
      <c r="M523" s="64"/>
      <c r="N523" s="194"/>
      <c r="O523" s="157"/>
      <c r="P523" s="92"/>
      <c r="Q523" s="145"/>
      <c r="R523" s="92"/>
      <c r="S523" s="145"/>
      <c r="T523" s="92"/>
      <c r="U523" s="145"/>
      <c r="V523" s="92"/>
      <c r="W523" s="145"/>
      <c r="X523" s="92"/>
      <c r="Y523" s="145"/>
      <c r="Z523" s="92"/>
      <c r="AA523" s="145"/>
      <c r="AB523" s="92"/>
      <c r="AC523" s="145"/>
      <c r="AD523" s="92"/>
      <c r="AE523" s="145"/>
      <c r="AF523" s="142" t="str">
        <f t="shared" si="26"/>
        <v/>
      </c>
      <c r="AG523" s="190" t="b">
        <f t="shared" si="25"/>
        <v>0</v>
      </c>
      <c r="AH523" s="145"/>
      <c r="AI523" s="153" t="s">
        <v>6</v>
      </c>
      <c r="AJ523" s="150">
        <f t="shared" si="27"/>
        <v>0</v>
      </c>
      <c r="AK523" s="154" t="s">
        <v>60</v>
      </c>
    </row>
    <row r="524" spans="1:37" ht="30" customHeight="1">
      <c r="A524" s="64"/>
      <c r="B524" s="64"/>
      <c r="C524" s="64"/>
      <c r="D524" s="64"/>
      <c r="E524" s="64"/>
      <c r="F524" s="64"/>
      <c r="G524" s="64"/>
      <c r="H524" s="64"/>
      <c r="I524" s="64"/>
      <c r="J524" s="64"/>
      <c r="K524" s="64"/>
      <c r="L524" s="64"/>
      <c r="M524" s="64"/>
      <c r="N524" s="194"/>
      <c r="O524" s="157"/>
      <c r="P524" s="92"/>
      <c r="Q524" s="145"/>
      <c r="R524" s="92"/>
      <c r="S524" s="145"/>
      <c r="T524" s="92"/>
      <c r="U524" s="145"/>
      <c r="V524" s="92"/>
      <c r="W524" s="145"/>
      <c r="X524" s="92"/>
      <c r="Y524" s="145"/>
      <c r="Z524" s="92"/>
      <c r="AA524" s="145"/>
      <c r="AB524" s="92"/>
      <c r="AC524" s="145"/>
      <c r="AD524" s="92"/>
      <c r="AE524" s="145"/>
      <c r="AF524" s="142" t="str">
        <f t="shared" si="26"/>
        <v/>
      </c>
      <c r="AG524" s="190" t="b">
        <f t="shared" si="25"/>
        <v>0</v>
      </c>
      <c r="AH524" s="145"/>
      <c r="AI524" s="153" t="s">
        <v>6</v>
      </c>
      <c r="AJ524" s="150">
        <f t="shared" si="27"/>
        <v>0</v>
      </c>
      <c r="AK524" s="154" t="s">
        <v>60</v>
      </c>
    </row>
    <row r="525" spans="1:37" ht="30" customHeight="1">
      <c r="A525" s="64"/>
      <c r="B525" s="64"/>
      <c r="C525" s="64"/>
      <c r="D525" s="64"/>
      <c r="E525" s="64"/>
      <c r="F525" s="64"/>
      <c r="G525" s="64"/>
      <c r="H525" s="64"/>
      <c r="I525" s="64"/>
      <c r="J525" s="64"/>
      <c r="K525" s="64"/>
      <c r="L525" s="64"/>
      <c r="M525" s="64"/>
      <c r="N525" s="194"/>
      <c r="O525" s="157"/>
      <c r="P525" s="92"/>
      <c r="Q525" s="145"/>
      <c r="R525" s="92"/>
      <c r="S525" s="145"/>
      <c r="T525" s="92"/>
      <c r="U525" s="145"/>
      <c r="V525" s="92"/>
      <c r="W525" s="145"/>
      <c r="X525" s="92"/>
      <c r="Y525" s="145"/>
      <c r="Z525" s="92"/>
      <c r="AA525" s="145"/>
      <c r="AB525" s="92"/>
      <c r="AC525" s="145"/>
      <c r="AD525" s="92"/>
      <c r="AE525" s="145"/>
      <c r="AF525" s="142" t="str">
        <f t="shared" si="26"/>
        <v/>
      </c>
      <c r="AG525" s="190" t="b">
        <f t="shared" si="25"/>
        <v>0</v>
      </c>
      <c r="AH525" s="145"/>
      <c r="AI525" s="153" t="s">
        <v>6</v>
      </c>
      <c r="AJ525" s="150">
        <f t="shared" si="27"/>
        <v>0</v>
      </c>
      <c r="AK525" s="154" t="s">
        <v>60</v>
      </c>
    </row>
    <row r="526" spans="1:37" ht="30" customHeight="1">
      <c r="A526" s="64"/>
      <c r="B526" s="64"/>
      <c r="C526" s="64"/>
      <c r="D526" s="64"/>
      <c r="E526" s="64"/>
      <c r="F526" s="64"/>
      <c r="G526" s="64"/>
      <c r="H526" s="64"/>
      <c r="I526" s="64"/>
      <c r="J526" s="64"/>
      <c r="K526" s="64"/>
      <c r="L526" s="64"/>
      <c r="M526" s="64"/>
      <c r="N526" s="194"/>
      <c r="O526" s="157"/>
      <c r="P526" s="92"/>
      <c r="Q526" s="145"/>
      <c r="R526" s="92"/>
      <c r="S526" s="145"/>
      <c r="T526" s="92"/>
      <c r="U526" s="145"/>
      <c r="V526" s="92"/>
      <c r="W526" s="145"/>
      <c r="X526" s="92"/>
      <c r="Y526" s="145"/>
      <c r="Z526" s="92"/>
      <c r="AA526" s="145"/>
      <c r="AB526" s="92"/>
      <c r="AC526" s="145"/>
      <c r="AD526" s="92"/>
      <c r="AE526" s="145"/>
      <c r="AF526" s="142" t="str">
        <f t="shared" si="26"/>
        <v/>
      </c>
      <c r="AG526" s="190" t="b">
        <f t="shared" si="25"/>
        <v>0</v>
      </c>
      <c r="AH526" s="145"/>
      <c r="AI526" s="153" t="s">
        <v>6</v>
      </c>
      <c r="AJ526" s="150">
        <f t="shared" si="27"/>
        <v>0</v>
      </c>
      <c r="AK526" s="154" t="s">
        <v>60</v>
      </c>
    </row>
    <row r="527" spans="1:37" ht="30" customHeight="1">
      <c r="A527" s="64"/>
      <c r="B527" s="64"/>
      <c r="C527" s="64"/>
      <c r="D527" s="64"/>
      <c r="E527" s="64"/>
      <c r="F527" s="64"/>
      <c r="G527" s="64"/>
      <c r="H527" s="64"/>
      <c r="I527" s="64"/>
      <c r="J527" s="64"/>
      <c r="K527" s="64"/>
      <c r="L527" s="64"/>
      <c r="M527" s="64"/>
      <c r="N527" s="194"/>
      <c r="O527" s="157"/>
      <c r="P527" s="92"/>
      <c r="Q527" s="145"/>
      <c r="R527" s="92"/>
      <c r="S527" s="145"/>
      <c r="T527" s="92"/>
      <c r="U527" s="145"/>
      <c r="V527" s="92"/>
      <c r="W527" s="145"/>
      <c r="X527" s="92"/>
      <c r="Y527" s="145"/>
      <c r="Z527" s="92"/>
      <c r="AA527" s="145"/>
      <c r="AB527" s="92"/>
      <c r="AC527" s="145"/>
      <c r="AD527" s="92"/>
      <c r="AE527" s="145"/>
      <c r="AF527" s="142" t="str">
        <f t="shared" si="26"/>
        <v/>
      </c>
      <c r="AG527" s="190" t="b">
        <f t="shared" si="25"/>
        <v>0</v>
      </c>
      <c r="AH527" s="145"/>
      <c r="AI527" s="153" t="s">
        <v>6</v>
      </c>
      <c r="AJ527" s="150">
        <f t="shared" si="27"/>
        <v>0</v>
      </c>
      <c r="AK527" s="154" t="s">
        <v>60</v>
      </c>
    </row>
    <row r="528" spans="1:37" ht="30" customHeight="1">
      <c r="A528" s="64"/>
      <c r="B528" s="64"/>
      <c r="C528" s="64"/>
      <c r="D528" s="64"/>
      <c r="E528" s="64"/>
      <c r="F528" s="64"/>
      <c r="G528" s="64"/>
      <c r="H528" s="64"/>
      <c r="I528" s="64"/>
      <c r="J528" s="64"/>
      <c r="K528" s="64"/>
      <c r="L528" s="64"/>
      <c r="M528" s="64"/>
      <c r="N528" s="194"/>
      <c r="O528" s="157"/>
      <c r="P528" s="92"/>
      <c r="Q528" s="145"/>
      <c r="R528" s="92"/>
      <c r="S528" s="145"/>
      <c r="T528" s="92"/>
      <c r="U528" s="145"/>
      <c r="V528" s="92"/>
      <c r="W528" s="145"/>
      <c r="X528" s="92"/>
      <c r="Y528" s="145"/>
      <c r="Z528" s="92"/>
      <c r="AA528" s="145"/>
      <c r="AB528" s="92"/>
      <c r="AC528" s="145"/>
      <c r="AD528" s="92"/>
      <c r="AE528" s="145"/>
      <c r="AF528" s="142" t="str">
        <f t="shared" si="26"/>
        <v/>
      </c>
      <c r="AG528" s="190" t="b">
        <f t="shared" si="25"/>
        <v>0</v>
      </c>
      <c r="AH528" s="145"/>
      <c r="AI528" s="153" t="s">
        <v>6</v>
      </c>
      <c r="AJ528" s="150">
        <f t="shared" si="27"/>
        <v>0</v>
      </c>
      <c r="AK528" s="154" t="s">
        <v>60</v>
      </c>
    </row>
    <row r="529" spans="1:37" ht="30" customHeight="1">
      <c r="A529" s="64"/>
      <c r="B529" s="64"/>
      <c r="C529" s="64"/>
      <c r="D529" s="64"/>
      <c r="E529" s="64"/>
      <c r="F529" s="64"/>
      <c r="G529" s="64"/>
      <c r="H529" s="64"/>
      <c r="I529" s="64"/>
      <c r="J529" s="64"/>
      <c r="K529" s="64"/>
      <c r="L529" s="64"/>
      <c r="M529" s="64"/>
      <c r="N529" s="194"/>
      <c r="O529" s="157"/>
      <c r="P529" s="92"/>
      <c r="Q529" s="145"/>
      <c r="R529" s="92"/>
      <c r="S529" s="145"/>
      <c r="T529" s="92"/>
      <c r="U529" s="145"/>
      <c r="V529" s="92"/>
      <c r="W529" s="145"/>
      <c r="X529" s="92"/>
      <c r="Y529" s="145"/>
      <c r="Z529" s="92"/>
      <c r="AA529" s="145"/>
      <c r="AB529" s="92"/>
      <c r="AC529" s="145"/>
      <c r="AD529" s="92"/>
      <c r="AE529" s="145"/>
      <c r="AF529" s="142" t="str">
        <f t="shared" si="26"/>
        <v/>
      </c>
      <c r="AG529" s="190" t="b">
        <f t="shared" si="25"/>
        <v>0</v>
      </c>
      <c r="AH529" s="145"/>
      <c r="AI529" s="153" t="s">
        <v>6</v>
      </c>
      <c r="AJ529" s="150">
        <f t="shared" si="27"/>
        <v>0</v>
      </c>
      <c r="AK529" s="154" t="s">
        <v>60</v>
      </c>
    </row>
    <row r="530" spans="1:37" ht="30" customHeight="1">
      <c r="A530" s="64"/>
      <c r="B530" s="64"/>
      <c r="C530" s="64"/>
      <c r="D530" s="64"/>
      <c r="E530" s="64"/>
      <c r="F530" s="64"/>
      <c r="G530" s="64"/>
      <c r="H530" s="64"/>
      <c r="I530" s="64"/>
      <c r="J530" s="64"/>
      <c r="K530" s="64"/>
      <c r="L530" s="64"/>
      <c r="M530" s="64"/>
      <c r="N530" s="194"/>
      <c r="O530" s="157"/>
      <c r="P530" s="92"/>
      <c r="Q530" s="145"/>
      <c r="R530" s="92"/>
      <c r="S530" s="145"/>
      <c r="T530" s="92"/>
      <c r="U530" s="145"/>
      <c r="V530" s="92"/>
      <c r="W530" s="145"/>
      <c r="X530" s="92"/>
      <c r="Y530" s="145"/>
      <c r="Z530" s="92"/>
      <c r="AA530" s="145"/>
      <c r="AB530" s="92"/>
      <c r="AC530" s="145"/>
      <c r="AD530" s="92"/>
      <c r="AE530" s="145"/>
      <c r="AF530" s="142" t="str">
        <f t="shared" si="26"/>
        <v/>
      </c>
      <c r="AG530" s="190" t="b">
        <f t="shared" si="25"/>
        <v>0</v>
      </c>
      <c r="AH530" s="145"/>
      <c r="AI530" s="153" t="s">
        <v>6</v>
      </c>
      <c r="AJ530" s="150">
        <f t="shared" si="27"/>
        <v>0</v>
      </c>
      <c r="AK530" s="154" t="s">
        <v>60</v>
      </c>
    </row>
    <row r="531" spans="1:37" ht="30" customHeight="1">
      <c r="A531" s="64"/>
      <c r="B531" s="64"/>
      <c r="C531" s="64"/>
      <c r="D531" s="64"/>
      <c r="E531" s="64"/>
      <c r="F531" s="64"/>
      <c r="G531" s="64"/>
      <c r="H531" s="64"/>
      <c r="I531" s="64"/>
      <c r="J531" s="64"/>
      <c r="K531" s="64"/>
      <c r="L531" s="64"/>
      <c r="M531" s="64"/>
      <c r="N531" s="194"/>
      <c r="O531" s="157"/>
      <c r="P531" s="92"/>
      <c r="Q531" s="145"/>
      <c r="R531" s="92"/>
      <c r="S531" s="145"/>
      <c r="T531" s="92"/>
      <c r="U531" s="145"/>
      <c r="V531" s="92"/>
      <c r="W531" s="145"/>
      <c r="X531" s="92"/>
      <c r="Y531" s="145"/>
      <c r="Z531" s="92"/>
      <c r="AA531" s="145"/>
      <c r="AB531" s="92"/>
      <c r="AC531" s="145"/>
      <c r="AD531" s="92"/>
      <c r="AE531" s="145"/>
      <c r="AF531" s="142" t="str">
        <f t="shared" si="26"/>
        <v/>
      </c>
      <c r="AG531" s="190" t="b">
        <f t="shared" si="25"/>
        <v>0</v>
      </c>
      <c r="AH531" s="145"/>
      <c r="AI531" s="153" t="s">
        <v>6</v>
      </c>
      <c r="AJ531" s="150">
        <f t="shared" si="27"/>
        <v>0</v>
      </c>
      <c r="AK531" s="154" t="s">
        <v>60</v>
      </c>
    </row>
    <row r="532" spans="1:37" ht="30" customHeight="1">
      <c r="A532" s="64"/>
      <c r="B532" s="64"/>
      <c r="C532" s="64"/>
      <c r="D532" s="64"/>
      <c r="E532" s="64"/>
      <c r="F532" s="64"/>
      <c r="G532" s="64"/>
      <c r="H532" s="64"/>
      <c r="I532" s="64"/>
      <c r="J532" s="64"/>
      <c r="K532" s="64"/>
      <c r="L532" s="64"/>
      <c r="M532" s="64"/>
      <c r="N532" s="194"/>
      <c r="O532" s="157"/>
      <c r="P532" s="92"/>
      <c r="Q532" s="145"/>
      <c r="R532" s="92"/>
      <c r="S532" s="145"/>
      <c r="T532" s="92"/>
      <c r="U532" s="145"/>
      <c r="V532" s="92"/>
      <c r="W532" s="145"/>
      <c r="X532" s="92"/>
      <c r="Y532" s="145"/>
      <c r="Z532" s="92"/>
      <c r="AA532" s="145"/>
      <c r="AB532" s="92"/>
      <c r="AC532" s="145"/>
      <c r="AD532" s="92"/>
      <c r="AE532" s="145"/>
      <c r="AF532" s="142" t="str">
        <f t="shared" si="26"/>
        <v/>
      </c>
      <c r="AG532" s="190" t="b">
        <f t="shared" si="25"/>
        <v>0</v>
      </c>
      <c r="AH532" s="145"/>
      <c r="AI532" s="153" t="s">
        <v>6</v>
      </c>
      <c r="AJ532" s="150">
        <f t="shared" si="27"/>
        <v>0</v>
      </c>
      <c r="AK532" s="154" t="s">
        <v>60</v>
      </c>
    </row>
    <row r="533" spans="1:37" ht="30" customHeight="1">
      <c r="A533" s="64"/>
      <c r="B533" s="64"/>
      <c r="C533" s="64"/>
      <c r="D533" s="64"/>
      <c r="E533" s="64"/>
      <c r="F533" s="64"/>
      <c r="G533" s="64"/>
      <c r="H533" s="64"/>
      <c r="I533" s="64"/>
      <c r="J533" s="64"/>
      <c r="K533" s="64"/>
      <c r="L533" s="64"/>
      <c r="M533" s="64"/>
      <c r="N533" s="194"/>
      <c r="O533" s="157"/>
      <c r="P533" s="92"/>
      <c r="Q533" s="145"/>
      <c r="R533" s="92"/>
      <c r="S533" s="145"/>
      <c r="T533" s="92"/>
      <c r="U533" s="145"/>
      <c r="V533" s="92"/>
      <c r="W533" s="145"/>
      <c r="X533" s="92"/>
      <c r="Y533" s="145"/>
      <c r="Z533" s="92"/>
      <c r="AA533" s="145"/>
      <c r="AB533" s="92"/>
      <c r="AC533" s="145"/>
      <c r="AD533" s="92"/>
      <c r="AE533" s="145"/>
      <c r="AF533" s="142" t="str">
        <f t="shared" si="26"/>
        <v/>
      </c>
      <c r="AG533" s="190" t="b">
        <f t="shared" si="25"/>
        <v>0</v>
      </c>
      <c r="AH533" s="145"/>
      <c r="AI533" s="153" t="s">
        <v>6</v>
      </c>
      <c r="AJ533" s="150">
        <f t="shared" si="27"/>
        <v>0</v>
      </c>
      <c r="AK533" s="154" t="s">
        <v>60</v>
      </c>
    </row>
    <row r="534" spans="1:37" ht="30" customHeight="1">
      <c r="A534" s="64"/>
      <c r="B534" s="64"/>
      <c r="C534" s="64"/>
      <c r="D534" s="64"/>
      <c r="E534" s="64"/>
      <c r="F534" s="64"/>
      <c r="G534" s="64"/>
      <c r="H534" s="64"/>
      <c r="I534" s="64"/>
      <c r="J534" s="64"/>
      <c r="K534" s="64"/>
      <c r="L534" s="64"/>
      <c r="M534" s="64"/>
      <c r="N534" s="194"/>
      <c r="O534" s="157"/>
      <c r="P534" s="92"/>
      <c r="Q534" s="145"/>
      <c r="R534" s="92"/>
      <c r="S534" s="145"/>
      <c r="T534" s="92"/>
      <c r="U534" s="145"/>
      <c r="V534" s="92"/>
      <c r="W534" s="145"/>
      <c r="X534" s="92"/>
      <c r="Y534" s="145"/>
      <c r="Z534" s="92"/>
      <c r="AA534" s="145"/>
      <c r="AB534" s="92"/>
      <c r="AC534" s="145"/>
      <c r="AD534" s="92"/>
      <c r="AE534" s="145"/>
      <c r="AF534" s="142" t="str">
        <f t="shared" si="26"/>
        <v/>
      </c>
      <c r="AG534" s="190" t="b">
        <f t="shared" si="25"/>
        <v>0</v>
      </c>
      <c r="AH534" s="145"/>
      <c r="AI534" s="153" t="s">
        <v>6</v>
      </c>
      <c r="AJ534" s="150">
        <f t="shared" si="27"/>
        <v>0</v>
      </c>
      <c r="AK534" s="154" t="s">
        <v>60</v>
      </c>
    </row>
    <row r="535" spans="1:37" ht="30" customHeight="1">
      <c r="A535" s="64"/>
      <c r="B535" s="64"/>
      <c r="C535" s="64"/>
      <c r="D535" s="64"/>
      <c r="E535" s="64"/>
      <c r="F535" s="64"/>
      <c r="G535" s="64"/>
      <c r="H535" s="64"/>
      <c r="I535" s="64"/>
      <c r="J535" s="64"/>
      <c r="K535" s="64"/>
      <c r="L535" s="64"/>
      <c r="M535" s="64"/>
      <c r="N535" s="194"/>
      <c r="O535" s="157"/>
      <c r="P535" s="92"/>
      <c r="Q535" s="145"/>
      <c r="R535" s="92"/>
      <c r="S535" s="145"/>
      <c r="T535" s="92"/>
      <c r="U535" s="145"/>
      <c r="V535" s="92"/>
      <c r="W535" s="145"/>
      <c r="X535" s="92"/>
      <c r="Y535" s="145"/>
      <c r="Z535" s="92"/>
      <c r="AA535" s="145"/>
      <c r="AB535" s="92"/>
      <c r="AC535" s="145"/>
      <c r="AD535" s="92"/>
      <c r="AE535" s="145"/>
      <c r="AF535" s="142" t="str">
        <f t="shared" si="26"/>
        <v/>
      </c>
      <c r="AG535" s="190" t="b">
        <f t="shared" si="25"/>
        <v>0</v>
      </c>
      <c r="AH535" s="145"/>
      <c r="AI535" s="153" t="s">
        <v>6</v>
      </c>
      <c r="AJ535" s="150">
        <f t="shared" si="27"/>
        <v>0</v>
      </c>
      <c r="AK535" s="154" t="s">
        <v>60</v>
      </c>
    </row>
    <row r="536" spans="1:37" ht="30" customHeight="1">
      <c r="A536" s="64"/>
      <c r="B536" s="64"/>
      <c r="C536" s="64"/>
      <c r="D536" s="64"/>
      <c r="E536" s="64"/>
      <c r="F536" s="64"/>
      <c r="G536" s="64"/>
      <c r="H536" s="64"/>
      <c r="I536" s="64"/>
      <c r="J536" s="64"/>
      <c r="K536" s="64"/>
      <c r="L536" s="64"/>
      <c r="M536" s="64"/>
      <c r="N536" s="194"/>
      <c r="O536" s="157"/>
      <c r="P536" s="92"/>
      <c r="Q536" s="145"/>
      <c r="R536" s="92"/>
      <c r="S536" s="145"/>
      <c r="T536" s="92"/>
      <c r="U536" s="145"/>
      <c r="V536" s="92"/>
      <c r="W536" s="145"/>
      <c r="X536" s="92"/>
      <c r="Y536" s="145"/>
      <c r="Z536" s="92"/>
      <c r="AA536" s="145"/>
      <c r="AB536" s="92"/>
      <c r="AC536" s="145"/>
      <c r="AD536" s="92"/>
      <c r="AE536" s="145"/>
      <c r="AF536" s="142" t="str">
        <f t="shared" si="26"/>
        <v/>
      </c>
      <c r="AG536" s="190" t="b">
        <f t="shared" si="25"/>
        <v>0</v>
      </c>
      <c r="AH536" s="145"/>
      <c r="AI536" s="153" t="s">
        <v>6</v>
      </c>
      <c r="AJ536" s="150">
        <f t="shared" si="27"/>
        <v>0</v>
      </c>
      <c r="AK536" s="154" t="s">
        <v>60</v>
      </c>
    </row>
    <row r="537" spans="1:37" ht="30" customHeight="1">
      <c r="A537" s="64"/>
      <c r="B537" s="64"/>
      <c r="C537" s="64"/>
      <c r="D537" s="64"/>
      <c r="E537" s="64"/>
      <c r="F537" s="64"/>
      <c r="G537" s="64"/>
      <c r="H537" s="64"/>
      <c r="I537" s="64"/>
      <c r="J537" s="64"/>
      <c r="K537" s="64"/>
      <c r="L537" s="64"/>
      <c r="M537" s="64"/>
      <c r="N537" s="194"/>
      <c r="O537" s="157"/>
      <c r="P537" s="92"/>
      <c r="Q537" s="145"/>
      <c r="R537" s="92"/>
      <c r="S537" s="145"/>
      <c r="T537" s="92"/>
      <c r="U537" s="145"/>
      <c r="V537" s="92"/>
      <c r="W537" s="145"/>
      <c r="X537" s="92"/>
      <c r="Y537" s="145"/>
      <c r="Z537" s="92"/>
      <c r="AA537" s="145"/>
      <c r="AB537" s="92"/>
      <c r="AC537" s="145"/>
      <c r="AD537" s="92"/>
      <c r="AE537" s="145"/>
      <c r="AF537" s="142" t="str">
        <f t="shared" si="26"/>
        <v/>
      </c>
      <c r="AG537" s="190" t="b">
        <f t="shared" si="25"/>
        <v>0</v>
      </c>
      <c r="AH537" s="145"/>
      <c r="AI537" s="153" t="s">
        <v>6</v>
      </c>
      <c r="AJ537" s="150">
        <f t="shared" si="27"/>
        <v>0</v>
      </c>
      <c r="AK537" s="154" t="s">
        <v>60</v>
      </c>
    </row>
    <row r="538" spans="1:37" ht="30" customHeight="1">
      <c r="A538" s="64"/>
      <c r="B538" s="64"/>
      <c r="C538" s="64"/>
      <c r="D538" s="64"/>
      <c r="E538" s="64"/>
      <c r="F538" s="64"/>
      <c r="G538" s="64"/>
      <c r="H538" s="64"/>
      <c r="I538" s="64"/>
      <c r="J538" s="64"/>
      <c r="K538" s="64"/>
      <c r="L538" s="64"/>
      <c r="M538" s="64"/>
      <c r="N538" s="194"/>
      <c r="O538" s="157"/>
      <c r="P538" s="92"/>
      <c r="Q538" s="145"/>
      <c r="R538" s="92"/>
      <c r="S538" s="145"/>
      <c r="T538" s="92"/>
      <c r="U538" s="145"/>
      <c r="V538" s="92"/>
      <c r="W538" s="145"/>
      <c r="X538" s="92"/>
      <c r="Y538" s="145"/>
      <c r="Z538" s="92"/>
      <c r="AA538" s="145"/>
      <c r="AB538" s="92"/>
      <c r="AC538" s="145"/>
      <c r="AD538" s="92"/>
      <c r="AE538" s="145"/>
      <c r="AF538" s="142" t="str">
        <f t="shared" si="26"/>
        <v/>
      </c>
      <c r="AG538" s="190" t="b">
        <f t="shared" si="25"/>
        <v>0</v>
      </c>
      <c r="AH538" s="145"/>
      <c r="AI538" s="153" t="s">
        <v>6</v>
      </c>
      <c r="AJ538" s="150">
        <f t="shared" si="27"/>
        <v>0</v>
      </c>
      <c r="AK538" s="154" t="s">
        <v>60</v>
      </c>
    </row>
    <row r="539" spans="1:37" ht="30" customHeight="1">
      <c r="A539" s="64"/>
      <c r="B539" s="64"/>
      <c r="C539" s="64"/>
      <c r="D539" s="64"/>
      <c r="E539" s="64"/>
      <c r="F539" s="64"/>
      <c r="G539" s="64"/>
      <c r="H539" s="64"/>
      <c r="I539" s="64"/>
      <c r="J539" s="64"/>
      <c r="K539" s="64"/>
      <c r="L539" s="64"/>
      <c r="M539" s="64"/>
      <c r="N539" s="194"/>
      <c r="O539" s="157"/>
      <c r="P539" s="92"/>
      <c r="Q539" s="145"/>
      <c r="R539" s="92"/>
      <c r="S539" s="145"/>
      <c r="T539" s="92"/>
      <c r="U539" s="145"/>
      <c r="V539" s="92"/>
      <c r="W539" s="145"/>
      <c r="X539" s="92"/>
      <c r="Y539" s="145"/>
      <c r="Z539" s="92"/>
      <c r="AA539" s="145"/>
      <c r="AB539" s="92"/>
      <c r="AC539" s="145"/>
      <c r="AD539" s="92"/>
      <c r="AE539" s="145"/>
      <c r="AF539" s="142" t="str">
        <f t="shared" si="26"/>
        <v/>
      </c>
      <c r="AG539" s="190" t="b">
        <f t="shared" si="25"/>
        <v>0</v>
      </c>
      <c r="AH539" s="145"/>
      <c r="AI539" s="153" t="s">
        <v>6</v>
      </c>
      <c r="AJ539" s="150">
        <f t="shared" si="27"/>
        <v>0</v>
      </c>
      <c r="AK539" s="154" t="s">
        <v>60</v>
      </c>
    </row>
    <row r="540" spans="1:37" ht="30" customHeight="1">
      <c r="A540" s="64"/>
      <c r="B540" s="64"/>
      <c r="C540" s="64"/>
      <c r="D540" s="64"/>
      <c r="E540" s="64"/>
      <c r="F540" s="64"/>
      <c r="G540" s="64"/>
      <c r="H540" s="64"/>
      <c r="I540" s="64"/>
      <c r="J540" s="64"/>
      <c r="K540" s="64"/>
      <c r="L540" s="64"/>
      <c r="M540" s="64"/>
      <c r="N540" s="194"/>
      <c r="O540" s="157"/>
      <c r="P540" s="92"/>
      <c r="Q540" s="145"/>
      <c r="R540" s="92"/>
      <c r="S540" s="145"/>
      <c r="T540" s="92"/>
      <c r="U540" s="145"/>
      <c r="V540" s="92"/>
      <c r="W540" s="145"/>
      <c r="X540" s="92"/>
      <c r="Y540" s="145"/>
      <c r="Z540" s="92"/>
      <c r="AA540" s="145"/>
      <c r="AB540" s="92"/>
      <c r="AC540" s="145"/>
      <c r="AD540" s="92"/>
      <c r="AE540" s="145"/>
      <c r="AF540" s="142" t="str">
        <f t="shared" si="26"/>
        <v/>
      </c>
      <c r="AG540" s="190" t="b">
        <f t="shared" si="25"/>
        <v>0</v>
      </c>
      <c r="AH540" s="145"/>
      <c r="AI540" s="153" t="s">
        <v>6</v>
      </c>
      <c r="AJ540" s="150">
        <f t="shared" si="27"/>
        <v>0</v>
      </c>
      <c r="AK540" s="154" t="s">
        <v>60</v>
      </c>
    </row>
    <row r="541" spans="1:37" ht="30" customHeight="1">
      <c r="A541" s="64"/>
      <c r="B541" s="64"/>
      <c r="C541" s="64"/>
      <c r="D541" s="64"/>
      <c r="E541" s="64"/>
      <c r="F541" s="64"/>
      <c r="G541" s="64"/>
      <c r="H541" s="64"/>
      <c r="I541" s="64"/>
      <c r="J541" s="64"/>
      <c r="K541" s="64"/>
      <c r="L541" s="64"/>
      <c r="M541" s="64"/>
      <c r="N541" s="194"/>
      <c r="O541" s="157"/>
      <c r="P541" s="92"/>
      <c r="Q541" s="145"/>
      <c r="R541" s="92"/>
      <c r="S541" s="145"/>
      <c r="T541" s="92"/>
      <c r="U541" s="145"/>
      <c r="V541" s="92"/>
      <c r="W541" s="145"/>
      <c r="X541" s="92"/>
      <c r="Y541" s="145"/>
      <c r="Z541" s="92"/>
      <c r="AA541" s="145"/>
      <c r="AB541" s="92"/>
      <c r="AC541" s="145"/>
      <c r="AD541" s="92"/>
      <c r="AE541" s="145"/>
      <c r="AF541" s="142" t="str">
        <f t="shared" si="26"/>
        <v/>
      </c>
      <c r="AG541" s="190" t="b">
        <f t="shared" si="25"/>
        <v>0</v>
      </c>
      <c r="AH541" s="145"/>
      <c r="AI541" s="153" t="s">
        <v>6</v>
      </c>
      <c r="AJ541" s="150">
        <f t="shared" si="27"/>
        <v>0</v>
      </c>
      <c r="AK541" s="154" t="s">
        <v>60</v>
      </c>
    </row>
    <row r="542" spans="1:37" ht="30" customHeight="1">
      <c r="A542" s="64"/>
      <c r="B542" s="64"/>
      <c r="C542" s="64"/>
      <c r="D542" s="64"/>
      <c r="E542" s="64"/>
      <c r="F542" s="64"/>
      <c r="G542" s="64"/>
      <c r="H542" s="64"/>
      <c r="I542" s="64"/>
      <c r="J542" s="64"/>
      <c r="K542" s="64"/>
      <c r="L542" s="64"/>
      <c r="M542" s="64"/>
      <c r="N542" s="194"/>
      <c r="O542" s="157"/>
      <c r="P542" s="92"/>
      <c r="Q542" s="145"/>
      <c r="R542" s="92"/>
      <c r="S542" s="145"/>
      <c r="T542" s="92"/>
      <c r="U542" s="145"/>
      <c r="V542" s="92"/>
      <c r="W542" s="145"/>
      <c r="X542" s="92"/>
      <c r="Y542" s="145"/>
      <c r="Z542" s="92"/>
      <c r="AA542" s="145"/>
      <c r="AB542" s="92"/>
      <c r="AC542" s="145"/>
      <c r="AD542" s="92"/>
      <c r="AE542" s="145"/>
      <c r="AF542" s="142" t="str">
        <f t="shared" si="26"/>
        <v/>
      </c>
      <c r="AG542" s="190" t="b">
        <f t="shared" si="25"/>
        <v>0</v>
      </c>
      <c r="AH542" s="145"/>
      <c r="AI542" s="153" t="s">
        <v>6</v>
      </c>
      <c r="AJ542" s="150">
        <f t="shared" si="27"/>
        <v>0</v>
      </c>
      <c r="AK542" s="154" t="s">
        <v>60</v>
      </c>
    </row>
    <row r="543" spans="1:37" ht="30" customHeight="1">
      <c r="A543" s="64"/>
      <c r="B543" s="64"/>
      <c r="C543" s="64"/>
      <c r="D543" s="64"/>
      <c r="E543" s="64"/>
      <c r="F543" s="64"/>
      <c r="G543" s="64"/>
      <c r="H543" s="64"/>
      <c r="I543" s="64"/>
      <c r="J543" s="64"/>
      <c r="K543" s="64"/>
      <c r="L543" s="64"/>
      <c r="M543" s="64"/>
      <c r="N543" s="194"/>
      <c r="O543" s="157"/>
      <c r="P543" s="92"/>
      <c r="Q543" s="145"/>
      <c r="R543" s="92"/>
      <c r="S543" s="145"/>
      <c r="T543" s="92"/>
      <c r="U543" s="145"/>
      <c r="V543" s="92"/>
      <c r="W543" s="145"/>
      <c r="X543" s="92"/>
      <c r="Y543" s="145"/>
      <c r="Z543" s="92"/>
      <c r="AA543" s="145"/>
      <c r="AB543" s="92"/>
      <c r="AC543" s="145"/>
      <c r="AD543" s="92"/>
      <c r="AE543" s="145"/>
      <c r="AF543" s="142" t="str">
        <f t="shared" si="26"/>
        <v/>
      </c>
      <c r="AG543" s="190" t="b">
        <f t="shared" si="25"/>
        <v>0</v>
      </c>
      <c r="AH543" s="145"/>
      <c r="AI543" s="153" t="s">
        <v>6</v>
      </c>
      <c r="AJ543" s="150">
        <f t="shared" si="27"/>
        <v>0</v>
      </c>
      <c r="AK543" s="154" t="s">
        <v>60</v>
      </c>
    </row>
    <row r="544" spans="1:37" ht="30" customHeight="1">
      <c r="A544" s="64"/>
      <c r="B544" s="64"/>
      <c r="C544" s="64"/>
      <c r="D544" s="64"/>
      <c r="E544" s="64"/>
      <c r="F544" s="64"/>
      <c r="G544" s="64"/>
      <c r="H544" s="64"/>
      <c r="I544" s="64"/>
      <c r="J544" s="64"/>
      <c r="K544" s="64"/>
      <c r="L544" s="64"/>
      <c r="M544" s="64"/>
      <c r="N544" s="194"/>
      <c r="O544" s="157"/>
      <c r="P544" s="92"/>
      <c r="Q544" s="145"/>
      <c r="R544" s="92"/>
      <c r="S544" s="145"/>
      <c r="T544" s="92"/>
      <c r="U544" s="145"/>
      <c r="V544" s="92"/>
      <c r="W544" s="145"/>
      <c r="X544" s="92"/>
      <c r="Y544" s="145"/>
      <c r="Z544" s="92"/>
      <c r="AA544" s="145"/>
      <c r="AB544" s="92"/>
      <c r="AC544" s="145"/>
      <c r="AD544" s="92"/>
      <c r="AE544" s="145"/>
      <c r="AF544" s="142" t="str">
        <f t="shared" si="26"/>
        <v/>
      </c>
      <c r="AG544" s="190" t="b">
        <f t="shared" si="25"/>
        <v>0</v>
      </c>
      <c r="AH544" s="145"/>
      <c r="AI544" s="153" t="s">
        <v>6</v>
      </c>
      <c r="AJ544" s="150">
        <f t="shared" si="27"/>
        <v>0</v>
      </c>
      <c r="AK544" s="154" t="s">
        <v>60</v>
      </c>
    </row>
    <row r="545" spans="1:37" ht="30" customHeight="1">
      <c r="A545" s="64"/>
      <c r="B545" s="64"/>
      <c r="C545" s="64"/>
      <c r="D545" s="64"/>
      <c r="E545" s="64"/>
      <c r="F545" s="64"/>
      <c r="G545" s="64"/>
      <c r="H545" s="64"/>
      <c r="I545" s="64"/>
      <c r="J545" s="64"/>
      <c r="K545" s="64"/>
      <c r="L545" s="64"/>
      <c r="M545" s="64"/>
      <c r="N545" s="194"/>
      <c r="O545" s="157"/>
      <c r="P545" s="92"/>
      <c r="Q545" s="145"/>
      <c r="R545" s="92"/>
      <c r="S545" s="145"/>
      <c r="T545" s="92"/>
      <c r="U545" s="145"/>
      <c r="V545" s="92"/>
      <c r="W545" s="145"/>
      <c r="X545" s="92"/>
      <c r="Y545" s="145"/>
      <c r="Z545" s="92"/>
      <c r="AA545" s="145"/>
      <c r="AB545" s="92"/>
      <c r="AC545" s="145"/>
      <c r="AD545" s="92"/>
      <c r="AE545" s="145"/>
      <c r="AF545" s="142" t="str">
        <f t="shared" si="26"/>
        <v/>
      </c>
      <c r="AG545" s="190" t="b">
        <f t="shared" si="25"/>
        <v>0</v>
      </c>
      <c r="AH545" s="145"/>
      <c r="AI545" s="153" t="s">
        <v>6</v>
      </c>
      <c r="AJ545" s="150">
        <f t="shared" si="27"/>
        <v>0</v>
      </c>
      <c r="AK545" s="154" t="s">
        <v>60</v>
      </c>
    </row>
    <row r="546" spans="1:37" ht="30" customHeight="1">
      <c r="A546" s="64"/>
      <c r="B546" s="64"/>
      <c r="C546" s="64"/>
      <c r="D546" s="64"/>
      <c r="E546" s="64"/>
      <c r="F546" s="64"/>
      <c r="G546" s="64"/>
      <c r="H546" s="64"/>
      <c r="I546" s="64"/>
      <c r="J546" s="64"/>
      <c r="K546" s="64"/>
      <c r="L546" s="64"/>
      <c r="M546" s="64"/>
      <c r="N546" s="194"/>
      <c r="O546" s="157"/>
      <c r="P546" s="92"/>
      <c r="Q546" s="145"/>
      <c r="R546" s="92"/>
      <c r="S546" s="145"/>
      <c r="T546" s="92"/>
      <c r="U546" s="145"/>
      <c r="V546" s="92"/>
      <c r="W546" s="145"/>
      <c r="X546" s="92"/>
      <c r="Y546" s="145"/>
      <c r="Z546" s="92"/>
      <c r="AA546" s="145"/>
      <c r="AB546" s="92"/>
      <c r="AC546" s="145"/>
      <c r="AD546" s="92"/>
      <c r="AE546" s="145"/>
      <c r="AF546" s="142" t="str">
        <f t="shared" si="26"/>
        <v/>
      </c>
      <c r="AG546" s="190" t="b">
        <f t="shared" si="25"/>
        <v>0</v>
      </c>
      <c r="AH546" s="145"/>
      <c r="AI546" s="153" t="s">
        <v>6</v>
      </c>
      <c r="AJ546" s="150">
        <f t="shared" si="27"/>
        <v>0</v>
      </c>
      <c r="AK546" s="154" t="s">
        <v>60</v>
      </c>
    </row>
    <row r="547" spans="1:37" ht="30" customHeight="1">
      <c r="A547" s="64"/>
      <c r="B547" s="64"/>
      <c r="C547" s="64"/>
      <c r="D547" s="64"/>
      <c r="E547" s="64"/>
      <c r="F547" s="64"/>
      <c r="G547" s="64"/>
      <c r="H547" s="64"/>
      <c r="I547" s="64"/>
      <c r="J547" s="64"/>
      <c r="K547" s="64"/>
      <c r="L547" s="64"/>
      <c r="M547" s="64"/>
      <c r="N547" s="194"/>
      <c r="O547" s="157"/>
      <c r="P547" s="92"/>
      <c r="Q547" s="145"/>
      <c r="R547" s="92"/>
      <c r="S547" s="145"/>
      <c r="T547" s="92"/>
      <c r="U547" s="145"/>
      <c r="V547" s="92"/>
      <c r="W547" s="145"/>
      <c r="X547" s="92"/>
      <c r="Y547" s="145"/>
      <c r="Z547" s="92"/>
      <c r="AA547" s="145"/>
      <c r="AB547" s="92"/>
      <c r="AC547" s="145"/>
      <c r="AD547" s="92"/>
      <c r="AE547" s="145"/>
      <c r="AF547" s="142" t="str">
        <f t="shared" si="26"/>
        <v/>
      </c>
      <c r="AG547" s="190" t="b">
        <f t="shared" si="25"/>
        <v>0</v>
      </c>
      <c r="AH547" s="145"/>
      <c r="AI547" s="153" t="s">
        <v>6</v>
      </c>
      <c r="AJ547" s="150">
        <f t="shared" si="27"/>
        <v>0</v>
      </c>
      <c r="AK547" s="154" t="s">
        <v>60</v>
      </c>
    </row>
    <row r="548" spans="1:37" ht="30" customHeight="1">
      <c r="A548" s="64"/>
      <c r="B548" s="64"/>
      <c r="C548" s="64"/>
      <c r="D548" s="64"/>
      <c r="E548" s="64"/>
      <c r="F548" s="64"/>
      <c r="G548" s="64"/>
      <c r="H548" s="64"/>
      <c r="I548" s="64"/>
      <c r="J548" s="64"/>
      <c r="K548" s="64"/>
      <c r="L548" s="64"/>
      <c r="M548" s="64"/>
      <c r="N548" s="194"/>
      <c r="O548" s="157"/>
      <c r="P548" s="92"/>
      <c r="Q548" s="145"/>
      <c r="R548" s="92"/>
      <c r="S548" s="145"/>
      <c r="T548" s="92"/>
      <c r="U548" s="145"/>
      <c r="V548" s="92"/>
      <c r="W548" s="145"/>
      <c r="X548" s="92"/>
      <c r="Y548" s="145"/>
      <c r="Z548" s="92"/>
      <c r="AA548" s="145"/>
      <c r="AB548" s="92"/>
      <c r="AC548" s="145"/>
      <c r="AD548" s="92"/>
      <c r="AE548" s="145"/>
      <c r="AF548" s="142" t="str">
        <f t="shared" si="26"/>
        <v/>
      </c>
      <c r="AG548" s="190" t="b">
        <f t="shared" si="25"/>
        <v>0</v>
      </c>
      <c r="AH548" s="145"/>
      <c r="AI548" s="153" t="s">
        <v>6</v>
      </c>
      <c r="AJ548" s="150">
        <f t="shared" si="27"/>
        <v>0</v>
      </c>
      <c r="AK548" s="154" t="s">
        <v>60</v>
      </c>
    </row>
    <row r="549" spans="1:37" ht="30" customHeight="1">
      <c r="A549" s="64"/>
      <c r="B549" s="64"/>
      <c r="C549" s="64"/>
      <c r="D549" s="64"/>
      <c r="E549" s="64"/>
      <c r="F549" s="64"/>
      <c r="G549" s="64"/>
      <c r="H549" s="64"/>
      <c r="I549" s="64"/>
      <c r="J549" s="64"/>
      <c r="K549" s="64"/>
      <c r="L549" s="64"/>
      <c r="M549" s="64"/>
      <c r="N549" s="194"/>
      <c r="O549" s="157"/>
      <c r="P549" s="92"/>
      <c r="Q549" s="145"/>
      <c r="R549" s="92"/>
      <c r="S549" s="145"/>
      <c r="T549" s="92"/>
      <c r="U549" s="145"/>
      <c r="V549" s="92"/>
      <c r="W549" s="145"/>
      <c r="X549" s="92"/>
      <c r="Y549" s="145"/>
      <c r="Z549" s="92"/>
      <c r="AA549" s="145"/>
      <c r="AB549" s="92"/>
      <c r="AC549" s="145"/>
      <c r="AD549" s="92"/>
      <c r="AE549" s="145"/>
      <c r="AF549" s="142" t="str">
        <f t="shared" si="26"/>
        <v/>
      </c>
      <c r="AG549" s="190" t="b">
        <f t="shared" si="25"/>
        <v>0</v>
      </c>
      <c r="AH549" s="145"/>
      <c r="AI549" s="153" t="s">
        <v>6</v>
      </c>
      <c r="AJ549" s="150">
        <f t="shared" si="27"/>
        <v>0</v>
      </c>
      <c r="AK549" s="154" t="s">
        <v>60</v>
      </c>
    </row>
    <row r="550" spans="1:37" ht="30" customHeight="1">
      <c r="A550" s="64"/>
      <c r="B550" s="64"/>
      <c r="C550" s="64"/>
      <c r="D550" s="64"/>
      <c r="E550" s="64"/>
      <c r="F550" s="64"/>
      <c r="G550" s="64"/>
      <c r="H550" s="64"/>
      <c r="I550" s="64"/>
      <c r="J550" s="64"/>
      <c r="K550" s="64"/>
      <c r="L550" s="64"/>
      <c r="M550" s="64"/>
      <c r="N550" s="194"/>
      <c r="O550" s="157"/>
      <c r="P550" s="92"/>
      <c r="Q550" s="145"/>
      <c r="R550" s="92"/>
      <c r="S550" s="145"/>
      <c r="T550" s="92"/>
      <c r="U550" s="145"/>
      <c r="V550" s="92"/>
      <c r="W550" s="145"/>
      <c r="X550" s="92"/>
      <c r="Y550" s="145"/>
      <c r="Z550" s="92"/>
      <c r="AA550" s="145"/>
      <c r="AB550" s="92"/>
      <c r="AC550" s="145"/>
      <c r="AD550" s="92"/>
      <c r="AE550" s="145"/>
      <c r="AF550" s="142" t="str">
        <f t="shared" si="26"/>
        <v/>
      </c>
      <c r="AG550" s="190" t="b">
        <f t="shared" si="25"/>
        <v>0</v>
      </c>
      <c r="AH550" s="145"/>
      <c r="AI550" s="153" t="s">
        <v>6</v>
      </c>
      <c r="AJ550" s="150">
        <f t="shared" si="27"/>
        <v>0</v>
      </c>
      <c r="AK550" s="154" t="s">
        <v>60</v>
      </c>
    </row>
    <row r="551" spans="1:37" ht="30" customHeight="1">
      <c r="A551" s="64"/>
      <c r="B551" s="64"/>
      <c r="C551" s="64"/>
      <c r="D551" s="64"/>
      <c r="E551" s="64"/>
      <c r="F551" s="64"/>
      <c r="G551" s="64"/>
      <c r="H551" s="64"/>
      <c r="I551" s="64"/>
      <c r="J551" s="64"/>
      <c r="K551" s="64"/>
      <c r="L551" s="64"/>
      <c r="M551" s="64"/>
      <c r="N551" s="194"/>
      <c r="O551" s="157"/>
      <c r="P551" s="92"/>
      <c r="Q551" s="145"/>
      <c r="R551" s="92"/>
      <c r="S551" s="145"/>
      <c r="T551" s="92"/>
      <c r="U551" s="145"/>
      <c r="V551" s="92"/>
      <c r="W551" s="145"/>
      <c r="X551" s="92"/>
      <c r="Y551" s="145"/>
      <c r="Z551" s="92"/>
      <c r="AA551" s="145"/>
      <c r="AB551" s="92"/>
      <c r="AC551" s="145"/>
      <c r="AD551" s="92"/>
      <c r="AE551" s="145"/>
      <c r="AF551" s="142" t="str">
        <f t="shared" si="26"/>
        <v/>
      </c>
      <c r="AG551" s="190" t="b">
        <f t="shared" ref="AG551:AG614" si="28">IF(AND(AE551="C",AF551="C"),"UTILIZOU O PDA CORRETAMENTE",IF(AND(AE551="C",AF551="NC"),"UTILIZOU O PDA CORRETAMENTE. NÃO HÁ FOTOS DE TODAS AS ETAPAS",IF(AND(AE551="NC",AF551="NC"),"NÃO UTILIZOU O PDA",IF(AND(AE551="NA",AF551="NA"),"NÃO AVALIADO POR FALHA DE SINCRONISMO"))))</f>
        <v>0</v>
      </c>
      <c r="AH551" s="145"/>
      <c r="AI551" s="153" t="s">
        <v>6</v>
      </c>
      <c r="AJ551" s="150">
        <f t="shared" si="27"/>
        <v>0</v>
      </c>
      <c r="AK551" s="154" t="s">
        <v>60</v>
      </c>
    </row>
    <row r="552" spans="1:37" ht="30" customHeight="1">
      <c r="A552" s="64"/>
      <c r="B552" s="64"/>
      <c r="C552" s="64"/>
      <c r="D552" s="64"/>
      <c r="E552" s="64"/>
      <c r="F552" s="64"/>
      <c r="G552" s="64"/>
      <c r="H552" s="64"/>
      <c r="I552" s="64"/>
      <c r="J552" s="64"/>
      <c r="K552" s="64"/>
      <c r="L552" s="64"/>
      <c r="M552" s="64"/>
      <c r="N552" s="194"/>
      <c r="O552" s="157"/>
      <c r="P552" s="92"/>
      <c r="Q552" s="145"/>
      <c r="R552" s="92"/>
      <c r="S552" s="145"/>
      <c r="T552" s="92"/>
      <c r="U552" s="145"/>
      <c r="V552" s="92"/>
      <c r="W552" s="145"/>
      <c r="X552" s="92"/>
      <c r="Y552" s="145"/>
      <c r="Z552" s="92"/>
      <c r="AA552" s="145"/>
      <c r="AB552" s="92"/>
      <c r="AC552" s="145"/>
      <c r="AD552" s="92"/>
      <c r="AE552" s="145"/>
      <c r="AF552" s="142" t="str">
        <f t="shared" ref="AF552:AF615" si="29">IF(AND(O552="",Q552="",S552="",U552="",W552="",Y552="",AA552="",AC552=""),"",IF(OR(AND(O552&lt;&gt;"NA",O552&lt;&gt;"C",O552&lt;&gt;"NC",O552&lt;&gt;"SF",O552&lt;&gt;""),AND(Q552&lt;&gt;"NA",Q552&lt;&gt;"C",Q552&lt;&gt;"NC",Q552&lt;&gt;"SF",Q552&lt;&gt;""),AND(S552&lt;&gt;"NA",S552&lt;&gt;"C",S552&lt;&gt;"NC",S552&lt;&gt;"SF",S552&lt;&gt;""),AND(U552&lt;&gt;"NA",U552&lt;&gt;"C",U552&lt;&gt;"NC",U552&lt;&gt;"SF",U552&lt;&gt;""),AND(W552&lt;&gt;"NA",W552&lt;&gt;"C",W552&lt;&gt;"NC",W552&lt;&gt;"SF",W552&lt;&gt;""),AND(Y552&lt;&gt;"NA",Y552&lt;&gt;"C",Y552&lt;&gt;"NC",Y552&lt;&gt;"SF",Y552&lt;&gt;""),AND(AA552&lt;&gt;"NA",AA552&lt;&gt;"C",AA552&lt;&gt;"NC",AA552&lt;&gt;"SF",AA552&lt;&gt;""),AND(AC552&lt;&gt;"NA",AC552&lt;&gt;"C",AC552&lt;&gt;"NC",AC552&lt;&gt;"SF",AC552&lt;&gt;"")),"FALSO",IF(AND(O552="NA",Q552="NA",S552="NA",U552="NA",W552="NA",Y552="NA",AA552="NA",AC552="NA"),"NA",IF(OR(O552="NC",Q552="NC",S552="NC",U552="NC",W552="NC",Y552="NC",AA552="NC",AC552="NC",O552="SF",Q552="SF",S552="SF",U552="SF",W552="SF",Y552="SF",AA552="SF",AC552="SF"),"NC",IF(OR(O552="C",Q552="C",S552="C",U552="C",W552="C",Y552="C",AA552="C",AC552="C"),"C","")))))</f>
        <v/>
      </c>
      <c r="AG552" s="190" t="b">
        <f t="shared" si="28"/>
        <v>0</v>
      </c>
      <c r="AH552" s="145"/>
      <c r="AI552" s="153" t="s">
        <v>6</v>
      </c>
      <c r="AJ552" s="150">
        <f t="shared" si="27"/>
        <v>0</v>
      </c>
      <c r="AK552" s="154" t="s">
        <v>60</v>
      </c>
    </row>
    <row r="553" spans="1:37" ht="30" customHeight="1">
      <c r="A553" s="64"/>
      <c r="B553" s="64"/>
      <c r="C553" s="64"/>
      <c r="D553" s="64"/>
      <c r="E553" s="64"/>
      <c r="F553" s="64"/>
      <c r="G553" s="64"/>
      <c r="H553" s="64"/>
      <c r="I553" s="64"/>
      <c r="J553" s="64"/>
      <c r="K553" s="64"/>
      <c r="L553" s="64"/>
      <c r="M553" s="64"/>
      <c r="N553" s="194"/>
      <c r="O553" s="157"/>
      <c r="P553" s="92"/>
      <c r="Q553" s="145"/>
      <c r="R553" s="92"/>
      <c r="S553" s="145"/>
      <c r="T553" s="92"/>
      <c r="U553" s="145"/>
      <c r="V553" s="92"/>
      <c r="W553" s="145"/>
      <c r="X553" s="92"/>
      <c r="Y553" s="145"/>
      <c r="Z553" s="92"/>
      <c r="AA553" s="145"/>
      <c r="AB553" s="92"/>
      <c r="AC553" s="145"/>
      <c r="AD553" s="92"/>
      <c r="AE553" s="145"/>
      <c r="AF553" s="142" t="str">
        <f t="shared" si="29"/>
        <v/>
      </c>
      <c r="AG553" s="190" t="b">
        <f t="shared" si="28"/>
        <v>0</v>
      </c>
      <c r="AH553" s="145"/>
      <c r="AI553" s="153" t="s">
        <v>6</v>
      </c>
      <c r="AJ553" s="150">
        <f t="shared" si="27"/>
        <v>0</v>
      </c>
      <c r="AK553" s="154" t="s">
        <v>60</v>
      </c>
    </row>
    <row r="554" spans="1:37" ht="30" customHeight="1">
      <c r="A554" s="64"/>
      <c r="B554" s="64"/>
      <c r="C554" s="64"/>
      <c r="D554" s="64"/>
      <c r="E554" s="64"/>
      <c r="F554" s="64"/>
      <c r="G554" s="64"/>
      <c r="H554" s="64"/>
      <c r="I554" s="64"/>
      <c r="J554" s="64"/>
      <c r="K554" s="64"/>
      <c r="L554" s="64"/>
      <c r="M554" s="64"/>
      <c r="N554" s="194"/>
      <c r="O554" s="157"/>
      <c r="P554" s="92"/>
      <c r="Q554" s="145"/>
      <c r="R554" s="92"/>
      <c r="S554" s="145"/>
      <c r="T554" s="92"/>
      <c r="U554" s="145"/>
      <c r="V554" s="92"/>
      <c r="W554" s="145"/>
      <c r="X554" s="92"/>
      <c r="Y554" s="145"/>
      <c r="Z554" s="92"/>
      <c r="AA554" s="145"/>
      <c r="AB554" s="92"/>
      <c r="AC554" s="145"/>
      <c r="AD554" s="92"/>
      <c r="AE554" s="145"/>
      <c r="AF554" s="142" t="str">
        <f t="shared" si="29"/>
        <v/>
      </c>
      <c r="AG554" s="190" t="b">
        <f t="shared" si="28"/>
        <v>0</v>
      </c>
      <c r="AH554" s="145"/>
      <c r="AI554" s="153" t="s">
        <v>6</v>
      </c>
      <c r="AJ554" s="150">
        <f t="shared" si="27"/>
        <v>0</v>
      </c>
      <c r="AK554" s="154" t="s">
        <v>60</v>
      </c>
    </row>
    <row r="555" spans="1:37" ht="30" customHeight="1">
      <c r="A555" s="64"/>
      <c r="B555" s="64"/>
      <c r="C555" s="64"/>
      <c r="D555" s="64"/>
      <c r="E555" s="64"/>
      <c r="F555" s="64"/>
      <c r="G555" s="64"/>
      <c r="H555" s="64"/>
      <c r="I555" s="64"/>
      <c r="J555" s="64"/>
      <c r="K555" s="64"/>
      <c r="L555" s="64"/>
      <c r="M555" s="64"/>
      <c r="N555" s="194"/>
      <c r="O555" s="157"/>
      <c r="P555" s="92"/>
      <c r="Q555" s="145"/>
      <c r="R555" s="92"/>
      <c r="S555" s="145"/>
      <c r="T555" s="92"/>
      <c r="U555" s="145"/>
      <c r="V555" s="92"/>
      <c r="W555" s="145"/>
      <c r="X555" s="92"/>
      <c r="Y555" s="145"/>
      <c r="Z555" s="92"/>
      <c r="AA555" s="145"/>
      <c r="AB555" s="92"/>
      <c r="AC555" s="145"/>
      <c r="AD555" s="92"/>
      <c r="AE555" s="145"/>
      <c r="AF555" s="142" t="str">
        <f t="shared" si="29"/>
        <v/>
      </c>
      <c r="AG555" s="190" t="b">
        <f t="shared" si="28"/>
        <v>0</v>
      </c>
      <c r="AH555" s="145"/>
      <c r="AI555" s="153" t="s">
        <v>6</v>
      </c>
      <c r="AJ555" s="150">
        <f t="shared" si="27"/>
        <v>0</v>
      </c>
      <c r="AK555" s="154" t="s">
        <v>60</v>
      </c>
    </row>
    <row r="556" spans="1:37" ht="30" customHeight="1">
      <c r="A556" s="64"/>
      <c r="B556" s="64"/>
      <c r="C556" s="64"/>
      <c r="D556" s="64"/>
      <c r="E556" s="64"/>
      <c r="F556" s="64"/>
      <c r="G556" s="64"/>
      <c r="H556" s="64"/>
      <c r="I556" s="64"/>
      <c r="J556" s="64"/>
      <c r="K556" s="64"/>
      <c r="L556" s="64"/>
      <c r="M556" s="64"/>
      <c r="N556" s="194"/>
      <c r="O556" s="157"/>
      <c r="P556" s="92"/>
      <c r="Q556" s="145"/>
      <c r="R556" s="92"/>
      <c r="S556" s="145"/>
      <c r="T556" s="92"/>
      <c r="U556" s="145"/>
      <c r="V556" s="92"/>
      <c r="W556" s="145"/>
      <c r="X556" s="92"/>
      <c r="Y556" s="145"/>
      <c r="Z556" s="92"/>
      <c r="AA556" s="145"/>
      <c r="AB556" s="92"/>
      <c r="AC556" s="145"/>
      <c r="AD556" s="92"/>
      <c r="AE556" s="145"/>
      <c r="AF556" s="142" t="str">
        <f t="shared" si="29"/>
        <v/>
      </c>
      <c r="AG556" s="190" t="b">
        <f t="shared" si="28"/>
        <v>0</v>
      </c>
      <c r="AH556" s="145"/>
      <c r="AI556" s="153" t="s">
        <v>6</v>
      </c>
      <c r="AJ556" s="150">
        <f t="shared" si="27"/>
        <v>0</v>
      </c>
      <c r="AK556" s="154" t="s">
        <v>60</v>
      </c>
    </row>
    <row r="557" spans="1:37" ht="30" customHeight="1">
      <c r="A557" s="64"/>
      <c r="B557" s="64"/>
      <c r="C557" s="64"/>
      <c r="D557" s="64"/>
      <c r="E557" s="64"/>
      <c r="F557" s="64"/>
      <c r="G557" s="64"/>
      <c r="H557" s="64"/>
      <c r="I557" s="64"/>
      <c r="J557" s="64"/>
      <c r="K557" s="64"/>
      <c r="L557" s="64"/>
      <c r="M557" s="64"/>
      <c r="N557" s="194"/>
      <c r="O557" s="157"/>
      <c r="P557" s="92"/>
      <c r="Q557" s="145"/>
      <c r="R557" s="92"/>
      <c r="S557" s="145"/>
      <c r="T557" s="92"/>
      <c r="U557" s="145"/>
      <c r="V557" s="92"/>
      <c r="W557" s="145"/>
      <c r="X557" s="92"/>
      <c r="Y557" s="145"/>
      <c r="Z557" s="92"/>
      <c r="AA557" s="145"/>
      <c r="AB557" s="92"/>
      <c r="AC557" s="145"/>
      <c r="AD557" s="92"/>
      <c r="AE557" s="145"/>
      <c r="AF557" s="142" t="str">
        <f t="shared" si="29"/>
        <v/>
      </c>
      <c r="AG557" s="190" t="b">
        <f t="shared" si="28"/>
        <v>0</v>
      </c>
      <c r="AH557" s="145"/>
      <c r="AI557" s="153" t="s">
        <v>6</v>
      </c>
      <c r="AJ557" s="150">
        <f t="shared" si="27"/>
        <v>0</v>
      </c>
      <c r="AK557" s="154" t="s">
        <v>60</v>
      </c>
    </row>
    <row r="558" spans="1:37" ht="30" customHeight="1">
      <c r="A558" s="64"/>
      <c r="B558" s="64"/>
      <c r="C558" s="64"/>
      <c r="D558" s="64"/>
      <c r="E558" s="64"/>
      <c r="F558" s="64"/>
      <c r="G558" s="64"/>
      <c r="H558" s="64"/>
      <c r="I558" s="64"/>
      <c r="J558" s="64"/>
      <c r="K558" s="64"/>
      <c r="L558" s="64"/>
      <c r="M558" s="64"/>
      <c r="N558" s="194"/>
      <c r="O558" s="157"/>
      <c r="P558" s="92"/>
      <c r="Q558" s="145"/>
      <c r="R558" s="92"/>
      <c r="S558" s="145"/>
      <c r="T558" s="92"/>
      <c r="U558" s="145"/>
      <c r="V558" s="92"/>
      <c r="W558" s="145"/>
      <c r="X558" s="92"/>
      <c r="Y558" s="145"/>
      <c r="Z558" s="92"/>
      <c r="AA558" s="145"/>
      <c r="AB558" s="92"/>
      <c r="AC558" s="145"/>
      <c r="AD558" s="92"/>
      <c r="AE558" s="145"/>
      <c r="AF558" s="142" t="str">
        <f t="shared" si="29"/>
        <v/>
      </c>
      <c r="AG558" s="190" t="b">
        <f t="shared" si="28"/>
        <v>0</v>
      </c>
      <c r="AH558" s="145"/>
      <c r="AI558" s="153" t="s">
        <v>6</v>
      </c>
      <c r="AJ558" s="150">
        <f t="shared" si="27"/>
        <v>0</v>
      </c>
      <c r="AK558" s="154" t="s">
        <v>60</v>
      </c>
    </row>
    <row r="559" spans="1:37" ht="30" customHeight="1">
      <c r="A559" s="64"/>
      <c r="B559" s="64"/>
      <c r="C559" s="64"/>
      <c r="D559" s="64"/>
      <c r="E559" s="64"/>
      <c r="F559" s="64"/>
      <c r="G559" s="64"/>
      <c r="H559" s="64"/>
      <c r="I559" s="64"/>
      <c r="J559" s="64"/>
      <c r="K559" s="64"/>
      <c r="L559" s="64"/>
      <c r="M559" s="64"/>
      <c r="N559" s="194"/>
      <c r="O559" s="157"/>
      <c r="P559" s="92"/>
      <c r="Q559" s="145"/>
      <c r="R559" s="92"/>
      <c r="S559" s="145"/>
      <c r="T559" s="92"/>
      <c r="U559" s="145"/>
      <c r="V559" s="92"/>
      <c r="W559" s="145"/>
      <c r="X559" s="92"/>
      <c r="Y559" s="145"/>
      <c r="Z559" s="92"/>
      <c r="AA559" s="145"/>
      <c r="AB559" s="92"/>
      <c r="AC559" s="145"/>
      <c r="AD559" s="92"/>
      <c r="AE559" s="145"/>
      <c r="AF559" s="142" t="str">
        <f t="shared" si="29"/>
        <v/>
      </c>
      <c r="AG559" s="190" t="b">
        <f t="shared" si="28"/>
        <v>0</v>
      </c>
      <c r="AH559" s="145"/>
      <c r="AI559" s="153" t="s">
        <v>6</v>
      </c>
      <c r="AJ559" s="150">
        <f t="shared" si="27"/>
        <v>0</v>
      </c>
      <c r="AK559" s="154" t="s">
        <v>60</v>
      </c>
    </row>
    <row r="560" spans="1:37" ht="30" customHeight="1">
      <c r="A560" s="64"/>
      <c r="B560" s="64"/>
      <c r="C560" s="64"/>
      <c r="D560" s="64"/>
      <c r="E560" s="64"/>
      <c r="F560" s="64"/>
      <c r="G560" s="64"/>
      <c r="H560" s="64"/>
      <c r="I560" s="64"/>
      <c r="J560" s="64"/>
      <c r="K560" s="64"/>
      <c r="L560" s="64"/>
      <c r="M560" s="64"/>
      <c r="N560" s="194"/>
      <c r="O560" s="157"/>
      <c r="P560" s="92"/>
      <c r="Q560" s="145"/>
      <c r="R560" s="92"/>
      <c r="S560" s="145"/>
      <c r="T560" s="92"/>
      <c r="U560" s="145"/>
      <c r="V560" s="92"/>
      <c r="W560" s="145"/>
      <c r="X560" s="92"/>
      <c r="Y560" s="145"/>
      <c r="Z560" s="92"/>
      <c r="AA560" s="145"/>
      <c r="AB560" s="92"/>
      <c r="AC560" s="145"/>
      <c r="AD560" s="92"/>
      <c r="AE560" s="145"/>
      <c r="AF560" s="142" t="str">
        <f t="shared" si="29"/>
        <v/>
      </c>
      <c r="AG560" s="190" t="b">
        <f t="shared" si="28"/>
        <v>0</v>
      </c>
      <c r="AH560" s="145"/>
      <c r="AI560" s="153" t="s">
        <v>6</v>
      </c>
      <c r="AJ560" s="150">
        <f t="shared" si="27"/>
        <v>0</v>
      </c>
      <c r="AK560" s="154" t="s">
        <v>60</v>
      </c>
    </row>
    <row r="561" spans="1:37" ht="30" customHeight="1">
      <c r="A561" s="64"/>
      <c r="B561" s="64"/>
      <c r="C561" s="64"/>
      <c r="D561" s="64"/>
      <c r="E561" s="64"/>
      <c r="F561" s="64"/>
      <c r="G561" s="64"/>
      <c r="H561" s="64"/>
      <c r="I561" s="64"/>
      <c r="J561" s="64"/>
      <c r="K561" s="64"/>
      <c r="L561" s="64"/>
      <c r="M561" s="64"/>
      <c r="N561" s="194"/>
      <c r="O561" s="157"/>
      <c r="P561" s="92"/>
      <c r="Q561" s="145"/>
      <c r="R561" s="92"/>
      <c r="S561" s="145"/>
      <c r="T561" s="92"/>
      <c r="U561" s="145"/>
      <c r="V561" s="92"/>
      <c r="W561" s="145"/>
      <c r="X561" s="92"/>
      <c r="Y561" s="145"/>
      <c r="Z561" s="92"/>
      <c r="AA561" s="145"/>
      <c r="AB561" s="92"/>
      <c r="AC561" s="145"/>
      <c r="AD561" s="92"/>
      <c r="AE561" s="145"/>
      <c r="AF561" s="142" t="str">
        <f t="shared" si="29"/>
        <v/>
      </c>
      <c r="AG561" s="190" t="b">
        <f t="shared" si="28"/>
        <v>0</v>
      </c>
      <c r="AH561" s="145"/>
      <c r="AI561" s="153" t="s">
        <v>6</v>
      </c>
      <c r="AJ561" s="150">
        <f t="shared" si="27"/>
        <v>0</v>
      </c>
      <c r="AK561" s="154" t="s">
        <v>60</v>
      </c>
    </row>
    <row r="562" spans="1:37" ht="30" customHeight="1">
      <c r="A562" s="64"/>
      <c r="B562" s="64"/>
      <c r="C562" s="64"/>
      <c r="D562" s="64"/>
      <c r="E562" s="64"/>
      <c r="F562" s="64"/>
      <c r="G562" s="64"/>
      <c r="H562" s="64"/>
      <c r="I562" s="64"/>
      <c r="J562" s="64"/>
      <c r="K562" s="64"/>
      <c r="L562" s="64"/>
      <c r="M562" s="64"/>
      <c r="N562" s="194"/>
      <c r="O562" s="157"/>
      <c r="P562" s="92"/>
      <c r="Q562" s="145"/>
      <c r="R562" s="92"/>
      <c r="S562" s="145"/>
      <c r="T562" s="92"/>
      <c r="U562" s="145"/>
      <c r="V562" s="92"/>
      <c r="W562" s="145"/>
      <c r="X562" s="92"/>
      <c r="Y562" s="145"/>
      <c r="Z562" s="92"/>
      <c r="AA562" s="145"/>
      <c r="AB562" s="92"/>
      <c r="AC562" s="145"/>
      <c r="AD562" s="92"/>
      <c r="AE562" s="145"/>
      <c r="AF562" s="142" t="str">
        <f t="shared" si="29"/>
        <v/>
      </c>
      <c r="AG562" s="190" t="b">
        <f t="shared" si="28"/>
        <v>0</v>
      </c>
      <c r="AH562" s="145"/>
      <c r="AI562" s="153" t="s">
        <v>6</v>
      </c>
      <c r="AJ562" s="150">
        <f t="shared" si="27"/>
        <v>0</v>
      </c>
      <c r="AK562" s="154" t="s">
        <v>60</v>
      </c>
    </row>
    <row r="563" spans="1:37" ht="30" customHeight="1">
      <c r="A563" s="64"/>
      <c r="B563" s="64"/>
      <c r="C563" s="64"/>
      <c r="D563" s="64"/>
      <c r="E563" s="64"/>
      <c r="F563" s="64"/>
      <c r="G563" s="64"/>
      <c r="H563" s="64"/>
      <c r="I563" s="64"/>
      <c r="J563" s="64"/>
      <c r="K563" s="64"/>
      <c r="L563" s="64"/>
      <c r="M563" s="64"/>
      <c r="N563" s="194"/>
      <c r="O563" s="157"/>
      <c r="P563" s="92"/>
      <c r="Q563" s="145"/>
      <c r="R563" s="92"/>
      <c r="S563" s="145"/>
      <c r="T563" s="92"/>
      <c r="U563" s="145"/>
      <c r="V563" s="92"/>
      <c r="W563" s="145"/>
      <c r="X563" s="92"/>
      <c r="Y563" s="145"/>
      <c r="Z563" s="92"/>
      <c r="AA563" s="145"/>
      <c r="AB563" s="92"/>
      <c r="AC563" s="145"/>
      <c r="AD563" s="92"/>
      <c r="AE563" s="145"/>
      <c r="AF563" s="142" t="str">
        <f t="shared" si="29"/>
        <v/>
      </c>
      <c r="AG563" s="190" t="b">
        <f t="shared" si="28"/>
        <v>0</v>
      </c>
      <c r="AH563" s="145"/>
      <c r="AI563" s="153" t="s">
        <v>6</v>
      </c>
      <c r="AJ563" s="150">
        <f t="shared" si="27"/>
        <v>0</v>
      </c>
      <c r="AK563" s="154" t="s">
        <v>60</v>
      </c>
    </row>
    <row r="564" spans="1:37" ht="30" customHeight="1">
      <c r="A564" s="64"/>
      <c r="B564" s="64"/>
      <c r="C564" s="64"/>
      <c r="D564" s="64"/>
      <c r="E564" s="64"/>
      <c r="F564" s="64"/>
      <c r="G564" s="64"/>
      <c r="H564" s="64"/>
      <c r="I564" s="64"/>
      <c r="J564" s="64"/>
      <c r="K564" s="64"/>
      <c r="L564" s="64"/>
      <c r="M564" s="64"/>
      <c r="N564" s="194"/>
      <c r="O564" s="157"/>
      <c r="P564" s="92"/>
      <c r="Q564" s="145"/>
      <c r="R564" s="92"/>
      <c r="S564" s="145"/>
      <c r="T564" s="92"/>
      <c r="U564" s="145"/>
      <c r="V564" s="92"/>
      <c r="W564" s="145"/>
      <c r="X564" s="92"/>
      <c r="Y564" s="145"/>
      <c r="Z564" s="92"/>
      <c r="AA564" s="145"/>
      <c r="AB564" s="92"/>
      <c r="AC564" s="145"/>
      <c r="AD564" s="92"/>
      <c r="AE564" s="145"/>
      <c r="AF564" s="142" t="str">
        <f t="shared" si="29"/>
        <v/>
      </c>
      <c r="AG564" s="190" t="b">
        <f t="shared" si="28"/>
        <v>0</v>
      </c>
      <c r="AH564" s="145"/>
      <c r="AI564" s="153" t="s">
        <v>6</v>
      </c>
      <c r="AJ564" s="150">
        <f t="shared" si="27"/>
        <v>0</v>
      </c>
      <c r="AK564" s="154" t="s">
        <v>60</v>
      </c>
    </row>
    <row r="565" spans="1:37" ht="30" customHeight="1">
      <c r="A565" s="64"/>
      <c r="B565" s="64"/>
      <c r="C565" s="64"/>
      <c r="D565" s="64"/>
      <c r="E565" s="64"/>
      <c r="F565" s="64"/>
      <c r="G565" s="64"/>
      <c r="H565" s="64"/>
      <c r="I565" s="64"/>
      <c r="J565" s="64"/>
      <c r="K565" s="64"/>
      <c r="L565" s="64"/>
      <c r="M565" s="64"/>
      <c r="N565" s="194"/>
      <c r="O565" s="157"/>
      <c r="P565" s="92"/>
      <c r="Q565" s="145"/>
      <c r="R565" s="92"/>
      <c r="S565" s="145"/>
      <c r="T565" s="92"/>
      <c r="U565" s="145"/>
      <c r="V565" s="92"/>
      <c r="W565" s="145"/>
      <c r="X565" s="92"/>
      <c r="Y565" s="145"/>
      <c r="Z565" s="92"/>
      <c r="AA565" s="145"/>
      <c r="AB565" s="92"/>
      <c r="AC565" s="145"/>
      <c r="AD565" s="92"/>
      <c r="AE565" s="145"/>
      <c r="AF565" s="142" t="str">
        <f t="shared" si="29"/>
        <v/>
      </c>
      <c r="AG565" s="190" t="b">
        <f t="shared" si="28"/>
        <v>0</v>
      </c>
      <c r="AH565" s="145"/>
      <c r="AI565" s="153" t="s">
        <v>6</v>
      </c>
      <c r="AJ565" s="150">
        <f t="shared" si="27"/>
        <v>0</v>
      </c>
      <c r="AK565" s="154" t="s">
        <v>60</v>
      </c>
    </row>
    <row r="566" spans="1:37" ht="30" customHeight="1">
      <c r="A566" s="64"/>
      <c r="B566" s="64"/>
      <c r="C566" s="64"/>
      <c r="D566" s="64"/>
      <c r="E566" s="64"/>
      <c r="F566" s="64"/>
      <c r="G566" s="64"/>
      <c r="H566" s="64"/>
      <c r="I566" s="64"/>
      <c r="J566" s="64"/>
      <c r="K566" s="64"/>
      <c r="L566" s="64"/>
      <c r="M566" s="64"/>
      <c r="N566" s="194"/>
      <c r="O566" s="157"/>
      <c r="P566" s="92"/>
      <c r="Q566" s="145"/>
      <c r="R566" s="92"/>
      <c r="S566" s="145"/>
      <c r="T566" s="92"/>
      <c r="U566" s="145"/>
      <c r="V566" s="92"/>
      <c r="W566" s="145"/>
      <c r="X566" s="92"/>
      <c r="Y566" s="145"/>
      <c r="Z566" s="92"/>
      <c r="AA566" s="145"/>
      <c r="AB566" s="92"/>
      <c r="AC566" s="145"/>
      <c r="AD566" s="92"/>
      <c r="AE566" s="145"/>
      <c r="AF566" s="142" t="str">
        <f t="shared" si="29"/>
        <v/>
      </c>
      <c r="AG566" s="190" t="b">
        <f t="shared" si="28"/>
        <v>0</v>
      </c>
      <c r="AH566" s="145"/>
      <c r="AI566" s="153" t="s">
        <v>6</v>
      </c>
      <c r="AJ566" s="150">
        <f t="shared" si="27"/>
        <v>0</v>
      </c>
      <c r="AK566" s="154" t="s">
        <v>60</v>
      </c>
    </row>
    <row r="567" spans="1:37" ht="30" customHeight="1">
      <c r="A567" s="64"/>
      <c r="B567" s="64"/>
      <c r="C567" s="64"/>
      <c r="D567" s="64"/>
      <c r="E567" s="64"/>
      <c r="F567" s="64"/>
      <c r="G567" s="64"/>
      <c r="H567" s="64"/>
      <c r="I567" s="64"/>
      <c r="J567" s="64"/>
      <c r="K567" s="64"/>
      <c r="L567" s="64"/>
      <c r="M567" s="64"/>
      <c r="N567" s="194"/>
      <c r="O567" s="157"/>
      <c r="P567" s="92"/>
      <c r="Q567" s="145"/>
      <c r="R567" s="92"/>
      <c r="S567" s="145"/>
      <c r="T567" s="92"/>
      <c r="U567" s="145"/>
      <c r="V567" s="92"/>
      <c r="W567" s="145"/>
      <c r="X567" s="92"/>
      <c r="Y567" s="145"/>
      <c r="Z567" s="92"/>
      <c r="AA567" s="145"/>
      <c r="AB567" s="92"/>
      <c r="AC567" s="145"/>
      <c r="AD567" s="92"/>
      <c r="AE567" s="145"/>
      <c r="AF567" s="142" t="str">
        <f t="shared" si="29"/>
        <v/>
      </c>
      <c r="AG567" s="190" t="b">
        <f t="shared" si="28"/>
        <v>0</v>
      </c>
      <c r="AH567" s="145"/>
      <c r="AI567" s="153" t="s">
        <v>6</v>
      </c>
      <c r="AJ567" s="150">
        <f t="shared" si="27"/>
        <v>0</v>
      </c>
      <c r="AK567" s="154" t="s">
        <v>60</v>
      </c>
    </row>
    <row r="568" spans="1:37" ht="30" customHeight="1">
      <c r="A568" s="64"/>
      <c r="B568" s="64"/>
      <c r="C568" s="64"/>
      <c r="D568" s="64"/>
      <c r="E568" s="64"/>
      <c r="F568" s="64"/>
      <c r="G568" s="64"/>
      <c r="H568" s="64"/>
      <c r="I568" s="64"/>
      <c r="J568" s="64"/>
      <c r="K568" s="64"/>
      <c r="L568" s="64"/>
      <c r="M568" s="64"/>
      <c r="N568" s="194"/>
      <c r="O568" s="157"/>
      <c r="P568" s="92"/>
      <c r="Q568" s="145"/>
      <c r="R568" s="92"/>
      <c r="S568" s="145"/>
      <c r="T568" s="92"/>
      <c r="U568" s="145"/>
      <c r="V568" s="92"/>
      <c r="W568" s="145"/>
      <c r="X568" s="92"/>
      <c r="Y568" s="145"/>
      <c r="Z568" s="92"/>
      <c r="AA568" s="145"/>
      <c r="AB568" s="92"/>
      <c r="AC568" s="145"/>
      <c r="AD568" s="92"/>
      <c r="AE568" s="145"/>
      <c r="AF568" s="142" t="str">
        <f t="shared" si="29"/>
        <v/>
      </c>
      <c r="AG568" s="190" t="b">
        <f t="shared" si="28"/>
        <v>0</v>
      </c>
      <c r="AH568" s="145"/>
      <c r="AI568" s="153" t="s">
        <v>6</v>
      </c>
      <c r="AJ568" s="150">
        <f t="shared" si="27"/>
        <v>0</v>
      </c>
      <c r="AK568" s="154" t="s">
        <v>60</v>
      </c>
    </row>
    <row r="569" spans="1:37" ht="30" customHeight="1">
      <c r="A569" s="64"/>
      <c r="B569" s="64"/>
      <c r="C569" s="64"/>
      <c r="D569" s="64"/>
      <c r="E569" s="64"/>
      <c r="F569" s="64"/>
      <c r="G569" s="64"/>
      <c r="H569" s="64"/>
      <c r="I569" s="64"/>
      <c r="J569" s="64"/>
      <c r="K569" s="64"/>
      <c r="L569" s="64"/>
      <c r="M569" s="64"/>
      <c r="N569" s="194"/>
      <c r="O569" s="157"/>
      <c r="P569" s="92"/>
      <c r="Q569" s="145"/>
      <c r="R569" s="92"/>
      <c r="S569" s="145"/>
      <c r="T569" s="92"/>
      <c r="U569" s="145"/>
      <c r="V569" s="92"/>
      <c r="W569" s="145"/>
      <c r="X569" s="92"/>
      <c r="Y569" s="145"/>
      <c r="Z569" s="92"/>
      <c r="AA569" s="145"/>
      <c r="AB569" s="92"/>
      <c r="AC569" s="145"/>
      <c r="AD569" s="92"/>
      <c r="AE569" s="145"/>
      <c r="AF569" s="142" t="str">
        <f t="shared" si="29"/>
        <v/>
      </c>
      <c r="AG569" s="190" t="b">
        <f t="shared" si="28"/>
        <v>0</v>
      </c>
      <c r="AH569" s="145"/>
      <c r="AI569" s="153" t="s">
        <v>6</v>
      </c>
      <c r="AJ569" s="150">
        <f t="shared" si="27"/>
        <v>0</v>
      </c>
      <c r="AK569" s="154" t="s">
        <v>60</v>
      </c>
    </row>
    <row r="570" spans="1:37" ht="30" customHeight="1">
      <c r="A570" s="64"/>
      <c r="B570" s="64"/>
      <c r="C570" s="64"/>
      <c r="D570" s="64"/>
      <c r="E570" s="64"/>
      <c r="F570" s="64"/>
      <c r="G570" s="64"/>
      <c r="H570" s="64"/>
      <c r="I570" s="64"/>
      <c r="J570" s="64"/>
      <c r="K570" s="64"/>
      <c r="L570" s="64"/>
      <c r="M570" s="64"/>
      <c r="N570" s="194"/>
      <c r="O570" s="157"/>
      <c r="P570" s="92"/>
      <c r="Q570" s="145"/>
      <c r="R570" s="92"/>
      <c r="S570" s="145"/>
      <c r="T570" s="92"/>
      <c r="U570" s="145"/>
      <c r="V570" s="92"/>
      <c r="W570" s="145"/>
      <c r="X570" s="92"/>
      <c r="Y570" s="145"/>
      <c r="Z570" s="92"/>
      <c r="AA570" s="145"/>
      <c r="AB570" s="92"/>
      <c r="AC570" s="145"/>
      <c r="AD570" s="92"/>
      <c r="AE570" s="145"/>
      <c r="AF570" s="142" t="str">
        <f t="shared" si="29"/>
        <v/>
      </c>
      <c r="AG570" s="190" t="b">
        <f t="shared" si="28"/>
        <v>0</v>
      </c>
      <c r="AH570" s="145"/>
      <c r="AI570" s="153" t="s">
        <v>6</v>
      </c>
      <c r="AJ570" s="150">
        <f t="shared" si="27"/>
        <v>0</v>
      </c>
      <c r="AK570" s="154" t="s">
        <v>60</v>
      </c>
    </row>
    <row r="571" spans="1:37" ht="30" customHeight="1">
      <c r="A571" s="64"/>
      <c r="B571" s="64"/>
      <c r="C571" s="64"/>
      <c r="D571" s="64"/>
      <c r="E571" s="64"/>
      <c r="F571" s="64"/>
      <c r="G571" s="64"/>
      <c r="H571" s="64"/>
      <c r="I571" s="64"/>
      <c r="J571" s="64"/>
      <c r="K571" s="64"/>
      <c r="L571" s="64"/>
      <c r="M571" s="64"/>
      <c r="N571" s="194"/>
      <c r="O571" s="157"/>
      <c r="P571" s="92"/>
      <c r="Q571" s="145"/>
      <c r="R571" s="92"/>
      <c r="S571" s="145"/>
      <c r="T571" s="92"/>
      <c r="U571" s="145"/>
      <c r="V571" s="92"/>
      <c r="W571" s="145"/>
      <c r="X571" s="92"/>
      <c r="Y571" s="145"/>
      <c r="Z571" s="92"/>
      <c r="AA571" s="145"/>
      <c r="AB571" s="92"/>
      <c r="AC571" s="145"/>
      <c r="AD571" s="92"/>
      <c r="AE571" s="145"/>
      <c r="AF571" s="142" t="str">
        <f t="shared" si="29"/>
        <v/>
      </c>
      <c r="AG571" s="190" t="b">
        <f t="shared" si="28"/>
        <v>0</v>
      </c>
      <c r="AH571" s="145"/>
      <c r="AI571" s="153" t="s">
        <v>6</v>
      </c>
      <c r="AJ571" s="150">
        <f t="shared" si="27"/>
        <v>0</v>
      </c>
      <c r="AK571" s="154" t="s">
        <v>60</v>
      </c>
    </row>
    <row r="572" spans="1:37" ht="30" customHeight="1">
      <c r="A572" s="64"/>
      <c r="B572" s="64"/>
      <c r="C572" s="64"/>
      <c r="D572" s="64"/>
      <c r="E572" s="64"/>
      <c r="F572" s="64"/>
      <c r="G572" s="64"/>
      <c r="H572" s="64"/>
      <c r="I572" s="64"/>
      <c r="J572" s="64"/>
      <c r="K572" s="64"/>
      <c r="L572" s="64"/>
      <c r="M572" s="64"/>
      <c r="N572" s="194"/>
      <c r="O572" s="157"/>
      <c r="P572" s="92"/>
      <c r="Q572" s="145"/>
      <c r="R572" s="92"/>
      <c r="S572" s="145"/>
      <c r="T572" s="92"/>
      <c r="U572" s="145"/>
      <c r="V572" s="92"/>
      <c r="W572" s="145"/>
      <c r="X572" s="92"/>
      <c r="Y572" s="145"/>
      <c r="Z572" s="92"/>
      <c r="AA572" s="145"/>
      <c r="AB572" s="92"/>
      <c r="AC572" s="145"/>
      <c r="AD572" s="92"/>
      <c r="AE572" s="145"/>
      <c r="AF572" s="142" t="str">
        <f t="shared" si="29"/>
        <v/>
      </c>
      <c r="AG572" s="190" t="b">
        <f t="shared" si="28"/>
        <v>0</v>
      </c>
      <c r="AH572" s="145"/>
      <c r="AI572" s="153" t="s">
        <v>6</v>
      </c>
      <c r="AJ572" s="150">
        <f t="shared" si="27"/>
        <v>0</v>
      </c>
      <c r="AK572" s="154" t="s">
        <v>60</v>
      </c>
    </row>
    <row r="573" spans="1:37" ht="30" customHeight="1">
      <c r="A573" s="64"/>
      <c r="B573" s="64"/>
      <c r="C573" s="64"/>
      <c r="D573" s="64"/>
      <c r="E573" s="64"/>
      <c r="F573" s="64"/>
      <c r="G573" s="64"/>
      <c r="H573" s="64"/>
      <c r="I573" s="64"/>
      <c r="J573" s="64"/>
      <c r="K573" s="64"/>
      <c r="L573" s="64"/>
      <c r="M573" s="64"/>
      <c r="N573" s="194"/>
      <c r="O573" s="157"/>
      <c r="P573" s="92"/>
      <c r="Q573" s="145"/>
      <c r="R573" s="92"/>
      <c r="S573" s="145"/>
      <c r="T573" s="92"/>
      <c r="U573" s="145"/>
      <c r="V573" s="92"/>
      <c r="W573" s="145"/>
      <c r="X573" s="92"/>
      <c r="Y573" s="145"/>
      <c r="Z573" s="92"/>
      <c r="AA573" s="145"/>
      <c r="AB573" s="92"/>
      <c r="AC573" s="145"/>
      <c r="AD573" s="92"/>
      <c r="AE573" s="145"/>
      <c r="AF573" s="142" t="str">
        <f t="shared" si="29"/>
        <v/>
      </c>
      <c r="AG573" s="190" t="b">
        <f t="shared" si="28"/>
        <v>0</v>
      </c>
      <c r="AH573" s="145"/>
      <c r="AI573" s="153" t="s">
        <v>6</v>
      </c>
      <c r="AJ573" s="150">
        <f t="shared" si="27"/>
        <v>0</v>
      </c>
      <c r="AK573" s="154" t="s">
        <v>60</v>
      </c>
    </row>
    <row r="574" spans="1:37" ht="30" customHeight="1">
      <c r="A574" s="64"/>
      <c r="B574" s="64"/>
      <c r="C574" s="64"/>
      <c r="D574" s="64"/>
      <c r="E574" s="64"/>
      <c r="F574" s="64"/>
      <c r="G574" s="64"/>
      <c r="H574" s="64"/>
      <c r="I574" s="64"/>
      <c r="J574" s="64"/>
      <c r="K574" s="64"/>
      <c r="L574" s="64"/>
      <c r="M574" s="64"/>
      <c r="N574" s="194"/>
      <c r="O574" s="157"/>
      <c r="P574" s="92"/>
      <c r="Q574" s="145"/>
      <c r="R574" s="92"/>
      <c r="S574" s="145"/>
      <c r="T574" s="92"/>
      <c r="U574" s="145"/>
      <c r="V574" s="92"/>
      <c r="W574" s="145"/>
      <c r="X574" s="92"/>
      <c r="Y574" s="145"/>
      <c r="Z574" s="92"/>
      <c r="AA574" s="145"/>
      <c r="AB574" s="92"/>
      <c r="AC574" s="145"/>
      <c r="AD574" s="92"/>
      <c r="AE574" s="145"/>
      <c r="AF574" s="142" t="str">
        <f t="shared" si="29"/>
        <v/>
      </c>
      <c r="AG574" s="190" t="b">
        <f t="shared" si="28"/>
        <v>0</v>
      </c>
      <c r="AH574" s="145"/>
      <c r="AI574" s="153" t="s">
        <v>6</v>
      </c>
      <c r="AJ574" s="150">
        <f t="shared" si="27"/>
        <v>0</v>
      </c>
      <c r="AK574" s="154" t="s">
        <v>60</v>
      </c>
    </row>
    <row r="575" spans="1:37" ht="30" customHeight="1">
      <c r="A575" s="64"/>
      <c r="B575" s="64"/>
      <c r="C575" s="64"/>
      <c r="D575" s="64"/>
      <c r="E575" s="64"/>
      <c r="F575" s="64"/>
      <c r="G575" s="64"/>
      <c r="H575" s="64"/>
      <c r="I575" s="64"/>
      <c r="J575" s="64"/>
      <c r="K575" s="64"/>
      <c r="L575" s="64"/>
      <c r="M575" s="64"/>
      <c r="N575" s="194"/>
      <c r="O575" s="157"/>
      <c r="P575" s="92"/>
      <c r="Q575" s="145"/>
      <c r="R575" s="92"/>
      <c r="S575" s="145"/>
      <c r="T575" s="92"/>
      <c r="U575" s="145"/>
      <c r="V575" s="92"/>
      <c r="W575" s="145"/>
      <c r="X575" s="92"/>
      <c r="Y575" s="145"/>
      <c r="Z575" s="92"/>
      <c r="AA575" s="145"/>
      <c r="AB575" s="92"/>
      <c r="AC575" s="145"/>
      <c r="AD575" s="92"/>
      <c r="AE575" s="145"/>
      <c r="AF575" s="142" t="str">
        <f t="shared" si="29"/>
        <v/>
      </c>
      <c r="AG575" s="190" t="b">
        <f t="shared" si="28"/>
        <v>0</v>
      </c>
      <c r="AH575" s="145"/>
      <c r="AI575" s="153" t="s">
        <v>6</v>
      </c>
      <c r="AJ575" s="150">
        <f t="shared" si="27"/>
        <v>0</v>
      </c>
      <c r="AK575" s="154" t="s">
        <v>60</v>
      </c>
    </row>
    <row r="576" spans="1:37" ht="30" customHeight="1">
      <c r="A576" s="64"/>
      <c r="B576" s="64"/>
      <c r="C576" s="64"/>
      <c r="D576" s="64"/>
      <c r="E576" s="64"/>
      <c r="F576" s="64"/>
      <c r="G576" s="64"/>
      <c r="H576" s="64"/>
      <c r="I576" s="64"/>
      <c r="J576" s="64"/>
      <c r="K576" s="64"/>
      <c r="L576" s="64"/>
      <c r="M576" s="64"/>
      <c r="N576" s="194"/>
      <c r="O576" s="157"/>
      <c r="P576" s="92"/>
      <c r="Q576" s="145"/>
      <c r="R576" s="92"/>
      <c r="S576" s="145"/>
      <c r="T576" s="92"/>
      <c r="U576" s="145"/>
      <c r="V576" s="92"/>
      <c r="W576" s="145"/>
      <c r="X576" s="92"/>
      <c r="Y576" s="145"/>
      <c r="Z576" s="92"/>
      <c r="AA576" s="145"/>
      <c r="AB576" s="92"/>
      <c r="AC576" s="145"/>
      <c r="AD576" s="92"/>
      <c r="AE576" s="145"/>
      <c r="AF576" s="142" t="str">
        <f t="shared" si="29"/>
        <v/>
      </c>
      <c r="AG576" s="190" t="b">
        <f t="shared" si="28"/>
        <v>0</v>
      </c>
      <c r="AH576" s="145"/>
      <c r="AI576" s="153" t="s">
        <v>6</v>
      </c>
      <c r="AJ576" s="150">
        <f t="shared" si="27"/>
        <v>0</v>
      </c>
      <c r="AK576" s="154" t="s">
        <v>60</v>
      </c>
    </row>
    <row r="577" spans="1:37" ht="30" customHeight="1">
      <c r="A577" s="64"/>
      <c r="B577" s="64"/>
      <c r="C577" s="64"/>
      <c r="D577" s="64"/>
      <c r="E577" s="64"/>
      <c r="F577" s="64"/>
      <c r="G577" s="64"/>
      <c r="H577" s="64"/>
      <c r="I577" s="64"/>
      <c r="J577" s="64"/>
      <c r="K577" s="64"/>
      <c r="L577" s="64"/>
      <c r="M577" s="64"/>
      <c r="N577" s="194"/>
      <c r="O577" s="157"/>
      <c r="P577" s="92"/>
      <c r="Q577" s="145"/>
      <c r="R577" s="92"/>
      <c r="S577" s="145"/>
      <c r="T577" s="92"/>
      <c r="U577" s="145"/>
      <c r="V577" s="92"/>
      <c r="W577" s="145"/>
      <c r="X577" s="92"/>
      <c r="Y577" s="145"/>
      <c r="Z577" s="92"/>
      <c r="AA577" s="145"/>
      <c r="AB577" s="92"/>
      <c r="AC577" s="145"/>
      <c r="AD577" s="92"/>
      <c r="AE577" s="145"/>
      <c r="AF577" s="142" t="str">
        <f t="shared" si="29"/>
        <v/>
      </c>
      <c r="AG577" s="190" t="b">
        <f t="shared" si="28"/>
        <v>0</v>
      </c>
      <c r="AH577" s="145"/>
      <c r="AI577" s="153" t="s">
        <v>6</v>
      </c>
      <c r="AJ577" s="150">
        <f t="shared" si="27"/>
        <v>0</v>
      </c>
      <c r="AK577" s="154" t="s">
        <v>60</v>
      </c>
    </row>
    <row r="578" spans="1:37" ht="30" customHeight="1">
      <c r="A578" s="64"/>
      <c r="B578" s="64"/>
      <c r="C578" s="64"/>
      <c r="D578" s="64"/>
      <c r="E578" s="64"/>
      <c r="F578" s="64"/>
      <c r="G578" s="64"/>
      <c r="H578" s="64"/>
      <c r="I578" s="64"/>
      <c r="J578" s="64"/>
      <c r="K578" s="64"/>
      <c r="L578" s="64"/>
      <c r="M578" s="64"/>
      <c r="N578" s="194"/>
      <c r="O578" s="157"/>
      <c r="P578" s="92"/>
      <c r="Q578" s="145"/>
      <c r="R578" s="92"/>
      <c r="S578" s="145"/>
      <c r="T578" s="92"/>
      <c r="U578" s="145"/>
      <c r="V578" s="92"/>
      <c r="W578" s="145"/>
      <c r="X578" s="92"/>
      <c r="Y578" s="145"/>
      <c r="Z578" s="92"/>
      <c r="AA578" s="145"/>
      <c r="AB578" s="92"/>
      <c r="AC578" s="145"/>
      <c r="AD578" s="92"/>
      <c r="AE578" s="145"/>
      <c r="AF578" s="142" t="str">
        <f t="shared" si="29"/>
        <v/>
      </c>
      <c r="AG578" s="190" t="b">
        <f t="shared" si="28"/>
        <v>0</v>
      </c>
      <c r="AH578" s="145"/>
      <c r="AI578" s="153" t="s">
        <v>6</v>
      </c>
      <c r="AJ578" s="150">
        <f t="shared" si="27"/>
        <v>0</v>
      </c>
      <c r="AK578" s="154" t="s">
        <v>60</v>
      </c>
    </row>
    <row r="579" spans="1:37" ht="30" customHeight="1">
      <c r="A579" s="64"/>
      <c r="B579" s="64"/>
      <c r="C579" s="64"/>
      <c r="D579" s="64"/>
      <c r="E579" s="64"/>
      <c r="F579" s="64"/>
      <c r="G579" s="64"/>
      <c r="H579" s="64"/>
      <c r="I579" s="64"/>
      <c r="J579" s="64"/>
      <c r="K579" s="64"/>
      <c r="L579" s="64"/>
      <c r="M579" s="64"/>
      <c r="N579" s="194"/>
      <c r="O579" s="157"/>
      <c r="P579" s="92"/>
      <c r="Q579" s="145"/>
      <c r="R579" s="92"/>
      <c r="S579" s="145"/>
      <c r="T579" s="92"/>
      <c r="U579" s="145"/>
      <c r="V579" s="92"/>
      <c r="W579" s="145"/>
      <c r="X579" s="92"/>
      <c r="Y579" s="145"/>
      <c r="Z579" s="92"/>
      <c r="AA579" s="145"/>
      <c r="AB579" s="92"/>
      <c r="AC579" s="145"/>
      <c r="AD579" s="92"/>
      <c r="AE579" s="145"/>
      <c r="AF579" s="142" t="str">
        <f t="shared" si="29"/>
        <v/>
      </c>
      <c r="AG579" s="190" t="b">
        <f t="shared" si="28"/>
        <v>0</v>
      </c>
      <c r="AH579" s="145"/>
      <c r="AI579" s="153" t="s">
        <v>6</v>
      </c>
      <c r="AJ579" s="150">
        <f t="shared" si="27"/>
        <v>0</v>
      </c>
      <c r="AK579" s="154" t="s">
        <v>60</v>
      </c>
    </row>
    <row r="580" spans="1:37" ht="30" customHeight="1">
      <c r="A580" s="64"/>
      <c r="B580" s="64"/>
      <c r="C580" s="64"/>
      <c r="D580" s="64"/>
      <c r="E580" s="64"/>
      <c r="F580" s="64"/>
      <c r="G580" s="64"/>
      <c r="H580" s="64"/>
      <c r="I580" s="64"/>
      <c r="J580" s="64"/>
      <c r="K580" s="64"/>
      <c r="L580" s="64"/>
      <c r="M580" s="64"/>
      <c r="N580" s="194"/>
      <c r="O580" s="157"/>
      <c r="P580" s="92"/>
      <c r="Q580" s="145"/>
      <c r="R580" s="92"/>
      <c r="S580" s="145"/>
      <c r="T580" s="92"/>
      <c r="U580" s="145"/>
      <c r="V580" s="92"/>
      <c r="W580" s="145"/>
      <c r="X580" s="92"/>
      <c r="Y580" s="145"/>
      <c r="Z580" s="92"/>
      <c r="AA580" s="145"/>
      <c r="AB580" s="92"/>
      <c r="AC580" s="145"/>
      <c r="AD580" s="92"/>
      <c r="AE580" s="145"/>
      <c r="AF580" s="142" t="str">
        <f t="shared" si="29"/>
        <v/>
      </c>
      <c r="AG580" s="190" t="b">
        <f t="shared" si="28"/>
        <v>0</v>
      </c>
      <c r="AH580" s="145"/>
      <c r="AI580" s="153" t="s">
        <v>6</v>
      </c>
      <c r="AJ580" s="150">
        <f t="shared" si="27"/>
        <v>0</v>
      </c>
      <c r="AK580" s="154" t="s">
        <v>60</v>
      </c>
    </row>
    <row r="581" spans="1:37" ht="30" customHeight="1">
      <c r="A581" s="64"/>
      <c r="B581" s="64"/>
      <c r="C581" s="64"/>
      <c r="D581" s="64"/>
      <c r="E581" s="64"/>
      <c r="F581" s="64"/>
      <c r="G581" s="64"/>
      <c r="H581" s="64"/>
      <c r="I581" s="64"/>
      <c r="J581" s="64"/>
      <c r="K581" s="64"/>
      <c r="L581" s="64"/>
      <c r="M581" s="64"/>
      <c r="N581" s="194"/>
      <c r="O581" s="157"/>
      <c r="P581" s="92"/>
      <c r="Q581" s="145"/>
      <c r="R581" s="92"/>
      <c r="S581" s="145"/>
      <c r="T581" s="92"/>
      <c r="U581" s="145"/>
      <c r="V581" s="92"/>
      <c r="W581" s="145"/>
      <c r="X581" s="92"/>
      <c r="Y581" s="145"/>
      <c r="Z581" s="92"/>
      <c r="AA581" s="145"/>
      <c r="AB581" s="92"/>
      <c r="AC581" s="145"/>
      <c r="AD581" s="92"/>
      <c r="AE581" s="145"/>
      <c r="AF581" s="142" t="str">
        <f t="shared" si="29"/>
        <v/>
      </c>
      <c r="AG581" s="190" t="b">
        <f t="shared" si="28"/>
        <v>0</v>
      </c>
      <c r="AH581" s="145"/>
      <c r="AI581" s="153" t="s">
        <v>6</v>
      </c>
      <c r="AJ581" s="150">
        <f t="shared" si="27"/>
        <v>0</v>
      </c>
      <c r="AK581" s="154" t="s">
        <v>60</v>
      </c>
    </row>
    <row r="582" spans="1:37" ht="30" customHeight="1">
      <c r="A582" s="64"/>
      <c r="B582" s="64"/>
      <c r="C582" s="64"/>
      <c r="D582" s="64"/>
      <c r="E582" s="64"/>
      <c r="F582" s="64"/>
      <c r="G582" s="64"/>
      <c r="H582" s="64"/>
      <c r="I582" s="64"/>
      <c r="J582" s="64"/>
      <c r="K582" s="64"/>
      <c r="L582" s="64"/>
      <c r="M582" s="64"/>
      <c r="N582" s="194"/>
      <c r="O582" s="157"/>
      <c r="P582" s="92"/>
      <c r="Q582" s="145"/>
      <c r="R582" s="92"/>
      <c r="S582" s="145"/>
      <c r="T582" s="92"/>
      <c r="U582" s="145"/>
      <c r="V582" s="92"/>
      <c r="W582" s="145"/>
      <c r="X582" s="92"/>
      <c r="Y582" s="145"/>
      <c r="Z582" s="92"/>
      <c r="AA582" s="145"/>
      <c r="AB582" s="92"/>
      <c r="AC582" s="145"/>
      <c r="AD582" s="92"/>
      <c r="AE582" s="145"/>
      <c r="AF582" s="142" t="str">
        <f t="shared" si="29"/>
        <v/>
      </c>
      <c r="AG582" s="190" t="b">
        <f t="shared" si="28"/>
        <v>0</v>
      </c>
      <c r="AH582" s="145"/>
      <c r="AI582" s="153" t="s">
        <v>6</v>
      </c>
      <c r="AJ582" s="150">
        <f t="shared" si="27"/>
        <v>0</v>
      </c>
      <c r="AK582" s="154" t="s">
        <v>60</v>
      </c>
    </row>
    <row r="583" spans="1:37" ht="30" customHeight="1">
      <c r="A583" s="64"/>
      <c r="B583" s="64"/>
      <c r="C583" s="64"/>
      <c r="D583" s="64"/>
      <c r="E583" s="64"/>
      <c r="F583" s="64"/>
      <c r="G583" s="64"/>
      <c r="H583" s="64"/>
      <c r="I583" s="64"/>
      <c r="J583" s="64"/>
      <c r="K583" s="64"/>
      <c r="L583" s="64"/>
      <c r="M583" s="64"/>
      <c r="N583" s="194"/>
      <c r="O583" s="157"/>
      <c r="P583" s="92"/>
      <c r="Q583" s="145"/>
      <c r="R583" s="92"/>
      <c r="S583" s="145"/>
      <c r="T583" s="92"/>
      <c r="U583" s="145"/>
      <c r="V583" s="92"/>
      <c r="W583" s="145"/>
      <c r="X583" s="92"/>
      <c r="Y583" s="145"/>
      <c r="Z583" s="92"/>
      <c r="AA583" s="145"/>
      <c r="AB583" s="92"/>
      <c r="AC583" s="145"/>
      <c r="AD583" s="92"/>
      <c r="AE583" s="145"/>
      <c r="AF583" s="142" t="str">
        <f t="shared" si="29"/>
        <v/>
      </c>
      <c r="AG583" s="190" t="b">
        <f t="shared" si="28"/>
        <v>0</v>
      </c>
      <c r="AH583" s="145"/>
      <c r="AI583" s="153" t="s">
        <v>6</v>
      </c>
      <c r="AJ583" s="150">
        <f t="shared" ref="AJ583:AJ646" si="30">E583</f>
        <v>0</v>
      </c>
      <c r="AK583" s="154" t="s">
        <v>60</v>
      </c>
    </row>
    <row r="584" spans="1:37" ht="30" customHeight="1">
      <c r="A584" s="64"/>
      <c r="B584" s="64"/>
      <c r="C584" s="64"/>
      <c r="D584" s="64"/>
      <c r="E584" s="64"/>
      <c r="F584" s="64"/>
      <c r="G584" s="64"/>
      <c r="H584" s="64"/>
      <c r="I584" s="64"/>
      <c r="J584" s="64"/>
      <c r="K584" s="64"/>
      <c r="L584" s="64"/>
      <c r="M584" s="64"/>
      <c r="N584" s="194"/>
      <c r="O584" s="157"/>
      <c r="P584" s="92"/>
      <c r="Q584" s="145"/>
      <c r="R584" s="92"/>
      <c r="S584" s="145"/>
      <c r="T584" s="92"/>
      <c r="U584" s="145"/>
      <c r="V584" s="92"/>
      <c r="W584" s="145"/>
      <c r="X584" s="92"/>
      <c r="Y584" s="145"/>
      <c r="Z584" s="92"/>
      <c r="AA584" s="145"/>
      <c r="AB584" s="92"/>
      <c r="AC584" s="145"/>
      <c r="AD584" s="92"/>
      <c r="AE584" s="145"/>
      <c r="AF584" s="142" t="str">
        <f t="shared" si="29"/>
        <v/>
      </c>
      <c r="AG584" s="190" t="b">
        <f t="shared" si="28"/>
        <v>0</v>
      </c>
      <c r="AH584" s="145"/>
      <c r="AI584" s="153" t="s">
        <v>6</v>
      </c>
      <c r="AJ584" s="150">
        <f t="shared" si="30"/>
        <v>0</v>
      </c>
      <c r="AK584" s="154" t="s">
        <v>60</v>
      </c>
    </row>
    <row r="585" spans="1:37" ht="30" customHeight="1">
      <c r="A585" s="64"/>
      <c r="B585" s="64"/>
      <c r="C585" s="64"/>
      <c r="D585" s="64"/>
      <c r="E585" s="64"/>
      <c r="F585" s="64"/>
      <c r="G585" s="64"/>
      <c r="H585" s="64"/>
      <c r="I585" s="64"/>
      <c r="J585" s="64"/>
      <c r="K585" s="64"/>
      <c r="L585" s="64"/>
      <c r="M585" s="64"/>
      <c r="N585" s="194"/>
      <c r="O585" s="157"/>
      <c r="P585" s="92"/>
      <c r="Q585" s="145"/>
      <c r="R585" s="92"/>
      <c r="S585" s="145"/>
      <c r="T585" s="92"/>
      <c r="U585" s="145"/>
      <c r="V585" s="92"/>
      <c r="W585" s="145"/>
      <c r="X585" s="92"/>
      <c r="Y585" s="145"/>
      <c r="Z585" s="92"/>
      <c r="AA585" s="145"/>
      <c r="AB585" s="92"/>
      <c r="AC585" s="145"/>
      <c r="AD585" s="92"/>
      <c r="AE585" s="145"/>
      <c r="AF585" s="142" t="str">
        <f t="shared" si="29"/>
        <v/>
      </c>
      <c r="AG585" s="190" t="b">
        <f t="shared" si="28"/>
        <v>0</v>
      </c>
      <c r="AH585" s="145"/>
      <c r="AI585" s="153" t="s">
        <v>6</v>
      </c>
      <c r="AJ585" s="150">
        <f t="shared" si="30"/>
        <v>0</v>
      </c>
      <c r="AK585" s="154" t="s">
        <v>60</v>
      </c>
    </row>
    <row r="586" spans="1:37" ht="30" customHeight="1">
      <c r="A586" s="64"/>
      <c r="B586" s="64"/>
      <c r="C586" s="64"/>
      <c r="D586" s="64"/>
      <c r="E586" s="64"/>
      <c r="F586" s="64"/>
      <c r="G586" s="64"/>
      <c r="H586" s="64"/>
      <c r="I586" s="64"/>
      <c r="J586" s="64"/>
      <c r="K586" s="64"/>
      <c r="L586" s="64"/>
      <c r="M586" s="64"/>
      <c r="N586" s="194"/>
      <c r="O586" s="157"/>
      <c r="P586" s="92"/>
      <c r="Q586" s="145"/>
      <c r="R586" s="92"/>
      <c r="S586" s="145"/>
      <c r="T586" s="92"/>
      <c r="U586" s="145"/>
      <c r="V586" s="92"/>
      <c r="W586" s="145"/>
      <c r="X586" s="92"/>
      <c r="Y586" s="145"/>
      <c r="Z586" s="92"/>
      <c r="AA586" s="145"/>
      <c r="AB586" s="92"/>
      <c r="AC586" s="145"/>
      <c r="AD586" s="92"/>
      <c r="AE586" s="145"/>
      <c r="AF586" s="142" t="str">
        <f t="shared" si="29"/>
        <v/>
      </c>
      <c r="AG586" s="190" t="b">
        <f t="shared" si="28"/>
        <v>0</v>
      </c>
      <c r="AH586" s="145"/>
      <c r="AI586" s="153" t="s">
        <v>6</v>
      </c>
      <c r="AJ586" s="150">
        <f t="shared" si="30"/>
        <v>0</v>
      </c>
      <c r="AK586" s="154" t="s">
        <v>60</v>
      </c>
    </row>
    <row r="587" spans="1:37" ht="30" customHeight="1">
      <c r="A587" s="64"/>
      <c r="B587" s="64"/>
      <c r="C587" s="64"/>
      <c r="D587" s="64"/>
      <c r="E587" s="64"/>
      <c r="F587" s="64"/>
      <c r="G587" s="64"/>
      <c r="H587" s="64"/>
      <c r="I587" s="64"/>
      <c r="J587" s="64"/>
      <c r="K587" s="64"/>
      <c r="L587" s="64"/>
      <c r="M587" s="64"/>
      <c r="N587" s="194"/>
      <c r="O587" s="157"/>
      <c r="P587" s="92"/>
      <c r="Q587" s="145"/>
      <c r="R587" s="92"/>
      <c r="S587" s="145"/>
      <c r="T587" s="92"/>
      <c r="U587" s="145"/>
      <c r="V587" s="92"/>
      <c r="W587" s="145"/>
      <c r="X587" s="92"/>
      <c r="Y587" s="145"/>
      <c r="Z587" s="92"/>
      <c r="AA587" s="145"/>
      <c r="AB587" s="92"/>
      <c r="AC587" s="145"/>
      <c r="AD587" s="92"/>
      <c r="AE587" s="145"/>
      <c r="AF587" s="142" t="str">
        <f t="shared" si="29"/>
        <v/>
      </c>
      <c r="AG587" s="190" t="b">
        <f t="shared" si="28"/>
        <v>0</v>
      </c>
      <c r="AH587" s="145"/>
      <c r="AI587" s="153" t="s">
        <v>6</v>
      </c>
      <c r="AJ587" s="150">
        <f t="shared" si="30"/>
        <v>0</v>
      </c>
      <c r="AK587" s="154" t="s">
        <v>60</v>
      </c>
    </row>
    <row r="588" spans="1:37" ht="30" customHeight="1">
      <c r="A588" s="64"/>
      <c r="B588" s="64"/>
      <c r="C588" s="64"/>
      <c r="D588" s="64"/>
      <c r="E588" s="64"/>
      <c r="F588" s="64"/>
      <c r="G588" s="64"/>
      <c r="H588" s="64"/>
      <c r="I588" s="64"/>
      <c r="J588" s="64"/>
      <c r="K588" s="64"/>
      <c r="L588" s="64"/>
      <c r="M588" s="64"/>
      <c r="N588" s="194"/>
      <c r="O588" s="157"/>
      <c r="P588" s="92"/>
      <c r="Q588" s="145"/>
      <c r="R588" s="92"/>
      <c r="S588" s="145"/>
      <c r="T588" s="92"/>
      <c r="U588" s="145"/>
      <c r="V588" s="92"/>
      <c r="W588" s="145"/>
      <c r="X588" s="92"/>
      <c r="Y588" s="145"/>
      <c r="Z588" s="92"/>
      <c r="AA588" s="145"/>
      <c r="AB588" s="92"/>
      <c r="AC588" s="145"/>
      <c r="AD588" s="92"/>
      <c r="AE588" s="145"/>
      <c r="AF588" s="142" t="str">
        <f t="shared" si="29"/>
        <v/>
      </c>
      <c r="AG588" s="190" t="b">
        <f t="shared" si="28"/>
        <v>0</v>
      </c>
      <c r="AH588" s="145"/>
      <c r="AI588" s="153" t="s">
        <v>6</v>
      </c>
      <c r="AJ588" s="150">
        <f t="shared" si="30"/>
        <v>0</v>
      </c>
      <c r="AK588" s="154" t="s">
        <v>60</v>
      </c>
    </row>
    <row r="589" spans="1:37" ht="30" customHeight="1">
      <c r="A589" s="64"/>
      <c r="B589" s="64"/>
      <c r="C589" s="64"/>
      <c r="D589" s="64"/>
      <c r="E589" s="64"/>
      <c r="F589" s="64"/>
      <c r="G589" s="64"/>
      <c r="H589" s="64"/>
      <c r="I589" s="64"/>
      <c r="J589" s="64"/>
      <c r="K589" s="64"/>
      <c r="L589" s="64"/>
      <c r="M589" s="64"/>
      <c r="N589" s="194"/>
      <c r="O589" s="157"/>
      <c r="P589" s="92"/>
      <c r="Q589" s="145"/>
      <c r="R589" s="92"/>
      <c r="S589" s="145"/>
      <c r="T589" s="92"/>
      <c r="U589" s="145"/>
      <c r="V589" s="92"/>
      <c r="W589" s="145"/>
      <c r="X589" s="92"/>
      <c r="Y589" s="145"/>
      <c r="Z589" s="92"/>
      <c r="AA589" s="145"/>
      <c r="AB589" s="92"/>
      <c r="AC589" s="145"/>
      <c r="AD589" s="92"/>
      <c r="AE589" s="145"/>
      <c r="AF589" s="142" t="str">
        <f t="shared" si="29"/>
        <v/>
      </c>
      <c r="AG589" s="190" t="b">
        <f t="shared" si="28"/>
        <v>0</v>
      </c>
      <c r="AH589" s="145"/>
      <c r="AI589" s="153" t="s">
        <v>6</v>
      </c>
      <c r="AJ589" s="150">
        <f t="shared" si="30"/>
        <v>0</v>
      </c>
      <c r="AK589" s="154" t="s">
        <v>60</v>
      </c>
    </row>
    <row r="590" spans="1:37" ht="30" customHeight="1">
      <c r="A590" s="64"/>
      <c r="B590" s="64"/>
      <c r="C590" s="64"/>
      <c r="D590" s="64"/>
      <c r="E590" s="64"/>
      <c r="F590" s="64"/>
      <c r="G590" s="64"/>
      <c r="H590" s="64"/>
      <c r="I590" s="64"/>
      <c r="J590" s="64"/>
      <c r="K590" s="64"/>
      <c r="L590" s="64"/>
      <c r="M590" s="64"/>
      <c r="N590" s="194"/>
      <c r="O590" s="157"/>
      <c r="P590" s="92"/>
      <c r="Q590" s="145"/>
      <c r="R590" s="92"/>
      <c r="S590" s="145"/>
      <c r="T590" s="92"/>
      <c r="U590" s="145"/>
      <c r="V590" s="92"/>
      <c r="W590" s="145"/>
      <c r="X590" s="92"/>
      <c r="Y590" s="145"/>
      <c r="Z590" s="92"/>
      <c r="AA590" s="145"/>
      <c r="AB590" s="92"/>
      <c r="AC590" s="145"/>
      <c r="AD590" s="92"/>
      <c r="AE590" s="145"/>
      <c r="AF590" s="142" t="str">
        <f t="shared" si="29"/>
        <v/>
      </c>
      <c r="AG590" s="190" t="b">
        <f t="shared" si="28"/>
        <v>0</v>
      </c>
      <c r="AH590" s="145"/>
      <c r="AI590" s="153" t="s">
        <v>6</v>
      </c>
      <c r="AJ590" s="150">
        <f t="shared" si="30"/>
        <v>0</v>
      </c>
      <c r="AK590" s="154" t="s">
        <v>60</v>
      </c>
    </row>
    <row r="591" spans="1:37" ht="30" customHeight="1">
      <c r="A591" s="64"/>
      <c r="B591" s="64"/>
      <c r="C591" s="64"/>
      <c r="D591" s="64"/>
      <c r="E591" s="64"/>
      <c r="F591" s="64"/>
      <c r="G591" s="64"/>
      <c r="H591" s="64"/>
      <c r="I591" s="64"/>
      <c r="J591" s="64"/>
      <c r="K591" s="64"/>
      <c r="L591" s="64"/>
      <c r="M591" s="64"/>
      <c r="N591" s="194"/>
      <c r="O591" s="157"/>
      <c r="P591" s="92"/>
      <c r="Q591" s="145"/>
      <c r="R591" s="92"/>
      <c r="S591" s="145"/>
      <c r="T591" s="92"/>
      <c r="U591" s="145"/>
      <c r="V591" s="92"/>
      <c r="W591" s="145"/>
      <c r="X591" s="92"/>
      <c r="Y591" s="145"/>
      <c r="Z591" s="92"/>
      <c r="AA591" s="145"/>
      <c r="AB591" s="92"/>
      <c r="AC591" s="145"/>
      <c r="AD591" s="92"/>
      <c r="AE591" s="145"/>
      <c r="AF591" s="142" t="str">
        <f t="shared" si="29"/>
        <v/>
      </c>
      <c r="AG591" s="190" t="b">
        <f t="shared" si="28"/>
        <v>0</v>
      </c>
      <c r="AH591" s="145"/>
      <c r="AI591" s="153" t="s">
        <v>6</v>
      </c>
      <c r="AJ591" s="150">
        <f t="shared" si="30"/>
        <v>0</v>
      </c>
      <c r="AK591" s="154" t="s">
        <v>60</v>
      </c>
    </row>
    <row r="592" spans="1:37" ht="30" customHeight="1">
      <c r="A592" s="64"/>
      <c r="B592" s="64"/>
      <c r="C592" s="64"/>
      <c r="D592" s="64"/>
      <c r="E592" s="64"/>
      <c r="F592" s="64"/>
      <c r="G592" s="64"/>
      <c r="H592" s="64"/>
      <c r="I592" s="64"/>
      <c r="J592" s="64"/>
      <c r="K592" s="64"/>
      <c r="L592" s="64"/>
      <c r="M592" s="64"/>
      <c r="N592" s="194"/>
      <c r="O592" s="157"/>
      <c r="P592" s="92"/>
      <c r="Q592" s="145"/>
      <c r="R592" s="92"/>
      <c r="S592" s="145"/>
      <c r="T592" s="92"/>
      <c r="U592" s="145"/>
      <c r="V592" s="92"/>
      <c r="W592" s="145"/>
      <c r="X592" s="92"/>
      <c r="Y592" s="145"/>
      <c r="Z592" s="92"/>
      <c r="AA592" s="145"/>
      <c r="AB592" s="92"/>
      <c r="AC592" s="145"/>
      <c r="AD592" s="92"/>
      <c r="AE592" s="145"/>
      <c r="AF592" s="142" t="str">
        <f t="shared" si="29"/>
        <v/>
      </c>
      <c r="AG592" s="190" t="b">
        <f t="shared" si="28"/>
        <v>0</v>
      </c>
      <c r="AH592" s="145"/>
      <c r="AI592" s="153" t="s">
        <v>6</v>
      </c>
      <c r="AJ592" s="150">
        <f t="shared" si="30"/>
        <v>0</v>
      </c>
      <c r="AK592" s="154" t="s">
        <v>60</v>
      </c>
    </row>
    <row r="593" spans="1:37" ht="30" customHeight="1">
      <c r="A593" s="64"/>
      <c r="B593" s="64"/>
      <c r="C593" s="64"/>
      <c r="D593" s="64"/>
      <c r="E593" s="64"/>
      <c r="F593" s="64"/>
      <c r="G593" s="64"/>
      <c r="H593" s="64"/>
      <c r="I593" s="64"/>
      <c r="J593" s="64"/>
      <c r="K593" s="64"/>
      <c r="L593" s="64"/>
      <c r="M593" s="64"/>
      <c r="N593" s="194"/>
      <c r="O593" s="157"/>
      <c r="P593" s="92"/>
      <c r="Q593" s="145"/>
      <c r="R593" s="92"/>
      <c r="S593" s="145"/>
      <c r="T593" s="92"/>
      <c r="U593" s="145"/>
      <c r="V593" s="92"/>
      <c r="W593" s="145"/>
      <c r="X593" s="92"/>
      <c r="Y593" s="145"/>
      <c r="Z593" s="92"/>
      <c r="AA593" s="145"/>
      <c r="AB593" s="92"/>
      <c r="AC593" s="145"/>
      <c r="AD593" s="92"/>
      <c r="AE593" s="145"/>
      <c r="AF593" s="142" t="str">
        <f t="shared" si="29"/>
        <v/>
      </c>
      <c r="AG593" s="190" t="b">
        <f t="shared" si="28"/>
        <v>0</v>
      </c>
      <c r="AH593" s="145"/>
      <c r="AI593" s="153" t="s">
        <v>6</v>
      </c>
      <c r="AJ593" s="150">
        <f t="shared" si="30"/>
        <v>0</v>
      </c>
      <c r="AK593" s="154" t="s">
        <v>60</v>
      </c>
    </row>
    <row r="594" spans="1:37" ht="30" customHeight="1">
      <c r="A594" s="64"/>
      <c r="B594" s="64"/>
      <c r="C594" s="64"/>
      <c r="D594" s="64"/>
      <c r="E594" s="64"/>
      <c r="F594" s="64"/>
      <c r="G594" s="64"/>
      <c r="H594" s="64"/>
      <c r="I594" s="64"/>
      <c r="J594" s="64"/>
      <c r="K594" s="64"/>
      <c r="L594" s="64"/>
      <c r="M594" s="64"/>
      <c r="N594" s="194"/>
      <c r="O594" s="157"/>
      <c r="P594" s="92"/>
      <c r="Q594" s="145"/>
      <c r="R594" s="92"/>
      <c r="S594" s="145"/>
      <c r="T594" s="92"/>
      <c r="U594" s="145"/>
      <c r="V594" s="92"/>
      <c r="W594" s="145"/>
      <c r="X594" s="92"/>
      <c r="Y594" s="145"/>
      <c r="Z594" s="92"/>
      <c r="AA594" s="145"/>
      <c r="AB594" s="92"/>
      <c r="AC594" s="145"/>
      <c r="AD594" s="92"/>
      <c r="AE594" s="145"/>
      <c r="AF594" s="142" t="str">
        <f t="shared" si="29"/>
        <v/>
      </c>
      <c r="AG594" s="190" t="b">
        <f t="shared" si="28"/>
        <v>0</v>
      </c>
      <c r="AH594" s="145"/>
      <c r="AI594" s="153" t="s">
        <v>6</v>
      </c>
      <c r="AJ594" s="150">
        <f t="shared" si="30"/>
        <v>0</v>
      </c>
      <c r="AK594" s="154" t="s">
        <v>60</v>
      </c>
    </row>
    <row r="595" spans="1:37" ht="30" customHeight="1">
      <c r="A595" s="64"/>
      <c r="B595" s="64"/>
      <c r="C595" s="64"/>
      <c r="D595" s="64"/>
      <c r="E595" s="64"/>
      <c r="F595" s="64"/>
      <c r="G595" s="64"/>
      <c r="H595" s="64"/>
      <c r="I595" s="64"/>
      <c r="J595" s="64"/>
      <c r="K595" s="64"/>
      <c r="L595" s="64"/>
      <c r="M595" s="64"/>
      <c r="N595" s="194"/>
      <c r="O595" s="157"/>
      <c r="P595" s="92"/>
      <c r="Q595" s="145"/>
      <c r="R595" s="92"/>
      <c r="S595" s="145"/>
      <c r="T595" s="92"/>
      <c r="U595" s="145"/>
      <c r="V595" s="92"/>
      <c r="W595" s="145"/>
      <c r="X595" s="92"/>
      <c r="Y595" s="145"/>
      <c r="Z595" s="92"/>
      <c r="AA595" s="145"/>
      <c r="AB595" s="92"/>
      <c r="AC595" s="145"/>
      <c r="AD595" s="92"/>
      <c r="AE595" s="145"/>
      <c r="AF595" s="142" t="str">
        <f t="shared" si="29"/>
        <v/>
      </c>
      <c r="AG595" s="190" t="b">
        <f t="shared" si="28"/>
        <v>0</v>
      </c>
      <c r="AH595" s="145"/>
      <c r="AI595" s="153" t="s">
        <v>6</v>
      </c>
      <c r="AJ595" s="150">
        <f t="shared" si="30"/>
        <v>0</v>
      </c>
      <c r="AK595" s="154" t="s">
        <v>60</v>
      </c>
    </row>
    <row r="596" spans="1:37" ht="30" customHeight="1">
      <c r="A596" s="64"/>
      <c r="B596" s="64"/>
      <c r="C596" s="64"/>
      <c r="D596" s="64"/>
      <c r="E596" s="64"/>
      <c r="F596" s="64"/>
      <c r="G596" s="64"/>
      <c r="H596" s="64"/>
      <c r="I596" s="64"/>
      <c r="J596" s="64"/>
      <c r="K596" s="64"/>
      <c r="L596" s="64"/>
      <c r="M596" s="64"/>
      <c r="N596" s="194"/>
      <c r="O596" s="157"/>
      <c r="P596" s="92"/>
      <c r="Q596" s="145"/>
      <c r="R596" s="92"/>
      <c r="S596" s="145"/>
      <c r="T596" s="92"/>
      <c r="U596" s="145"/>
      <c r="V596" s="92"/>
      <c r="W596" s="145"/>
      <c r="X596" s="92"/>
      <c r="Y596" s="145"/>
      <c r="Z596" s="92"/>
      <c r="AA596" s="145"/>
      <c r="AB596" s="92"/>
      <c r="AC596" s="145"/>
      <c r="AD596" s="92"/>
      <c r="AE596" s="145"/>
      <c r="AF596" s="142" t="str">
        <f t="shared" si="29"/>
        <v/>
      </c>
      <c r="AG596" s="190" t="b">
        <f t="shared" si="28"/>
        <v>0</v>
      </c>
      <c r="AH596" s="145"/>
      <c r="AI596" s="153" t="s">
        <v>6</v>
      </c>
      <c r="AJ596" s="150">
        <f t="shared" si="30"/>
        <v>0</v>
      </c>
      <c r="AK596" s="154" t="s">
        <v>60</v>
      </c>
    </row>
    <row r="597" spans="1:37" ht="30" customHeight="1">
      <c r="A597" s="64"/>
      <c r="B597" s="64"/>
      <c r="C597" s="64"/>
      <c r="D597" s="64"/>
      <c r="E597" s="64"/>
      <c r="F597" s="64"/>
      <c r="G597" s="64"/>
      <c r="H597" s="64"/>
      <c r="I597" s="64"/>
      <c r="J597" s="64"/>
      <c r="K597" s="64"/>
      <c r="L597" s="64"/>
      <c r="M597" s="64"/>
      <c r="N597" s="194"/>
      <c r="O597" s="157"/>
      <c r="P597" s="92"/>
      <c r="Q597" s="145"/>
      <c r="R597" s="92"/>
      <c r="S597" s="145"/>
      <c r="T597" s="92"/>
      <c r="U597" s="145"/>
      <c r="V597" s="92"/>
      <c r="W597" s="145"/>
      <c r="X597" s="92"/>
      <c r="Y597" s="145"/>
      <c r="Z597" s="92"/>
      <c r="AA597" s="145"/>
      <c r="AB597" s="92"/>
      <c r="AC597" s="145"/>
      <c r="AD597" s="92"/>
      <c r="AE597" s="145"/>
      <c r="AF597" s="142" t="str">
        <f t="shared" si="29"/>
        <v/>
      </c>
      <c r="AG597" s="190" t="b">
        <f t="shared" si="28"/>
        <v>0</v>
      </c>
      <c r="AH597" s="145"/>
      <c r="AI597" s="153" t="s">
        <v>6</v>
      </c>
      <c r="AJ597" s="150">
        <f t="shared" si="30"/>
        <v>0</v>
      </c>
      <c r="AK597" s="154" t="s">
        <v>60</v>
      </c>
    </row>
    <row r="598" spans="1:37" ht="30" customHeight="1">
      <c r="A598" s="64"/>
      <c r="B598" s="64"/>
      <c r="C598" s="64"/>
      <c r="D598" s="64"/>
      <c r="E598" s="64"/>
      <c r="F598" s="64"/>
      <c r="G598" s="64"/>
      <c r="H598" s="64"/>
      <c r="I598" s="64"/>
      <c r="J598" s="64"/>
      <c r="K598" s="64"/>
      <c r="L598" s="64"/>
      <c r="M598" s="64"/>
      <c r="N598" s="194"/>
      <c r="O598" s="157"/>
      <c r="P598" s="92"/>
      <c r="Q598" s="145"/>
      <c r="R598" s="92"/>
      <c r="S598" s="145"/>
      <c r="T598" s="92"/>
      <c r="U598" s="145"/>
      <c r="V598" s="92"/>
      <c r="W598" s="145"/>
      <c r="X598" s="92"/>
      <c r="Y598" s="145"/>
      <c r="Z598" s="92"/>
      <c r="AA598" s="145"/>
      <c r="AB598" s="92"/>
      <c r="AC598" s="145"/>
      <c r="AD598" s="92"/>
      <c r="AE598" s="145"/>
      <c r="AF598" s="142" t="str">
        <f t="shared" si="29"/>
        <v/>
      </c>
      <c r="AG598" s="190" t="b">
        <f t="shared" si="28"/>
        <v>0</v>
      </c>
      <c r="AH598" s="145"/>
      <c r="AI598" s="153" t="s">
        <v>6</v>
      </c>
      <c r="AJ598" s="150">
        <f t="shared" si="30"/>
        <v>0</v>
      </c>
      <c r="AK598" s="154" t="s">
        <v>60</v>
      </c>
    </row>
    <row r="599" spans="1:37" ht="30" customHeight="1">
      <c r="A599" s="64"/>
      <c r="B599" s="64"/>
      <c r="C599" s="64"/>
      <c r="D599" s="64"/>
      <c r="E599" s="64"/>
      <c r="F599" s="64"/>
      <c r="G599" s="64"/>
      <c r="H599" s="64"/>
      <c r="I599" s="64"/>
      <c r="J599" s="64"/>
      <c r="K599" s="64"/>
      <c r="L599" s="64"/>
      <c r="M599" s="64"/>
      <c r="N599" s="194"/>
      <c r="O599" s="157"/>
      <c r="P599" s="92"/>
      <c r="Q599" s="145"/>
      <c r="R599" s="92"/>
      <c r="S599" s="145"/>
      <c r="T599" s="92"/>
      <c r="U599" s="145"/>
      <c r="V599" s="92"/>
      <c r="W599" s="145"/>
      <c r="X599" s="92"/>
      <c r="Y599" s="145"/>
      <c r="Z599" s="92"/>
      <c r="AA599" s="145"/>
      <c r="AB599" s="92"/>
      <c r="AC599" s="145"/>
      <c r="AD599" s="92"/>
      <c r="AE599" s="145"/>
      <c r="AF599" s="142" t="str">
        <f t="shared" si="29"/>
        <v/>
      </c>
      <c r="AG599" s="190" t="b">
        <f t="shared" si="28"/>
        <v>0</v>
      </c>
      <c r="AH599" s="145"/>
      <c r="AI599" s="153" t="s">
        <v>6</v>
      </c>
      <c r="AJ599" s="150">
        <f t="shared" si="30"/>
        <v>0</v>
      </c>
      <c r="AK599" s="154" t="s">
        <v>60</v>
      </c>
    </row>
    <row r="600" spans="1:37" ht="30" customHeight="1">
      <c r="A600" s="64"/>
      <c r="B600" s="64"/>
      <c r="C600" s="64"/>
      <c r="D600" s="64"/>
      <c r="E600" s="64"/>
      <c r="F600" s="64"/>
      <c r="G600" s="64"/>
      <c r="H600" s="64"/>
      <c r="I600" s="64"/>
      <c r="J600" s="64"/>
      <c r="K600" s="64"/>
      <c r="L600" s="64"/>
      <c r="M600" s="64"/>
      <c r="N600" s="194"/>
      <c r="O600" s="157"/>
      <c r="P600" s="92"/>
      <c r="Q600" s="145"/>
      <c r="R600" s="92"/>
      <c r="S600" s="145"/>
      <c r="T600" s="92"/>
      <c r="U600" s="145"/>
      <c r="V600" s="92"/>
      <c r="W600" s="145"/>
      <c r="X600" s="92"/>
      <c r="Y600" s="145"/>
      <c r="Z600" s="92"/>
      <c r="AA600" s="145"/>
      <c r="AB600" s="92"/>
      <c r="AC600" s="145"/>
      <c r="AD600" s="92"/>
      <c r="AE600" s="145"/>
      <c r="AF600" s="142" t="str">
        <f t="shared" si="29"/>
        <v/>
      </c>
      <c r="AG600" s="190" t="b">
        <f t="shared" si="28"/>
        <v>0</v>
      </c>
      <c r="AH600" s="145"/>
      <c r="AI600" s="153" t="s">
        <v>6</v>
      </c>
      <c r="AJ600" s="150">
        <f t="shared" si="30"/>
        <v>0</v>
      </c>
      <c r="AK600" s="154" t="s">
        <v>60</v>
      </c>
    </row>
    <row r="601" spans="1:37" ht="30" customHeight="1">
      <c r="A601" s="64"/>
      <c r="B601" s="64"/>
      <c r="C601" s="64"/>
      <c r="D601" s="64"/>
      <c r="E601" s="64"/>
      <c r="F601" s="64"/>
      <c r="G601" s="64"/>
      <c r="H601" s="64"/>
      <c r="I601" s="64"/>
      <c r="J601" s="64"/>
      <c r="K601" s="64"/>
      <c r="L601" s="64"/>
      <c r="M601" s="64"/>
      <c r="N601" s="194"/>
      <c r="O601" s="157"/>
      <c r="P601" s="92"/>
      <c r="Q601" s="145"/>
      <c r="R601" s="92"/>
      <c r="S601" s="145"/>
      <c r="T601" s="92"/>
      <c r="U601" s="145"/>
      <c r="V601" s="92"/>
      <c r="W601" s="145"/>
      <c r="X601" s="92"/>
      <c r="Y601" s="145"/>
      <c r="Z601" s="92"/>
      <c r="AA601" s="145"/>
      <c r="AB601" s="92"/>
      <c r="AC601" s="145"/>
      <c r="AD601" s="92"/>
      <c r="AE601" s="145"/>
      <c r="AF601" s="142" t="str">
        <f t="shared" si="29"/>
        <v/>
      </c>
      <c r="AG601" s="190" t="b">
        <f t="shared" si="28"/>
        <v>0</v>
      </c>
      <c r="AH601" s="145"/>
      <c r="AI601" s="153" t="s">
        <v>6</v>
      </c>
      <c r="AJ601" s="150">
        <f t="shared" si="30"/>
        <v>0</v>
      </c>
      <c r="AK601" s="154" t="s">
        <v>60</v>
      </c>
    </row>
    <row r="602" spans="1:37" ht="30" customHeight="1">
      <c r="A602" s="64"/>
      <c r="B602" s="64"/>
      <c r="C602" s="64"/>
      <c r="D602" s="64"/>
      <c r="E602" s="64"/>
      <c r="F602" s="64"/>
      <c r="G602" s="64"/>
      <c r="H602" s="64"/>
      <c r="I602" s="64"/>
      <c r="J602" s="64"/>
      <c r="K602" s="64"/>
      <c r="L602" s="64"/>
      <c r="M602" s="64"/>
      <c r="N602" s="194"/>
      <c r="O602" s="157"/>
      <c r="P602" s="92"/>
      <c r="Q602" s="145"/>
      <c r="R602" s="92"/>
      <c r="S602" s="145"/>
      <c r="T602" s="92"/>
      <c r="U602" s="145"/>
      <c r="V602" s="92"/>
      <c r="W602" s="145"/>
      <c r="X602" s="92"/>
      <c r="Y602" s="145"/>
      <c r="Z602" s="92"/>
      <c r="AA602" s="145"/>
      <c r="AB602" s="92"/>
      <c r="AC602" s="145"/>
      <c r="AD602" s="92"/>
      <c r="AE602" s="145"/>
      <c r="AF602" s="142" t="str">
        <f t="shared" si="29"/>
        <v/>
      </c>
      <c r="AG602" s="190" t="b">
        <f t="shared" si="28"/>
        <v>0</v>
      </c>
      <c r="AH602" s="145"/>
      <c r="AI602" s="153" t="s">
        <v>6</v>
      </c>
      <c r="AJ602" s="150">
        <f t="shared" si="30"/>
        <v>0</v>
      </c>
      <c r="AK602" s="154" t="s">
        <v>60</v>
      </c>
    </row>
    <row r="603" spans="1:37" ht="30" customHeight="1">
      <c r="A603" s="64"/>
      <c r="B603" s="64"/>
      <c r="C603" s="64"/>
      <c r="D603" s="64"/>
      <c r="E603" s="64"/>
      <c r="F603" s="64"/>
      <c r="G603" s="64"/>
      <c r="H603" s="64"/>
      <c r="I603" s="64"/>
      <c r="J603" s="64"/>
      <c r="K603" s="64"/>
      <c r="L603" s="64"/>
      <c r="M603" s="64"/>
      <c r="N603" s="194"/>
      <c r="O603" s="157"/>
      <c r="P603" s="92"/>
      <c r="Q603" s="145"/>
      <c r="R603" s="92"/>
      <c r="S603" s="145"/>
      <c r="T603" s="92"/>
      <c r="U603" s="145"/>
      <c r="V603" s="92"/>
      <c r="W603" s="145"/>
      <c r="X603" s="92"/>
      <c r="Y603" s="145"/>
      <c r="Z603" s="92"/>
      <c r="AA603" s="145"/>
      <c r="AB603" s="92"/>
      <c r="AC603" s="145"/>
      <c r="AD603" s="92"/>
      <c r="AE603" s="145"/>
      <c r="AF603" s="142" t="str">
        <f t="shared" si="29"/>
        <v/>
      </c>
      <c r="AG603" s="190" t="b">
        <f t="shared" si="28"/>
        <v>0</v>
      </c>
      <c r="AH603" s="145"/>
      <c r="AI603" s="153" t="s">
        <v>6</v>
      </c>
      <c r="AJ603" s="150">
        <f t="shared" si="30"/>
        <v>0</v>
      </c>
      <c r="AK603" s="154" t="s">
        <v>60</v>
      </c>
    </row>
    <row r="604" spans="1:37" ht="30" customHeight="1">
      <c r="A604" s="64"/>
      <c r="B604" s="64"/>
      <c r="C604" s="64"/>
      <c r="D604" s="64"/>
      <c r="E604" s="64"/>
      <c r="F604" s="64"/>
      <c r="G604" s="64"/>
      <c r="H604" s="64"/>
      <c r="I604" s="64"/>
      <c r="J604" s="64"/>
      <c r="K604" s="64"/>
      <c r="L604" s="64"/>
      <c r="M604" s="64"/>
      <c r="N604" s="194"/>
      <c r="O604" s="157"/>
      <c r="P604" s="92"/>
      <c r="Q604" s="145"/>
      <c r="R604" s="92"/>
      <c r="S604" s="145"/>
      <c r="T604" s="92"/>
      <c r="U604" s="145"/>
      <c r="V604" s="92"/>
      <c r="W604" s="145"/>
      <c r="X604" s="92"/>
      <c r="Y604" s="145"/>
      <c r="Z604" s="92"/>
      <c r="AA604" s="145"/>
      <c r="AB604" s="92"/>
      <c r="AC604" s="145"/>
      <c r="AD604" s="92"/>
      <c r="AE604" s="145"/>
      <c r="AF604" s="142" t="str">
        <f t="shared" si="29"/>
        <v/>
      </c>
      <c r="AG604" s="190" t="b">
        <f t="shared" si="28"/>
        <v>0</v>
      </c>
      <c r="AH604" s="145"/>
      <c r="AI604" s="153" t="s">
        <v>6</v>
      </c>
      <c r="AJ604" s="150">
        <f t="shared" si="30"/>
        <v>0</v>
      </c>
      <c r="AK604" s="154" t="s">
        <v>60</v>
      </c>
    </row>
    <row r="605" spans="1:37" ht="30" customHeight="1">
      <c r="A605" s="64"/>
      <c r="B605" s="64"/>
      <c r="C605" s="64"/>
      <c r="D605" s="64"/>
      <c r="E605" s="64"/>
      <c r="F605" s="64"/>
      <c r="G605" s="64"/>
      <c r="H605" s="64"/>
      <c r="I605" s="64"/>
      <c r="J605" s="64"/>
      <c r="K605" s="64"/>
      <c r="L605" s="64"/>
      <c r="M605" s="64"/>
      <c r="N605" s="194"/>
      <c r="O605" s="157"/>
      <c r="P605" s="92"/>
      <c r="Q605" s="145"/>
      <c r="R605" s="92"/>
      <c r="S605" s="145"/>
      <c r="T605" s="92"/>
      <c r="U605" s="145"/>
      <c r="V605" s="92"/>
      <c r="W605" s="145"/>
      <c r="X605" s="92"/>
      <c r="Y605" s="145"/>
      <c r="Z605" s="92"/>
      <c r="AA605" s="145"/>
      <c r="AB605" s="92"/>
      <c r="AC605" s="145"/>
      <c r="AD605" s="92"/>
      <c r="AE605" s="145"/>
      <c r="AF605" s="142" t="str">
        <f t="shared" si="29"/>
        <v/>
      </c>
      <c r="AG605" s="190" t="b">
        <f t="shared" si="28"/>
        <v>0</v>
      </c>
      <c r="AH605" s="145"/>
      <c r="AI605" s="153" t="s">
        <v>6</v>
      </c>
      <c r="AJ605" s="150">
        <f t="shared" si="30"/>
        <v>0</v>
      </c>
      <c r="AK605" s="154" t="s">
        <v>60</v>
      </c>
    </row>
    <row r="606" spans="1:37" ht="30" customHeight="1">
      <c r="A606" s="64"/>
      <c r="B606" s="64"/>
      <c r="C606" s="64"/>
      <c r="D606" s="64"/>
      <c r="E606" s="64"/>
      <c r="F606" s="64"/>
      <c r="G606" s="64"/>
      <c r="H606" s="64"/>
      <c r="I606" s="64"/>
      <c r="J606" s="64"/>
      <c r="K606" s="64"/>
      <c r="L606" s="64"/>
      <c r="M606" s="64"/>
      <c r="N606" s="194"/>
      <c r="O606" s="157"/>
      <c r="P606" s="92"/>
      <c r="Q606" s="145"/>
      <c r="R606" s="92"/>
      <c r="S606" s="145"/>
      <c r="T606" s="92"/>
      <c r="U606" s="145"/>
      <c r="V606" s="92"/>
      <c r="W606" s="145"/>
      <c r="X606" s="92"/>
      <c r="Y606" s="145"/>
      <c r="Z606" s="92"/>
      <c r="AA606" s="145"/>
      <c r="AB606" s="92"/>
      <c r="AC606" s="145"/>
      <c r="AD606" s="92"/>
      <c r="AE606" s="145"/>
      <c r="AF606" s="142" t="str">
        <f t="shared" si="29"/>
        <v/>
      </c>
      <c r="AG606" s="190" t="b">
        <f t="shared" si="28"/>
        <v>0</v>
      </c>
      <c r="AH606" s="145"/>
      <c r="AI606" s="153" t="s">
        <v>6</v>
      </c>
      <c r="AJ606" s="150">
        <f t="shared" si="30"/>
        <v>0</v>
      </c>
      <c r="AK606" s="154" t="s">
        <v>60</v>
      </c>
    </row>
    <row r="607" spans="1:37" ht="30" customHeight="1">
      <c r="A607" s="64"/>
      <c r="B607" s="64"/>
      <c r="C607" s="64"/>
      <c r="D607" s="64"/>
      <c r="E607" s="64"/>
      <c r="F607" s="64"/>
      <c r="G607" s="64"/>
      <c r="H607" s="64"/>
      <c r="I607" s="64"/>
      <c r="J607" s="64"/>
      <c r="K607" s="64"/>
      <c r="L607" s="64"/>
      <c r="M607" s="64"/>
      <c r="N607" s="194"/>
      <c r="O607" s="157"/>
      <c r="P607" s="92"/>
      <c r="Q607" s="145"/>
      <c r="R607" s="92"/>
      <c r="S607" s="145"/>
      <c r="T607" s="92"/>
      <c r="U607" s="145"/>
      <c r="V607" s="92"/>
      <c r="W607" s="145"/>
      <c r="X607" s="92"/>
      <c r="Y607" s="145"/>
      <c r="Z607" s="92"/>
      <c r="AA607" s="145"/>
      <c r="AB607" s="92"/>
      <c r="AC607" s="145"/>
      <c r="AD607" s="92"/>
      <c r="AE607" s="145"/>
      <c r="AF607" s="142" t="str">
        <f t="shared" si="29"/>
        <v/>
      </c>
      <c r="AG607" s="190" t="b">
        <f t="shared" si="28"/>
        <v>0</v>
      </c>
      <c r="AH607" s="145"/>
      <c r="AI607" s="153" t="s">
        <v>6</v>
      </c>
      <c r="AJ607" s="150">
        <f t="shared" si="30"/>
        <v>0</v>
      </c>
      <c r="AK607" s="154" t="s">
        <v>60</v>
      </c>
    </row>
    <row r="608" spans="1:37" ht="30" customHeight="1">
      <c r="A608" s="64"/>
      <c r="B608" s="64"/>
      <c r="C608" s="64"/>
      <c r="D608" s="64"/>
      <c r="E608" s="64"/>
      <c r="F608" s="64"/>
      <c r="G608" s="64"/>
      <c r="H608" s="64"/>
      <c r="I608" s="64"/>
      <c r="J608" s="64"/>
      <c r="K608" s="64"/>
      <c r="L608" s="64"/>
      <c r="M608" s="64"/>
      <c r="N608" s="194"/>
      <c r="O608" s="157"/>
      <c r="P608" s="92"/>
      <c r="Q608" s="145"/>
      <c r="R608" s="92"/>
      <c r="S608" s="145"/>
      <c r="T608" s="92"/>
      <c r="U608" s="145"/>
      <c r="V608" s="92"/>
      <c r="W608" s="145"/>
      <c r="X608" s="92"/>
      <c r="Y608" s="145"/>
      <c r="Z608" s="92"/>
      <c r="AA608" s="145"/>
      <c r="AB608" s="92"/>
      <c r="AC608" s="145"/>
      <c r="AD608" s="92"/>
      <c r="AE608" s="145"/>
      <c r="AF608" s="142" t="str">
        <f t="shared" si="29"/>
        <v/>
      </c>
      <c r="AG608" s="190" t="b">
        <f t="shared" si="28"/>
        <v>0</v>
      </c>
      <c r="AH608" s="145"/>
      <c r="AI608" s="153" t="s">
        <v>6</v>
      </c>
      <c r="AJ608" s="150">
        <f t="shared" si="30"/>
        <v>0</v>
      </c>
      <c r="AK608" s="154" t="s">
        <v>60</v>
      </c>
    </row>
    <row r="609" spans="1:37" ht="30" customHeight="1">
      <c r="A609" s="64"/>
      <c r="B609" s="64"/>
      <c r="C609" s="64"/>
      <c r="D609" s="64"/>
      <c r="E609" s="64"/>
      <c r="F609" s="64"/>
      <c r="G609" s="64"/>
      <c r="H609" s="64"/>
      <c r="I609" s="64"/>
      <c r="J609" s="64"/>
      <c r="K609" s="64"/>
      <c r="L609" s="64"/>
      <c r="M609" s="64"/>
      <c r="N609" s="194"/>
      <c r="O609" s="157"/>
      <c r="P609" s="92"/>
      <c r="Q609" s="145"/>
      <c r="R609" s="92"/>
      <c r="S609" s="145"/>
      <c r="T609" s="92"/>
      <c r="U609" s="145"/>
      <c r="V609" s="92"/>
      <c r="W609" s="145"/>
      <c r="X609" s="92"/>
      <c r="Y609" s="145"/>
      <c r="Z609" s="92"/>
      <c r="AA609" s="145"/>
      <c r="AB609" s="92"/>
      <c r="AC609" s="145"/>
      <c r="AD609" s="92"/>
      <c r="AE609" s="145"/>
      <c r="AF609" s="142" t="str">
        <f t="shared" si="29"/>
        <v/>
      </c>
      <c r="AG609" s="190" t="b">
        <f t="shared" si="28"/>
        <v>0</v>
      </c>
      <c r="AH609" s="145"/>
      <c r="AI609" s="153" t="s">
        <v>6</v>
      </c>
      <c r="AJ609" s="150">
        <f t="shared" si="30"/>
        <v>0</v>
      </c>
      <c r="AK609" s="154" t="s">
        <v>60</v>
      </c>
    </row>
    <row r="610" spans="1:37" ht="30" customHeight="1">
      <c r="A610" s="64"/>
      <c r="B610" s="64"/>
      <c r="C610" s="64"/>
      <c r="D610" s="64"/>
      <c r="E610" s="64"/>
      <c r="F610" s="64"/>
      <c r="G610" s="64"/>
      <c r="H610" s="64"/>
      <c r="I610" s="64"/>
      <c r="J610" s="64"/>
      <c r="K610" s="64"/>
      <c r="L610" s="64"/>
      <c r="M610" s="64"/>
      <c r="N610" s="194"/>
      <c r="O610" s="157"/>
      <c r="P610" s="92"/>
      <c r="Q610" s="145"/>
      <c r="R610" s="92"/>
      <c r="S610" s="145"/>
      <c r="T610" s="92"/>
      <c r="U610" s="145"/>
      <c r="V610" s="92"/>
      <c r="W610" s="145"/>
      <c r="X610" s="92"/>
      <c r="Y610" s="145"/>
      <c r="Z610" s="92"/>
      <c r="AA610" s="145"/>
      <c r="AB610" s="92"/>
      <c r="AC610" s="145"/>
      <c r="AD610" s="92"/>
      <c r="AE610" s="145"/>
      <c r="AF610" s="142" t="str">
        <f t="shared" si="29"/>
        <v/>
      </c>
      <c r="AG610" s="190" t="b">
        <f t="shared" si="28"/>
        <v>0</v>
      </c>
      <c r="AH610" s="145"/>
      <c r="AI610" s="153" t="s">
        <v>6</v>
      </c>
      <c r="AJ610" s="150">
        <f t="shared" si="30"/>
        <v>0</v>
      </c>
      <c r="AK610" s="154" t="s">
        <v>60</v>
      </c>
    </row>
    <row r="611" spans="1:37" ht="30" customHeight="1">
      <c r="A611" s="64"/>
      <c r="B611" s="64"/>
      <c r="C611" s="64"/>
      <c r="D611" s="64"/>
      <c r="E611" s="64"/>
      <c r="F611" s="64"/>
      <c r="G611" s="64"/>
      <c r="H611" s="64"/>
      <c r="I611" s="64"/>
      <c r="J611" s="64"/>
      <c r="K611" s="64"/>
      <c r="L611" s="64"/>
      <c r="M611" s="64"/>
      <c r="N611" s="194"/>
      <c r="O611" s="157"/>
      <c r="P611" s="92"/>
      <c r="Q611" s="145"/>
      <c r="R611" s="92"/>
      <c r="S611" s="145"/>
      <c r="T611" s="92"/>
      <c r="U611" s="145"/>
      <c r="V611" s="92"/>
      <c r="W611" s="145"/>
      <c r="X611" s="92"/>
      <c r="Y611" s="145"/>
      <c r="Z611" s="92"/>
      <c r="AA611" s="145"/>
      <c r="AB611" s="92"/>
      <c r="AC611" s="145"/>
      <c r="AD611" s="92"/>
      <c r="AE611" s="145"/>
      <c r="AF611" s="142" t="str">
        <f t="shared" si="29"/>
        <v/>
      </c>
      <c r="AG611" s="190" t="b">
        <f t="shared" si="28"/>
        <v>0</v>
      </c>
      <c r="AH611" s="145"/>
      <c r="AI611" s="153" t="s">
        <v>6</v>
      </c>
      <c r="AJ611" s="150">
        <f t="shared" si="30"/>
        <v>0</v>
      </c>
      <c r="AK611" s="154" t="s">
        <v>60</v>
      </c>
    </row>
    <row r="612" spans="1:37" ht="30" customHeight="1">
      <c r="A612" s="64"/>
      <c r="B612" s="64"/>
      <c r="C612" s="64"/>
      <c r="D612" s="64"/>
      <c r="E612" s="64"/>
      <c r="F612" s="64"/>
      <c r="G612" s="64"/>
      <c r="H612" s="64"/>
      <c r="I612" s="64"/>
      <c r="J612" s="64"/>
      <c r="K612" s="64"/>
      <c r="L612" s="64"/>
      <c r="M612" s="64"/>
      <c r="N612" s="194"/>
      <c r="O612" s="157"/>
      <c r="P612" s="92"/>
      <c r="Q612" s="145"/>
      <c r="R612" s="92"/>
      <c r="S612" s="145"/>
      <c r="T612" s="92"/>
      <c r="U612" s="145"/>
      <c r="V612" s="92"/>
      <c r="W612" s="145"/>
      <c r="X612" s="92"/>
      <c r="Y612" s="145"/>
      <c r="Z612" s="92"/>
      <c r="AA612" s="145"/>
      <c r="AB612" s="92"/>
      <c r="AC612" s="145"/>
      <c r="AD612" s="92"/>
      <c r="AE612" s="145"/>
      <c r="AF612" s="142" t="str">
        <f t="shared" si="29"/>
        <v/>
      </c>
      <c r="AG612" s="190" t="b">
        <f t="shared" si="28"/>
        <v>0</v>
      </c>
      <c r="AH612" s="145"/>
      <c r="AI612" s="153" t="s">
        <v>6</v>
      </c>
      <c r="AJ612" s="150">
        <f t="shared" si="30"/>
        <v>0</v>
      </c>
      <c r="AK612" s="154" t="s">
        <v>60</v>
      </c>
    </row>
    <row r="613" spans="1:37" ht="30" customHeight="1">
      <c r="A613" s="64"/>
      <c r="B613" s="64"/>
      <c r="C613" s="64"/>
      <c r="D613" s="64"/>
      <c r="E613" s="64"/>
      <c r="F613" s="64"/>
      <c r="G613" s="64"/>
      <c r="H613" s="64"/>
      <c r="I613" s="64"/>
      <c r="J613" s="64"/>
      <c r="K613" s="64"/>
      <c r="L613" s="64"/>
      <c r="M613" s="64"/>
      <c r="N613" s="194"/>
      <c r="O613" s="157"/>
      <c r="P613" s="92"/>
      <c r="Q613" s="145"/>
      <c r="R613" s="92"/>
      <c r="S613" s="145"/>
      <c r="T613" s="92"/>
      <c r="U613" s="145"/>
      <c r="V613" s="92"/>
      <c r="W613" s="145"/>
      <c r="X613" s="92"/>
      <c r="Y613" s="145"/>
      <c r="Z613" s="92"/>
      <c r="AA613" s="145"/>
      <c r="AB613" s="92"/>
      <c r="AC613" s="145"/>
      <c r="AD613" s="92"/>
      <c r="AE613" s="145"/>
      <c r="AF613" s="142" t="str">
        <f t="shared" si="29"/>
        <v/>
      </c>
      <c r="AG613" s="190" t="b">
        <f t="shared" si="28"/>
        <v>0</v>
      </c>
      <c r="AH613" s="145"/>
      <c r="AI613" s="153" t="s">
        <v>6</v>
      </c>
      <c r="AJ613" s="150">
        <f t="shared" si="30"/>
        <v>0</v>
      </c>
      <c r="AK613" s="154" t="s">
        <v>60</v>
      </c>
    </row>
    <row r="614" spans="1:37" ht="30" customHeight="1">
      <c r="A614" s="64"/>
      <c r="B614" s="64"/>
      <c r="C614" s="64"/>
      <c r="D614" s="64"/>
      <c r="E614" s="64"/>
      <c r="F614" s="64"/>
      <c r="G614" s="64"/>
      <c r="H614" s="64"/>
      <c r="I614" s="64"/>
      <c r="J614" s="64"/>
      <c r="K614" s="64"/>
      <c r="L614" s="64"/>
      <c r="M614" s="64"/>
      <c r="N614" s="194"/>
      <c r="O614" s="157"/>
      <c r="P614" s="92"/>
      <c r="Q614" s="145"/>
      <c r="R614" s="92"/>
      <c r="S614" s="145"/>
      <c r="T614" s="92"/>
      <c r="U614" s="145"/>
      <c r="V614" s="92"/>
      <c r="W614" s="145"/>
      <c r="X614" s="92"/>
      <c r="Y614" s="145"/>
      <c r="Z614" s="92"/>
      <c r="AA614" s="145"/>
      <c r="AB614" s="92"/>
      <c r="AC614" s="145"/>
      <c r="AD614" s="92"/>
      <c r="AE614" s="145"/>
      <c r="AF614" s="142" t="str">
        <f t="shared" si="29"/>
        <v/>
      </c>
      <c r="AG614" s="190" t="b">
        <f t="shared" si="28"/>
        <v>0</v>
      </c>
      <c r="AH614" s="145"/>
      <c r="AI614" s="153" t="s">
        <v>6</v>
      </c>
      <c r="AJ614" s="150">
        <f t="shared" si="30"/>
        <v>0</v>
      </c>
      <c r="AK614" s="154" t="s">
        <v>60</v>
      </c>
    </row>
    <row r="615" spans="1:37" ht="30" customHeight="1">
      <c r="A615" s="64"/>
      <c r="B615" s="64"/>
      <c r="C615" s="64"/>
      <c r="D615" s="64"/>
      <c r="E615" s="64"/>
      <c r="F615" s="64"/>
      <c r="G615" s="64"/>
      <c r="H615" s="64"/>
      <c r="I615" s="64"/>
      <c r="J615" s="64"/>
      <c r="K615" s="64"/>
      <c r="L615" s="64"/>
      <c r="M615" s="64"/>
      <c r="N615" s="194"/>
      <c r="O615" s="157"/>
      <c r="P615" s="92"/>
      <c r="Q615" s="145"/>
      <c r="R615" s="92"/>
      <c r="S615" s="145"/>
      <c r="T615" s="92"/>
      <c r="U615" s="145"/>
      <c r="V615" s="92"/>
      <c r="W615" s="145"/>
      <c r="X615" s="92"/>
      <c r="Y615" s="145"/>
      <c r="Z615" s="92"/>
      <c r="AA615" s="145"/>
      <c r="AB615" s="92"/>
      <c r="AC615" s="145"/>
      <c r="AD615" s="92"/>
      <c r="AE615" s="145"/>
      <c r="AF615" s="142" t="str">
        <f t="shared" si="29"/>
        <v/>
      </c>
      <c r="AG615" s="190" t="b">
        <f t="shared" ref="AG615:AG678" si="31">IF(AND(AE615="C",AF615="C"),"UTILIZOU O PDA CORRETAMENTE",IF(AND(AE615="C",AF615="NC"),"UTILIZOU O PDA CORRETAMENTE. NÃO HÁ FOTOS DE TODAS AS ETAPAS",IF(AND(AE615="NC",AF615="NC"),"NÃO UTILIZOU O PDA",IF(AND(AE615="NA",AF615="NA"),"NÃO AVALIADO POR FALHA DE SINCRONISMO"))))</f>
        <v>0</v>
      </c>
      <c r="AH615" s="145"/>
      <c r="AI615" s="153" t="s">
        <v>6</v>
      </c>
      <c r="AJ615" s="150">
        <f t="shared" si="30"/>
        <v>0</v>
      </c>
      <c r="AK615" s="154" t="s">
        <v>60</v>
      </c>
    </row>
    <row r="616" spans="1:37" ht="30" customHeight="1">
      <c r="A616" s="64"/>
      <c r="B616" s="64"/>
      <c r="C616" s="64"/>
      <c r="D616" s="64"/>
      <c r="E616" s="64"/>
      <c r="F616" s="64"/>
      <c r="G616" s="64"/>
      <c r="H616" s="64"/>
      <c r="I616" s="64"/>
      <c r="J616" s="64"/>
      <c r="K616" s="64"/>
      <c r="L616" s="64"/>
      <c r="M616" s="64"/>
      <c r="N616" s="194"/>
      <c r="O616" s="157"/>
      <c r="P616" s="92"/>
      <c r="Q616" s="145"/>
      <c r="R616" s="92"/>
      <c r="S616" s="145"/>
      <c r="T616" s="92"/>
      <c r="U616" s="145"/>
      <c r="V616" s="92"/>
      <c r="W616" s="145"/>
      <c r="X616" s="92"/>
      <c r="Y616" s="145"/>
      <c r="Z616" s="92"/>
      <c r="AA616" s="145"/>
      <c r="AB616" s="92"/>
      <c r="AC616" s="145"/>
      <c r="AD616" s="92"/>
      <c r="AE616" s="145"/>
      <c r="AF616" s="142" t="str">
        <f t="shared" ref="AF616:AF679" si="32">IF(AND(O616="",Q616="",S616="",U616="",W616="",Y616="",AA616="",AC616=""),"",IF(OR(AND(O616&lt;&gt;"NA",O616&lt;&gt;"C",O616&lt;&gt;"NC",O616&lt;&gt;"SF",O616&lt;&gt;""),AND(Q616&lt;&gt;"NA",Q616&lt;&gt;"C",Q616&lt;&gt;"NC",Q616&lt;&gt;"SF",Q616&lt;&gt;""),AND(S616&lt;&gt;"NA",S616&lt;&gt;"C",S616&lt;&gt;"NC",S616&lt;&gt;"SF",S616&lt;&gt;""),AND(U616&lt;&gt;"NA",U616&lt;&gt;"C",U616&lt;&gt;"NC",U616&lt;&gt;"SF",U616&lt;&gt;""),AND(W616&lt;&gt;"NA",W616&lt;&gt;"C",W616&lt;&gt;"NC",W616&lt;&gt;"SF",W616&lt;&gt;""),AND(Y616&lt;&gt;"NA",Y616&lt;&gt;"C",Y616&lt;&gt;"NC",Y616&lt;&gt;"SF",Y616&lt;&gt;""),AND(AA616&lt;&gt;"NA",AA616&lt;&gt;"C",AA616&lt;&gt;"NC",AA616&lt;&gt;"SF",AA616&lt;&gt;""),AND(AC616&lt;&gt;"NA",AC616&lt;&gt;"C",AC616&lt;&gt;"NC",AC616&lt;&gt;"SF",AC616&lt;&gt;"")),"FALSO",IF(AND(O616="NA",Q616="NA",S616="NA",U616="NA",W616="NA",Y616="NA",AA616="NA",AC616="NA"),"NA",IF(OR(O616="NC",Q616="NC",S616="NC",U616="NC",W616="NC",Y616="NC",AA616="NC",AC616="NC",O616="SF",Q616="SF",S616="SF",U616="SF",W616="SF",Y616="SF",AA616="SF",AC616="SF"),"NC",IF(OR(O616="C",Q616="C",S616="C",U616="C",W616="C",Y616="C",AA616="C",AC616="C"),"C","")))))</f>
        <v/>
      </c>
      <c r="AG616" s="190" t="b">
        <f t="shared" si="31"/>
        <v>0</v>
      </c>
      <c r="AH616" s="145"/>
      <c r="AI616" s="153" t="s">
        <v>6</v>
      </c>
      <c r="AJ616" s="150">
        <f t="shared" si="30"/>
        <v>0</v>
      </c>
      <c r="AK616" s="154" t="s">
        <v>60</v>
      </c>
    </row>
    <row r="617" spans="1:37" ht="30" customHeight="1">
      <c r="A617" s="64"/>
      <c r="B617" s="64"/>
      <c r="C617" s="64"/>
      <c r="D617" s="64"/>
      <c r="E617" s="64"/>
      <c r="F617" s="64"/>
      <c r="G617" s="64"/>
      <c r="H617" s="64"/>
      <c r="I617" s="64"/>
      <c r="J617" s="64"/>
      <c r="K617" s="64"/>
      <c r="L617" s="64"/>
      <c r="M617" s="64"/>
      <c r="N617" s="194"/>
      <c r="O617" s="157"/>
      <c r="P617" s="92"/>
      <c r="Q617" s="145"/>
      <c r="R617" s="92"/>
      <c r="S617" s="145"/>
      <c r="T617" s="92"/>
      <c r="U617" s="145"/>
      <c r="V617" s="92"/>
      <c r="W617" s="145"/>
      <c r="X617" s="92"/>
      <c r="Y617" s="145"/>
      <c r="Z617" s="92"/>
      <c r="AA617" s="145"/>
      <c r="AB617" s="92"/>
      <c r="AC617" s="145"/>
      <c r="AD617" s="92"/>
      <c r="AE617" s="145"/>
      <c r="AF617" s="142" t="str">
        <f t="shared" si="32"/>
        <v/>
      </c>
      <c r="AG617" s="190" t="b">
        <f t="shared" si="31"/>
        <v>0</v>
      </c>
      <c r="AH617" s="145"/>
      <c r="AI617" s="153" t="s">
        <v>6</v>
      </c>
      <c r="AJ617" s="150">
        <f t="shared" si="30"/>
        <v>0</v>
      </c>
      <c r="AK617" s="154" t="s">
        <v>60</v>
      </c>
    </row>
    <row r="618" spans="1:37" ht="30" customHeight="1">
      <c r="A618" s="64"/>
      <c r="B618" s="64"/>
      <c r="C618" s="64"/>
      <c r="D618" s="64"/>
      <c r="E618" s="64"/>
      <c r="F618" s="64"/>
      <c r="G618" s="64"/>
      <c r="H618" s="64"/>
      <c r="I618" s="64"/>
      <c r="J618" s="64"/>
      <c r="K618" s="64"/>
      <c r="L618" s="64"/>
      <c r="M618" s="64"/>
      <c r="N618" s="194"/>
      <c r="O618" s="157"/>
      <c r="P618" s="92"/>
      <c r="Q618" s="145"/>
      <c r="R618" s="92"/>
      <c r="S618" s="145"/>
      <c r="T618" s="92"/>
      <c r="U618" s="145"/>
      <c r="V618" s="92"/>
      <c r="W618" s="145"/>
      <c r="X618" s="92"/>
      <c r="Y618" s="145"/>
      <c r="Z618" s="92"/>
      <c r="AA618" s="145"/>
      <c r="AB618" s="92"/>
      <c r="AC618" s="145"/>
      <c r="AD618" s="92"/>
      <c r="AE618" s="145"/>
      <c r="AF618" s="142" t="str">
        <f t="shared" si="32"/>
        <v/>
      </c>
      <c r="AG618" s="190" t="b">
        <f t="shared" si="31"/>
        <v>0</v>
      </c>
      <c r="AH618" s="145"/>
      <c r="AI618" s="153" t="s">
        <v>6</v>
      </c>
      <c r="AJ618" s="150">
        <f t="shared" si="30"/>
        <v>0</v>
      </c>
      <c r="AK618" s="154" t="s">
        <v>60</v>
      </c>
    </row>
    <row r="619" spans="1:37" ht="30" customHeight="1">
      <c r="A619" s="64"/>
      <c r="B619" s="64"/>
      <c r="C619" s="64"/>
      <c r="D619" s="64"/>
      <c r="E619" s="64"/>
      <c r="F619" s="64"/>
      <c r="G619" s="64"/>
      <c r="H619" s="64"/>
      <c r="I619" s="64"/>
      <c r="J619" s="64"/>
      <c r="K619" s="64"/>
      <c r="L619" s="64"/>
      <c r="M619" s="64"/>
      <c r="N619" s="194"/>
      <c r="O619" s="157"/>
      <c r="P619" s="92"/>
      <c r="Q619" s="145"/>
      <c r="R619" s="92"/>
      <c r="S619" s="145"/>
      <c r="T619" s="92"/>
      <c r="U619" s="145"/>
      <c r="V619" s="92"/>
      <c r="W619" s="145"/>
      <c r="X619" s="92"/>
      <c r="Y619" s="145"/>
      <c r="Z619" s="92"/>
      <c r="AA619" s="145"/>
      <c r="AB619" s="92"/>
      <c r="AC619" s="145"/>
      <c r="AD619" s="92"/>
      <c r="AE619" s="145"/>
      <c r="AF619" s="142" t="str">
        <f t="shared" si="32"/>
        <v/>
      </c>
      <c r="AG619" s="190" t="b">
        <f t="shared" si="31"/>
        <v>0</v>
      </c>
      <c r="AH619" s="145"/>
      <c r="AI619" s="153" t="s">
        <v>6</v>
      </c>
      <c r="AJ619" s="150">
        <f t="shared" si="30"/>
        <v>0</v>
      </c>
      <c r="AK619" s="154" t="s">
        <v>60</v>
      </c>
    </row>
    <row r="620" spans="1:37" ht="30" customHeight="1">
      <c r="A620" s="64"/>
      <c r="B620" s="64"/>
      <c r="C620" s="64"/>
      <c r="D620" s="64"/>
      <c r="E620" s="64"/>
      <c r="F620" s="64"/>
      <c r="G620" s="64"/>
      <c r="H620" s="64"/>
      <c r="I620" s="64"/>
      <c r="J620" s="64"/>
      <c r="K620" s="64"/>
      <c r="L620" s="64"/>
      <c r="M620" s="64"/>
      <c r="N620" s="194"/>
      <c r="O620" s="157"/>
      <c r="P620" s="92"/>
      <c r="Q620" s="145"/>
      <c r="R620" s="92"/>
      <c r="S620" s="145"/>
      <c r="T620" s="92"/>
      <c r="U620" s="145"/>
      <c r="V620" s="92"/>
      <c r="W620" s="145"/>
      <c r="X620" s="92"/>
      <c r="Y620" s="145"/>
      <c r="Z620" s="92"/>
      <c r="AA620" s="145"/>
      <c r="AB620" s="92"/>
      <c r="AC620" s="145"/>
      <c r="AD620" s="92"/>
      <c r="AE620" s="145"/>
      <c r="AF620" s="142" t="str">
        <f t="shared" si="32"/>
        <v/>
      </c>
      <c r="AG620" s="190" t="b">
        <f t="shared" si="31"/>
        <v>0</v>
      </c>
      <c r="AH620" s="145"/>
      <c r="AI620" s="153" t="s">
        <v>6</v>
      </c>
      <c r="AJ620" s="150">
        <f t="shared" si="30"/>
        <v>0</v>
      </c>
      <c r="AK620" s="154" t="s">
        <v>60</v>
      </c>
    </row>
    <row r="621" spans="1:37" ht="30" customHeight="1">
      <c r="A621" s="64"/>
      <c r="B621" s="64"/>
      <c r="C621" s="64"/>
      <c r="D621" s="64"/>
      <c r="E621" s="64"/>
      <c r="F621" s="64"/>
      <c r="G621" s="64"/>
      <c r="H621" s="64"/>
      <c r="I621" s="64"/>
      <c r="J621" s="64"/>
      <c r="K621" s="64"/>
      <c r="L621" s="64"/>
      <c r="M621" s="64"/>
      <c r="N621" s="194"/>
      <c r="O621" s="157"/>
      <c r="P621" s="92"/>
      <c r="Q621" s="145"/>
      <c r="R621" s="92"/>
      <c r="S621" s="145"/>
      <c r="T621" s="92"/>
      <c r="U621" s="145"/>
      <c r="V621" s="92"/>
      <c r="W621" s="145"/>
      <c r="X621" s="92"/>
      <c r="Y621" s="145"/>
      <c r="Z621" s="92"/>
      <c r="AA621" s="145"/>
      <c r="AB621" s="92"/>
      <c r="AC621" s="145"/>
      <c r="AD621" s="92"/>
      <c r="AE621" s="145"/>
      <c r="AF621" s="142" t="str">
        <f t="shared" si="32"/>
        <v/>
      </c>
      <c r="AG621" s="190" t="b">
        <f t="shared" si="31"/>
        <v>0</v>
      </c>
      <c r="AH621" s="145"/>
      <c r="AI621" s="153" t="s">
        <v>6</v>
      </c>
      <c r="AJ621" s="150">
        <f t="shared" si="30"/>
        <v>0</v>
      </c>
      <c r="AK621" s="154" t="s">
        <v>60</v>
      </c>
    </row>
    <row r="622" spans="1:37" ht="30" customHeight="1">
      <c r="A622" s="64"/>
      <c r="B622" s="64"/>
      <c r="C622" s="64"/>
      <c r="D622" s="64"/>
      <c r="E622" s="64"/>
      <c r="F622" s="64"/>
      <c r="G622" s="64"/>
      <c r="H622" s="64"/>
      <c r="I622" s="64"/>
      <c r="J622" s="64"/>
      <c r="K622" s="64"/>
      <c r="L622" s="64"/>
      <c r="M622" s="64"/>
      <c r="N622" s="194"/>
      <c r="O622" s="157"/>
      <c r="P622" s="92"/>
      <c r="Q622" s="145"/>
      <c r="R622" s="92"/>
      <c r="S622" s="145"/>
      <c r="T622" s="92"/>
      <c r="U622" s="145"/>
      <c r="V622" s="92"/>
      <c r="W622" s="145"/>
      <c r="X622" s="92"/>
      <c r="Y622" s="145"/>
      <c r="Z622" s="92"/>
      <c r="AA622" s="145"/>
      <c r="AB622" s="92"/>
      <c r="AC622" s="145"/>
      <c r="AD622" s="92"/>
      <c r="AE622" s="145"/>
      <c r="AF622" s="142" t="str">
        <f t="shared" si="32"/>
        <v/>
      </c>
      <c r="AG622" s="190" t="b">
        <f t="shared" si="31"/>
        <v>0</v>
      </c>
      <c r="AH622" s="145"/>
      <c r="AI622" s="153" t="s">
        <v>6</v>
      </c>
      <c r="AJ622" s="150">
        <f t="shared" si="30"/>
        <v>0</v>
      </c>
      <c r="AK622" s="154" t="s">
        <v>60</v>
      </c>
    </row>
    <row r="623" spans="1:37" ht="30" customHeight="1">
      <c r="A623" s="64"/>
      <c r="B623" s="64"/>
      <c r="C623" s="64"/>
      <c r="D623" s="64"/>
      <c r="E623" s="64"/>
      <c r="F623" s="64"/>
      <c r="G623" s="64"/>
      <c r="H623" s="64"/>
      <c r="I623" s="64"/>
      <c r="J623" s="64"/>
      <c r="K623" s="64"/>
      <c r="L623" s="64"/>
      <c r="M623" s="64"/>
      <c r="N623" s="194"/>
      <c r="O623" s="157"/>
      <c r="P623" s="92"/>
      <c r="Q623" s="145"/>
      <c r="R623" s="92"/>
      <c r="S623" s="145"/>
      <c r="T623" s="92"/>
      <c r="U623" s="145"/>
      <c r="V623" s="92"/>
      <c r="W623" s="145"/>
      <c r="X623" s="92"/>
      <c r="Y623" s="145"/>
      <c r="Z623" s="92"/>
      <c r="AA623" s="145"/>
      <c r="AB623" s="92"/>
      <c r="AC623" s="145"/>
      <c r="AD623" s="92"/>
      <c r="AE623" s="145"/>
      <c r="AF623" s="142" t="str">
        <f t="shared" si="32"/>
        <v/>
      </c>
      <c r="AG623" s="190" t="b">
        <f t="shared" si="31"/>
        <v>0</v>
      </c>
      <c r="AH623" s="145"/>
      <c r="AI623" s="153" t="s">
        <v>6</v>
      </c>
      <c r="AJ623" s="150">
        <f t="shared" si="30"/>
        <v>0</v>
      </c>
      <c r="AK623" s="154" t="s">
        <v>60</v>
      </c>
    </row>
    <row r="624" spans="1:37" ht="30" customHeight="1">
      <c r="A624" s="64"/>
      <c r="B624" s="64"/>
      <c r="C624" s="64"/>
      <c r="D624" s="64"/>
      <c r="E624" s="64"/>
      <c r="F624" s="64"/>
      <c r="G624" s="64"/>
      <c r="H624" s="64"/>
      <c r="I624" s="64"/>
      <c r="J624" s="64"/>
      <c r="K624" s="64"/>
      <c r="L624" s="64"/>
      <c r="M624" s="64"/>
      <c r="N624" s="194"/>
      <c r="O624" s="157"/>
      <c r="P624" s="92"/>
      <c r="Q624" s="145"/>
      <c r="R624" s="92"/>
      <c r="S624" s="145"/>
      <c r="T624" s="92"/>
      <c r="U624" s="145"/>
      <c r="V624" s="92"/>
      <c r="W624" s="145"/>
      <c r="X624" s="92"/>
      <c r="Y624" s="145"/>
      <c r="Z624" s="92"/>
      <c r="AA624" s="145"/>
      <c r="AB624" s="92"/>
      <c r="AC624" s="145"/>
      <c r="AD624" s="92"/>
      <c r="AE624" s="145"/>
      <c r="AF624" s="142" t="str">
        <f t="shared" si="32"/>
        <v/>
      </c>
      <c r="AG624" s="190" t="b">
        <f t="shared" si="31"/>
        <v>0</v>
      </c>
      <c r="AH624" s="145"/>
      <c r="AI624" s="153" t="s">
        <v>6</v>
      </c>
      <c r="AJ624" s="150">
        <f t="shared" si="30"/>
        <v>0</v>
      </c>
      <c r="AK624" s="154" t="s">
        <v>60</v>
      </c>
    </row>
    <row r="625" spans="1:37" ht="30" customHeight="1">
      <c r="A625" s="64"/>
      <c r="B625" s="64"/>
      <c r="C625" s="64"/>
      <c r="D625" s="64"/>
      <c r="E625" s="64"/>
      <c r="F625" s="64"/>
      <c r="G625" s="64"/>
      <c r="H625" s="64"/>
      <c r="I625" s="64"/>
      <c r="J625" s="64"/>
      <c r="K625" s="64"/>
      <c r="L625" s="64"/>
      <c r="M625" s="64"/>
      <c r="N625" s="194"/>
      <c r="O625" s="157"/>
      <c r="P625" s="92"/>
      <c r="Q625" s="145"/>
      <c r="R625" s="92"/>
      <c r="S625" s="145"/>
      <c r="T625" s="92"/>
      <c r="U625" s="145"/>
      <c r="V625" s="92"/>
      <c r="W625" s="145"/>
      <c r="X625" s="92"/>
      <c r="Y625" s="145"/>
      <c r="Z625" s="92"/>
      <c r="AA625" s="145"/>
      <c r="AB625" s="92"/>
      <c r="AC625" s="145"/>
      <c r="AD625" s="92"/>
      <c r="AE625" s="145"/>
      <c r="AF625" s="142" t="str">
        <f t="shared" si="32"/>
        <v/>
      </c>
      <c r="AG625" s="190" t="b">
        <f t="shared" si="31"/>
        <v>0</v>
      </c>
      <c r="AH625" s="145"/>
      <c r="AI625" s="153" t="s">
        <v>6</v>
      </c>
      <c r="AJ625" s="150">
        <f t="shared" si="30"/>
        <v>0</v>
      </c>
      <c r="AK625" s="154" t="s">
        <v>60</v>
      </c>
    </row>
    <row r="626" spans="1:37" ht="30" customHeight="1">
      <c r="A626" s="64"/>
      <c r="B626" s="64"/>
      <c r="C626" s="64"/>
      <c r="D626" s="64"/>
      <c r="E626" s="64"/>
      <c r="F626" s="64"/>
      <c r="G626" s="64"/>
      <c r="H626" s="64"/>
      <c r="I626" s="64"/>
      <c r="J626" s="64"/>
      <c r="K626" s="64"/>
      <c r="L626" s="64"/>
      <c r="M626" s="64"/>
      <c r="N626" s="194"/>
      <c r="O626" s="157"/>
      <c r="P626" s="92"/>
      <c r="Q626" s="145"/>
      <c r="R626" s="92"/>
      <c r="S626" s="145"/>
      <c r="T626" s="92"/>
      <c r="U626" s="145"/>
      <c r="V626" s="92"/>
      <c r="W626" s="145"/>
      <c r="X626" s="92"/>
      <c r="Y626" s="145"/>
      <c r="Z626" s="92"/>
      <c r="AA626" s="145"/>
      <c r="AB626" s="92"/>
      <c r="AC626" s="145"/>
      <c r="AD626" s="92"/>
      <c r="AE626" s="145"/>
      <c r="AF626" s="142" t="str">
        <f t="shared" si="32"/>
        <v/>
      </c>
      <c r="AG626" s="190" t="b">
        <f t="shared" si="31"/>
        <v>0</v>
      </c>
      <c r="AH626" s="145"/>
      <c r="AI626" s="153" t="s">
        <v>6</v>
      </c>
      <c r="AJ626" s="150">
        <f t="shared" si="30"/>
        <v>0</v>
      </c>
      <c r="AK626" s="154" t="s">
        <v>60</v>
      </c>
    </row>
    <row r="627" spans="1:37" ht="30" customHeight="1">
      <c r="A627" s="64"/>
      <c r="B627" s="64"/>
      <c r="C627" s="64"/>
      <c r="D627" s="64"/>
      <c r="E627" s="64"/>
      <c r="F627" s="64"/>
      <c r="G627" s="64"/>
      <c r="H627" s="64"/>
      <c r="I627" s="64"/>
      <c r="J627" s="64"/>
      <c r="K627" s="64"/>
      <c r="L627" s="64"/>
      <c r="M627" s="64"/>
      <c r="N627" s="194"/>
      <c r="O627" s="157"/>
      <c r="P627" s="92"/>
      <c r="Q627" s="145"/>
      <c r="R627" s="92"/>
      <c r="S627" s="145"/>
      <c r="T627" s="92"/>
      <c r="U627" s="145"/>
      <c r="V627" s="92"/>
      <c r="W627" s="145"/>
      <c r="X627" s="92"/>
      <c r="Y627" s="145"/>
      <c r="Z627" s="92"/>
      <c r="AA627" s="145"/>
      <c r="AB627" s="92"/>
      <c r="AC627" s="145"/>
      <c r="AD627" s="92"/>
      <c r="AE627" s="145"/>
      <c r="AF627" s="142" t="str">
        <f t="shared" si="32"/>
        <v/>
      </c>
      <c r="AG627" s="190" t="b">
        <f t="shared" si="31"/>
        <v>0</v>
      </c>
      <c r="AH627" s="145"/>
      <c r="AI627" s="153" t="s">
        <v>6</v>
      </c>
      <c r="AJ627" s="150">
        <f t="shared" si="30"/>
        <v>0</v>
      </c>
      <c r="AK627" s="154" t="s">
        <v>60</v>
      </c>
    </row>
    <row r="628" spans="1:37" ht="30" customHeight="1">
      <c r="A628" s="64"/>
      <c r="B628" s="64"/>
      <c r="C628" s="64"/>
      <c r="D628" s="64"/>
      <c r="E628" s="64"/>
      <c r="F628" s="64"/>
      <c r="G628" s="64"/>
      <c r="H628" s="64"/>
      <c r="I628" s="64"/>
      <c r="J628" s="64"/>
      <c r="K628" s="64"/>
      <c r="L628" s="64"/>
      <c r="M628" s="64"/>
      <c r="N628" s="194"/>
      <c r="O628" s="157"/>
      <c r="P628" s="92"/>
      <c r="Q628" s="145"/>
      <c r="R628" s="92"/>
      <c r="S628" s="145"/>
      <c r="T628" s="92"/>
      <c r="U628" s="145"/>
      <c r="V628" s="92"/>
      <c r="W628" s="145"/>
      <c r="X628" s="92"/>
      <c r="Y628" s="145"/>
      <c r="Z628" s="92"/>
      <c r="AA628" s="145"/>
      <c r="AB628" s="92"/>
      <c r="AC628" s="145"/>
      <c r="AD628" s="92"/>
      <c r="AE628" s="145"/>
      <c r="AF628" s="142" t="str">
        <f t="shared" si="32"/>
        <v/>
      </c>
      <c r="AG628" s="190" t="b">
        <f t="shared" si="31"/>
        <v>0</v>
      </c>
      <c r="AH628" s="145"/>
      <c r="AI628" s="153" t="s">
        <v>6</v>
      </c>
      <c r="AJ628" s="150">
        <f t="shared" si="30"/>
        <v>0</v>
      </c>
      <c r="AK628" s="154" t="s">
        <v>60</v>
      </c>
    </row>
    <row r="629" spans="1:37" ht="30" customHeight="1">
      <c r="A629" s="64"/>
      <c r="B629" s="64"/>
      <c r="C629" s="64"/>
      <c r="D629" s="64"/>
      <c r="E629" s="64"/>
      <c r="F629" s="64"/>
      <c r="G629" s="64"/>
      <c r="H629" s="64"/>
      <c r="I629" s="64"/>
      <c r="J629" s="64"/>
      <c r="K629" s="64"/>
      <c r="L629" s="64"/>
      <c r="M629" s="64"/>
      <c r="N629" s="194"/>
      <c r="O629" s="157"/>
      <c r="P629" s="92"/>
      <c r="Q629" s="145"/>
      <c r="R629" s="92"/>
      <c r="S629" s="145"/>
      <c r="T629" s="92"/>
      <c r="U629" s="145"/>
      <c r="V629" s="92"/>
      <c r="W629" s="145"/>
      <c r="X629" s="92"/>
      <c r="Y629" s="145"/>
      <c r="Z629" s="92"/>
      <c r="AA629" s="145"/>
      <c r="AB629" s="92"/>
      <c r="AC629" s="145"/>
      <c r="AD629" s="92"/>
      <c r="AE629" s="145"/>
      <c r="AF629" s="142" t="str">
        <f t="shared" si="32"/>
        <v/>
      </c>
      <c r="AG629" s="190" t="b">
        <f t="shared" si="31"/>
        <v>0</v>
      </c>
      <c r="AH629" s="145"/>
      <c r="AI629" s="153" t="s">
        <v>6</v>
      </c>
      <c r="AJ629" s="150">
        <f t="shared" si="30"/>
        <v>0</v>
      </c>
      <c r="AK629" s="154" t="s">
        <v>60</v>
      </c>
    </row>
    <row r="630" spans="1:37" ht="30" customHeight="1">
      <c r="A630" s="64"/>
      <c r="B630" s="64"/>
      <c r="C630" s="64"/>
      <c r="D630" s="64"/>
      <c r="E630" s="64"/>
      <c r="F630" s="64"/>
      <c r="G630" s="64"/>
      <c r="H630" s="64"/>
      <c r="I630" s="64"/>
      <c r="J630" s="64"/>
      <c r="K630" s="64"/>
      <c r="L630" s="64"/>
      <c r="M630" s="64"/>
      <c r="N630" s="194"/>
      <c r="O630" s="157"/>
      <c r="P630" s="92"/>
      <c r="Q630" s="145"/>
      <c r="R630" s="92"/>
      <c r="S630" s="145"/>
      <c r="T630" s="92"/>
      <c r="U630" s="145"/>
      <c r="V630" s="92"/>
      <c r="W630" s="145"/>
      <c r="X630" s="92"/>
      <c r="Y630" s="145"/>
      <c r="Z630" s="92"/>
      <c r="AA630" s="145"/>
      <c r="AB630" s="92"/>
      <c r="AC630" s="145"/>
      <c r="AD630" s="92"/>
      <c r="AE630" s="145"/>
      <c r="AF630" s="142" t="str">
        <f t="shared" si="32"/>
        <v/>
      </c>
      <c r="AG630" s="190" t="b">
        <f t="shared" si="31"/>
        <v>0</v>
      </c>
      <c r="AH630" s="145"/>
      <c r="AI630" s="153" t="s">
        <v>6</v>
      </c>
      <c r="AJ630" s="150">
        <f t="shared" si="30"/>
        <v>0</v>
      </c>
      <c r="AK630" s="154" t="s">
        <v>60</v>
      </c>
    </row>
    <row r="631" spans="1:37" ht="30" customHeight="1">
      <c r="A631" s="64"/>
      <c r="B631" s="64"/>
      <c r="C631" s="64"/>
      <c r="D631" s="64"/>
      <c r="E631" s="64"/>
      <c r="F631" s="64"/>
      <c r="G631" s="64"/>
      <c r="H631" s="64"/>
      <c r="I631" s="64"/>
      <c r="J631" s="64"/>
      <c r="K631" s="64"/>
      <c r="L631" s="64"/>
      <c r="M631" s="64"/>
      <c r="N631" s="194"/>
      <c r="O631" s="157"/>
      <c r="P631" s="92"/>
      <c r="Q631" s="145"/>
      <c r="R631" s="92"/>
      <c r="S631" s="145"/>
      <c r="T631" s="92"/>
      <c r="U631" s="145"/>
      <c r="V631" s="92"/>
      <c r="W631" s="145"/>
      <c r="X631" s="92"/>
      <c r="Y631" s="145"/>
      <c r="Z631" s="92"/>
      <c r="AA631" s="145"/>
      <c r="AB631" s="92"/>
      <c r="AC631" s="145"/>
      <c r="AD631" s="92"/>
      <c r="AE631" s="145"/>
      <c r="AF631" s="142" t="str">
        <f t="shared" si="32"/>
        <v/>
      </c>
      <c r="AG631" s="190" t="b">
        <f t="shared" si="31"/>
        <v>0</v>
      </c>
      <c r="AH631" s="145"/>
      <c r="AI631" s="153" t="s">
        <v>6</v>
      </c>
      <c r="AJ631" s="150">
        <f t="shared" si="30"/>
        <v>0</v>
      </c>
      <c r="AK631" s="154" t="s">
        <v>60</v>
      </c>
    </row>
    <row r="632" spans="1:37" ht="30" customHeight="1">
      <c r="A632" s="64"/>
      <c r="B632" s="64"/>
      <c r="C632" s="64"/>
      <c r="D632" s="64"/>
      <c r="E632" s="64"/>
      <c r="F632" s="64"/>
      <c r="G632" s="64"/>
      <c r="H632" s="64"/>
      <c r="I632" s="64"/>
      <c r="J632" s="64"/>
      <c r="K632" s="64"/>
      <c r="L632" s="64"/>
      <c r="M632" s="64"/>
      <c r="N632" s="194"/>
      <c r="O632" s="157"/>
      <c r="P632" s="92"/>
      <c r="Q632" s="145"/>
      <c r="R632" s="92"/>
      <c r="S632" s="145"/>
      <c r="T632" s="92"/>
      <c r="U632" s="145"/>
      <c r="V632" s="92"/>
      <c r="W632" s="145"/>
      <c r="X632" s="92"/>
      <c r="Y632" s="145"/>
      <c r="Z632" s="92"/>
      <c r="AA632" s="145"/>
      <c r="AB632" s="92"/>
      <c r="AC632" s="145"/>
      <c r="AD632" s="92"/>
      <c r="AE632" s="145"/>
      <c r="AF632" s="142" t="str">
        <f t="shared" si="32"/>
        <v/>
      </c>
      <c r="AG632" s="190" t="b">
        <f t="shared" si="31"/>
        <v>0</v>
      </c>
      <c r="AH632" s="145"/>
      <c r="AI632" s="153" t="s">
        <v>6</v>
      </c>
      <c r="AJ632" s="150">
        <f t="shared" si="30"/>
        <v>0</v>
      </c>
      <c r="AK632" s="154" t="s">
        <v>60</v>
      </c>
    </row>
    <row r="633" spans="1:37" ht="30" customHeight="1">
      <c r="A633" s="64"/>
      <c r="B633" s="64"/>
      <c r="C633" s="64"/>
      <c r="D633" s="64"/>
      <c r="E633" s="64"/>
      <c r="F633" s="64"/>
      <c r="G633" s="64"/>
      <c r="H633" s="64"/>
      <c r="I633" s="64"/>
      <c r="J633" s="64"/>
      <c r="K633" s="64"/>
      <c r="L633" s="64"/>
      <c r="M633" s="64"/>
      <c r="N633" s="194"/>
      <c r="O633" s="157"/>
      <c r="P633" s="92"/>
      <c r="Q633" s="145"/>
      <c r="R633" s="92"/>
      <c r="S633" s="145"/>
      <c r="T633" s="92"/>
      <c r="U633" s="145"/>
      <c r="V633" s="92"/>
      <c r="W633" s="145"/>
      <c r="X633" s="92"/>
      <c r="Y633" s="145"/>
      <c r="Z633" s="92"/>
      <c r="AA633" s="145"/>
      <c r="AB633" s="92"/>
      <c r="AC633" s="145"/>
      <c r="AD633" s="92"/>
      <c r="AE633" s="145"/>
      <c r="AF633" s="142" t="str">
        <f t="shared" si="32"/>
        <v/>
      </c>
      <c r="AG633" s="190" t="b">
        <f t="shared" si="31"/>
        <v>0</v>
      </c>
      <c r="AH633" s="145"/>
      <c r="AI633" s="153" t="s">
        <v>6</v>
      </c>
      <c r="AJ633" s="150">
        <f t="shared" si="30"/>
        <v>0</v>
      </c>
      <c r="AK633" s="154" t="s">
        <v>60</v>
      </c>
    </row>
    <row r="634" spans="1:37" ht="30" customHeight="1">
      <c r="A634" s="64"/>
      <c r="B634" s="64"/>
      <c r="C634" s="64"/>
      <c r="D634" s="64"/>
      <c r="E634" s="64"/>
      <c r="F634" s="64"/>
      <c r="G634" s="64"/>
      <c r="H634" s="64"/>
      <c r="I634" s="64"/>
      <c r="J634" s="64"/>
      <c r="K634" s="64"/>
      <c r="L634" s="64"/>
      <c r="M634" s="64"/>
      <c r="N634" s="194"/>
      <c r="O634" s="157"/>
      <c r="P634" s="92"/>
      <c r="Q634" s="145"/>
      <c r="R634" s="92"/>
      <c r="S634" s="145"/>
      <c r="T634" s="92"/>
      <c r="U634" s="145"/>
      <c r="V634" s="92"/>
      <c r="W634" s="145"/>
      <c r="X634" s="92"/>
      <c r="Y634" s="145"/>
      <c r="Z634" s="92"/>
      <c r="AA634" s="145"/>
      <c r="AB634" s="92"/>
      <c r="AC634" s="145"/>
      <c r="AD634" s="92"/>
      <c r="AE634" s="145"/>
      <c r="AF634" s="142" t="str">
        <f t="shared" si="32"/>
        <v/>
      </c>
      <c r="AG634" s="190" t="b">
        <f t="shared" si="31"/>
        <v>0</v>
      </c>
      <c r="AH634" s="145"/>
      <c r="AI634" s="153" t="s">
        <v>6</v>
      </c>
      <c r="AJ634" s="150">
        <f t="shared" si="30"/>
        <v>0</v>
      </c>
      <c r="AK634" s="154" t="s">
        <v>60</v>
      </c>
    </row>
    <row r="635" spans="1:37" ht="30" customHeight="1">
      <c r="A635" s="64"/>
      <c r="B635" s="64"/>
      <c r="C635" s="64"/>
      <c r="D635" s="64"/>
      <c r="E635" s="64"/>
      <c r="F635" s="64"/>
      <c r="G635" s="64"/>
      <c r="H635" s="64"/>
      <c r="I635" s="64"/>
      <c r="J635" s="64"/>
      <c r="K635" s="64"/>
      <c r="L635" s="64"/>
      <c r="M635" s="64"/>
      <c r="N635" s="194"/>
      <c r="O635" s="157"/>
      <c r="P635" s="92"/>
      <c r="Q635" s="145"/>
      <c r="R635" s="92"/>
      <c r="S635" s="145"/>
      <c r="T635" s="92"/>
      <c r="U635" s="145"/>
      <c r="V635" s="92"/>
      <c r="W635" s="145"/>
      <c r="X635" s="92"/>
      <c r="Y635" s="145"/>
      <c r="Z635" s="92"/>
      <c r="AA635" s="145"/>
      <c r="AB635" s="92"/>
      <c r="AC635" s="145"/>
      <c r="AD635" s="92"/>
      <c r="AE635" s="145"/>
      <c r="AF635" s="142" t="str">
        <f t="shared" si="32"/>
        <v/>
      </c>
      <c r="AG635" s="190" t="b">
        <f t="shared" si="31"/>
        <v>0</v>
      </c>
      <c r="AH635" s="145"/>
      <c r="AI635" s="153" t="s">
        <v>6</v>
      </c>
      <c r="AJ635" s="150">
        <f t="shared" si="30"/>
        <v>0</v>
      </c>
      <c r="AK635" s="154" t="s">
        <v>60</v>
      </c>
    </row>
    <row r="636" spans="1:37" ht="30" customHeight="1">
      <c r="A636" s="64"/>
      <c r="B636" s="64"/>
      <c r="C636" s="64"/>
      <c r="D636" s="64"/>
      <c r="E636" s="64"/>
      <c r="F636" s="64"/>
      <c r="G636" s="64"/>
      <c r="H636" s="64"/>
      <c r="I636" s="64"/>
      <c r="J636" s="64"/>
      <c r="K636" s="64"/>
      <c r="L636" s="64"/>
      <c r="M636" s="64"/>
      <c r="N636" s="194"/>
      <c r="O636" s="157"/>
      <c r="P636" s="92"/>
      <c r="Q636" s="145"/>
      <c r="R636" s="92"/>
      <c r="S636" s="145"/>
      <c r="T636" s="92"/>
      <c r="U636" s="145"/>
      <c r="V636" s="92"/>
      <c r="W636" s="145"/>
      <c r="X636" s="92"/>
      <c r="Y636" s="145"/>
      <c r="Z636" s="92"/>
      <c r="AA636" s="145"/>
      <c r="AB636" s="92"/>
      <c r="AC636" s="145"/>
      <c r="AD636" s="92"/>
      <c r="AE636" s="145"/>
      <c r="AF636" s="142" t="str">
        <f t="shared" si="32"/>
        <v/>
      </c>
      <c r="AG636" s="190" t="b">
        <f t="shared" si="31"/>
        <v>0</v>
      </c>
      <c r="AH636" s="145"/>
      <c r="AI636" s="153" t="s">
        <v>6</v>
      </c>
      <c r="AJ636" s="150">
        <f t="shared" si="30"/>
        <v>0</v>
      </c>
      <c r="AK636" s="154" t="s">
        <v>60</v>
      </c>
    </row>
    <row r="637" spans="1:37" ht="30" customHeight="1">
      <c r="A637" s="64"/>
      <c r="B637" s="64"/>
      <c r="C637" s="64"/>
      <c r="D637" s="64"/>
      <c r="E637" s="64"/>
      <c r="F637" s="64"/>
      <c r="G637" s="64"/>
      <c r="H637" s="64"/>
      <c r="I637" s="64"/>
      <c r="J637" s="64"/>
      <c r="K637" s="64"/>
      <c r="L637" s="64"/>
      <c r="M637" s="64"/>
      <c r="N637" s="194"/>
      <c r="O637" s="157"/>
      <c r="P637" s="92"/>
      <c r="Q637" s="145"/>
      <c r="R637" s="92"/>
      <c r="S637" s="145"/>
      <c r="T637" s="92"/>
      <c r="U637" s="145"/>
      <c r="V637" s="92"/>
      <c r="W637" s="145"/>
      <c r="X637" s="92"/>
      <c r="Y637" s="145"/>
      <c r="Z637" s="92"/>
      <c r="AA637" s="145"/>
      <c r="AB637" s="92"/>
      <c r="AC637" s="145"/>
      <c r="AD637" s="92"/>
      <c r="AE637" s="145"/>
      <c r="AF637" s="142" t="str">
        <f t="shared" si="32"/>
        <v/>
      </c>
      <c r="AG637" s="190" t="b">
        <f t="shared" si="31"/>
        <v>0</v>
      </c>
      <c r="AH637" s="145"/>
      <c r="AI637" s="153" t="s">
        <v>6</v>
      </c>
      <c r="AJ637" s="150">
        <f t="shared" si="30"/>
        <v>0</v>
      </c>
      <c r="AK637" s="154" t="s">
        <v>60</v>
      </c>
    </row>
    <row r="638" spans="1:37" ht="30" customHeight="1">
      <c r="A638" s="64"/>
      <c r="B638" s="64"/>
      <c r="C638" s="64"/>
      <c r="D638" s="64"/>
      <c r="E638" s="64"/>
      <c r="F638" s="64"/>
      <c r="G638" s="64"/>
      <c r="H638" s="64"/>
      <c r="I638" s="64"/>
      <c r="J638" s="64"/>
      <c r="K638" s="64"/>
      <c r="L638" s="64"/>
      <c r="M638" s="64"/>
      <c r="N638" s="194"/>
      <c r="O638" s="157"/>
      <c r="P638" s="92"/>
      <c r="Q638" s="145"/>
      <c r="R638" s="92"/>
      <c r="S638" s="145"/>
      <c r="T638" s="92"/>
      <c r="U638" s="145"/>
      <c r="V638" s="92"/>
      <c r="W638" s="145"/>
      <c r="X638" s="92"/>
      <c r="Y638" s="145"/>
      <c r="Z638" s="92"/>
      <c r="AA638" s="145"/>
      <c r="AB638" s="92"/>
      <c r="AC638" s="145"/>
      <c r="AD638" s="92"/>
      <c r="AE638" s="145"/>
      <c r="AF638" s="142" t="str">
        <f t="shared" si="32"/>
        <v/>
      </c>
      <c r="AG638" s="190" t="b">
        <f t="shared" si="31"/>
        <v>0</v>
      </c>
      <c r="AH638" s="145"/>
      <c r="AI638" s="153" t="s">
        <v>6</v>
      </c>
      <c r="AJ638" s="150">
        <f t="shared" si="30"/>
        <v>0</v>
      </c>
      <c r="AK638" s="154" t="s">
        <v>60</v>
      </c>
    </row>
    <row r="639" spans="1:37" ht="30" customHeight="1">
      <c r="A639" s="64"/>
      <c r="B639" s="64"/>
      <c r="C639" s="64"/>
      <c r="D639" s="64"/>
      <c r="E639" s="64"/>
      <c r="F639" s="64"/>
      <c r="G639" s="64"/>
      <c r="H639" s="64"/>
      <c r="I639" s="64"/>
      <c r="J639" s="64"/>
      <c r="K639" s="64"/>
      <c r="L639" s="64"/>
      <c r="M639" s="64"/>
      <c r="N639" s="194"/>
      <c r="O639" s="157"/>
      <c r="P639" s="92"/>
      <c r="Q639" s="145"/>
      <c r="R639" s="92"/>
      <c r="S639" s="145"/>
      <c r="T639" s="92"/>
      <c r="U639" s="145"/>
      <c r="V639" s="92"/>
      <c r="W639" s="145"/>
      <c r="X639" s="92"/>
      <c r="Y639" s="145"/>
      <c r="Z639" s="92"/>
      <c r="AA639" s="145"/>
      <c r="AB639" s="92"/>
      <c r="AC639" s="145"/>
      <c r="AD639" s="92"/>
      <c r="AE639" s="145"/>
      <c r="AF639" s="142" t="str">
        <f t="shared" si="32"/>
        <v/>
      </c>
      <c r="AG639" s="190" t="b">
        <f t="shared" si="31"/>
        <v>0</v>
      </c>
      <c r="AH639" s="145"/>
      <c r="AI639" s="153" t="s">
        <v>6</v>
      </c>
      <c r="AJ639" s="150">
        <f t="shared" si="30"/>
        <v>0</v>
      </c>
      <c r="AK639" s="154" t="s">
        <v>60</v>
      </c>
    </row>
    <row r="640" spans="1:37" ht="30" customHeight="1">
      <c r="A640" s="64"/>
      <c r="B640" s="64"/>
      <c r="C640" s="64"/>
      <c r="D640" s="64"/>
      <c r="E640" s="64"/>
      <c r="F640" s="64"/>
      <c r="G640" s="64"/>
      <c r="H640" s="64"/>
      <c r="I640" s="64"/>
      <c r="J640" s="64"/>
      <c r="K640" s="64"/>
      <c r="L640" s="64"/>
      <c r="M640" s="64"/>
      <c r="N640" s="194"/>
      <c r="O640" s="157"/>
      <c r="P640" s="92"/>
      <c r="Q640" s="145"/>
      <c r="R640" s="92"/>
      <c r="S640" s="145"/>
      <c r="T640" s="92"/>
      <c r="U640" s="145"/>
      <c r="V640" s="92"/>
      <c r="W640" s="145"/>
      <c r="X640" s="92"/>
      <c r="Y640" s="145"/>
      <c r="Z640" s="92"/>
      <c r="AA640" s="145"/>
      <c r="AB640" s="92"/>
      <c r="AC640" s="145"/>
      <c r="AD640" s="92"/>
      <c r="AE640" s="145"/>
      <c r="AF640" s="142" t="str">
        <f t="shared" si="32"/>
        <v/>
      </c>
      <c r="AG640" s="190" t="b">
        <f t="shared" si="31"/>
        <v>0</v>
      </c>
      <c r="AH640" s="145"/>
      <c r="AI640" s="153" t="s">
        <v>6</v>
      </c>
      <c r="AJ640" s="150">
        <f t="shared" si="30"/>
        <v>0</v>
      </c>
      <c r="AK640" s="154" t="s">
        <v>60</v>
      </c>
    </row>
    <row r="641" spans="1:37" ht="30" customHeight="1">
      <c r="A641" s="64"/>
      <c r="B641" s="64"/>
      <c r="C641" s="64"/>
      <c r="D641" s="64"/>
      <c r="E641" s="64"/>
      <c r="F641" s="64"/>
      <c r="G641" s="64"/>
      <c r="H641" s="64"/>
      <c r="I641" s="64"/>
      <c r="J641" s="64"/>
      <c r="K641" s="64"/>
      <c r="L641" s="64"/>
      <c r="M641" s="64"/>
      <c r="N641" s="194"/>
      <c r="O641" s="157"/>
      <c r="P641" s="92"/>
      <c r="Q641" s="145"/>
      <c r="R641" s="92"/>
      <c r="S641" s="145"/>
      <c r="T641" s="92"/>
      <c r="U641" s="145"/>
      <c r="V641" s="92"/>
      <c r="W641" s="145"/>
      <c r="X641" s="92"/>
      <c r="Y641" s="145"/>
      <c r="Z641" s="92"/>
      <c r="AA641" s="145"/>
      <c r="AB641" s="92"/>
      <c r="AC641" s="145"/>
      <c r="AD641" s="92"/>
      <c r="AE641" s="145"/>
      <c r="AF641" s="142" t="str">
        <f t="shared" si="32"/>
        <v/>
      </c>
      <c r="AG641" s="190" t="b">
        <f t="shared" si="31"/>
        <v>0</v>
      </c>
      <c r="AH641" s="145"/>
      <c r="AI641" s="153" t="s">
        <v>6</v>
      </c>
      <c r="AJ641" s="150">
        <f t="shared" si="30"/>
        <v>0</v>
      </c>
      <c r="AK641" s="154" t="s">
        <v>60</v>
      </c>
    </row>
    <row r="642" spans="1:37" ht="30" customHeight="1">
      <c r="A642" s="64"/>
      <c r="B642" s="64"/>
      <c r="C642" s="64"/>
      <c r="D642" s="64"/>
      <c r="E642" s="64"/>
      <c r="F642" s="64"/>
      <c r="G642" s="64"/>
      <c r="H642" s="64"/>
      <c r="I642" s="64"/>
      <c r="J642" s="64"/>
      <c r="K642" s="64"/>
      <c r="L642" s="64"/>
      <c r="M642" s="64"/>
      <c r="N642" s="194"/>
      <c r="O642" s="157"/>
      <c r="P642" s="92"/>
      <c r="Q642" s="145"/>
      <c r="R642" s="92"/>
      <c r="S642" s="145"/>
      <c r="T642" s="92"/>
      <c r="U642" s="145"/>
      <c r="V642" s="92"/>
      <c r="W642" s="145"/>
      <c r="X642" s="92"/>
      <c r="Y642" s="145"/>
      <c r="Z642" s="92"/>
      <c r="AA642" s="145"/>
      <c r="AB642" s="92"/>
      <c r="AC642" s="145"/>
      <c r="AD642" s="92"/>
      <c r="AE642" s="145"/>
      <c r="AF642" s="142" t="str">
        <f t="shared" si="32"/>
        <v/>
      </c>
      <c r="AG642" s="190" t="b">
        <f t="shared" si="31"/>
        <v>0</v>
      </c>
      <c r="AH642" s="145"/>
      <c r="AI642" s="153" t="s">
        <v>6</v>
      </c>
      <c r="AJ642" s="150">
        <f t="shared" si="30"/>
        <v>0</v>
      </c>
      <c r="AK642" s="154" t="s">
        <v>60</v>
      </c>
    </row>
    <row r="643" spans="1:37" ht="30" customHeight="1">
      <c r="A643" s="64"/>
      <c r="B643" s="64"/>
      <c r="C643" s="64"/>
      <c r="D643" s="64"/>
      <c r="E643" s="64"/>
      <c r="F643" s="64"/>
      <c r="G643" s="64"/>
      <c r="H643" s="64"/>
      <c r="I643" s="64"/>
      <c r="J643" s="64"/>
      <c r="K643" s="64"/>
      <c r="L643" s="64"/>
      <c r="M643" s="64"/>
      <c r="N643" s="194"/>
      <c r="O643" s="157"/>
      <c r="P643" s="92"/>
      <c r="Q643" s="145"/>
      <c r="R643" s="92"/>
      <c r="S643" s="145"/>
      <c r="T643" s="92"/>
      <c r="U643" s="145"/>
      <c r="V643" s="92"/>
      <c r="W643" s="145"/>
      <c r="X643" s="92"/>
      <c r="Y643" s="145"/>
      <c r="Z643" s="92"/>
      <c r="AA643" s="145"/>
      <c r="AB643" s="92"/>
      <c r="AC643" s="145"/>
      <c r="AD643" s="92"/>
      <c r="AE643" s="145"/>
      <c r="AF643" s="142" t="str">
        <f t="shared" si="32"/>
        <v/>
      </c>
      <c r="AG643" s="190" t="b">
        <f t="shared" si="31"/>
        <v>0</v>
      </c>
      <c r="AH643" s="145"/>
      <c r="AI643" s="153" t="s">
        <v>6</v>
      </c>
      <c r="AJ643" s="150">
        <f t="shared" si="30"/>
        <v>0</v>
      </c>
      <c r="AK643" s="154" t="s">
        <v>60</v>
      </c>
    </row>
    <row r="644" spans="1:37" ht="30" customHeight="1">
      <c r="A644" s="64"/>
      <c r="B644" s="64"/>
      <c r="C644" s="64"/>
      <c r="D644" s="64"/>
      <c r="E644" s="64"/>
      <c r="F644" s="64"/>
      <c r="G644" s="64"/>
      <c r="H644" s="64"/>
      <c r="I644" s="64"/>
      <c r="J644" s="64"/>
      <c r="K644" s="64"/>
      <c r="L644" s="64"/>
      <c r="M644" s="64"/>
      <c r="N644" s="194"/>
      <c r="O644" s="157"/>
      <c r="P644" s="92"/>
      <c r="Q644" s="145"/>
      <c r="R644" s="92"/>
      <c r="S644" s="145"/>
      <c r="T644" s="92"/>
      <c r="U644" s="145"/>
      <c r="V644" s="92"/>
      <c r="W644" s="145"/>
      <c r="X644" s="92"/>
      <c r="Y644" s="145"/>
      <c r="Z644" s="92"/>
      <c r="AA644" s="145"/>
      <c r="AB644" s="92"/>
      <c r="AC644" s="145"/>
      <c r="AD644" s="92"/>
      <c r="AE644" s="145"/>
      <c r="AF644" s="142" t="str">
        <f t="shared" si="32"/>
        <v/>
      </c>
      <c r="AG644" s="190" t="b">
        <f t="shared" si="31"/>
        <v>0</v>
      </c>
      <c r="AH644" s="145"/>
      <c r="AI644" s="153" t="s">
        <v>6</v>
      </c>
      <c r="AJ644" s="150">
        <f t="shared" si="30"/>
        <v>0</v>
      </c>
      <c r="AK644" s="154" t="s">
        <v>60</v>
      </c>
    </row>
    <row r="645" spans="1:37" ht="30" customHeight="1">
      <c r="A645" s="64"/>
      <c r="B645" s="64"/>
      <c r="C645" s="64"/>
      <c r="D645" s="64"/>
      <c r="E645" s="64"/>
      <c r="F645" s="64"/>
      <c r="G645" s="64"/>
      <c r="H645" s="64"/>
      <c r="I645" s="64"/>
      <c r="J645" s="64"/>
      <c r="K645" s="64"/>
      <c r="L645" s="64"/>
      <c r="M645" s="64"/>
      <c r="N645" s="194"/>
      <c r="O645" s="157"/>
      <c r="P645" s="92"/>
      <c r="Q645" s="145"/>
      <c r="R645" s="92"/>
      <c r="S645" s="145"/>
      <c r="T645" s="92"/>
      <c r="U645" s="145"/>
      <c r="V645" s="92"/>
      <c r="W645" s="145"/>
      <c r="X645" s="92"/>
      <c r="Y645" s="145"/>
      <c r="Z645" s="92"/>
      <c r="AA645" s="145"/>
      <c r="AB645" s="92"/>
      <c r="AC645" s="145"/>
      <c r="AD645" s="92"/>
      <c r="AE645" s="145"/>
      <c r="AF645" s="142" t="str">
        <f t="shared" si="32"/>
        <v/>
      </c>
      <c r="AG645" s="190" t="b">
        <f t="shared" si="31"/>
        <v>0</v>
      </c>
      <c r="AH645" s="145"/>
      <c r="AI645" s="153" t="s">
        <v>6</v>
      </c>
      <c r="AJ645" s="150">
        <f t="shared" si="30"/>
        <v>0</v>
      </c>
      <c r="AK645" s="154" t="s">
        <v>60</v>
      </c>
    </row>
    <row r="646" spans="1:37" ht="30" customHeight="1">
      <c r="A646" s="64"/>
      <c r="B646" s="64"/>
      <c r="C646" s="64"/>
      <c r="D646" s="64"/>
      <c r="E646" s="64"/>
      <c r="F646" s="64"/>
      <c r="G646" s="64"/>
      <c r="H646" s="64"/>
      <c r="I646" s="64"/>
      <c r="J646" s="64"/>
      <c r="K646" s="64"/>
      <c r="L646" s="64"/>
      <c r="M646" s="64"/>
      <c r="N646" s="194"/>
      <c r="O646" s="157"/>
      <c r="P646" s="92"/>
      <c r="Q646" s="145"/>
      <c r="R646" s="92"/>
      <c r="S646" s="145"/>
      <c r="T646" s="92"/>
      <c r="U646" s="145"/>
      <c r="V646" s="92"/>
      <c r="W646" s="145"/>
      <c r="X646" s="92"/>
      <c r="Y646" s="145"/>
      <c r="Z646" s="92"/>
      <c r="AA646" s="145"/>
      <c r="AB646" s="92"/>
      <c r="AC646" s="145"/>
      <c r="AD646" s="92"/>
      <c r="AE646" s="145"/>
      <c r="AF646" s="142" t="str">
        <f t="shared" si="32"/>
        <v/>
      </c>
      <c r="AG646" s="190" t="b">
        <f t="shared" si="31"/>
        <v>0</v>
      </c>
      <c r="AH646" s="145"/>
      <c r="AI646" s="153" t="s">
        <v>6</v>
      </c>
      <c r="AJ646" s="150">
        <f t="shared" si="30"/>
        <v>0</v>
      </c>
      <c r="AK646" s="154" t="s">
        <v>60</v>
      </c>
    </row>
    <row r="647" spans="1:37" ht="30" customHeight="1">
      <c r="A647" s="64"/>
      <c r="B647" s="64"/>
      <c r="C647" s="64"/>
      <c r="D647" s="64"/>
      <c r="E647" s="64"/>
      <c r="F647" s="64"/>
      <c r="G647" s="64"/>
      <c r="H647" s="64"/>
      <c r="I647" s="64"/>
      <c r="J647" s="64"/>
      <c r="K647" s="64"/>
      <c r="L647" s="64"/>
      <c r="M647" s="64"/>
      <c r="N647" s="194"/>
      <c r="O647" s="157"/>
      <c r="P647" s="92"/>
      <c r="Q647" s="145"/>
      <c r="R647" s="92"/>
      <c r="S647" s="145"/>
      <c r="T647" s="92"/>
      <c r="U647" s="145"/>
      <c r="V647" s="92"/>
      <c r="W647" s="145"/>
      <c r="X647" s="92"/>
      <c r="Y647" s="145"/>
      <c r="Z647" s="92"/>
      <c r="AA647" s="145"/>
      <c r="AB647" s="92"/>
      <c r="AC647" s="145"/>
      <c r="AD647" s="92"/>
      <c r="AE647" s="145"/>
      <c r="AF647" s="142" t="str">
        <f t="shared" si="32"/>
        <v/>
      </c>
      <c r="AG647" s="190" t="b">
        <f t="shared" si="31"/>
        <v>0</v>
      </c>
      <c r="AH647" s="145"/>
      <c r="AI647" s="153" t="s">
        <v>6</v>
      </c>
      <c r="AJ647" s="150">
        <f t="shared" ref="AJ647:AJ710" si="33">E647</f>
        <v>0</v>
      </c>
      <c r="AK647" s="154" t="s">
        <v>60</v>
      </c>
    </row>
    <row r="648" spans="1:37" ht="30" customHeight="1">
      <c r="A648" s="64"/>
      <c r="B648" s="64"/>
      <c r="C648" s="64"/>
      <c r="D648" s="64"/>
      <c r="E648" s="64"/>
      <c r="F648" s="64"/>
      <c r="G648" s="64"/>
      <c r="H648" s="64"/>
      <c r="I648" s="64"/>
      <c r="J648" s="64"/>
      <c r="K648" s="64"/>
      <c r="L648" s="64"/>
      <c r="M648" s="64"/>
      <c r="N648" s="194"/>
      <c r="O648" s="157"/>
      <c r="P648" s="92"/>
      <c r="Q648" s="145"/>
      <c r="R648" s="92"/>
      <c r="S648" s="145"/>
      <c r="T648" s="92"/>
      <c r="U648" s="145"/>
      <c r="V648" s="92"/>
      <c r="W648" s="145"/>
      <c r="X648" s="92"/>
      <c r="Y648" s="145"/>
      <c r="Z648" s="92"/>
      <c r="AA648" s="145"/>
      <c r="AB648" s="92"/>
      <c r="AC648" s="145"/>
      <c r="AD648" s="92"/>
      <c r="AE648" s="145"/>
      <c r="AF648" s="142" t="str">
        <f t="shared" si="32"/>
        <v/>
      </c>
      <c r="AG648" s="190" t="b">
        <f t="shared" si="31"/>
        <v>0</v>
      </c>
      <c r="AH648" s="145"/>
      <c r="AI648" s="153" t="s">
        <v>6</v>
      </c>
      <c r="AJ648" s="150">
        <f t="shared" si="33"/>
        <v>0</v>
      </c>
      <c r="AK648" s="154" t="s">
        <v>60</v>
      </c>
    </row>
    <row r="649" spans="1:37" ht="30" customHeight="1">
      <c r="A649" s="64"/>
      <c r="B649" s="64"/>
      <c r="C649" s="64"/>
      <c r="D649" s="64"/>
      <c r="E649" s="64"/>
      <c r="F649" s="64"/>
      <c r="G649" s="64"/>
      <c r="H649" s="64"/>
      <c r="I649" s="64"/>
      <c r="J649" s="64"/>
      <c r="K649" s="64"/>
      <c r="L649" s="64"/>
      <c r="M649" s="64"/>
      <c r="N649" s="194"/>
      <c r="O649" s="157"/>
      <c r="P649" s="92"/>
      <c r="Q649" s="145"/>
      <c r="R649" s="92"/>
      <c r="S649" s="145"/>
      <c r="T649" s="92"/>
      <c r="U649" s="145"/>
      <c r="V649" s="92"/>
      <c r="W649" s="145"/>
      <c r="X649" s="92"/>
      <c r="Y649" s="145"/>
      <c r="Z649" s="92"/>
      <c r="AA649" s="145"/>
      <c r="AB649" s="92"/>
      <c r="AC649" s="145"/>
      <c r="AD649" s="92"/>
      <c r="AE649" s="145"/>
      <c r="AF649" s="142" t="str">
        <f t="shared" si="32"/>
        <v/>
      </c>
      <c r="AG649" s="190" t="b">
        <f t="shared" si="31"/>
        <v>0</v>
      </c>
      <c r="AH649" s="145"/>
      <c r="AI649" s="153" t="s">
        <v>6</v>
      </c>
      <c r="AJ649" s="150">
        <f t="shared" si="33"/>
        <v>0</v>
      </c>
      <c r="AK649" s="154" t="s">
        <v>60</v>
      </c>
    </row>
    <row r="650" spans="1:37" ht="30" customHeight="1">
      <c r="A650" s="64"/>
      <c r="B650" s="64"/>
      <c r="C650" s="64"/>
      <c r="D650" s="64"/>
      <c r="E650" s="64"/>
      <c r="F650" s="64"/>
      <c r="G650" s="64"/>
      <c r="H650" s="64"/>
      <c r="I650" s="64"/>
      <c r="J650" s="64"/>
      <c r="K650" s="64"/>
      <c r="L650" s="64"/>
      <c r="M650" s="64"/>
      <c r="N650" s="194"/>
      <c r="O650" s="157"/>
      <c r="P650" s="92"/>
      <c r="Q650" s="145"/>
      <c r="R650" s="92"/>
      <c r="S650" s="145"/>
      <c r="T650" s="92"/>
      <c r="U650" s="145"/>
      <c r="V650" s="92"/>
      <c r="W650" s="145"/>
      <c r="X650" s="92"/>
      <c r="Y650" s="145"/>
      <c r="Z650" s="92"/>
      <c r="AA650" s="145"/>
      <c r="AB650" s="92"/>
      <c r="AC650" s="145"/>
      <c r="AD650" s="92"/>
      <c r="AE650" s="145"/>
      <c r="AF650" s="142" t="str">
        <f t="shared" si="32"/>
        <v/>
      </c>
      <c r="AG650" s="190" t="b">
        <f t="shared" si="31"/>
        <v>0</v>
      </c>
      <c r="AH650" s="145"/>
      <c r="AI650" s="153" t="s">
        <v>6</v>
      </c>
      <c r="AJ650" s="150">
        <f t="shared" si="33"/>
        <v>0</v>
      </c>
      <c r="AK650" s="154" t="s">
        <v>60</v>
      </c>
    </row>
    <row r="651" spans="1:37" ht="30" customHeight="1">
      <c r="A651" s="64"/>
      <c r="B651" s="64"/>
      <c r="C651" s="64"/>
      <c r="D651" s="64"/>
      <c r="E651" s="64"/>
      <c r="F651" s="64"/>
      <c r="G651" s="64"/>
      <c r="H651" s="64"/>
      <c r="I651" s="64"/>
      <c r="J651" s="64"/>
      <c r="K651" s="64"/>
      <c r="L651" s="64"/>
      <c r="M651" s="64"/>
      <c r="N651" s="194"/>
      <c r="O651" s="157"/>
      <c r="P651" s="92"/>
      <c r="Q651" s="145"/>
      <c r="R651" s="92"/>
      <c r="S651" s="145"/>
      <c r="T651" s="92"/>
      <c r="U651" s="145"/>
      <c r="V651" s="92"/>
      <c r="W651" s="145"/>
      <c r="X651" s="92"/>
      <c r="Y651" s="145"/>
      <c r="Z651" s="92"/>
      <c r="AA651" s="145"/>
      <c r="AB651" s="92"/>
      <c r="AC651" s="145"/>
      <c r="AD651" s="92"/>
      <c r="AE651" s="145"/>
      <c r="AF651" s="142" t="str">
        <f t="shared" si="32"/>
        <v/>
      </c>
      <c r="AG651" s="190" t="b">
        <f t="shared" si="31"/>
        <v>0</v>
      </c>
      <c r="AH651" s="145"/>
      <c r="AI651" s="153" t="s">
        <v>6</v>
      </c>
      <c r="AJ651" s="150">
        <f t="shared" si="33"/>
        <v>0</v>
      </c>
      <c r="AK651" s="154" t="s">
        <v>60</v>
      </c>
    </row>
    <row r="652" spans="1:37" ht="30" customHeight="1">
      <c r="A652" s="64"/>
      <c r="B652" s="64"/>
      <c r="C652" s="64"/>
      <c r="D652" s="64"/>
      <c r="E652" s="64"/>
      <c r="F652" s="64"/>
      <c r="G652" s="64"/>
      <c r="H652" s="64"/>
      <c r="I652" s="64"/>
      <c r="J652" s="64"/>
      <c r="K652" s="64"/>
      <c r="L652" s="64"/>
      <c r="M652" s="64"/>
      <c r="N652" s="194"/>
      <c r="O652" s="157"/>
      <c r="P652" s="92"/>
      <c r="Q652" s="145"/>
      <c r="R652" s="92"/>
      <c r="S652" s="145"/>
      <c r="T652" s="92"/>
      <c r="U652" s="145"/>
      <c r="V652" s="92"/>
      <c r="W652" s="145"/>
      <c r="X652" s="92"/>
      <c r="Y652" s="145"/>
      <c r="Z652" s="92"/>
      <c r="AA652" s="145"/>
      <c r="AB652" s="92"/>
      <c r="AC652" s="145"/>
      <c r="AD652" s="92"/>
      <c r="AE652" s="145"/>
      <c r="AF652" s="142" t="str">
        <f t="shared" si="32"/>
        <v/>
      </c>
      <c r="AG652" s="190" t="b">
        <f t="shared" si="31"/>
        <v>0</v>
      </c>
      <c r="AH652" s="145"/>
      <c r="AI652" s="153" t="s">
        <v>6</v>
      </c>
      <c r="AJ652" s="150">
        <f t="shared" si="33"/>
        <v>0</v>
      </c>
      <c r="AK652" s="154" t="s">
        <v>60</v>
      </c>
    </row>
    <row r="653" spans="1:37" ht="30" customHeight="1">
      <c r="A653" s="64"/>
      <c r="B653" s="64"/>
      <c r="C653" s="64"/>
      <c r="D653" s="64"/>
      <c r="E653" s="64"/>
      <c r="F653" s="64"/>
      <c r="G653" s="64"/>
      <c r="H653" s="64"/>
      <c r="I653" s="64"/>
      <c r="J653" s="64"/>
      <c r="K653" s="64"/>
      <c r="L653" s="64"/>
      <c r="M653" s="64"/>
      <c r="N653" s="194"/>
      <c r="O653" s="157"/>
      <c r="P653" s="92"/>
      <c r="Q653" s="145"/>
      <c r="R653" s="92"/>
      <c r="S653" s="145"/>
      <c r="T653" s="92"/>
      <c r="U653" s="145"/>
      <c r="V653" s="92"/>
      <c r="W653" s="145"/>
      <c r="X653" s="92"/>
      <c r="Y653" s="145"/>
      <c r="Z653" s="92"/>
      <c r="AA653" s="145"/>
      <c r="AB653" s="92"/>
      <c r="AC653" s="145"/>
      <c r="AD653" s="92"/>
      <c r="AE653" s="145"/>
      <c r="AF653" s="142" t="str">
        <f t="shared" si="32"/>
        <v/>
      </c>
      <c r="AG653" s="190" t="b">
        <f t="shared" si="31"/>
        <v>0</v>
      </c>
      <c r="AH653" s="145"/>
      <c r="AI653" s="153" t="s">
        <v>6</v>
      </c>
      <c r="AJ653" s="150">
        <f t="shared" si="33"/>
        <v>0</v>
      </c>
      <c r="AK653" s="154" t="s">
        <v>60</v>
      </c>
    </row>
    <row r="654" spans="1:37" ht="30" customHeight="1">
      <c r="A654" s="64"/>
      <c r="B654" s="64"/>
      <c r="C654" s="64"/>
      <c r="D654" s="64"/>
      <c r="E654" s="64"/>
      <c r="F654" s="64"/>
      <c r="G654" s="64"/>
      <c r="H654" s="64"/>
      <c r="I654" s="64"/>
      <c r="J654" s="64"/>
      <c r="K654" s="64"/>
      <c r="L654" s="64"/>
      <c r="M654" s="64"/>
      <c r="N654" s="194"/>
      <c r="O654" s="157"/>
      <c r="P654" s="92"/>
      <c r="Q654" s="145"/>
      <c r="R654" s="92"/>
      <c r="S654" s="145"/>
      <c r="T654" s="92"/>
      <c r="U654" s="145"/>
      <c r="V654" s="92"/>
      <c r="W654" s="145"/>
      <c r="X654" s="92"/>
      <c r="Y654" s="145"/>
      <c r="Z654" s="92"/>
      <c r="AA654" s="145"/>
      <c r="AB654" s="92"/>
      <c r="AC654" s="145"/>
      <c r="AD654" s="92"/>
      <c r="AE654" s="145"/>
      <c r="AF654" s="142" t="str">
        <f t="shared" si="32"/>
        <v/>
      </c>
      <c r="AG654" s="190" t="b">
        <f t="shared" si="31"/>
        <v>0</v>
      </c>
      <c r="AH654" s="145"/>
      <c r="AI654" s="153" t="s">
        <v>6</v>
      </c>
      <c r="AJ654" s="150">
        <f t="shared" si="33"/>
        <v>0</v>
      </c>
      <c r="AK654" s="154" t="s">
        <v>60</v>
      </c>
    </row>
    <row r="655" spans="1:37" ht="30" customHeight="1">
      <c r="A655" s="64"/>
      <c r="B655" s="64"/>
      <c r="C655" s="64"/>
      <c r="D655" s="64"/>
      <c r="E655" s="64"/>
      <c r="F655" s="64"/>
      <c r="G655" s="64"/>
      <c r="H655" s="64"/>
      <c r="I655" s="64"/>
      <c r="J655" s="64"/>
      <c r="K655" s="64"/>
      <c r="L655" s="64"/>
      <c r="M655" s="64"/>
      <c r="N655" s="194"/>
      <c r="O655" s="157"/>
      <c r="P655" s="92"/>
      <c r="Q655" s="145"/>
      <c r="R655" s="92"/>
      <c r="S655" s="145"/>
      <c r="T655" s="92"/>
      <c r="U655" s="145"/>
      <c r="V655" s="92"/>
      <c r="W655" s="145"/>
      <c r="X655" s="92"/>
      <c r="Y655" s="145"/>
      <c r="Z655" s="92"/>
      <c r="AA655" s="145"/>
      <c r="AB655" s="92"/>
      <c r="AC655" s="145"/>
      <c r="AD655" s="92"/>
      <c r="AE655" s="145"/>
      <c r="AF655" s="142" t="str">
        <f t="shared" si="32"/>
        <v/>
      </c>
      <c r="AG655" s="190" t="b">
        <f t="shared" si="31"/>
        <v>0</v>
      </c>
      <c r="AH655" s="145"/>
      <c r="AI655" s="153" t="s">
        <v>6</v>
      </c>
      <c r="AJ655" s="150">
        <f t="shared" si="33"/>
        <v>0</v>
      </c>
      <c r="AK655" s="154" t="s">
        <v>60</v>
      </c>
    </row>
    <row r="656" spans="1:37" ht="30" customHeight="1">
      <c r="A656" s="64"/>
      <c r="B656" s="64"/>
      <c r="C656" s="64"/>
      <c r="D656" s="64"/>
      <c r="E656" s="64"/>
      <c r="F656" s="64"/>
      <c r="G656" s="64"/>
      <c r="H656" s="64"/>
      <c r="I656" s="64"/>
      <c r="J656" s="64"/>
      <c r="K656" s="64"/>
      <c r="L656" s="64"/>
      <c r="M656" s="64"/>
      <c r="N656" s="194"/>
      <c r="O656" s="157"/>
      <c r="P656" s="92"/>
      <c r="Q656" s="145"/>
      <c r="R656" s="92"/>
      <c r="S656" s="145"/>
      <c r="T656" s="92"/>
      <c r="U656" s="145"/>
      <c r="V656" s="92"/>
      <c r="W656" s="145"/>
      <c r="X656" s="92"/>
      <c r="Y656" s="145"/>
      <c r="Z656" s="92"/>
      <c r="AA656" s="145"/>
      <c r="AB656" s="92"/>
      <c r="AC656" s="145"/>
      <c r="AD656" s="92"/>
      <c r="AE656" s="145"/>
      <c r="AF656" s="142" t="str">
        <f t="shared" si="32"/>
        <v/>
      </c>
      <c r="AG656" s="190" t="b">
        <f t="shared" si="31"/>
        <v>0</v>
      </c>
      <c r="AH656" s="145"/>
      <c r="AI656" s="153" t="s">
        <v>6</v>
      </c>
      <c r="AJ656" s="150">
        <f t="shared" si="33"/>
        <v>0</v>
      </c>
      <c r="AK656" s="154" t="s">
        <v>60</v>
      </c>
    </row>
    <row r="657" spans="1:37" ht="30" customHeight="1">
      <c r="A657" s="64"/>
      <c r="B657" s="64"/>
      <c r="C657" s="64"/>
      <c r="D657" s="64"/>
      <c r="E657" s="64"/>
      <c r="F657" s="64"/>
      <c r="G657" s="64"/>
      <c r="H657" s="64"/>
      <c r="I657" s="64"/>
      <c r="J657" s="64"/>
      <c r="K657" s="64"/>
      <c r="L657" s="64"/>
      <c r="M657" s="64"/>
      <c r="N657" s="194"/>
      <c r="O657" s="157"/>
      <c r="P657" s="92"/>
      <c r="Q657" s="145"/>
      <c r="R657" s="92"/>
      <c r="S657" s="145"/>
      <c r="T657" s="92"/>
      <c r="U657" s="145"/>
      <c r="V657" s="92"/>
      <c r="W657" s="145"/>
      <c r="X657" s="92"/>
      <c r="Y657" s="145"/>
      <c r="Z657" s="92"/>
      <c r="AA657" s="145"/>
      <c r="AB657" s="92"/>
      <c r="AC657" s="145"/>
      <c r="AD657" s="92"/>
      <c r="AE657" s="145"/>
      <c r="AF657" s="142" t="str">
        <f t="shared" si="32"/>
        <v/>
      </c>
      <c r="AG657" s="190" t="b">
        <f t="shared" si="31"/>
        <v>0</v>
      </c>
      <c r="AH657" s="145"/>
      <c r="AI657" s="153" t="s">
        <v>6</v>
      </c>
      <c r="AJ657" s="150">
        <f t="shared" si="33"/>
        <v>0</v>
      </c>
      <c r="AK657" s="154" t="s">
        <v>60</v>
      </c>
    </row>
    <row r="658" spans="1:37" ht="30" customHeight="1">
      <c r="A658" s="64"/>
      <c r="B658" s="64"/>
      <c r="C658" s="64"/>
      <c r="D658" s="64"/>
      <c r="E658" s="64"/>
      <c r="F658" s="64"/>
      <c r="G658" s="64"/>
      <c r="H658" s="64"/>
      <c r="I658" s="64"/>
      <c r="J658" s="64"/>
      <c r="K658" s="64"/>
      <c r="L658" s="64"/>
      <c r="M658" s="64"/>
      <c r="N658" s="194"/>
      <c r="O658" s="157"/>
      <c r="P658" s="92"/>
      <c r="Q658" s="145"/>
      <c r="R658" s="92"/>
      <c r="S658" s="145"/>
      <c r="T658" s="92"/>
      <c r="U658" s="145"/>
      <c r="V658" s="92"/>
      <c r="W658" s="145"/>
      <c r="X658" s="92"/>
      <c r="Y658" s="145"/>
      <c r="Z658" s="92"/>
      <c r="AA658" s="145"/>
      <c r="AB658" s="92"/>
      <c r="AC658" s="145"/>
      <c r="AD658" s="92"/>
      <c r="AE658" s="145"/>
      <c r="AF658" s="142" t="str">
        <f t="shared" si="32"/>
        <v/>
      </c>
      <c r="AG658" s="190" t="b">
        <f t="shared" si="31"/>
        <v>0</v>
      </c>
      <c r="AH658" s="145"/>
      <c r="AI658" s="153" t="s">
        <v>6</v>
      </c>
      <c r="AJ658" s="150">
        <f t="shared" si="33"/>
        <v>0</v>
      </c>
      <c r="AK658" s="154" t="s">
        <v>60</v>
      </c>
    </row>
    <row r="659" spans="1:37" ht="30" customHeight="1">
      <c r="A659" s="64"/>
      <c r="B659" s="64"/>
      <c r="C659" s="64"/>
      <c r="D659" s="64"/>
      <c r="E659" s="64"/>
      <c r="F659" s="64"/>
      <c r="G659" s="64"/>
      <c r="H659" s="64"/>
      <c r="I659" s="64"/>
      <c r="J659" s="64"/>
      <c r="K659" s="64"/>
      <c r="L659" s="64"/>
      <c r="M659" s="64"/>
      <c r="N659" s="194"/>
      <c r="O659" s="157"/>
      <c r="P659" s="92"/>
      <c r="Q659" s="145"/>
      <c r="R659" s="92"/>
      <c r="S659" s="145"/>
      <c r="T659" s="92"/>
      <c r="U659" s="145"/>
      <c r="V659" s="92"/>
      <c r="W659" s="145"/>
      <c r="X659" s="92"/>
      <c r="Y659" s="145"/>
      <c r="Z659" s="92"/>
      <c r="AA659" s="145"/>
      <c r="AB659" s="92"/>
      <c r="AC659" s="145"/>
      <c r="AD659" s="92"/>
      <c r="AE659" s="145"/>
      <c r="AF659" s="142" t="str">
        <f t="shared" si="32"/>
        <v/>
      </c>
      <c r="AG659" s="190" t="b">
        <f t="shared" si="31"/>
        <v>0</v>
      </c>
      <c r="AH659" s="145"/>
      <c r="AI659" s="153" t="s">
        <v>6</v>
      </c>
      <c r="AJ659" s="150">
        <f t="shared" si="33"/>
        <v>0</v>
      </c>
      <c r="AK659" s="154" t="s">
        <v>60</v>
      </c>
    </row>
    <row r="660" spans="1:37" ht="30" customHeight="1">
      <c r="A660" s="64"/>
      <c r="B660" s="64"/>
      <c r="C660" s="64"/>
      <c r="D660" s="64"/>
      <c r="E660" s="64"/>
      <c r="F660" s="64"/>
      <c r="G660" s="64"/>
      <c r="H660" s="64"/>
      <c r="I660" s="64"/>
      <c r="J660" s="64"/>
      <c r="K660" s="64"/>
      <c r="L660" s="64"/>
      <c r="M660" s="64"/>
      <c r="N660" s="194"/>
      <c r="O660" s="157"/>
      <c r="P660" s="92"/>
      <c r="Q660" s="145"/>
      <c r="R660" s="92"/>
      <c r="S660" s="145"/>
      <c r="T660" s="92"/>
      <c r="U660" s="145"/>
      <c r="V660" s="92"/>
      <c r="W660" s="145"/>
      <c r="X660" s="92"/>
      <c r="Y660" s="145"/>
      <c r="Z660" s="92"/>
      <c r="AA660" s="145"/>
      <c r="AB660" s="92"/>
      <c r="AC660" s="145"/>
      <c r="AD660" s="92"/>
      <c r="AE660" s="145"/>
      <c r="AF660" s="142" t="str">
        <f t="shared" si="32"/>
        <v/>
      </c>
      <c r="AG660" s="190" t="b">
        <f t="shared" si="31"/>
        <v>0</v>
      </c>
      <c r="AH660" s="145"/>
      <c r="AI660" s="153" t="s">
        <v>6</v>
      </c>
      <c r="AJ660" s="150">
        <f t="shared" si="33"/>
        <v>0</v>
      </c>
      <c r="AK660" s="154" t="s">
        <v>60</v>
      </c>
    </row>
    <row r="661" spans="1:37" ht="30" customHeight="1">
      <c r="A661" s="64"/>
      <c r="B661" s="64"/>
      <c r="C661" s="64"/>
      <c r="D661" s="64"/>
      <c r="E661" s="64"/>
      <c r="F661" s="64"/>
      <c r="G661" s="64"/>
      <c r="H661" s="64"/>
      <c r="I661" s="64"/>
      <c r="J661" s="64"/>
      <c r="K661" s="64"/>
      <c r="L661" s="64"/>
      <c r="M661" s="64"/>
      <c r="N661" s="194"/>
      <c r="O661" s="157"/>
      <c r="P661" s="92"/>
      <c r="Q661" s="145"/>
      <c r="R661" s="92"/>
      <c r="S661" s="145"/>
      <c r="T661" s="92"/>
      <c r="U661" s="145"/>
      <c r="V661" s="92"/>
      <c r="W661" s="145"/>
      <c r="X661" s="92"/>
      <c r="Y661" s="145"/>
      <c r="Z661" s="92"/>
      <c r="AA661" s="145"/>
      <c r="AB661" s="92"/>
      <c r="AC661" s="145"/>
      <c r="AD661" s="92"/>
      <c r="AE661" s="145"/>
      <c r="AF661" s="142" t="str">
        <f t="shared" si="32"/>
        <v/>
      </c>
      <c r="AG661" s="190" t="b">
        <f t="shared" si="31"/>
        <v>0</v>
      </c>
      <c r="AH661" s="145"/>
      <c r="AI661" s="153" t="s">
        <v>6</v>
      </c>
      <c r="AJ661" s="150">
        <f t="shared" si="33"/>
        <v>0</v>
      </c>
      <c r="AK661" s="154" t="s">
        <v>60</v>
      </c>
    </row>
    <row r="662" spans="1:37" ht="30" customHeight="1">
      <c r="A662" s="64"/>
      <c r="B662" s="64"/>
      <c r="C662" s="64"/>
      <c r="D662" s="64"/>
      <c r="E662" s="64"/>
      <c r="F662" s="64"/>
      <c r="G662" s="64"/>
      <c r="H662" s="64"/>
      <c r="I662" s="64"/>
      <c r="J662" s="64"/>
      <c r="K662" s="64"/>
      <c r="L662" s="64"/>
      <c r="M662" s="64"/>
      <c r="N662" s="194"/>
      <c r="O662" s="157"/>
      <c r="P662" s="92"/>
      <c r="Q662" s="145"/>
      <c r="R662" s="92"/>
      <c r="S662" s="145"/>
      <c r="T662" s="92"/>
      <c r="U662" s="145"/>
      <c r="V662" s="92"/>
      <c r="W662" s="145"/>
      <c r="X662" s="92"/>
      <c r="Y662" s="145"/>
      <c r="Z662" s="92"/>
      <c r="AA662" s="145"/>
      <c r="AB662" s="92"/>
      <c r="AC662" s="145"/>
      <c r="AD662" s="92"/>
      <c r="AE662" s="145"/>
      <c r="AF662" s="142" t="str">
        <f t="shared" si="32"/>
        <v/>
      </c>
      <c r="AG662" s="190" t="b">
        <f t="shared" si="31"/>
        <v>0</v>
      </c>
      <c r="AH662" s="145"/>
      <c r="AI662" s="153" t="s">
        <v>6</v>
      </c>
      <c r="AJ662" s="150">
        <f t="shared" si="33"/>
        <v>0</v>
      </c>
      <c r="AK662" s="154" t="s">
        <v>60</v>
      </c>
    </row>
    <row r="663" spans="1:37" ht="30" customHeight="1">
      <c r="A663" s="64"/>
      <c r="B663" s="64"/>
      <c r="C663" s="64"/>
      <c r="D663" s="64"/>
      <c r="E663" s="64"/>
      <c r="F663" s="64"/>
      <c r="G663" s="64"/>
      <c r="H663" s="64"/>
      <c r="I663" s="64"/>
      <c r="J663" s="64"/>
      <c r="K663" s="64"/>
      <c r="L663" s="64"/>
      <c r="M663" s="64"/>
      <c r="N663" s="194"/>
      <c r="O663" s="157"/>
      <c r="P663" s="92"/>
      <c r="Q663" s="145"/>
      <c r="R663" s="92"/>
      <c r="S663" s="145"/>
      <c r="T663" s="92"/>
      <c r="U663" s="145"/>
      <c r="V663" s="92"/>
      <c r="W663" s="145"/>
      <c r="X663" s="92"/>
      <c r="Y663" s="145"/>
      <c r="Z663" s="92"/>
      <c r="AA663" s="145"/>
      <c r="AB663" s="92"/>
      <c r="AC663" s="145"/>
      <c r="AD663" s="92"/>
      <c r="AE663" s="145"/>
      <c r="AF663" s="142" t="str">
        <f t="shared" si="32"/>
        <v/>
      </c>
      <c r="AG663" s="190" t="b">
        <f t="shared" si="31"/>
        <v>0</v>
      </c>
      <c r="AH663" s="145"/>
      <c r="AI663" s="153" t="s">
        <v>6</v>
      </c>
      <c r="AJ663" s="150">
        <f t="shared" si="33"/>
        <v>0</v>
      </c>
      <c r="AK663" s="154" t="s">
        <v>60</v>
      </c>
    </row>
    <row r="664" spans="1:37" ht="30" customHeight="1">
      <c r="A664" s="64"/>
      <c r="B664" s="64"/>
      <c r="C664" s="64"/>
      <c r="D664" s="64"/>
      <c r="E664" s="64"/>
      <c r="F664" s="64"/>
      <c r="G664" s="64"/>
      <c r="H664" s="64"/>
      <c r="I664" s="64"/>
      <c r="J664" s="64"/>
      <c r="K664" s="64"/>
      <c r="L664" s="64"/>
      <c r="M664" s="64"/>
      <c r="N664" s="194"/>
      <c r="O664" s="157"/>
      <c r="P664" s="92"/>
      <c r="Q664" s="145"/>
      <c r="R664" s="92"/>
      <c r="S664" s="145"/>
      <c r="T664" s="92"/>
      <c r="U664" s="145"/>
      <c r="V664" s="92"/>
      <c r="W664" s="145"/>
      <c r="X664" s="92"/>
      <c r="Y664" s="145"/>
      <c r="Z664" s="92"/>
      <c r="AA664" s="145"/>
      <c r="AB664" s="92"/>
      <c r="AC664" s="145"/>
      <c r="AD664" s="92"/>
      <c r="AE664" s="145"/>
      <c r="AF664" s="142" t="str">
        <f t="shared" si="32"/>
        <v/>
      </c>
      <c r="AG664" s="190" t="b">
        <f t="shared" si="31"/>
        <v>0</v>
      </c>
      <c r="AH664" s="145"/>
      <c r="AI664" s="153" t="s">
        <v>6</v>
      </c>
      <c r="AJ664" s="150">
        <f t="shared" si="33"/>
        <v>0</v>
      </c>
      <c r="AK664" s="154" t="s">
        <v>60</v>
      </c>
    </row>
    <row r="665" spans="1:37" ht="30" customHeight="1">
      <c r="A665" s="64"/>
      <c r="B665" s="64"/>
      <c r="C665" s="64"/>
      <c r="D665" s="64"/>
      <c r="E665" s="64"/>
      <c r="F665" s="64"/>
      <c r="G665" s="64"/>
      <c r="H665" s="64"/>
      <c r="I665" s="64"/>
      <c r="J665" s="64"/>
      <c r="K665" s="64"/>
      <c r="L665" s="64"/>
      <c r="M665" s="64"/>
      <c r="N665" s="194"/>
      <c r="O665" s="157"/>
      <c r="P665" s="92"/>
      <c r="Q665" s="145"/>
      <c r="R665" s="92"/>
      <c r="S665" s="145"/>
      <c r="T665" s="92"/>
      <c r="U665" s="145"/>
      <c r="V665" s="92"/>
      <c r="W665" s="145"/>
      <c r="X665" s="92"/>
      <c r="Y665" s="145"/>
      <c r="Z665" s="92"/>
      <c r="AA665" s="145"/>
      <c r="AB665" s="92"/>
      <c r="AC665" s="145"/>
      <c r="AD665" s="92"/>
      <c r="AE665" s="145"/>
      <c r="AF665" s="142" t="str">
        <f t="shared" si="32"/>
        <v/>
      </c>
      <c r="AG665" s="190" t="b">
        <f t="shared" si="31"/>
        <v>0</v>
      </c>
      <c r="AH665" s="145"/>
      <c r="AI665" s="153" t="s">
        <v>6</v>
      </c>
      <c r="AJ665" s="150">
        <f t="shared" si="33"/>
        <v>0</v>
      </c>
      <c r="AK665" s="154" t="s">
        <v>60</v>
      </c>
    </row>
    <row r="666" spans="1:37" ht="30" customHeight="1">
      <c r="A666" s="64"/>
      <c r="B666" s="64"/>
      <c r="C666" s="64"/>
      <c r="D666" s="64"/>
      <c r="E666" s="64"/>
      <c r="F666" s="64"/>
      <c r="G666" s="64"/>
      <c r="H666" s="64"/>
      <c r="I666" s="64"/>
      <c r="J666" s="64"/>
      <c r="K666" s="64"/>
      <c r="L666" s="64"/>
      <c r="M666" s="64"/>
      <c r="N666" s="194"/>
      <c r="O666" s="157"/>
      <c r="P666" s="92"/>
      <c r="Q666" s="145"/>
      <c r="R666" s="92"/>
      <c r="S666" s="145"/>
      <c r="T666" s="92"/>
      <c r="U666" s="145"/>
      <c r="V666" s="92"/>
      <c r="W666" s="145"/>
      <c r="X666" s="92"/>
      <c r="Y666" s="145"/>
      <c r="Z666" s="92"/>
      <c r="AA666" s="145"/>
      <c r="AB666" s="92"/>
      <c r="AC666" s="145"/>
      <c r="AD666" s="92"/>
      <c r="AE666" s="145"/>
      <c r="AF666" s="142" t="str">
        <f t="shared" si="32"/>
        <v/>
      </c>
      <c r="AG666" s="190" t="b">
        <f t="shared" si="31"/>
        <v>0</v>
      </c>
      <c r="AH666" s="145"/>
      <c r="AI666" s="153" t="s">
        <v>6</v>
      </c>
      <c r="AJ666" s="150">
        <f t="shared" si="33"/>
        <v>0</v>
      </c>
      <c r="AK666" s="154" t="s">
        <v>60</v>
      </c>
    </row>
    <row r="667" spans="1:37" ht="30" customHeight="1">
      <c r="A667" s="64"/>
      <c r="B667" s="64"/>
      <c r="C667" s="64"/>
      <c r="D667" s="64"/>
      <c r="E667" s="64"/>
      <c r="F667" s="64"/>
      <c r="G667" s="64"/>
      <c r="H667" s="64"/>
      <c r="I667" s="64"/>
      <c r="J667" s="64"/>
      <c r="K667" s="64"/>
      <c r="L667" s="64"/>
      <c r="M667" s="64"/>
      <c r="N667" s="194"/>
      <c r="O667" s="157"/>
      <c r="P667" s="92"/>
      <c r="Q667" s="145"/>
      <c r="R667" s="92"/>
      <c r="S667" s="145"/>
      <c r="T667" s="92"/>
      <c r="U667" s="145"/>
      <c r="V667" s="92"/>
      <c r="W667" s="145"/>
      <c r="X667" s="92"/>
      <c r="Y667" s="145"/>
      <c r="Z667" s="92"/>
      <c r="AA667" s="145"/>
      <c r="AB667" s="92"/>
      <c r="AC667" s="145"/>
      <c r="AD667" s="92"/>
      <c r="AE667" s="145"/>
      <c r="AF667" s="142" t="str">
        <f t="shared" si="32"/>
        <v/>
      </c>
      <c r="AG667" s="190" t="b">
        <f t="shared" si="31"/>
        <v>0</v>
      </c>
      <c r="AH667" s="145"/>
      <c r="AI667" s="153" t="s">
        <v>6</v>
      </c>
      <c r="AJ667" s="150">
        <f t="shared" si="33"/>
        <v>0</v>
      </c>
      <c r="AK667" s="154" t="s">
        <v>60</v>
      </c>
    </row>
    <row r="668" spans="1:37" ht="30" customHeight="1">
      <c r="A668" s="64"/>
      <c r="B668" s="64"/>
      <c r="C668" s="64"/>
      <c r="D668" s="64"/>
      <c r="E668" s="64"/>
      <c r="F668" s="64"/>
      <c r="G668" s="64"/>
      <c r="H668" s="64"/>
      <c r="I668" s="64"/>
      <c r="J668" s="64"/>
      <c r="K668" s="64"/>
      <c r="L668" s="64"/>
      <c r="M668" s="64"/>
      <c r="N668" s="194"/>
      <c r="O668" s="157"/>
      <c r="P668" s="92"/>
      <c r="Q668" s="145"/>
      <c r="R668" s="92"/>
      <c r="S668" s="145"/>
      <c r="T668" s="92"/>
      <c r="U668" s="145"/>
      <c r="V668" s="92"/>
      <c r="W668" s="145"/>
      <c r="X668" s="92"/>
      <c r="Y668" s="145"/>
      <c r="Z668" s="92"/>
      <c r="AA668" s="145"/>
      <c r="AB668" s="92"/>
      <c r="AC668" s="145"/>
      <c r="AD668" s="92"/>
      <c r="AE668" s="145"/>
      <c r="AF668" s="142" t="str">
        <f t="shared" si="32"/>
        <v/>
      </c>
      <c r="AG668" s="190" t="b">
        <f t="shared" si="31"/>
        <v>0</v>
      </c>
      <c r="AH668" s="145"/>
      <c r="AI668" s="153" t="s">
        <v>6</v>
      </c>
      <c r="AJ668" s="150">
        <f t="shared" si="33"/>
        <v>0</v>
      </c>
      <c r="AK668" s="154" t="s">
        <v>60</v>
      </c>
    </row>
    <row r="669" spans="1:37" ht="30" customHeight="1">
      <c r="A669" s="64"/>
      <c r="B669" s="64"/>
      <c r="C669" s="64"/>
      <c r="D669" s="64"/>
      <c r="E669" s="64"/>
      <c r="F669" s="64"/>
      <c r="G669" s="64"/>
      <c r="H669" s="64"/>
      <c r="I669" s="64"/>
      <c r="J669" s="64"/>
      <c r="K669" s="64"/>
      <c r="L669" s="64"/>
      <c r="M669" s="64"/>
      <c r="N669" s="194"/>
      <c r="O669" s="157"/>
      <c r="P669" s="92"/>
      <c r="Q669" s="145"/>
      <c r="R669" s="92"/>
      <c r="S669" s="145"/>
      <c r="T669" s="92"/>
      <c r="U669" s="145"/>
      <c r="V669" s="92"/>
      <c r="W669" s="145"/>
      <c r="X669" s="92"/>
      <c r="Y669" s="145"/>
      <c r="Z669" s="92"/>
      <c r="AA669" s="145"/>
      <c r="AB669" s="92"/>
      <c r="AC669" s="145"/>
      <c r="AD669" s="92"/>
      <c r="AE669" s="145"/>
      <c r="AF669" s="142" t="str">
        <f t="shared" si="32"/>
        <v/>
      </c>
      <c r="AG669" s="190" t="b">
        <f t="shared" si="31"/>
        <v>0</v>
      </c>
      <c r="AH669" s="145"/>
      <c r="AI669" s="153" t="s">
        <v>6</v>
      </c>
      <c r="AJ669" s="150">
        <f t="shared" si="33"/>
        <v>0</v>
      </c>
      <c r="AK669" s="154" t="s">
        <v>60</v>
      </c>
    </row>
    <row r="670" spans="1:37" ht="30" customHeight="1">
      <c r="A670" s="64"/>
      <c r="B670" s="64"/>
      <c r="C670" s="64"/>
      <c r="D670" s="64"/>
      <c r="E670" s="64"/>
      <c r="F670" s="64"/>
      <c r="G670" s="64"/>
      <c r="H670" s="64"/>
      <c r="I670" s="64"/>
      <c r="J670" s="64"/>
      <c r="K670" s="64"/>
      <c r="L670" s="64"/>
      <c r="M670" s="64"/>
      <c r="N670" s="194"/>
      <c r="O670" s="157"/>
      <c r="P670" s="92"/>
      <c r="Q670" s="145"/>
      <c r="R670" s="92"/>
      <c r="S670" s="145"/>
      <c r="T670" s="92"/>
      <c r="U670" s="145"/>
      <c r="V670" s="92"/>
      <c r="W670" s="145"/>
      <c r="X670" s="92"/>
      <c r="Y670" s="145"/>
      <c r="Z670" s="92"/>
      <c r="AA670" s="145"/>
      <c r="AB670" s="92"/>
      <c r="AC670" s="145"/>
      <c r="AD670" s="92"/>
      <c r="AE670" s="145"/>
      <c r="AF670" s="142" t="str">
        <f t="shared" si="32"/>
        <v/>
      </c>
      <c r="AG670" s="190" t="b">
        <f t="shared" si="31"/>
        <v>0</v>
      </c>
      <c r="AH670" s="145"/>
      <c r="AI670" s="153" t="s">
        <v>6</v>
      </c>
      <c r="AJ670" s="150">
        <f t="shared" si="33"/>
        <v>0</v>
      </c>
      <c r="AK670" s="154" t="s">
        <v>60</v>
      </c>
    </row>
    <row r="671" spans="1:37" ht="30" customHeight="1">
      <c r="A671" s="64"/>
      <c r="B671" s="64"/>
      <c r="C671" s="64"/>
      <c r="D671" s="64"/>
      <c r="E671" s="64"/>
      <c r="F671" s="64"/>
      <c r="G671" s="64"/>
      <c r="H671" s="64"/>
      <c r="I671" s="64"/>
      <c r="J671" s="64"/>
      <c r="K671" s="64"/>
      <c r="L671" s="64"/>
      <c r="M671" s="64"/>
      <c r="N671" s="194"/>
      <c r="O671" s="157"/>
      <c r="P671" s="92"/>
      <c r="Q671" s="145"/>
      <c r="R671" s="92"/>
      <c r="S671" s="145"/>
      <c r="T671" s="92"/>
      <c r="U671" s="145"/>
      <c r="V671" s="92"/>
      <c r="W671" s="145"/>
      <c r="X671" s="92"/>
      <c r="Y671" s="145"/>
      <c r="Z671" s="92"/>
      <c r="AA671" s="145"/>
      <c r="AB671" s="92"/>
      <c r="AC671" s="145"/>
      <c r="AD671" s="92"/>
      <c r="AE671" s="145"/>
      <c r="AF671" s="142" t="str">
        <f t="shared" si="32"/>
        <v/>
      </c>
      <c r="AG671" s="190" t="b">
        <f t="shared" si="31"/>
        <v>0</v>
      </c>
      <c r="AH671" s="145"/>
      <c r="AI671" s="153" t="s">
        <v>6</v>
      </c>
      <c r="AJ671" s="150">
        <f t="shared" si="33"/>
        <v>0</v>
      </c>
      <c r="AK671" s="154" t="s">
        <v>60</v>
      </c>
    </row>
    <row r="672" spans="1:37" ht="30" customHeight="1">
      <c r="A672" s="64"/>
      <c r="B672" s="64"/>
      <c r="C672" s="64"/>
      <c r="D672" s="64"/>
      <c r="E672" s="64"/>
      <c r="F672" s="64"/>
      <c r="G672" s="64"/>
      <c r="H672" s="64"/>
      <c r="I672" s="64"/>
      <c r="J672" s="64"/>
      <c r="K672" s="64"/>
      <c r="L672" s="64"/>
      <c r="M672" s="64"/>
      <c r="N672" s="194"/>
      <c r="O672" s="157"/>
      <c r="P672" s="92"/>
      <c r="Q672" s="145"/>
      <c r="R672" s="92"/>
      <c r="S672" s="145"/>
      <c r="T672" s="92"/>
      <c r="U672" s="145"/>
      <c r="V672" s="92"/>
      <c r="W672" s="145"/>
      <c r="X672" s="92"/>
      <c r="Y672" s="145"/>
      <c r="Z672" s="92"/>
      <c r="AA672" s="145"/>
      <c r="AB672" s="92"/>
      <c r="AC672" s="145"/>
      <c r="AD672" s="92"/>
      <c r="AE672" s="145"/>
      <c r="AF672" s="142" t="str">
        <f t="shared" si="32"/>
        <v/>
      </c>
      <c r="AG672" s="190" t="b">
        <f t="shared" si="31"/>
        <v>0</v>
      </c>
      <c r="AH672" s="145"/>
      <c r="AI672" s="153" t="s">
        <v>6</v>
      </c>
      <c r="AJ672" s="150">
        <f t="shared" si="33"/>
        <v>0</v>
      </c>
      <c r="AK672" s="154" t="s">
        <v>60</v>
      </c>
    </row>
    <row r="673" spans="1:37" ht="30" customHeight="1">
      <c r="A673" s="64"/>
      <c r="B673" s="64"/>
      <c r="C673" s="64"/>
      <c r="D673" s="64"/>
      <c r="E673" s="64"/>
      <c r="F673" s="64"/>
      <c r="G673" s="64"/>
      <c r="H673" s="64"/>
      <c r="I673" s="64"/>
      <c r="J673" s="64"/>
      <c r="K673" s="64"/>
      <c r="L673" s="64"/>
      <c r="M673" s="64"/>
      <c r="N673" s="194"/>
      <c r="O673" s="157"/>
      <c r="P673" s="92"/>
      <c r="Q673" s="145"/>
      <c r="R673" s="92"/>
      <c r="S673" s="145"/>
      <c r="T673" s="92"/>
      <c r="U673" s="145"/>
      <c r="V673" s="92"/>
      <c r="W673" s="145"/>
      <c r="X673" s="92"/>
      <c r="Y673" s="145"/>
      <c r="Z673" s="92"/>
      <c r="AA673" s="145"/>
      <c r="AB673" s="92"/>
      <c r="AC673" s="145"/>
      <c r="AD673" s="92"/>
      <c r="AE673" s="145"/>
      <c r="AF673" s="142" t="str">
        <f t="shared" si="32"/>
        <v/>
      </c>
      <c r="AG673" s="190" t="b">
        <f t="shared" si="31"/>
        <v>0</v>
      </c>
      <c r="AH673" s="145"/>
      <c r="AI673" s="153" t="s">
        <v>6</v>
      </c>
      <c r="AJ673" s="150">
        <f t="shared" si="33"/>
        <v>0</v>
      </c>
      <c r="AK673" s="154" t="s">
        <v>60</v>
      </c>
    </row>
    <row r="674" spans="1:37" ht="30" customHeight="1">
      <c r="A674" s="64"/>
      <c r="B674" s="64"/>
      <c r="C674" s="64"/>
      <c r="D674" s="64"/>
      <c r="E674" s="64"/>
      <c r="F674" s="64"/>
      <c r="G674" s="64"/>
      <c r="H674" s="64"/>
      <c r="I674" s="64"/>
      <c r="J674" s="64"/>
      <c r="K674" s="64"/>
      <c r="L674" s="64"/>
      <c r="M674" s="64"/>
      <c r="N674" s="194"/>
      <c r="O674" s="157"/>
      <c r="P674" s="92"/>
      <c r="Q674" s="145"/>
      <c r="R674" s="92"/>
      <c r="S674" s="145"/>
      <c r="T674" s="92"/>
      <c r="U674" s="145"/>
      <c r="V674" s="92"/>
      <c r="W674" s="145"/>
      <c r="X674" s="92"/>
      <c r="Y674" s="145"/>
      <c r="Z674" s="92"/>
      <c r="AA674" s="145"/>
      <c r="AB674" s="92"/>
      <c r="AC674" s="145"/>
      <c r="AD674" s="92"/>
      <c r="AE674" s="145"/>
      <c r="AF674" s="142" t="str">
        <f t="shared" si="32"/>
        <v/>
      </c>
      <c r="AG674" s="190" t="b">
        <f t="shared" si="31"/>
        <v>0</v>
      </c>
      <c r="AH674" s="145"/>
      <c r="AI674" s="153" t="s">
        <v>6</v>
      </c>
      <c r="AJ674" s="150">
        <f t="shared" si="33"/>
        <v>0</v>
      </c>
      <c r="AK674" s="154" t="s">
        <v>60</v>
      </c>
    </row>
    <row r="675" spans="1:37" ht="30" customHeight="1">
      <c r="A675" s="64"/>
      <c r="B675" s="64"/>
      <c r="C675" s="64"/>
      <c r="D675" s="64"/>
      <c r="E675" s="64"/>
      <c r="F675" s="64"/>
      <c r="G675" s="64"/>
      <c r="H675" s="64"/>
      <c r="I675" s="64"/>
      <c r="J675" s="64"/>
      <c r="K675" s="64"/>
      <c r="L675" s="64"/>
      <c r="M675" s="64"/>
      <c r="N675" s="194"/>
      <c r="O675" s="157"/>
      <c r="P675" s="92"/>
      <c r="Q675" s="145"/>
      <c r="R675" s="92"/>
      <c r="S675" s="145"/>
      <c r="T675" s="92"/>
      <c r="U675" s="145"/>
      <c r="V675" s="92"/>
      <c r="W675" s="145"/>
      <c r="X675" s="92"/>
      <c r="Y675" s="145"/>
      <c r="Z675" s="92"/>
      <c r="AA675" s="145"/>
      <c r="AB675" s="92"/>
      <c r="AC675" s="145"/>
      <c r="AD675" s="92"/>
      <c r="AE675" s="145"/>
      <c r="AF675" s="142" t="str">
        <f t="shared" si="32"/>
        <v/>
      </c>
      <c r="AG675" s="190" t="b">
        <f t="shared" si="31"/>
        <v>0</v>
      </c>
      <c r="AH675" s="145"/>
      <c r="AI675" s="153" t="s">
        <v>6</v>
      </c>
      <c r="AJ675" s="150">
        <f t="shared" si="33"/>
        <v>0</v>
      </c>
      <c r="AK675" s="154" t="s">
        <v>60</v>
      </c>
    </row>
    <row r="676" spans="1:37" ht="30" customHeight="1">
      <c r="A676" s="64"/>
      <c r="B676" s="64"/>
      <c r="C676" s="64"/>
      <c r="D676" s="64"/>
      <c r="E676" s="64"/>
      <c r="F676" s="64"/>
      <c r="G676" s="64"/>
      <c r="H676" s="64"/>
      <c r="I676" s="64"/>
      <c r="J676" s="64"/>
      <c r="K676" s="64"/>
      <c r="L676" s="64"/>
      <c r="M676" s="64"/>
      <c r="N676" s="194"/>
      <c r="O676" s="157"/>
      <c r="P676" s="92"/>
      <c r="Q676" s="145"/>
      <c r="R676" s="92"/>
      <c r="S676" s="145"/>
      <c r="T676" s="92"/>
      <c r="U676" s="145"/>
      <c r="V676" s="92"/>
      <c r="W676" s="145"/>
      <c r="X676" s="92"/>
      <c r="Y676" s="145"/>
      <c r="Z676" s="92"/>
      <c r="AA676" s="145"/>
      <c r="AB676" s="92"/>
      <c r="AC676" s="145"/>
      <c r="AD676" s="92"/>
      <c r="AE676" s="145"/>
      <c r="AF676" s="142" t="str">
        <f t="shared" si="32"/>
        <v/>
      </c>
      <c r="AG676" s="190" t="b">
        <f t="shared" si="31"/>
        <v>0</v>
      </c>
      <c r="AH676" s="145"/>
      <c r="AI676" s="153" t="s">
        <v>6</v>
      </c>
      <c r="AJ676" s="150">
        <f t="shared" si="33"/>
        <v>0</v>
      </c>
      <c r="AK676" s="154" t="s">
        <v>60</v>
      </c>
    </row>
    <row r="677" spans="1:37" ht="30" customHeight="1">
      <c r="A677" s="64"/>
      <c r="B677" s="64"/>
      <c r="C677" s="64"/>
      <c r="D677" s="64"/>
      <c r="E677" s="64"/>
      <c r="F677" s="64"/>
      <c r="G677" s="64"/>
      <c r="H677" s="64"/>
      <c r="I677" s="64"/>
      <c r="J677" s="64"/>
      <c r="K677" s="64"/>
      <c r="L677" s="64"/>
      <c r="M677" s="64"/>
      <c r="N677" s="194"/>
      <c r="O677" s="157"/>
      <c r="P677" s="92"/>
      <c r="Q677" s="145"/>
      <c r="R677" s="92"/>
      <c r="S677" s="145"/>
      <c r="T677" s="92"/>
      <c r="U677" s="145"/>
      <c r="V677" s="92"/>
      <c r="W677" s="145"/>
      <c r="X677" s="92"/>
      <c r="Y677" s="145"/>
      <c r="Z677" s="92"/>
      <c r="AA677" s="145"/>
      <c r="AB677" s="92"/>
      <c r="AC677" s="145"/>
      <c r="AD677" s="92"/>
      <c r="AE677" s="145"/>
      <c r="AF677" s="142" t="str">
        <f t="shared" si="32"/>
        <v/>
      </c>
      <c r="AG677" s="190" t="b">
        <f t="shared" si="31"/>
        <v>0</v>
      </c>
      <c r="AH677" s="145"/>
      <c r="AI677" s="153" t="s">
        <v>6</v>
      </c>
      <c r="AJ677" s="150">
        <f t="shared" si="33"/>
        <v>0</v>
      </c>
      <c r="AK677" s="154" t="s">
        <v>60</v>
      </c>
    </row>
    <row r="678" spans="1:37" ht="30" customHeight="1">
      <c r="A678" s="64"/>
      <c r="B678" s="64"/>
      <c r="C678" s="64"/>
      <c r="D678" s="64"/>
      <c r="E678" s="64"/>
      <c r="F678" s="64"/>
      <c r="G678" s="64"/>
      <c r="H678" s="64"/>
      <c r="I678" s="64"/>
      <c r="J678" s="64"/>
      <c r="K678" s="64"/>
      <c r="L678" s="64"/>
      <c r="M678" s="64"/>
      <c r="N678" s="194"/>
      <c r="O678" s="157"/>
      <c r="P678" s="92"/>
      <c r="Q678" s="145"/>
      <c r="R678" s="92"/>
      <c r="S678" s="145"/>
      <c r="T678" s="92"/>
      <c r="U678" s="145"/>
      <c r="V678" s="92"/>
      <c r="W678" s="145"/>
      <c r="X678" s="92"/>
      <c r="Y678" s="145"/>
      <c r="Z678" s="92"/>
      <c r="AA678" s="145"/>
      <c r="AB678" s="92"/>
      <c r="AC678" s="145"/>
      <c r="AD678" s="92"/>
      <c r="AE678" s="145"/>
      <c r="AF678" s="142" t="str">
        <f t="shared" si="32"/>
        <v/>
      </c>
      <c r="AG678" s="190" t="b">
        <f t="shared" si="31"/>
        <v>0</v>
      </c>
      <c r="AH678" s="145"/>
      <c r="AI678" s="153" t="s">
        <v>6</v>
      </c>
      <c r="AJ678" s="150">
        <f t="shared" si="33"/>
        <v>0</v>
      </c>
      <c r="AK678" s="154" t="s">
        <v>60</v>
      </c>
    </row>
    <row r="679" spans="1:37" ht="30" customHeight="1">
      <c r="A679" s="64"/>
      <c r="B679" s="64"/>
      <c r="C679" s="64"/>
      <c r="D679" s="64"/>
      <c r="E679" s="64"/>
      <c r="F679" s="64"/>
      <c r="G679" s="64"/>
      <c r="H679" s="64"/>
      <c r="I679" s="64"/>
      <c r="J679" s="64"/>
      <c r="K679" s="64"/>
      <c r="L679" s="64"/>
      <c r="M679" s="64"/>
      <c r="N679" s="194"/>
      <c r="O679" s="157"/>
      <c r="P679" s="92"/>
      <c r="Q679" s="145"/>
      <c r="R679" s="92"/>
      <c r="S679" s="145"/>
      <c r="T679" s="92"/>
      <c r="U679" s="145"/>
      <c r="V679" s="92"/>
      <c r="W679" s="145"/>
      <c r="X679" s="92"/>
      <c r="Y679" s="145"/>
      <c r="Z679" s="92"/>
      <c r="AA679" s="145"/>
      <c r="AB679" s="92"/>
      <c r="AC679" s="145"/>
      <c r="AD679" s="92"/>
      <c r="AE679" s="145"/>
      <c r="AF679" s="142" t="str">
        <f t="shared" si="32"/>
        <v/>
      </c>
      <c r="AG679" s="190" t="b">
        <f t="shared" ref="AG679:AG742" si="34">IF(AND(AE679="C",AF679="C"),"UTILIZOU O PDA CORRETAMENTE",IF(AND(AE679="C",AF679="NC"),"UTILIZOU O PDA CORRETAMENTE. NÃO HÁ FOTOS DE TODAS AS ETAPAS",IF(AND(AE679="NC",AF679="NC"),"NÃO UTILIZOU O PDA",IF(AND(AE679="NA",AF679="NA"),"NÃO AVALIADO POR FALHA DE SINCRONISMO"))))</f>
        <v>0</v>
      </c>
      <c r="AH679" s="145"/>
      <c r="AI679" s="153" t="s">
        <v>6</v>
      </c>
      <c r="AJ679" s="150">
        <f t="shared" si="33"/>
        <v>0</v>
      </c>
      <c r="AK679" s="154" t="s">
        <v>60</v>
      </c>
    </row>
    <row r="680" spans="1:37" ht="30" customHeight="1">
      <c r="A680" s="64"/>
      <c r="B680" s="64"/>
      <c r="C680" s="64"/>
      <c r="D680" s="64"/>
      <c r="E680" s="64"/>
      <c r="F680" s="64"/>
      <c r="G680" s="64"/>
      <c r="H680" s="64"/>
      <c r="I680" s="64"/>
      <c r="J680" s="64"/>
      <c r="K680" s="64"/>
      <c r="L680" s="64"/>
      <c r="M680" s="64"/>
      <c r="N680" s="194"/>
      <c r="O680" s="157"/>
      <c r="P680" s="92"/>
      <c r="Q680" s="145"/>
      <c r="R680" s="92"/>
      <c r="S680" s="145"/>
      <c r="T680" s="92"/>
      <c r="U680" s="145"/>
      <c r="V680" s="92"/>
      <c r="W680" s="145"/>
      <c r="X680" s="92"/>
      <c r="Y680" s="145"/>
      <c r="Z680" s="92"/>
      <c r="AA680" s="145"/>
      <c r="AB680" s="92"/>
      <c r="AC680" s="145"/>
      <c r="AD680" s="92"/>
      <c r="AE680" s="145"/>
      <c r="AF680" s="142" t="str">
        <f t="shared" ref="AF680:AF743" si="35">IF(AND(O680="",Q680="",S680="",U680="",W680="",Y680="",AA680="",AC680=""),"",IF(OR(AND(O680&lt;&gt;"NA",O680&lt;&gt;"C",O680&lt;&gt;"NC",O680&lt;&gt;"SF",O680&lt;&gt;""),AND(Q680&lt;&gt;"NA",Q680&lt;&gt;"C",Q680&lt;&gt;"NC",Q680&lt;&gt;"SF",Q680&lt;&gt;""),AND(S680&lt;&gt;"NA",S680&lt;&gt;"C",S680&lt;&gt;"NC",S680&lt;&gt;"SF",S680&lt;&gt;""),AND(U680&lt;&gt;"NA",U680&lt;&gt;"C",U680&lt;&gt;"NC",U680&lt;&gt;"SF",U680&lt;&gt;""),AND(W680&lt;&gt;"NA",W680&lt;&gt;"C",W680&lt;&gt;"NC",W680&lt;&gt;"SF",W680&lt;&gt;""),AND(Y680&lt;&gt;"NA",Y680&lt;&gt;"C",Y680&lt;&gt;"NC",Y680&lt;&gt;"SF",Y680&lt;&gt;""),AND(AA680&lt;&gt;"NA",AA680&lt;&gt;"C",AA680&lt;&gt;"NC",AA680&lt;&gt;"SF",AA680&lt;&gt;""),AND(AC680&lt;&gt;"NA",AC680&lt;&gt;"C",AC680&lt;&gt;"NC",AC680&lt;&gt;"SF",AC680&lt;&gt;"")),"FALSO",IF(AND(O680="NA",Q680="NA",S680="NA",U680="NA",W680="NA",Y680="NA",AA680="NA",AC680="NA"),"NA",IF(OR(O680="NC",Q680="NC",S680="NC",U680="NC",W680="NC",Y680="NC",AA680="NC",AC680="NC",O680="SF",Q680="SF",S680="SF",U680="SF",W680="SF",Y680="SF",AA680="SF",AC680="SF"),"NC",IF(OR(O680="C",Q680="C",S680="C",U680="C",W680="C",Y680="C",AA680="C",AC680="C"),"C","")))))</f>
        <v/>
      </c>
      <c r="AG680" s="190" t="b">
        <f t="shared" si="34"/>
        <v>0</v>
      </c>
      <c r="AH680" s="145"/>
      <c r="AI680" s="153" t="s">
        <v>6</v>
      </c>
      <c r="AJ680" s="150">
        <f t="shared" si="33"/>
        <v>0</v>
      </c>
      <c r="AK680" s="154" t="s">
        <v>60</v>
      </c>
    </row>
    <row r="681" spans="1:37" ht="30" customHeight="1">
      <c r="A681" s="64"/>
      <c r="B681" s="64"/>
      <c r="C681" s="64"/>
      <c r="D681" s="64"/>
      <c r="E681" s="64"/>
      <c r="F681" s="64"/>
      <c r="G681" s="64"/>
      <c r="H681" s="64"/>
      <c r="I681" s="64"/>
      <c r="J681" s="64"/>
      <c r="K681" s="64"/>
      <c r="L681" s="64"/>
      <c r="M681" s="64"/>
      <c r="N681" s="194"/>
      <c r="O681" s="157"/>
      <c r="P681" s="92"/>
      <c r="Q681" s="145"/>
      <c r="R681" s="92"/>
      <c r="S681" s="145"/>
      <c r="T681" s="92"/>
      <c r="U681" s="145"/>
      <c r="V681" s="92"/>
      <c r="W681" s="145"/>
      <c r="X681" s="92"/>
      <c r="Y681" s="145"/>
      <c r="Z681" s="92"/>
      <c r="AA681" s="145"/>
      <c r="AB681" s="92"/>
      <c r="AC681" s="145"/>
      <c r="AD681" s="92"/>
      <c r="AE681" s="145"/>
      <c r="AF681" s="142" t="str">
        <f t="shared" si="35"/>
        <v/>
      </c>
      <c r="AG681" s="190" t="b">
        <f t="shared" si="34"/>
        <v>0</v>
      </c>
      <c r="AH681" s="145"/>
      <c r="AI681" s="153" t="s">
        <v>6</v>
      </c>
      <c r="AJ681" s="150">
        <f t="shared" si="33"/>
        <v>0</v>
      </c>
      <c r="AK681" s="154" t="s">
        <v>60</v>
      </c>
    </row>
    <row r="682" spans="1:37" ht="30" customHeight="1">
      <c r="A682" s="64"/>
      <c r="B682" s="64"/>
      <c r="C682" s="64"/>
      <c r="D682" s="64"/>
      <c r="E682" s="64"/>
      <c r="F682" s="64"/>
      <c r="G682" s="64"/>
      <c r="H682" s="64"/>
      <c r="I682" s="64"/>
      <c r="J682" s="64"/>
      <c r="K682" s="64"/>
      <c r="L682" s="64"/>
      <c r="M682" s="64"/>
      <c r="N682" s="194"/>
      <c r="O682" s="157"/>
      <c r="P682" s="92"/>
      <c r="Q682" s="145"/>
      <c r="R682" s="92"/>
      <c r="S682" s="145"/>
      <c r="T682" s="92"/>
      <c r="U682" s="145"/>
      <c r="V682" s="92"/>
      <c r="W682" s="145"/>
      <c r="X682" s="92"/>
      <c r="Y682" s="145"/>
      <c r="Z682" s="92"/>
      <c r="AA682" s="145"/>
      <c r="AB682" s="92"/>
      <c r="AC682" s="145"/>
      <c r="AD682" s="92"/>
      <c r="AE682" s="145"/>
      <c r="AF682" s="142" t="str">
        <f t="shared" si="35"/>
        <v/>
      </c>
      <c r="AG682" s="190" t="b">
        <f t="shared" si="34"/>
        <v>0</v>
      </c>
      <c r="AH682" s="145"/>
      <c r="AI682" s="153" t="s">
        <v>6</v>
      </c>
      <c r="AJ682" s="150">
        <f t="shared" si="33"/>
        <v>0</v>
      </c>
      <c r="AK682" s="154" t="s">
        <v>60</v>
      </c>
    </row>
    <row r="683" spans="1:37" ht="30" customHeight="1">
      <c r="A683" s="64"/>
      <c r="B683" s="64"/>
      <c r="C683" s="64"/>
      <c r="D683" s="64"/>
      <c r="E683" s="64"/>
      <c r="F683" s="64"/>
      <c r="G683" s="64"/>
      <c r="H683" s="64"/>
      <c r="I683" s="64"/>
      <c r="J683" s="64"/>
      <c r="K683" s="64"/>
      <c r="L683" s="64"/>
      <c r="M683" s="64"/>
      <c r="N683" s="194"/>
      <c r="O683" s="157"/>
      <c r="P683" s="92"/>
      <c r="Q683" s="145"/>
      <c r="R683" s="92"/>
      <c r="S683" s="145"/>
      <c r="T683" s="92"/>
      <c r="U683" s="145"/>
      <c r="V683" s="92"/>
      <c r="W683" s="145"/>
      <c r="X683" s="92"/>
      <c r="Y683" s="145"/>
      <c r="Z683" s="92"/>
      <c r="AA683" s="145"/>
      <c r="AB683" s="92"/>
      <c r="AC683" s="145"/>
      <c r="AD683" s="92"/>
      <c r="AE683" s="145"/>
      <c r="AF683" s="142" t="str">
        <f t="shared" si="35"/>
        <v/>
      </c>
      <c r="AG683" s="190" t="b">
        <f t="shared" si="34"/>
        <v>0</v>
      </c>
      <c r="AH683" s="145"/>
      <c r="AI683" s="153" t="s">
        <v>6</v>
      </c>
      <c r="AJ683" s="150">
        <f t="shared" si="33"/>
        <v>0</v>
      </c>
      <c r="AK683" s="154" t="s">
        <v>60</v>
      </c>
    </row>
    <row r="684" spans="1:37" ht="30" customHeight="1">
      <c r="A684" s="64"/>
      <c r="B684" s="64"/>
      <c r="C684" s="64"/>
      <c r="D684" s="64"/>
      <c r="E684" s="64"/>
      <c r="F684" s="64"/>
      <c r="G684" s="64"/>
      <c r="H684" s="64"/>
      <c r="I684" s="64"/>
      <c r="J684" s="64"/>
      <c r="K684" s="64"/>
      <c r="L684" s="64"/>
      <c r="M684" s="64"/>
      <c r="N684" s="194"/>
      <c r="O684" s="157"/>
      <c r="P684" s="92"/>
      <c r="Q684" s="145"/>
      <c r="R684" s="92"/>
      <c r="S684" s="145"/>
      <c r="T684" s="92"/>
      <c r="U684" s="145"/>
      <c r="V684" s="92"/>
      <c r="W684" s="145"/>
      <c r="X684" s="92"/>
      <c r="Y684" s="145"/>
      <c r="Z684" s="92"/>
      <c r="AA684" s="145"/>
      <c r="AB684" s="92"/>
      <c r="AC684" s="145"/>
      <c r="AD684" s="92"/>
      <c r="AE684" s="145"/>
      <c r="AF684" s="142" t="str">
        <f t="shared" si="35"/>
        <v/>
      </c>
      <c r="AG684" s="190" t="b">
        <f t="shared" si="34"/>
        <v>0</v>
      </c>
      <c r="AH684" s="145"/>
      <c r="AI684" s="153" t="s">
        <v>6</v>
      </c>
      <c r="AJ684" s="150">
        <f t="shared" si="33"/>
        <v>0</v>
      </c>
      <c r="AK684" s="154" t="s">
        <v>60</v>
      </c>
    </row>
    <row r="685" spans="1:37" ht="30" customHeight="1">
      <c r="A685" s="64"/>
      <c r="B685" s="64"/>
      <c r="C685" s="64"/>
      <c r="D685" s="64"/>
      <c r="E685" s="64"/>
      <c r="F685" s="64"/>
      <c r="G685" s="64"/>
      <c r="H685" s="64"/>
      <c r="I685" s="64"/>
      <c r="J685" s="64"/>
      <c r="K685" s="64"/>
      <c r="L685" s="64"/>
      <c r="M685" s="64"/>
      <c r="N685" s="194"/>
      <c r="O685" s="157"/>
      <c r="P685" s="92"/>
      <c r="Q685" s="145"/>
      <c r="R685" s="92"/>
      <c r="S685" s="145"/>
      <c r="T685" s="92"/>
      <c r="U685" s="145"/>
      <c r="V685" s="92"/>
      <c r="W685" s="145"/>
      <c r="X685" s="92"/>
      <c r="Y685" s="145"/>
      <c r="Z685" s="92"/>
      <c r="AA685" s="145"/>
      <c r="AB685" s="92"/>
      <c r="AC685" s="145"/>
      <c r="AD685" s="92"/>
      <c r="AE685" s="145"/>
      <c r="AF685" s="142" t="str">
        <f t="shared" si="35"/>
        <v/>
      </c>
      <c r="AG685" s="190" t="b">
        <f t="shared" si="34"/>
        <v>0</v>
      </c>
      <c r="AH685" s="145"/>
      <c r="AI685" s="153" t="s">
        <v>6</v>
      </c>
      <c r="AJ685" s="150">
        <f t="shared" si="33"/>
        <v>0</v>
      </c>
      <c r="AK685" s="154" t="s">
        <v>60</v>
      </c>
    </row>
    <row r="686" spans="1:37" ht="30" customHeight="1">
      <c r="A686" s="64"/>
      <c r="B686" s="64"/>
      <c r="C686" s="64"/>
      <c r="D686" s="64"/>
      <c r="E686" s="64"/>
      <c r="F686" s="64"/>
      <c r="G686" s="64"/>
      <c r="H686" s="64"/>
      <c r="I686" s="64"/>
      <c r="J686" s="64"/>
      <c r="K686" s="64"/>
      <c r="L686" s="64"/>
      <c r="M686" s="64"/>
      <c r="N686" s="194"/>
      <c r="O686" s="157"/>
      <c r="P686" s="92"/>
      <c r="Q686" s="145"/>
      <c r="R686" s="92"/>
      <c r="S686" s="145"/>
      <c r="T686" s="92"/>
      <c r="U686" s="145"/>
      <c r="V686" s="92"/>
      <c r="W686" s="145"/>
      <c r="X686" s="92"/>
      <c r="Y686" s="145"/>
      <c r="Z686" s="92"/>
      <c r="AA686" s="145"/>
      <c r="AB686" s="92"/>
      <c r="AC686" s="145"/>
      <c r="AD686" s="92"/>
      <c r="AE686" s="145"/>
      <c r="AF686" s="142" t="str">
        <f t="shared" si="35"/>
        <v/>
      </c>
      <c r="AG686" s="190" t="b">
        <f t="shared" si="34"/>
        <v>0</v>
      </c>
      <c r="AH686" s="145"/>
      <c r="AI686" s="153" t="s">
        <v>6</v>
      </c>
      <c r="AJ686" s="150">
        <f t="shared" si="33"/>
        <v>0</v>
      </c>
      <c r="AK686" s="154" t="s">
        <v>60</v>
      </c>
    </row>
    <row r="687" spans="1:37" ht="30" customHeight="1">
      <c r="A687" s="64"/>
      <c r="B687" s="64"/>
      <c r="C687" s="64"/>
      <c r="D687" s="64"/>
      <c r="E687" s="64"/>
      <c r="F687" s="64"/>
      <c r="G687" s="64"/>
      <c r="H687" s="64"/>
      <c r="I687" s="64"/>
      <c r="J687" s="64"/>
      <c r="K687" s="64"/>
      <c r="L687" s="64"/>
      <c r="M687" s="64"/>
      <c r="N687" s="194"/>
      <c r="O687" s="157"/>
      <c r="P687" s="92"/>
      <c r="Q687" s="145"/>
      <c r="R687" s="92"/>
      <c r="S687" s="145"/>
      <c r="T687" s="92"/>
      <c r="U687" s="145"/>
      <c r="V687" s="92"/>
      <c r="W687" s="145"/>
      <c r="X687" s="92"/>
      <c r="Y687" s="145"/>
      <c r="Z687" s="92"/>
      <c r="AA687" s="145"/>
      <c r="AB687" s="92"/>
      <c r="AC687" s="145"/>
      <c r="AD687" s="92"/>
      <c r="AE687" s="145"/>
      <c r="AF687" s="142" t="str">
        <f t="shared" si="35"/>
        <v/>
      </c>
      <c r="AG687" s="190" t="b">
        <f t="shared" si="34"/>
        <v>0</v>
      </c>
      <c r="AH687" s="145"/>
      <c r="AI687" s="153" t="s">
        <v>6</v>
      </c>
      <c r="AJ687" s="150">
        <f t="shared" si="33"/>
        <v>0</v>
      </c>
      <c r="AK687" s="154" t="s">
        <v>60</v>
      </c>
    </row>
    <row r="688" spans="1:37" ht="30" customHeight="1">
      <c r="A688" s="64"/>
      <c r="B688" s="64"/>
      <c r="C688" s="64"/>
      <c r="D688" s="64"/>
      <c r="E688" s="64"/>
      <c r="F688" s="64"/>
      <c r="G688" s="64"/>
      <c r="H688" s="64"/>
      <c r="I688" s="64"/>
      <c r="J688" s="64"/>
      <c r="K688" s="64"/>
      <c r="L688" s="64"/>
      <c r="M688" s="64"/>
      <c r="N688" s="194"/>
      <c r="O688" s="157"/>
      <c r="P688" s="92"/>
      <c r="Q688" s="145"/>
      <c r="R688" s="92"/>
      <c r="S688" s="145"/>
      <c r="T688" s="92"/>
      <c r="U688" s="145"/>
      <c r="V688" s="92"/>
      <c r="W688" s="145"/>
      <c r="X688" s="92"/>
      <c r="Y688" s="145"/>
      <c r="Z688" s="92"/>
      <c r="AA688" s="145"/>
      <c r="AB688" s="92"/>
      <c r="AC688" s="145"/>
      <c r="AD688" s="92"/>
      <c r="AE688" s="145"/>
      <c r="AF688" s="142" t="str">
        <f t="shared" si="35"/>
        <v/>
      </c>
      <c r="AG688" s="190" t="b">
        <f t="shared" si="34"/>
        <v>0</v>
      </c>
      <c r="AH688" s="145"/>
      <c r="AI688" s="153" t="s">
        <v>6</v>
      </c>
      <c r="AJ688" s="150">
        <f t="shared" si="33"/>
        <v>0</v>
      </c>
      <c r="AK688" s="154" t="s">
        <v>60</v>
      </c>
    </row>
    <row r="689" spans="1:37" ht="30" customHeight="1">
      <c r="A689" s="64"/>
      <c r="B689" s="64"/>
      <c r="C689" s="64"/>
      <c r="D689" s="64"/>
      <c r="E689" s="64"/>
      <c r="F689" s="64"/>
      <c r="G689" s="64"/>
      <c r="H689" s="64"/>
      <c r="I689" s="64"/>
      <c r="J689" s="64"/>
      <c r="K689" s="64"/>
      <c r="L689" s="64"/>
      <c r="M689" s="64"/>
      <c r="N689" s="194"/>
      <c r="O689" s="157"/>
      <c r="P689" s="92"/>
      <c r="Q689" s="145"/>
      <c r="R689" s="92"/>
      <c r="S689" s="145"/>
      <c r="T689" s="92"/>
      <c r="U689" s="145"/>
      <c r="V689" s="92"/>
      <c r="W689" s="145"/>
      <c r="X689" s="92"/>
      <c r="Y689" s="145"/>
      <c r="Z689" s="92"/>
      <c r="AA689" s="145"/>
      <c r="AB689" s="92"/>
      <c r="AC689" s="145"/>
      <c r="AD689" s="92"/>
      <c r="AE689" s="145"/>
      <c r="AF689" s="142" t="str">
        <f t="shared" si="35"/>
        <v/>
      </c>
      <c r="AG689" s="190" t="b">
        <f t="shared" si="34"/>
        <v>0</v>
      </c>
      <c r="AH689" s="145"/>
      <c r="AI689" s="153" t="s">
        <v>6</v>
      </c>
      <c r="AJ689" s="150">
        <f t="shared" si="33"/>
        <v>0</v>
      </c>
      <c r="AK689" s="154" t="s">
        <v>60</v>
      </c>
    </row>
    <row r="690" spans="1:37" ht="30" customHeight="1">
      <c r="A690" s="64"/>
      <c r="B690" s="64"/>
      <c r="C690" s="64"/>
      <c r="D690" s="64"/>
      <c r="E690" s="64"/>
      <c r="F690" s="64"/>
      <c r="G690" s="64"/>
      <c r="H690" s="64"/>
      <c r="I690" s="64"/>
      <c r="J690" s="64"/>
      <c r="K690" s="64"/>
      <c r="L690" s="64"/>
      <c r="M690" s="64"/>
      <c r="N690" s="194"/>
      <c r="O690" s="157"/>
      <c r="P690" s="92"/>
      <c r="Q690" s="145"/>
      <c r="R690" s="92"/>
      <c r="S690" s="145"/>
      <c r="T690" s="92"/>
      <c r="U690" s="145"/>
      <c r="V690" s="92"/>
      <c r="W690" s="145"/>
      <c r="X690" s="92"/>
      <c r="Y690" s="145"/>
      <c r="Z690" s="92"/>
      <c r="AA690" s="145"/>
      <c r="AB690" s="92"/>
      <c r="AC690" s="145"/>
      <c r="AD690" s="92"/>
      <c r="AE690" s="145"/>
      <c r="AF690" s="142" t="str">
        <f t="shared" si="35"/>
        <v/>
      </c>
      <c r="AG690" s="190" t="b">
        <f t="shared" si="34"/>
        <v>0</v>
      </c>
      <c r="AH690" s="145"/>
      <c r="AI690" s="153" t="s">
        <v>6</v>
      </c>
      <c r="AJ690" s="150">
        <f t="shared" si="33"/>
        <v>0</v>
      </c>
      <c r="AK690" s="154" t="s">
        <v>60</v>
      </c>
    </row>
    <row r="691" spans="1:37" ht="30" customHeight="1">
      <c r="A691" s="64"/>
      <c r="B691" s="64"/>
      <c r="C691" s="64"/>
      <c r="D691" s="64"/>
      <c r="E691" s="64"/>
      <c r="F691" s="64"/>
      <c r="G691" s="64"/>
      <c r="H691" s="64"/>
      <c r="I691" s="64"/>
      <c r="J691" s="64"/>
      <c r="K691" s="64"/>
      <c r="L691" s="64"/>
      <c r="M691" s="64"/>
      <c r="N691" s="194"/>
      <c r="O691" s="157"/>
      <c r="P691" s="92"/>
      <c r="Q691" s="145"/>
      <c r="R691" s="92"/>
      <c r="S691" s="145"/>
      <c r="T691" s="92"/>
      <c r="U691" s="145"/>
      <c r="V691" s="92"/>
      <c r="W691" s="145"/>
      <c r="X691" s="92"/>
      <c r="Y691" s="145"/>
      <c r="Z691" s="92"/>
      <c r="AA691" s="145"/>
      <c r="AB691" s="92"/>
      <c r="AC691" s="145"/>
      <c r="AD691" s="92"/>
      <c r="AE691" s="145"/>
      <c r="AF691" s="142" t="str">
        <f t="shared" si="35"/>
        <v/>
      </c>
      <c r="AG691" s="190" t="b">
        <f t="shared" si="34"/>
        <v>0</v>
      </c>
      <c r="AH691" s="145"/>
      <c r="AI691" s="153" t="s">
        <v>6</v>
      </c>
      <c r="AJ691" s="150">
        <f t="shared" si="33"/>
        <v>0</v>
      </c>
      <c r="AK691" s="154" t="s">
        <v>60</v>
      </c>
    </row>
    <row r="692" spans="1:37" ht="30" customHeight="1">
      <c r="A692" s="64"/>
      <c r="B692" s="64"/>
      <c r="C692" s="64"/>
      <c r="D692" s="64"/>
      <c r="E692" s="64"/>
      <c r="F692" s="64"/>
      <c r="G692" s="64"/>
      <c r="H692" s="64"/>
      <c r="I692" s="64"/>
      <c r="J692" s="64"/>
      <c r="K692" s="64"/>
      <c r="L692" s="64"/>
      <c r="M692" s="64"/>
      <c r="N692" s="194"/>
      <c r="O692" s="157"/>
      <c r="P692" s="92"/>
      <c r="Q692" s="145"/>
      <c r="R692" s="92"/>
      <c r="S692" s="145"/>
      <c r="T692" s="92"/>
      <c r="U692" s="145"/>
      <c r="V692" s="92"/>
      <c r="W692" s="145"/>
      <c r="X692" s="92"/>
      <c r="Y692" s="145"/>
      <c r="Z692" s="92"/>
      <c r="AA692" s="145"/>
      <c r="AB692" s="92"/>
      <c r="AC692" s="145"/>
      <c r="AD692" s="92"/>
      <c r="AE692" s="145"/>
      <c r="AF692" s="142" t="str">
        <f t="shared" si="35"/>
        <v/>
      </c>
      <c r="AG692" s="190" t="b">
        <f t="shared" si="34"/>
        <v>0</v>
      </c>
      <c r="AH692" s="145"/>
      <c r="AI692" s="153" t="s">
        <v>6</v>
      </c>
      <c r="AJ692" s="150">
        <f t="shared" si="33"/>
        <v>0</v>
      </c>
      <c r="AK692" s="154" t="s">
        <v>60</v>
      </c>
    </row>
    <row r="693" spans="1:37" ht="30" customHeight="1">
      <c r="A693" s="64"/>
      <c r="B693" s="64"/>
      <c r="C693" s="64"/>
      <c r="D693" s="64"/>
      <c r="E693" s="64"/>
      <c r="F693" s="64"/>
      <c r="G693" s="64"/>
      <c r="H693" s="64"/>
      <c r="I693" s="64"/>
      <c r="J693" s="64"/>
      <c r="K693" s="64"/>
      <c r="L693" s="64"/>
      <c r="M693" s="64"/>
      <c r="N693" s="194"/>
      <c r="O693" s="157"/>
      <c r="P693" s="92"/>
      <c r="Q693" s="145"/>
      <c r="R693" s="92"/>
      <c r="S693" s="145"/>
      <c r="T693" s="92"/>
      <c r="U693" s="145"/>
      <c r="V693" s="92"/>
      <c r="W693" s="145"/>
      <c r="X693" s="92"/>
      <c r="Y693" s="145"/>
      <c r="Z693" s="92"/>
      <c r="AA693" s="145"/>
      <c r="AB693" s="92"/>
      <c r="AC693" s="145"/>
      <c r="AD693" s="92"/>
      <c r="AE693" s="145"/>
      <c r="AF693" s="142" t="str">
        <f t="shared" si="35"/>
        <v/>
      </c>
      <c r="AG693" s="190" t="b">
        <f t="shared" si="34"/>
        <v>0</v>
      </c>
      <c r="AH693" s="145"/>
      <c r="AI693" s="153" t="s">
        <v>6</v>
      </c>
      <c r="AJ693" s="150">
        <f t="shared" si="33"/>
        <v>0</v>
      </c>
      <c r="AK693" s="154" t="s">
        <v>60</v>
      </c>
    </row>
    <row r="694" spans="1:37" ht="30" customHeight="1">
      <c r="A694" s="64"/>
      <c r="B694" s="64"/>
      <c r="C694" s="64"/>
      <c r="D694" s="64"/>
      <c r="E694" s="64"/>
      <c r="F694" s="64"/>
      <c r="G694" s="64"/>
      <c r="H694" s="64"/>
      <c r="I694" s="64"/>
      <c r="J694" s="64"/>
      <c r="K694" s="64"/>
      <c r="L694" s="64"/>
      <c r="M694" s="64"/>
      <c r="N694" s="194"/>
      <c r="O694" s="157"/>
      <c r="P694" s="92"/>
      <c r="Q694" s="145"/>
      <c r="R694" s="92"/>
      <c r="S694" s="145"/>
      <c r="T694" s="92"/>
      <c r="U694" s="145"/>
      <c r="V694" s="92"/>
      <c r="W694" s="145"/>
      <c r="X694" s="92"/>
      <c r="Y694" s="145"/>
      <c r="Z694" s="92"/>
      <c r="AA694" s="145"/>
      <c r="AB694" s="92"/>
      <c r="AC694" s="145"/>
      <c r="AD694" s="92"/>
      <c r="AE694" s="145"/>
      <c r="AF694" s="142" t="str">
        <f t="shared" si="35"/>
        <v/>
      </c>
      <c r="AG694" s="190" t="b">
        <f t="shared" si="34"/>
        <v>0</v>
      </c>
      <c r="AH694" s="145"/>
      <c r="AI694" s="153" t="s">
        <v>6</v>
      </c>
      <c r="AJ694" s="150">
        <f t="shared" si="33"/>
        <v>0</v>
      </c>
      <c r="AK694" s="154" t="s">
        <v>60</v>
      </c>
    </row>
    <row r="695" spans="1:37" ht="30" customHeight="1">
      <c r="A695" s="64"/>
      <c r="B695" s="64"/>
      <c r="C695" s="64"/>
      <c r="D695" s="64"/>
      <c r="E695" s="64"/>
      <c r="F695" s="64"/>
      <c r="G695" s="64"/>
      <c r="H695" s="64"/>
      <c r="I695" s="64"/>
      <c r="J695" s="64"/>
      <c r="K695" s="64"/>
      <c r="L695" s="64"/>
      <c r="M695" s="64"/>
      <c r="N695" s="194"/>
      <c r="O695" s="157"/>
      <c r="P695" s="92"/>
      <c r="Q695" s="145"/>
      <c r="R695" s="92"/>
      <c r="S695" s="145"/>
      <c r="T695" s="92"/>
      <c r="U695" s="145"/>
      <c r="V695" s="92"/>
      <c r="W695" s="145"/>
      <c r="X695" s="92"/>
      <c r="Y695" s="145"/>
      <c r="Z695" s="92"/>
      <c r="AA695" s="145"/>
      <c r="AB695" s="92"/>
      <c r="AC695" s="145"/>
      <c r="AD695" s="92"/>
      <c r="AE695" s="145"/>
      <c r="AF695" s="142" t="str">
        <f t="shared" si="35"/>
        <v/>
      </c>
      <c r="AG695" s="190" t="b">
        <f t="shared" si="34"/>
        <v>0</v>
      </c>
      <c r="AH695" s="145"/>
      <c r="AI695" s="153" t="s">
        <v>6</v>
      </c>
      <c r="AJ695" s="150">
        <f t="shared" si="33"/>
        <v>0</v>
      </c>
      <c r="AK695" s="154" t="s">
        <v>60</v>
      </c>
    </row>
    <row r="696" spans="1:37" ht="30" customHeight="1">
      <c r="A696" s="64"/>
      <c r="B696" s="64"/>
      <c r="C696" s="64"/>
      <c r="D696" s="64"/>
      <c r="E696" s="64"/>
      <c r="F696" s="64"/>
      <c r="G696" s="64"/>
      <c r="H696" s="64"/>
      <c r="I696" s="64"/>
      <c r="J696" s="64"/>
      <c r="K696" s="64"/>
      <c r="L696" s="64"/>
      <c r="M696" s="64"/>
      <c r="N696" s="194"/>
      <c r="O696" s="157"/>
      <c r="P696" s="92"/>
      <c r="Q696" s="145"/>
      <c r="R696" s="92"/>
      <c r="S696" s="145"/>
      <c r="T696" s="92"/>
      <c r="U696" s="145"/>
      <c r="V696" s="92"/>
      <c r="W696" s="145"/>
      <c r="X696" s="92"/>
      <c r="Y696" s="145"/>
      <c r="Z696" s="92"/>
      <c r="AA696" s="145"/>
      <c r="AB696" s="92"/>
      <c r="AC696" s="145"/>
      <c r="AD696" s="92"/>
      <c r="AE696" s="145"/>
      <c r="AF696" s="142" t="str">
        <f t="shared" si="35"/>
        <v/>
      </c>
      <c r="AG696" s="190" t="b">
        <f t="shared" si="34"/>
        <v>0</v>
      </c>
      <c r="AH696" s="145"/>
      <c r="AI696" s="153" t="s">
        <v>6</v>
      </c>
      <c r="AJ696" s="150">
        <f t="shared" si="33"/>
        <v>0</v>
      </c>
      <c r="AK696" s="154" t="s">
        <v>60</v>
      </c>
    </row>
    <row r="697" spans="1:37" ht="30" customHeight="1">
      <c r="A697" s="64"/>
      <c r="B697" s="64"/>
      <c r="C697" s="64"/>
      <c r="D697" s="64"/>
      <c r="E697" s="64"/>
      <c r="F697" s="64"/>
      <c r="G697" s="64"/>
      <c r="H697" s="64"/>
      <c r="I697" s="64"/>
      <c r="J697" s="64"/>
      <c r="K697" s="64"/>
      <c r="L697" s="64"/>
      <c r="M697" s="64"/>
      <c r="N697" s="194"/>
      <c r="O697" s="157"/>
      <c r="P697" s="92"/>
      <c r="Q697" s="145"/>
      <c r="R697" s="92"/>
      <c r="S697" s="145"/>
      <c r="T697" s="92"/>
      <c r="U697" s="145"/>
      <c r="V697" s="92"/>
      <c r="W697" s="145"/>
      <c r="X697" s="92"/>
      <c r="Y697" s="145"/>
      <c r="Z697" s="92"/>
      <c r="AA697" s="145"/>
      <c r="AB697" s="92"/>
      <c r="AC697" s="145"/>
      <c r="AD697" s="92"/>
      <c r="AE697" s="145"/>
      <c r="AF697" s="142" t="str">
        <f t="shared" si="35"/>
        <v/>
      </c>
      <c r="AG697" s="190" t="b">
        <f t="shared" si="34"/>
        <v>0</v>
      </c>
      <c r="AH697" s="145"/>
      <c r="AI697" s="153" t="s">
        <v>6</v>
      </c>
      <c r="AJ697" s="150">
        <f t="shared" si="33"/>
        <v>0</v>
      </c>
      <c r="AK697" s="154" t="s">
        <v>60</v>
      </c>
    </row>
    <row r="698" spans="1:37" ht="30" customHeight="1">
      <c r="A698" s="64"/>
      <c r="B698" s="64"/>
      <c r="C698" s="64"/>
      <c r="D698" s="64"/>
      <c r="E698" s="64"/>
      <c r="F698" s="64"/>
      <c r="G698" s="64"/>
      <c r="H698" s="64"/>
      <c r="I698" s="64"/>
      <c r="J698" s="64"/>
      <c r="K698" s="64"/>
      <c r="L698" s="64"/>
      <c r="M698" s="64"/>
      <c r="N698" s="194"/>
      <c r="O698" s="157"/>
      <c r="P698" s="92"/>
      <c r="Q698" s="145"/>
      <c r="R698" s="92"/>
      <c r="S698" s="145"/>
      <c r="T698" s="92"/>
      <c r="U698" s="145"/>
      <c r="V698" s="92"/>
      <c r="W698" s="145"/>
      <c r="X698" s="92"/>
      <c r="Y698" s="145"/>
      <c r="Z698" s="92"/>
      <c r="AA698" s="145"/>
      <c r="AB698" s="92"/>
      <c r="AC698" s="145"/>
      <c r="AD698" s="92"/>
      <c r="AE698" s="145"/>
      <c r="AF698" s="142" t="str">
        <f t="shared" si="35"/>
        <v/>
      </c>
      <c r="AG698" s="190" t="b">
        <f t="shared" si="34"/>
        <v>0</v>
      </c>
      <c r="AH698" s="145"/>
      <c r="AI698" s="153" t="s">
        <v>6</v>
      </c>
      <c r="AJ698" s="150">
        <f t="shared" si="33"/>
        <v>0</v>
      </c>
      <c r="AK698" s="154" t="s">
        <v>60</v>
      </c>
    </row>
    <row r="699" spans="1:37" ht="30" customHeight="1">
      <c r="A699" s="64"/>
      <c r="B699" s="64"/>
      <c r="C699" s="64"/>
      <c r="D699" s="64"/>
      <c r="E699" s="64"/>
      <c r="F699" s="64"/>
      <c r="G699" s="64"/>
      <c r="H699" s="64"/>
      <c r="I699" s="64"/>
      <c r="J699" s="64"/>
      <c r="K699" s="64"/>
      <c r="L699" s="64"/>
      <c r="M699" s="64"/>
      <c r="N699" s="194"/>
      <c r="O699" s="157"/>
      <c r="P699" s="92"/>
      <c r="Q699" s="145"/>
      <c r="R699" s="92"/>
      <c r="S699" s="145"/>
      <c r="T699" s="92"/>
      <c r="U699" s="145"/>
      <c r="V699" s="92"/>
      <c r="W699" s="145"/>
      <c r="X699" s="92"/>
      <c r="Y699" s="145"/>
      <c r="Z699" s="92"/>
      <c r="AA699" s="145"/>
      <c r="AB699" s="92"/>
      <c r="AC699" s="145"/>
      <c r="AD699" s="92"/>
      <c r="AE699" s="145"/>
      <c r="AF699" s="142" t="str">
        <f t="shared" si="35"/>
        <v/>
      </c>
      <c r="AG699" s="190" t="b">
        <f t="shared" si="34"/>
        <v>0</v>
      </c>
      <c r="AH699" s="145"/>
      <c r="AI699" s="153" t="s">
        <v>6</v>
      </c>
      <c r="AJ699" s="150">
        <f t="shared" si="33"/>
        <v>0</v>
      </c>
      <c r="AK699" s="154" t="s">
        <v>60</v>
      </c>
    </row>
    <row r="700" spans="1:37" ht="30" customHeight="1">
      <c r="A700" s="64"/>
      <c r="B700" s="64"/>
      <c r="C700" s="64"/>
      <c r="D700" s="64"/>
      <c r="E700" s="64"/>
      <c r="F700" s="64"/>
      <c r="G700" s="64"/>
      <c r="H700" s="64"/>
      <c r="I700" s="64"/>
      <c r="J700" s="64"/>
      <c r="K700" s="64"/>
      <c r="L700" s="64"/>
      <c r="M700" s="64"/>
      <c r="N700" s="194"/>
      <c r="O700" s="157"/>
      <c r="P700" s="92"/>
      <c r="Q700" s="145"/>
      <c r="R700" s="92"/>
      <c r="S700" s="145"/>
      <c r="T700" s="92"/>
      <c r="U700" s="145"/>
      <c r="V700" s="92"/>
      <c r="W700" s="145"/>
      <c r="X700" s="92"/>
      <c r="Y700" s="145"/>
      <c r="Z700" s="92"/>
      <c r="AA700" s="145"/>
      <c r="AB700" s="92"/>
      <c r="AC700" s="145"/>
      <c r="AD700" s="92"/>
      <c r="AE700" s="145"/>
      <c r="AF700" s="142" t="str">
        <f t="shared" si="35"/>
        <v/>
      </c>
      <c r="AG700" s="190" t="b">
        <f t="shared" si="34"/>
        <v>0</v>
      </c>
      <c r="AH700" s="145"/>
      <c r="AI700" s="153" t="s">
        <v>6</v>
      </c>
      <c r="AJ700" s="150">
        <f t="shared" si="33"/>
        <v>0</v>
      </c>
      <c r="AK700" s="154" t="s">
        <v>60</v>
      </c>
    </row>
    <row r="701" spans="1:37" ht="30" customHeight="1">
      <c r="A701" s="64"/>
      <c r="B701" s="64"/>
      <c r="C701" s="64"/>
      <c r="D701" s="64"/>
      <c r="E701" s="64"/>
      <c r="F701" s="64"/>
      <c r="G701" s="64"/>
      <c r="H701" s="64"/>
      <c r="I701" s="64"/>
      <c r="J701" s="64"/>
      <c r="K701" s="64"/>
      <c r="L701" s="64"/>
      <c r="M701" s="64"/>
      <c r="N701" s="194"/>
      <c r="O701" s="157"/>
      <c r="P701" s="92"/>
      <c r="Q701" s="145"/>
      <c r="R701" s="92"/>
      <c r="S701" s="145"/>
      <c r="T701" s="92"/>
      <c r="U701" s="145"/>
      <c r="V701" s="92"/>
      <c r="W701" s="145"/>
      <c r="X701" s="92"/>
      <c r="Y701" s="145"/>
      <c r="Z701" s="92"/>
      <c r="AA701" s="145"/>
      <c r="AB701" s="92"/>
      <c r="AC701" s="145"/>
      <c r="AD701" s="92"/>
      <c r="AE701" s="145"/>
      <c r="AF701" s="142" t="str">
        <f t="shared" si="35"/>
        <v/>
      </c>
      <c r="AG701" s="190" t="b">
        <f t="shared" si="34"/>
        <v>0</v>
      </c>
      <c r="AH701" s="145"/>
      <c r="AI701" s="153" t="s">
        <v>6</v>
      </c>
      <c r="AJ701" s="150">
        <f t="shared" si="33"/>
        <v>0</v>
      </c>
      <c r="AK701" s="154" t="s">
        <v>60</v>
      </c>
    </row>
    <row r="702" spans="1:37" ht="30" customHeight="1">
      <c r="A702" s="64"/>
      <c r="B702" s="64"/>
      <c r="C702" s="64"/>
      <c r="D702" s="64"/>
      <c r="E702" s="64"/>
      <c r="F702" s="64"/>
      <c r="G702" s="64"/>
      <c r="H702" s="64"/>
      <c r="I702" s="64"/>
      <c r="J702" s="64"/>
      <c r="K702" s="64"/>
      <c r="L702" s="64"/>
      <c r="M702" s="64"/>
      <c r="N702" s="194"/>
      <c r="O702" s="157"/>
      <c r="P702" s="92"/>
      <c r="Q702" s="145"/>
      <c r="R702" s="92"/>
      <c r="S702" s="145"/>
      <c r="T702" s="92"/>
      <c r="U702" s="145"/>
      <c r="V702" s="92"/>
      <c r="W702" s="145"/>
      <c r="X702" s="92"/>
      <c r="Y702" s="145"/>
      <c r="Z702" s="92"/>
      <c r="AA702" s="145"/>
      <c r="AB702" s="92"/>
      <c r="AC702" s="145"/>
      <c r="AD702" s="92"/>
      <c r="AE702" s="145"/>
      <c r="AF702" s="142" t="str">
        <f t="shared" si="35"/>
        <v/>
      </c>
      <c r="AG702" s="190" t="b">
        <f t="shared" si="34"/>
        <v>0</v>
      </c>
      <c r="AH702" s="145"/>
      <c r="AI702" s="153" t="s">
        <v>6</v>
      </c>
      <c r="AJ702" s="150">
        <f t="shared" si="33"/>
        <v>0</v>
      </c>
      <c r="AK702" s="154" t="s">
        <v>60</v>
      </c>
    </row>
    <row r="703" spans="1:37" ht="30" customHeight="1">
      <c r="A703" s="64"/>
      <c r="B703" s="64"/>
      <c r="C703" s="64"/>
      <c r="D703" s="64"/>
      <c r="E703" s="64"/>
      <c r="F703" s="64"/>
      <c r="G703" s="64"/>
      <c r="H703" s="64"/>
      <c r="I703" s="64"/>
      <c r="J703" s="64"/>
      <c r="K703" s="64"/>
      <c r="L703" s="64"/>
      <c r="M703" s="64"/>
      <c r="N703" s="194"/>
      <c r="O703" s="157"/>
      <c r="P703" s="92"/>
      <c r="Q703" s="145"/>
      <c r="R703" s="92"/>
      <c r="S703" s="145"/>
      <c r="T703" s="92"/>
      <c r="U703" s="145"/>
      <c r="V703" s="92"/>
      <c r="W703" s="145"/>
      <c r="X703" s="92"/>
      <c r="Y703" s="145"/>
      <c r="Z703" s="92"/>
      <c r="AA703" s="145"/>
      <c r="AB703" s="92"/>
      <c r="AC703" s="145"/>
      <c r="AD703" s="92"/>
      <c r="AE703" s="145"/>
      <c r="AF703" s="142" t="str">
        <f t="shared" si="35"/>
        <v/>
      </c>
      <c r="AG703" s="190" t="b">
        <f t="shared" si="34"/>
        <v>0</v>
      </c>
      <c r="AH703" s="145"/>
      <c r="AI703" s="153" t="s">
        <v>6</v>
      </c>
      <c r="AJ703" s="150">
        <f t="shared" si="33"/>
        <v>0</v>
      </c>
      <c r="AK703" s="154" t="s">
        <v>60</v>
      </c>
    </row>
    <row r="704" spans="1:37" ht="30" customHeight="1">
      <c r="A704" s="64"/>
      <c r="B704" s="64"/>
      <c r="C704" s="64"/>
      <c r="D704" s="64"/>
      <c r="E704" s="64"/>
      <c r="F704" s="64"/>
      <c r="G704" s="64"/>
      <c r="H704" s="64"/>
      <c r="I704" s="64"/>
      <c r="J704" s="64"/>
      <c r="K704" s="64"/>
      <c r="L704" s="64"/>
      <c r="M704" s="64"/>
      <c r="N704" s="194"/>
      <c r="O704" s="157"/>
      <c r="P704" s="92"/>
      <c r="Q704" s="145"/>
      <c r="R704" s="92"/>
      <c r="S704" s="145"/>
      <c r="T704" s="92"/>
      <c r="U704" s="145"/>
      <c r="V704" s="92"/>
      <c r="W704" s="145"/>
      <c r="X704" s="92"/>
      <c r="Y704" s="145"/>
      <c r="Z704" s="92"/>
      <c r="AA704" s="145"/>
      <c r="AB704" s="92"/>
      <c r="AC704" s="145"/>
      <c r="AD704" s="92"/>
      <c r="AE704" s="145"/>
      <c r="AF704" s="142" t="str">
        <f t="shared" si="35"/>
        <v/>
      </c>
      <c r="AG704" s="190" t="b">
        <f t="shared" si="34"/>
        <v>0</v>
      </c>
      <c r="AH704" s="145"/>
      <c r="AI704" s="153" t="s">
        <v>6</v>
      </c>
      <c r="AJ704" s="150">
        <f t="shared" si="33"/>
        <v>0</v>
      </c>
      <c r="AK704" s="154" t="s">
        <v>60</v>
      </c>
    </row>
    <row r="705" spans="1:37" ht="30" customHeight="1">
      <c r="A705" s="64"/>
      <c r="B705" s="64"/>
      <c r="C705" s="64"/>
      <c r="D705" s="64"/>
      <c r="E705" s="64"/>
      <c r="F705" s="64"/>
      <c r="G705" s="64"/>
      <c r="H705" s="64"/>
      <c r="I705" s="64"/>
      <c r="J705" s="64"/>
      <c r="K705" s="64"/>
      <c r="L705" s="64"/>
      <c r="M705" s="64"/>
      <c r="N705" s="194"/>
      <c r="O705" s="157"/>
      <c r="P705" s="92"/>
      <c r="Q705" s="145"/>
      <c r="R705" s="92"/>
      <c r="S705" s="145"/>
      <c r="T705" s="92"/>
      <c r="U705" s="145"/>
      <c r="V705" s="92"/>
      <c r="W705" s="145"/>
      <c r="X705" s="92"/>
      <c r="Y705" s="145"/>
      <c r="Z705" s="92"/>
      <c r="AA705" s="145"/>
      <c r="AB705" s="92"/>
      <c r="AC705" s="145"/>
      <c r="AD705" s="92"/>
      <c r="AE705" s="145"/>
      <c r="AF705" s="142" t="str">
        <f t="shared" si="35"/>
        <v/>
      </c>
      <c r="AG705" s="190" t="b">
        <f t="shared" si="34"/>
        <v>0</v>
      </c>
      <c r="AH705" s="145"/>
      <c r="AI705" s="153" t="s">
        <v>6</v>
      </c>
      <c r="AJ705" s="150">
        <f t="shared" si="33"/>
        <v>0</v>
      </c>
      <c r="AK705" s="154" t="s">
        <v>60</v>
      </c>
    </row>
    <row r="706" spans="1:37" ht="30" customHeight="1">
      <c r="A706" s="64"/>
      <c r="B706" s="64"/>
      <c r="C706" s="64"/>
      <c r="D706" s="64"/>
      <c r="E706" s="64"/>
      <c r="F706" s="64"/>
      <c r="G706" s="64"/>
      <c r="H706" s="64"/>
      <c r="I706" s="64"/>
      <c r="J706" s="64"/>
      <c r="K706" s="64"/>
      <c r="L706" s="64"/>
      <c r="M706" s="64"/>
      <c r="N706" s="194"/>
      <c r="O706" s="157"/>
      <c r="P706" s="92"/>
      <c r="Q706" s="145"/>
      <c r="R706" s="92"/>
      <c r="S706" s="145"/>
      <c r="T706" s="92"/>
      <c r="U706" s="145"/>
      <c r="V706" s="92"/>
      <c r="W706" s="145"/>
      <c r="X706" s="92"/>
      <c r="Y706" s="145"/>
      <c r="Z706" s="92"/>
      <c r="AA706" s="145"/>
      <c r="AB706" s="92"/>
      <c r="AC706" s="145"/>
      <c r="AD706" s="92"/>
      <c r="AE706" s="145"/>
      <c r="AF706" s="142" t="str">
        <f t="shared" si="35"/>
        <v/>
      </c>
      <c r="AG706" s="190" t="b">
        <f t="shared" si="34"/>
        <v>0</v>
      </c>
      <c r="AH706" s="145"/>
      <c r="AI706" s="153" t="s">
        <v>6</v>
      </c>
      <c r="AJ706" s="150">
        <f t="shared" si="33"/>
        <v>0</v>
      </c>
      <c r="AK706" s="154" t="s">
        <v>60</v>
      </c>
    </row>
    <row r="707" spans="1:37" ht="30" customHeight="1">
      <c r="A707" s="64"/>
      <c r="B707" s="64"/>
      <c r="C707" s="64"/>
      <c r="D707" s="64"/>
      <c r="E707" s="64"/>
      <c r="F707" s="64"/>
      <c r="G707" s="64"/>
      <c r="H707" s="64"/>
      <c r="I707" s="64"/>
      <c r="J707" s="64"/>
      <c r="K707" s="64"/>
      <c r="L707" s="64"/>
      <c r="M707" s="64"/>
      <c r="N707" s="194"/>
      <c r="O707" s="157"/>
      <c r="P707" s="92"/>
      <c r="Q707" s="145"/>
      <c r="R707" s="92"/>
      <c r="S707" s="145"/>
      <c r="T707" s="92"/>
      <c r="U707" s="145"/>
      <c r="V707" s="92"/>
      <c r="W707" s="145"/>
      <c r="X707" s="92"/>
      <c r="Y707" s="145"/>
      <c r="Z707" s="92"/>
      <c r="AA707" s="145"/>
      <c r="AB707" s="92"/>
      <c r="AC707" s="145"/>
      <c r="AD707" s="92"/>
      <c r="AE707" s="145"/>
      <c r="AF707" s="142" t="str">
        <f t="shared" si="35"/>
        <v/>
      </c>
      <c r="AG707" s="190" t="b">
        <f t="shared" si="34"/>
        <v>0</v>
      </c>
      <c r="AH707" s="145"/>
      <c r="AI707" s="153" t="s">
        <v>6</v>
      </c>
      <c r="AJ707" s="150">
        <f t="shared" si="33"/>
        <v>0</v>
      </c>
      <c r="AK707" s="154" t="s">
        <v>60</v>
      </c>
    </row>
    <row r="708" spans="1:37" ht="30" customHeight="1">
      <c r="A708" s="64"/>
      <c r="B708" s="64"/>
      <c r="C708" s="64"/>
      <c r="D708" s="64"/>
      <c r="E708" s="64"/>
      <c r="F708" s="64"/>
      <c r="G708" s="64"/>
      <c r="H708" s="64"/>
      <c r="I708" s="64"/>
      <c r="J708" s="64"/>
      <c r="K708" s="64"/>
      <c r="L708" s="64"/>
      <c r="M708" s="64"/>
      <c r="N708" s="194"/>
      <c r="O708" s="157"/>
      <c r="P708" s="92"/>
      <c r="Q708" s="145"/>
      <c r="R708" s="92"/>
      <c r="S708" s="145"/>
      <c r="T708" s="92"/>
      <c r="U708" s="145"/>
      <c r="V708" s="92"/>
      <c r="W708" s="145"/>
      <c r="X708" s="92"/>
      <c r="Y708" s="145"/>
      <c r="Z708" s="92"/>
      <c r="AA708" s="145"/>
      <c r="AB708" s="92"/>
      <c r="AC708" s="145"/>
      <c r="AD708" s="92"/>
      <c r="AE708" s="145"/>
      <c r="AF708" s="142" t="str">
        <f t="shared" si="35"/>
        <v/>
      </c>
      <c r="AG708" s="190" t="b">
        <f t="shared" si="34"/>
        <v>0</v>
      </c>
      <c r="AH708" s="145"/>
      <c r="AI708" s="153" t="s">
        <v>6</v>
      </c>
      <c r="AJ708" s="150">
        <f t="shared" si="33"/>
        <v>0</v>
      </c>
      <c r="AK708" s="154" t="s">
        <v>60</v>
      </c>
    </row>
    <row r="709" spans="1:37" ht="30" customHeight="1">
      <c r="A709" s="64"/>
      <c r="B709" s="64"/>
      <c r="C709" s="64"/>
      <c r="D709" s="64"/>
      <c r="E709" s="64"/>
      <c r="F709" s="64"/>
      <c r="G709" s="64"/>
      <c r="H709" s="64"/>
      <c r="I709" s="64"/>
      <c r="J709" s="64"/>
      <c r="K709" s="64"/>
      <c r="L709" s="64"/>
      <c r="M709" s="64"/>
      <c r="N709" s="194"/>
      <c r="O709" s="157"/>
      <c r="P709" s="92"/>
      <c r="Q709" s="145"/>
      <c r="R709" s="92"/>
      <c r="S709" s="145"/>
      <c r="T709" s="92"/>
      <c r="U709" s="145"/>
      <c r="V709" s="92"/>
      <c r="W709" s="145"/>
      <c r="X709" s="92"/>
      <c r="Y709" s="145"/>
      <c r="Z709" s="92"/>
      <c r="AA709" s="145"/>
      <c r="AB709" s="92"/>
      <c r="AC709" s="145"/>
      <c r="AD709" s="92"/>
      <c r="AE709" s="145"/>
      <c r="AF709" s="142" t="str">
        <f t="shared" si="35"/>
        <v/>
      </c>
      <c r="AG709" s="190" t="b">
        <f t="shared" si="34"/>
        <v>0</v>
      </c>
      <c r="AH709" s="145"/>
      <c r="AI709" s="153" t="s">
        <v>6</v>
      </c>
      <c r="AJ709" s="150">
        <f t="shared" si="33"/>
        <v>0</v>
      </c>
      <c r="AK709" s="154" t="s">
        <v>60</v>
      </c>
    </row>
    <row r="710" spans="1:37" ht="30" customHeight="1">
      <c r="A710" s="64"/>
      <c r="B710" s="64"/>
      <c r="C710" s="64"/>
      <c r="D710" s="64"/>
      <c r="E710" s="64"/>
      <c r="F710" s="64"/>
      <c r="G710" s="64"/>
      <c r="H710" s="64"/>
      <c r="I710" s="64"/>
      <c r="J710" s="64"/>
      <c r="K710" s="64"/>
      <c r="L710" s="64"/>
      <c r="M710" s="64"/>
      <c r="N710" s="194"/>
      <c r="O710" s="157"/>
      <c r="P710" s="92"/>
      <c r="Q710" s="145"/>
      <c r="R710" s="92"/>
      <c r="S710" s="145"/>
      <c r="T710" s="92"/>
      <c r="U710" s="145"/>
      <c r="V710" s="92"/>
      <c r="W710" s="145"/>
      <c r="X710" s="92"/>
      <c r="Y710" s="145"/>
      <c r="Z710" s="92"/>
      <c r="AA710" s="145"/>
      <c r="AB710" s="92"/>
      <c r="AC710" s="145"/>
      <c r="AD710" s="92"/>
      <c r="AE710" s="145"/>
      <c r="AF710" s="142" t="str">
        <f t="shared" si="35"/>
        <v/>
      </c>
      <c r="AG710" s="190" t="b">
        <f t="shared" si="34"/>
        <v>0</v>
      </c>
      <c r="AH710" s="145"/>
      <c r="AI710" s="153" t="s">
        <v>6</v>
      </c>
      <c r="AJ710" s="150">
        <f t="shared" si="33"/>
        <v>0</v>
      </c>
      <c r="AK710" s="154" t="s">
        <v>60</v>
      </c>
    </row>
    <row r="711" spans="1:37" ht="30" customHeight="1">
      <c r="A711" s="64"/>
      <c r="B711" s="64"/>
      <c r="C711" s="64"/>
      <c r="D711" s="64"/>
      <c r="E711" s="64"/>
      <c r="F711" s="64"/>
      <c r="G711" s="64"/>
      <c r="H711" s="64"/>
      <c r="I711" s="64"/>
      <c r="J711" s="64"/>
      <c r="K711" s="64"/>
      <c r="L711" s="64"/>
      <c r="M711" s="64"/>
      <c r="N711" s="194"/>
      <c r="O711" s="157"/>
      <c r="P711" s="92"/>
      <c r="Q711" s="145"/>
      <c r="R711" s="92"/>
      <c r="S711" s="145"/>
      <c r="T711" s="92"/>
      <c r="U711" s="145"/>
      <c r="V711" s="92"/>
      <c r="W711" s="145"/>
      <c r="X711" s="92"/>
      <c r="Y711" s="145"/>
      <c r="Z711" s="92"/>
      <c r="AA711" s="145"/>
      <c r="AB711" s="92"/>
      <c r="AC711" s="145"/>
      <c r="AD711" s="92"/>
      <c r="AE711" s="145"/>
      <c r="AF711" s="142" t="str">
        <f t="shared" si="35"/>
        <v/>
      </c>
      <c r="AG711" s="190" t="b">
        <f t="shared" si="34"/>
        <v>0</v>
      </c>
      <c r="AH711" s="145"/>
      <c r="AI711" s="153" t="s">
        <v>6</v>
      </c>
      <c r="AJ711" s="150">
        <f t="shared" ref="AJ711:AJ774" si="36">E711</f>
        <v>0</v>
      </c>
      <c r="AK711" s="154" t="s">
        <v>60</v>
      </c>
    </row>
    <row r="712" spans="1:37" ht="30" customHeight="1">
      <c r="A712" s="64"/>
      <c r="B712" s="64"/>
      <c r="C712" s="64"/>
      <c r="D712" s="64"/>
      <c r="E712" s="64"/>
      <c r="F712" s="64"/>
      <c r="G712" s="64"/>
      <c r="H712" s="64"/>
      <c r="I712" s="64"/>
      <c r="J712" s="64"/>
      <c r="K712" s="64"/>
      <c r="L712" s="64"/>
      <c r="M712" s="64"/>
      <c r="N712" s="194"/>
      <c r="O712" s="157"/>
      <c r="P712" s="92"/>
      <c r="Q712" s="145"/>
      <c r="R712" s="92"/>
      <c r="S712" s="145"/>
      <c r="T712" s="92"/>
      <c r="U712" s="145"/>
      <c r="V712" s="92"/>
      <c r="W712" s="145"/>
      <c r="X712" s="92"/>
      <c r="Y712" s="145"/>
      <c r="Z712" s="92"/>
      <c r="AA712" s="145"/>
      <c r="AB712" s="92"/>
      <c r="AC712" s="145"/>
      <c r="AD712" s="92"/>
      <c r="AE712" s="145"/>
      <c r="AF712" s="142" t="str">
        <f t="shared" si="35"/>
        <v/>
      </c>
      <c r="AG712" s="190" t="b">
        <f t="shared" si="34"/>
        <v>0</v>
      </c>
      <c r="AH712" s="145"/>
      <c r="AI712" s="153" t="s">
        <v>6</v>
      </c>
      <c r="AJ712" s="150">
        <f t="shared" si="36"/>
        <v>0</v>
      </c>
      <c r="AK712" s="154" t="s">
        <v>60</v>
      </c>
    </row>
    <row r="713" spans="1:37" ht="30" customHeight="1">
      <c r="A713" s="64"/>
      <c r="B713" s="64"/>
      <c r="C713" s="64"/>
      <c r="D713" s="64"/>
      <c r="E713" s="64"/>
      <c r="F713" s="64"/>
      <c r="G713" s="64"/>
      <c r="H713" s="64"/>
      <c r="I713" s="64"/>
      <c r="J713" s="64"/>
      <c r="K713" s="64"/>
      <c r="L713" s="64"/>
      <c r="M713" s="64"/>
      <c r="N713" s="194"/>
      <c r="O713" s="157"/>
      <c r="P713" s="92"/>
      <c r="Q713" s="145"/>
      <c r="R713" s="92"/>
      <c r="S713" s="145"/>
      <c r="T713" s="92"/>
      <c r="U713" s="145"/>
      <c r="V713" s="92"/>
      <c r="W713" s="145"/>
      <c r="X713" s="92"/>
      <c r="Y713" s="145"/>
      <c r="Z713" s="92"/>
      <c r="AA713" s="145"/>
      <c r="AB713" s="92"/>
      <c r="AC713" s="145"/>
      <c r="AD713" s="92"/>
      <c r="AE713" s="145"/>
      <c r="AF713" s="142" t="str">
        <f t="shared" si="35"/>
        <v/>
      </c>
      <c r="AG713" s="190" t="b">
        <f t="shared" si="34"/>
        <v>0</v>
      </c>
      <c r="AH713" s="145"/>
      <c r="AI713" s="153" t="s">
        <v>6</v>
      </c>
      <c r="AJ713" s="150">
        <f t="shared" si="36"/>
        <v>0</v>
      </c>
      <c r="AK713" s="154" t="s">
        <v>60</v>
      </c>
    </row>
    <row r="714" spans="1:37" ht="30" customHeight="1">
      <c r="A714" s="64"/>
      <c r="B714" s="64"/>
      <c r="C714" s="64"/>
      <c r="D714" s="64"/>
      <c r="E714" s="64"/>
      <c r="F714" s="64"/>
      <c r="G714" s="64"/>
      <c r="H714" s="64"/>
      <c r="I714" s="64"/>
      <c r="J714" s="64"/>
      <c r="K714" s="64"/>
      <c r="L714" s="64"/>
      <c r="M714" s="64"/>
      <c r="N714" s="194"/>
      <c r="O714" s="157"/>
      <c r="P714" s="92"/>
      <c r="Q714" s="145"/>
      <c r="R714" s="92"/>
      <c r="S714" s="145"/>
      <c r="T714" s="92"/>
      <c r="U714" s="145"/>
      <c r="V714" s="92"/>
      <c r="W714" s="145"/>
      <c r="X714" s="92"/>
      <c r="Y714" s="145"/>
      <c r="Z714" s="92"/>
      <c r="AA714" s="145"/>
      <c r="AB714" s="92"/>
      <c r="AC714" s="145"/>
      <c r="AD714" s="92"/>
      <c r="AE714" s="145"/>
      <c r="AF714" s="142" t="str">
        <f t="shared" si="35"/>
        <v/>
      </c>
      <c r="AG714" s="190" t="b">
        <f t="shared" si="34"/>
        <v>0</v>
      </c>
      <c r="AH714" s="145"/>
      <c r="AI714" s="153" t="s">
        <v>6</v>
      </c>
      <c r="AJ714" s="150">
        <f t="shared" si="36"/>
        <v>0</v>
      </c>
      <c r="AK714" s="154" t="s">
        <v>60</v>
      </c>
    </row>
    <row r="715" spans="1:37" ht="30" customHeight="1">
      <c r="A715" s="64"/>
      <c r="B715" s="64"/>
      <c r="C715" s="64"/>
      <c r="D715" s="64"/>
      <c r="E715" s="64"/>
      <c r="F715" s="64"/>
      <c r="G715" s="64"/>
      <c r="H715" s="64"/>
      <c r="I715" s="64"/>
      <c r="J715" s="64"/>
      <c r="K715" s="64"/>
      <c r="L715" s="64"/>
      <c r="M715" s="64"/>
      <c r="N715" s="194"/>
      <c r="O715" s="157"/>
      <c r="P715" s="92"/>
      <c r="Q715" s="145"/>
      <c r="R715" s="92"/>
      <c r="S715" s="145"/>
      <c r="T715" s="92"/>
      <c r="U715" s="145"/>
      <c r="V715" s="92"/>
      <c r="W715" s="145"/>
      <c r="X715" s="92"/>
      <c r="Y715" s="145"/>
      <c r="Z715" s="92"/>
      <c r="AA715" s="145"/>
      <c r="AB715" s="92"/>
      <c r="AC715" s="145"/>
      <c r="AD715" s="92"/>
      <c r="AE715" s="145"/>
      <c r="AF715" s="142" t="str">
        <f t="shared" si="35"/>
        <v/>
      </c>
      <c r="AG715" s="190" t="b">
        <f t="shared" si="34"/>
        <v>0</v>
      </c>
      <c r="AH715" s="145"/>
      <c r="AI715" s="153" t="s">
        <v>6</v>
      </c>
      <c r="AJ715" s="150">
        <f t="shared" si="36"/>
        <v>0</v>
      </c>
      <c r="AK715" s="154" t="s">
        <v>60</v>
      </c>
    </row>
    <row r="716" spans="1:37" ht="30" customHeight="1">
      <c r="A716" s="64"/>
      <c r="B716" s="64"/>
      <c r="C716" s="64"/>
      <c r="D716" s="64"/>
      <c r="E716" s="64"/>
      <c r="F716" s="64"/>
      <c r="G716" s="64"/>
      <c r="H716" s="64"/>
      <c r="I716" s="64"/>
      <c r="J716" s="64"/>
      <c r="K716" s="64"/>
      <c r="L716" s="64"/>
      <c r="M716" s="64"/>
      <c r="N716" s="194"/>
      <c r="O716" s="157"/>
      <c r="P716" s="92"/>
      <c r="Q716" s="145"/>
      <c r="R716" s="92"/>
      <c r="S716" s="145"/>
      <c r="T716" s="92"/>
      <c r="U716" s="145"/>
      <c r="V716" s="92"/>
      <c r="W716" s="145"/>
      <c r="X716" s="92"/>
      <c r="Y716" s="145"/>
      <c r="Z716" s="92"/>
      <c r="AA716" s="145"/>
      <c r="AB716" s="92"/>
      <c r="AC716" s="145"/>
      <c r="AD716" s="92"/>
      <c r="AE716" s="145"/>
      <c r="AF716" s="142" t="str">
        <f t="shared" si="35"/>
        <v/>
      </c>
      <c r="AG716" s="190" t="b">
        <f t="shared" si="34"/>
        <v>0</v>
      </c>
      <c r="AH716" s="145"/>
      <c r="AI716" s="153" t="s">
        <v>6</v>
      </c>
      <c r="AJ716" s="150">
        <f t="shared" si="36"/>
        <v>0</v>
      </c>
      <c r="AK716" s="154" t="s">
        <v>60</v>
      </c>
    </row>
    <row r="717" spans="1:37" ht="30" customHeight="1">
      <c r="A717" s="64"/>
      <c r="B717" s="64"/>
      <c r="C717" s="64"/>
      <c r="D717" s="64"/>
      <c r="E717" s="64"/>
      <c r="F717" s="64"/>
      <c r="G717" s="64"/>
      <c r="H717" s="64"/>
      <c r="I717" s="64"/>
      <c r="J717" s="64"/>
      <c r="K717" s="64"/>
      <c r="L717" s="64"/>
      <c r="M717" s="64"/>
      <c r="N717" s="194"/>
      <c r="O717" s="157"/>
      <c r="P717" s="92"/>
      <c r="Q717" s="145"/>
      <c r="R717" s="92"/>
      <c r="S717" s="145"/>
      <c r="T717" s="92"/>
      <c r="U717" s="145"/>
      <c r="V717" s="92"/>
      <c r="W717" s="145"/>
      <c r="X717" s="92"/>
      <c r="Y717" s="145"/>
      <c r="Z717" s="92"/>
      <c r="AA717" s="145"/>
      <c r="AB717" s="92"/>
      <c r="AC717" s="145"/>
      <c r="AD717" s="92"/>
      <c r="AE717" s="145"/>
      <c r="AF717" s="142" t="str">
        <f t="shared" si="35"/>
        <v/>
      </c>
      <c r="AG717" s="190" t="b">
        <f t="shared" si="34"/>
        <v>0</v>
      </c>
      <c r="AH717" s="145"/>
      <c r="AI717" s="153" t="s">
        <v>6</v>
      </c>
      <c r="AJ717" s="150">
        <f t="shared" si="36"/>
        <v>0</v>
      </c>
      <c r="AK717" s="154" t="s">
        <v>60</v>
      </c>
    </row>
    <row r="718" spans="1:37" ht="30" customHeight="1">
      <c r="A718" s="64"/>
      <c r="B718" s="64"/>
      <c r="C718" s="64"/>
      <c r="D718" s="64"/>
      <c r="E718" s="64"/>
      <c r="F718" s="64"/>
      <c r="G718" s="64"/>
      <c r="H718" s="64"/>
      <c r="I718" s="64"/>
      <c r="J718" s="64"/>
      <c r="K718" s="64"/>
      <c r="L718" s="64"/>
      <c r="M718" s="64"/>
      <c r="N718" s="194"/>
      <c r="O718" s="157"/>
      <c r="P718" s="92"/>
      <c r="Q718" s="145"/>
      <c r="R718" s="92"/>
      <c r="S718" s="145"/>
      <c r="T718" s="92"/>
      <c r="U718" s="145"/>
      <c r="V718" s="92"/>
      <c r="W718" s="145"/>
      <c r="X718" s="92"/>
      <c r="Y718" s="145"/>
      <c r="Z718" s="92"/>
      <c r="AA718" s="145"/>
      <c r="AB718" s="92"/>
      <c r="AC718" s="145"/>
      <c r="AD718" s="92"/>
      <c r="AE718" s="145"/>
      <c r="AF718" s="142" t="str">
        <f t="shared" si="35"/>
        <v/>
      </c>
      <c r="AG718" s="190" t="b">
        <f t="shared" si="34"/>
        <v>0</v>
      </c>
      <c r="AH718" s="145"/>
      <c r="AI718" s="153" t="s">
        <v>6</v>
      </c>
      <c r="AJ718" s="150">
        <f t="shared" si="36"/>
        <v>0</v>
      </c>
      <c r="AK718" s="154" t="s">
        <v>60</v>
      </c>
    </row>
    <row r="719" spans="1:37" ht="30" customHeight="1">
      <c r="A719" s="64"/>
      <c r="B719" s="64"/>
      <c r="C719" s="64"/>
      <c r="D719" s="64"/>
      <c r="E719" s="64"/>
      <c r="F719" s="64"/>
      <c r="G719" s="64"/>
      <c r="H719" s="64"/>
      <c r="I719" s="64"/>
      <c r="J719" s="64"/>
      <c r="K719" s="64"/>
      <c r="L719" s="64"/>
      <c r="M719" s="64"/>
      <c r="N719" s="194"/>
      <c r="O719" s="157"/>
      <c r="P719" s="92"/>
      <c r="Q719" s="145"/>
      <c r="R719" s="92"/>
      <c r="S719" s="145"/>
      <c r="T719" s="92"/>
      <c r="U719" s="145"/>
      <c r="V719" s="92"/>
      <c r="W719" s="145"/>
      <c r="X719" s="92"/>
      <c r="Y719" s="145"/>
      <c r="Z719" s="92"/>
      <c r="AA719" s="145"/>
      <c r="AB719" s="92"/>
      <c r="AC719" s="145"/>
      <c r="AD719" s="92"/>
      <c r="AE719" s="145"/>
      <c r="AF719" s="142" t="str">
        <f t="shared" si="35"/>
        <v/>
      </c>
      <c r="AG719" s="190" t="b">
        <f t="shared" si="34"/>
        <v>0</v>
      </c>
      <c r="AH719" s="145"/>
      <c r="AI719" s="153" t="s">
        <v>6</v>
      </c>
      <c r="AJ719" s="150">
        <f t="shared" si="36"/>
        <v>0</v>
      </c>
      <c r="AK719" s="154" t="s">
        <v>60</v>
      </c>
    </row>
    <row r="720" spans="1:37" ht="30" customHeight="1">
      <c r="A720" s="64"/>
      <c r="B720" s="64"/>
      <c r="C720" s="64"/>
      <c r="D720" s="64"/>
      <c r="E720" s="64"/>
      <c r="F720" s="64"/>
      <c r="G720" s="64"/>
      <c r="H720" s="64"/>
      <c r="I720" s="64"/>
      <c r="J720" s="64"/>
      <c r="K720" s="64"/>
      <c r="L720" s="64"/>
      <c r="M720" s="64"/>
      <c r="N720" s="194"/>
      <c r="O720" s="157"/>
      <c r="P720" s="92"/>
      <c r="Q720" s="145"/>
      <c r="R720" s="92"/>
      <c r="S720" s="145"/>
      <c r="T720" s="92"/>
      <c r="U720" s="145"/>
      <c r="V720" s="92"/>
      <c r="W720" s="145"/>
      <c r="X720" s="92"/>
      <c r="Y720" s="145"/>
      <c r="Z720" s="92"/>
      <c r="AA720" s="145"/>
      <c r="AB720" s="92"/>
      <c r="AC720" s="145"/>
      <c r="AD720" s="92"/>
      <c r="AE720" s="145"/>
      <c r="AF720" s="142" t="str">
        <f t="shared" si="35"/>
        <v/>
      </c>
      <c r="AG720" s="190" t="b">
        <f t="shared" si="34"/>
        <v>0</v>
      </c>
      <c r="AH720" s="145"/>
      <c r="AI720" s="153" t="s">
        <v>6</v>
      </c>
      <c r="AJ720" s="150">
        <f t="shared" si="36"/>
        <v>0</v>
      </c>
      <c r="AK720" s="154" t="s">
        <v>60</v>
      </c>
    </row>
    <row r="721" spans="1:37" ht="30" customHeight="1">
      <c r="A721" s="64"/>
      <c r="B721" s="64"/>
      <c r="C721" s="64"/>
      <c r="D721" s="64"/>
      <c r="E721" s="64"/>
      <c r="F721" s="64"/>
      <c r="G721" s="64"/>
      <c r="H721" s="64"/>
      <c r="I721" s="64"/>
      <c r="J721" s="64"/>
      <c r="K721" s="64"/>
      <c r="L721" s="64"/>
      <c r="M721" s="64"/>
      <c r="N721" s="194"/>
      <c r="O721" s="157"/>
      <c r="P721" s="92"/>
      <c r="Q721" s="145"/>
      <c r="R721" s="92"/>
      <c r="S721" s="145"/>
      <c r="T721" s="92"/>
      <c r="U721" s="145"/>
      <c r="V721" s="92"/>
      <c r="W721" s="145"/>
      <c r="X721" s="92"/>
      <c r="Y721" s="145"/>
      <c r="Z721" s="92"/>
      <c r="AA721" s="145"/>
      <c r="AB721" s="92"/>
      <c r="AC721" s="145"/>
      <c r="AD721" s="92"/>
      <c r="AE721" s="145"/>
      <c r="AF721" s="142" t="str">
        <f t="shared" si="35"/>
        <v/>
      </c>
      <c r="AG721" s="190" t="b">
        <f t="shared" si="34"/>
        <v>0</v>
      </c>
      <c r="AH721" s="145"/>
      <c r="AI721" s="153" t="s">
        <v>6</v>
      </c>
      <c r="AJ721" s="150">
        <f t="shared" si="36"/>
        <v>0</v>
      </c>
      <c r="AK721" s="154" t="s">
        <v>60</v>
      </c>
    </row>
    <row r="722" spans="1:37" ht="30" customHeight="1">
      <c r="A722" s="64"/>
      <c r="B722" s="64"/>
      <c r="C722" s="64"/>
      <c r="D722" s="64"/>
      <c r="E722" s="64"/>
      <c r="F722" s="64"/>
      <c r="G722" s="64"/>
      <c r="H722" s="64"/>
      <c r="I722" s="64"/>
      <c r="J722" s="64"/>
      <c r="K722" s="64"/>
      <c r="L722" s="64"/>
      <c r="M722" s="64"/>
      <c r="N722" s="194"/>
      <c r="O722" s="157"/>
      <c r="P722" s="92"/>
      <c r="Q722" s="145"/>
      <c r="R722" s="92"/>
      <c r="S722" s="145"/>
      <c r="T722" s="92"/>
      <c r="U722" s="145"/>
      <c r="V722" s="92"/>
      <c r="W722" s="145"/>
      <c r="X722" s="92"/>
      <c r="Y722" s="145"/>
      <c r="Z722" s="92"/>
      <c r="AA722" s="145"/>
      <c r="AB722" s="92"/>
      <c r="AC722" s="145"/>
      <c r="AD722" s="92"/>
      <c r="AE722" s="145"/>
      <c r="AF722" s="142" t="str">
        <f t="shared" si="35"/>
        <v/>
      </c>
      <c r="AG722" s="190" t="b">
        <f t="shared" si="34"/>
        <v>0</v>
      </c>
      <c r="AH722" s="145"/>
      <c r="AI722" s="153" t="s">
        <v>6</v>
      </c>
      <c r="AJ722" s="150">
        <f t="shared" si="36"/>
        <v>0</v>
      </c>
      <c r="AK722" s="154" t="s">
        <v>60</v>
      </c>
    </row>
    <row r="723" spans="1:37" ht="30" customHeight="1">
      <c r="A723" s="64"/>
      <c r="B723" s="64"/>
      <c r="C723" s="64"/>
      <c r="D723" s="64"/>
      <c r="E723" s="64"/>
      <c r="F723" s="64"/>
      <c r="G723" s="64"/>
      <c r="H723" s="64"/>
      <c r="I723" s="64"/>
      <c r="J723" s="64"/>
      <c r="K723" s="64"/>
      <c r="L723" s="64"/>
      <c r="M723" s="64"/>
      <c r="N723" s="194"/>
      <c r="O723" s="157"/>
      <c r="P723" s="92"/>
      <c r="Q723" s="145"/>
      <c r="R723" s="92"/>
      <c r="S723" s="145"/>
      <c r="T723" s="92"/>
      <c r="U723" s="145"/>
      <c r="V723" s="92"/>
      <c r="W723" s="145"/>
      <c r="X723" s="92"/>
      <c r="Y723" s="145"/>
      <c r="Z723" s="92"/>
      <c r="AA723" s="145"/>
      <c r="AB723" s="92"/>
      <c r="AC723" s="145"/>
      <c r="AD723" s="92"/>
      <c r="AE723" s="145"/>
      <c r="AF723" s="142" t="str">
        <f t="shared" si="35"/>
        <v/>
      </c>
      <c r="AG723" s="190" t="b">
        <f t="shared" si="34"/>
        <v>0</v>
      </c>
      <c r="AH723" s="145"/>
      <c r="AI723" s="153" t="s">
        <v>6</v>
      </c>
      <c r="AJ723" s="150">
        <f t="shared" si="36"/>
        <v>0</v>
      </c>
      <c r="AK723" s="154" t="s">
        <v>60</v>
      </c>
    </row>
    <row r="724" spans="1:37" ht="30" customHeight="1">
      <c r="A724" s="64"/>
      <c r="B724" s="64"/>
      <c r="C724" s="64"/>
      <c r="D724" s="64"/>
      <c r="E724" s="64"/>
      <c r="F724" s="64"/>
      <c r="G724" s="64"/>
      <c r="H724" s="64"/>
      <c r="I724" s="64"/>
      <c r="J724" s="64"/>
      <c r="K724" s="64"/>
      <c r="L724" s="64"/>
      <c r="M724" s="64"/>
      <c r="N724" s="194"/>
      <c r="O724" s="157"/>
      <c r="P724" s="92"/>
      <c r="Q724" s="145"/>
      <c r="R724" s="92"/>
      <c r="S724" s="145"/>
      <c r="T724" s="92"/>
      <c r="U724" s="145"/>
      <c r="V724" s="92"/>
      <c r="W724" s="145"/>
      <c r="X724" s="92"/>
      <c r="Y724" s="145"/>
      <c r="Z724" s="92"/>
      <c r="AA724" s="145"/>
      <c r="AB724" s="92"/>
      <c r="AC724" s="145"/>
      <c r="AD724" s="92"/>
      <c r="AE724" s="145"/>
      <c r="AF724" s="142" t="str">
        <f t="shared" si="35"/>
        <v/>
      </c>
      <c r="AG724" s="190" t="b">
        <f t="shared" si="34"/>
        <v>0</v>
      </c>
      <c r="AH724" s="145"/>
      <c r="AI724" s="153" t="s">
        <v>6</v>
      </c>
      <c r="AJ724" s="150">
        <f t="shared" si="36"/>
        <v>0</v>
      </c>
      <c r="AK724" s="154" t="s">
        <v>60</v>
      </c>
    </row>
    <row r="725" spans="1:37" ht="30" customHeight="1">
      <c r="A725" s="64"/>
      <c r="B725" s="64"/>
      <c r="C725" s="64"/>
      <c r="D725" s="64"/>
      <c r="E725" s="64"/>
      <c r="F725" s="64"/>
      <c r="G725" s="64"/>
      <c r="H725" s="64"/>
      <c r="I725" s="64"/>
      <c r="J725" s="64"/>
      <c r="K725" s="64"/>
      <c r="L725" s="64"/>
      <c r="M725" s="64"/>
      <c r="N725" s="194"/>
      <c r="O725" s="157"/>
      <c r="P725" s="92"/>
      <c r="Q725" s="145"/>
      <c r="R725" s="92"/>
      <c r="S725" s="145"/>
      <c r="T725" s="92"/>
      <c r="U725" s="145"/>
      <c r="V725" s="92"/>
      <c r="W725" s="145"/>
      <c r="X725" s="92"/>
      <c r="Y725" s="145"/>
      <c r="Z725" s="92"/>
      <c r="AA725" s="145"/>
      <c r="AB725" s="92"/>
      <c r="AC725" s="145"/>
      <c r="AD725" s="92"/>
      <c r="AE725" s="145"/>
      <c r="AF725" s="142" t="str">
        <f t="shared" si="35"/>
        <v/>
      </c>
      <c r="AG725" s="190" t="b">
        <f t="shared" si="34"/>
        <v>0</v>
      </c>
      <c r="AH725" s="145"/>
      <c r="AI725" s="153" t="s">
        <v>6</v>
      </c>
      <c r="AJ725" s="150">
        <f t="shared" si="36"/>
        <v>0</v>
      </c>
      <c r="AK725" s="154" t="s">
        <v>60</v>
      </c>
    </row>
    <row r="726" spans="1:37" ht="30" customHeight="1">
      <c r="A726" s="64"/>
      <c r="B726" s="64"/>
      <c r="C726" s="64"/>
      <c r="D726" s="64"/>
      <c r="E726" s="64"/>
      <c r="F726" s="64"/>
      <c r="G726" s="64"/>
      <c r="H726" s="64"/>
      <c r="I726" s="64"/>
      <c r="J726" s="64"/>
      <c r="K726" s="64"/>
      <c r="L726" s="64"/>
      <c r="M726" s="64"/>
      <c r="N726" s="194"/>
      <c r="O726" s="157"/>
      <c r="P726" s="92"/>
      <c r="Q726" s="145"/>
      <c r="R726" s="92"/>
      <c r="S726" s="145"/>
      <c r="T726" s="92"/>
      <c r="U726" s="145"/>
      <c r="V726" s="92"/>
      <c r="W726" s="145"/>
      <c r="X726" s="92"/>
      <c r="Y726" s="145"/>
      <c r="Z726" s="92"/>
      <c r="AA726" s="145"/>
      <c r="AB726" s="92"/>
      <c r="AC726" s="145"/>
      <c r="AD726" s="92"/>
      <c r="AE726" s="145"/>
      <c r="AF726" s="142" t="str">
        <f t="shared" si="35"/>
        <v/>
      </c>
      <c r="AG726" s="190" t="b">
        <f t="shared" si="34"/>
        <v>0</v>
      </c>
      <c r="AH726" s="145"/>
      <c r="AI726" s="153" t="s">
        <v>6</v>
      </c>
      <c r="AJ726" s="150">
        <f t="shared" si="36"/>
        <v>0</v>
      </c>
      <c r="AK726" s="154" t="s">
        <v>60</v>
      </c>
    </row>
    <row r="727" spans="1:37" ht="30" customHeight="1">
      <c r="A727" s="64"/>
      <c r="B727" s="64"/>
      <c r="C727" s="64"/>
      <c r="D727" s="64"/>
      <c r="E727" s="64"/>
      <c r="F727" s="64"/>
      <c r="G727" s="64"/>
      <c r="H727" s="64"/>
      <c r="I727" s="64"/>
      <c r="J727" s="64"/>
      <c r="K727" s="64"/>
      <c r="L727" s="64"/>
      <c r="M727" s="64"/>
      <c r="N727" s="194"/>
      <c r="O727" s="157"/>
      <c r="P727" s="92"/>
      <c r="Q727" s="145"/>
      <c r="R727" s="92"/>
      <c r="S727" s="145"/>
      <c r="T727" s="92"/>
      <c r="U727" s="145"/>
      <c r="V727" s="92"/>
      <c r="W727" s="145"/>
      <c r="X727" s="92"/>
      <c r="Y727" s="145"/>
      <c r="Z727" s="92"/>
      <c r="AA727" s="145"/>
      <c r="AB727" s="92"/>
      <c r="AC727" s="145"/>
      <c r="AD727" s="92"/>
      <c r="AE727" s="145"/>
      <c r="AF727" s="142" t="str">
        <f t="shared" si="35"/>
        <v/>
      </c>
      <c r="AG727" s="190" t="b">
        <f t="shared" si="34"/>
        <v>0</v>
      </c>
      <c r="AH727" s="145"/>
      <c r="AI727" s="153" t="s">
        <v>6</v>
      </c>
      <c r="AJ727" s="150">
        <f t="shared" si="36"/>
        <v>0</v>
      </c>
      <c r="AK727" s="154" t="s">
        <v>60</v>
      </c>
    </row>
    <row r="728" spans="1:37" ht="30" customHeight="1">
      <c r="A728" s="64"/>
      <c r="B728" s="64"/>
      <c r="C728" s="64"/>
      <c r="D728" s="64"/>
      <c r="E728" s="64"/>
      <c r="F728" s="64"/>
      <c r="G728" s="64"/>
      <c r="H728" s="64"/>
      <c r="I728" s="64"/>
      <c r="J728" s="64"/>
      <c r="K728" s="64"/>
      <c r="L728" s="64"/>
      <c r="M728" s="64"/>
      <c r="N728" s="194"/>
      <c r="O728" s="157"/>
      <c r="P728" s="92"/>
      <c r="Q728" s="145"/>
      <c r="R728" s="92"/>
      <c r="S728" s="145"/>
      <c r="T728" s="92"/>
      <c r="U728" s="145"/>
      <c r="V728" s="92"/>
      <c r="W728" s="145"/>
      <c r="X728" s="92"/>
      <c r="Y728" s="145"/>
      <c r="Z728" s="92"/>
      <c r="AA728" s="145"/>
      <c r="AB728" s="92"/>
      <c r="AC728" s="145"/>
      <c r="AD728" s="92"/>
      <c r="AE728" s="145"/>
      <c r="AF728" s="142" t="str">
        <f t="shared" si="35"/>
        <v/>
      </c>
      <c r="AG728" s="190" t="b">
        <f t="shared" si="34"/>
        <v>0</v>
      </c>
      <c r="AH728" s="145"/>
      <c r="AI728" s="153" t="s">
        <v>6</v>
      </c>
      <c r="AJ728" s="150">
        <f t="shared" si="36"/>
        <v>0</v>
      </c>
      <c r="AK728" s="154" t="s">
        <v>60</v>
      </c>
    </row>
    <row r="729" spans="1:37" ht="30" customHeight="1">
      <c r="A729" s="64"/>
      <c r="B729" s="64"/>
      <c r="C729" s="64"/>
      <c r="D729" s="64"/>
      <c r="E729" s="64"/>
      <c r="F729" s="64"/>
      <c r="G729" s="64"/>
      <c r="H729" s="64"/>
      <c r="I729" s="64"/>
      <c r="J729" s="64"/>
      <c r="K729" s="64"/>
      <c r="L729" s="64"/>
      <c r="M729" s="64"/>
      <c r="N729" s="194"/>
      <c r="O729" s="157"/>
      <c r="P729" s="92"/>
      <c r="Q729" s="145"/>
      <c r="R729" s="92"/>
      <c r="S729" s="145"/>
      <c r="T729" s="92"/>
      <c r="U729" s="145"/>
      <c r="V729" s="92"/>
      <c r="W729" s="145"/>
      <c r="X729" s="92"/>
      <c r="Y729" s="145"/>
      <c r="Z729" s="92"/>
      <c r="AA729" s="145"/>
      <c r="AB729" s="92"/>
      <c r="AC729" s="145"/>
      <c r="AD729" s="92"/>
      <c r="AE729" s="145"/>
      <c r="AF729" s="142" t="str">
        <f t="shared" si="35"/>
        <v/>
      </c>
      <c r="AG729" s="190" t="b">
        <f t="shared" si="34"/>
        <v>0</v>
      </c>
      <c r="AH729" s="145"/>
      <c r="AI729" s="153" t="s">
        <v>6</v>
      </c>
      <c r="AJ729" s="150">
        <f t="shared" si="36"/>
        <v>0</v>
      </c>
      <c r="AK729" s="154" t="s">
        <v>60</v>
      </c>
    </row>
    <row r="730" spans="1:37" ht="30" customHeight="1">
      <c r="A730" s="64"/>
      <c r="B730" s="64"/>
      <c r="C730" s="64"/>
      <c r="D730" s="64"/>
      <c r="E730" s="64"/>
      <c r="F730" s="64"/>
      <c r="G730" s="64"/>
      <c r="H730" s="64"/>
      <c r="I730" s="64"/>
      <c r="J730" s="64"/>
      <c r="K730" s="64"/>
      <c r="L730" s="64"/>
      <c r="M730" s="64"/>
      <c r="N730" s="194"/>
      <c r="O730" s="157"/>
      <c r="P730" s="92"/>
      <c r="Q730" s="145"/>
      <c r="R730" s="92"/>
      <c r="S730" s="145"/>
      <c r="T730" s="92"/>
      <c r="U730" s="145"/>
      <c r="V730" s="92"/>
      <c r="W730" s="145"/>
      <c r="X730" s="92"/>
      <c r="Y730" s="145"/>
      <c r="Z730" s="92"/>
      <c r="AA730" s="145"/>
      <c r="AB730" s="92"/>
      <c r="AC730" s="145"/>
      <c r="AD730" s="92"/>
      <c r="AE730" s="145"/>
      <c r="AF730" s="142" t="str">
        <f t="shared" si="35"/>
        <v/>
      </c>
      <c r="AG730" s="190" t="b">
        <f t="shared" si="34"/>
        <v>0</v>
      </c>
      <c r="AH730" s="145"/>
      <c r="AI730" s="153" t="s">
        <v>6</v>
      </c>
      <c r="AJ730" s="150">
        <f t="shared" si="36"/>
        <v>0</v>
      </c>
      <c r="AK730" s="154" t="s">
        <v>60</v>
      </c>
    </row>
    <row r="731" spans="1:37" ht="30" customHeight="1">
      <c r="A731" s="64"/>
      <c r="B731" s="64"/>
      <c r="C731" s="64"/>
      <c r="D731" s="64"/>
      <c r="E731" s="64"/>
      <c r="F731" s="64"/>
      <c r="G731" s="64"/>
      <c r="H731" s="64"/>
      <c r="I731" s="64"/>
      <c r="J731" s="64"/>
      <c r="K731" s="64"/>
      <c r="L731" s="64"/>
      <c r="M731" s="64"/>
      <c r="N731" s="194"/>
      <c r="O731" s="157"/>
      <c r="P731" s="92"/>
      <c r="Q731" s="145"/>
      <c r="R731" s="92"/>
      <c r="S731" s="145"/>
      <c r="T731" s="92"/>
      <c r="U731" s="145"/>
      <c r="V731" s="92"/>
      <c r="W731" s="145"/>
      <c r="X731" s="92"/>
      <c r="Y731" s="145"/>
      <c r="Z731" s="92"/>
      <c r="AA731" s="145"/>
      <c r="AB731" s="92"/>
      <c r="AC731" s="145"/>
      <c r="AD731" s="92"/>
      <c r="AE731" s="145"/>
      <c r="AF731" s="142" t="str">
        <f t="shared" si="35"/>
        <v/>
      </c>
      <c r="AG731" s="190" t="b">
        <f t="shared" si="34"/>
        <v>0</v>
      </c>
      <c r="AH731" s="145"/>
      <c r="AI731" s="153" t="s">
        <v>6</v>
      </c>
      <c r="AJ731" s="150">
        <f t="shared" si="36"/>
        <v>0</v>
      </c>
      <c r="AK731" s="154" t="s">
        <v>60</v>
      </c>
    </row>
    <row r="732" spans="1:37" ht="30" customHeight="1">
      <c r="A732" s="64"/>
      <c r="B732" s="64"/>
      <c r="C732" s="64"/>
      <c r="D732" s="64"/>
      <c r="E732" s="64"/>
      <c r="F732" s="64"/>
      <c r="G732" s="64"/>
      <c r="H732" s="64"/>
      <c r="I732" s="64"/>
      <c r="J732" s="64"/>
      <c r="K732" s="64"/>
      <c r="L732" s="64"/>
      <c r="M732" s="64"/>
      <c r="N732" s="194"/>
      <c r="O732" s="157"/>
      <c r="P732" s="92"/>
      <c r="Q732" s="145"/>
      <c r="R732" s="92"/>
      <c r="S732" s="145"/>
      <c r="T732" s="92"/>
      <c r="U732" s="145"/>
      <c r="V732" s="92"/>
      <c r="W732" s="145"/>
      <c r="X732" s="92"/>
      <c r="Y732" s="145"/>
      <c r="Z732" s="92"/>
      <c r="AA732" s="145"/>
      <c r="AB732" s="92"/>
      <c r="AC732" s="145"/>
      <c r="AD732" s="92"/>
      <c r="AE732" s="145"/>
      <c r="AF732" s="142" t="str">
        <f t="shared" si="35"/>
        <v/>
      </c>
      <c r="AG732" s="190" t="b">
        <f t="shared" si="34"/>
        <v>0</v>
      </c>
      <c r="AH732" s="145"/>
      <c r="AI732" s="153" t="s">
        <v>6</v>
      </c>
      <c r="AJ732" s="150">
        <f t="shared" si="36"/>
        <v>0</v>
      </c>
      <c r="AK732" s="154" t="s">
        <v>60</v>
      </c>
    </row>
    <row r="733" spans="1:37" ht="30" customHeight="1">
      <c r="A733" s="64"/>
      <c r="B733" s="64"/>
      <c r="C733" s="64"/>
      <c r="D733" s="64"/>
      <c r="E733" s="64"/>
      <c r="F733" s="64"/>
      <c r="G733" s="64"/>
      <c r="H733" s="64"/>
      <c r="I733" s="64"/>
      <c r="J733" s="64"/>
      <c r="K733" s="64"/>
      <c r="L733" s="64"/>
      <c r="M733" s="64"/>
      <c r="N733" s="194"/>
      <c r="O733" s="157"/>
      <c r="P733" s="92"/>
      <c r="Q733" s="145"/>
      <c r="R733" s="92"/>
      <c r="S733" s="145"/>
      <c r="T733" s="92"/>
      <c r="U733" s="145"/>
      <c r="V733" s="92"/>
      <c r="W733" s="145"/>
      <c r="X733" s="92"/>
      <c r="Y733" s="145"/>
      <c r="Z733" s="92"/>
      <c r="AA733" s="145"/>
      <c r="AB733" s="92"/>
      <c r="AC733" s="145"/>
      <c r="AD733" s="92"/>
      <c r="AE733" s="145"/>
      <c r="AF733" s="142" t="str">
        <f t="shared" si="35"/>
        <v/>
      </c>
      <c r="AG733" s="190" t="b">
        <f t="shared" si="34"/>
        <v>0</v>
      </c>
      <c r="AH733" s="145"/>
      <c r="AI733" s="153" t="s">
        <v>6</v>
      </c>
      <c r="AJ733" s="150">
        <f t="shared" si="36"/>
        <v>0</v>
      </c>
      <c r="AK733" s="154" t="s">
        <v>60</v>
      </c>
    </row>
    <row r="734" spans="1:37" ht="30" customHeight="1">
      <c r="A734" s="64"/>
      <c r="B734" s="64"/>
      <c r="C734" s="64"/>
      <c r="D734" s="64"/>
      <c r="E734" s="64"/>
      <c r="F734" s="64"/>
      <c r="G734" s="64"/>
      <c r="H734" s="64"/>
      <c r="I734" s="64"/>
      <c r="J734" s="64"/>
      <c r="K734" s="64"/>
      <c r="L734" s="64"/>
      <c r="M734" s="64"/>
      <c r="N734" s="194"/>
      <c r="O734" s="157"/>
      <c r="P734" s="92"/>
      <c r="Q734" s="145"/>
      <c r="R734" s="92"/>
      <c r="S734" s="145"/>
      <c r="T734" s="92"/>
      <c r="U734" s="145"/>
      <c r="V734" s="92"/>
      <c r="W734" s="145"/>
      <c r="X734" s="92"/>
      <c r="Y734" s="145"/>
      <c r="Z734" s="92"/>
      <c r="AA734" s="145"/>
      <c r="AB734" s="92"/>
      <c r="AC734" s="145"/>
      <c r="AD734" s="92"/>
      <c r="AE734" s="145"/>
      <c r="AF734" s="142" t="str">
        <f t="shared" si="35"/>
        <v/>
      </c>
      <c r="AG734" s="190" t="b">
        <f t="shared" si="34"/>
        <v>0</v>
      </c>
      <c r="AH734" s="145"/>
      <c r="AI734" s="153" t="s">
        <v>6</v>
      </c>
      <c r="AJ734" s="150">
        <f t="shared" si="36"/>
        <v>0</v>
      </c>
      <c r="AK734" s="154" t="s">
        <v>60</v>
      </c>
    </row>
    <row r="735" spans="1:37" ht="30" customHeight="1">
      <c r="A735" s="64"/>
      <c r="B735" s="64"/>
      <c r="C735" s="64"/>
      <c r="D735" s="64"/>
      <c r="E735" s="64"/>
      <c r="F735" s="64"/>
      <c r="G735" s="64"/>
      <c r="H735" s="64"/>
      <c r="I735" s="64"/>
      <c r="J735" s="64"/>
      <c r="K735" s="64"/>
      <c r="L735" s="64"/>
      <c r="M735" s="64"/>
      <c r="N735" s="194"/>
      <c r="O735" s="157"/>
      <c r="P735" s="92"/>
      <c r="Q735" s="145"/>
      <c r="R735" s="92"/>
      <c r="S735" s="145"/>
      <c r="T735" s="92"/>
      <c r="U735" s="145"/>
      <c r="V735" s="92"/>
      <c r="W735" s="145"/>
      <c r="X735" s="92"/>
      <c r="Y735" s="145"/>
      <c r="Z735" s="92"/>
      <c r="AA735" s="145"/>
      <c r="AB735" s="92"/>
      <c r="AC735" s="145"/>
      <c r="AD735" s="92"/>
      <c r="AE735" s="145"/>
      <c r="AF735" s="142" t="str">
        <f t="shared" si="35"/>
        <v/>
      </c>
      <c r="AG735" s="190" t="b">
        <f t="shared" si="34"/>
        <v>0</v>
      </c>
      <c r="AH735" s="145"/>
      <c r="AI735" s="153" t="s">
        <v>6</v>
      </c>
      <c r="AJ735" s="150">
        <f t="shared" si="36"/>
        <v>0</v>
      </c>
      <c r="AK735" s="154" t="s">
        <v>60</v>
      </c>
    </row>
    <row r="736" spans="1:37" ht="30" customHeight="1">
      <c r="A736" s="64"/>
      <c r="B736" s="64"/>
      <c r="C736" s="64"/>
      <c r="D736" s="64"/>
      <c r="E736" s="64"/>
      <c r="F736" s="64"/>
      <c r="G736" s="64"/>
      <c r="H736" s="64"/>
      <c r="I736" s="64"/>
      <c r="J736" s="64"/>
      <c r="K736" s="64"/>
      <c r="L736" s="64"/>
      <c r="M736" s="64"/>
      <c r="N736" s="194"/>
      <c r="O736" s="157"/>
      <c r="P736" s="92"/>
      <c r="Q736" s="145"/>
      <c r="R736" s="92"/>
      <c r="S736" s="145"/>
      <c r="T736" s="92"/>
      <c r="U736" s="145"/>
      <c r="V736" s="92"/>
      <c r="W736" s="145"/>
      <c r="X736" s="92"/>
      <c r="Y736" s="145"/>
      <c r="Z736" s="92"/>
      <c r="AA736" s="145"/>
      <c r="AB736" s="92"/>
      <c r="AC736" s="145"/>
      <c r="AD736" s="92"/>
      <c r="AE736" s="145"/>
      <c r="AF736" s="142" t="str">
        <f t="shared" si="35"/>
        <v/>
      </c>
      <c r="AG736" s="190" t="b">
        <f t="shared" si="34"/>
        <v>0</v>
      </c>
      <c r="AH736" s="145"/>
      <c r="AI736" s="153" t="s">
        <v>6</v>
      </c>
      <c r="AJ736" s="150">
        <f t="shared" si="36"/>
        <v>0</v>
      </c>
      <c r="AK736" s="154" t="s">
        <v>60</v>
      </c>
    </row>
    <row r="737" spans="1:37" ht="30" customHeight="1">
      <c r="A737" s="64"/>
      <c r="B737" s="64"/>
      <c r="C737" s="64"/>
      <c r="D737" s="64"/>
      <c r="E737" s="64"/>
      <c r="F737" s="64"/>
      <c r="G737" s="64"/>
      <c r="H737" s="64"/>
      <c r="I737" s="64"/>
      <c r="J737" s="64"/>
      <c r="K737" s="64"/>
      <c r="L737" s="64"/>
      <c r="M737" s="64"/>
      <c r="N737" s="194"/>
      <c r="O737" s="157"/>
      <c r="P737" s="92"/>
      <c r="Q737" s="145"/>
      <c r="R737" s="92"/>
      <c r="S737" s="145"/>
      <c r="T737" s="92"/>
      <c r="U737" s="145"/>
      <c r="V737" s="92"/>
      <c r="W737" s="145"/>
      <c r="X737" s="92"/>
      <c r="Y737" s="145"/>
      <c r="Z737" s="92"/>
      <c r="AA737" s="145"/>
      <c r="AB737" s="92"/>
      <c r="AC737" s="145"/>
      <c r="AD737" s="92"/>
      <c r="AE737" s="145"/>
      <c r="AF737" s="142" t="str">
        <f t="shared" si="35"/>
        <v/>
      </c>
      <c r="AG737" s="190" t="b">
        <f t="shared" si="34"/>
        <v>0</v>
      </c>
      <c r="AH737" s="145"/>
      <c r="AI737" s="153" t="s">
        <v>6</v>
      </c>
      <c r="AJ737" s="150">
        <f t="shared" si="36"/>
        <v>0</v>
      </c>
      <c r="AK737" s="154" t="s">
        <v>60</v>
      </c>
    </row>
    <row r="738" spans="1:37" ht="30" customHeight="1">
      <c r="A738" s="64"/>
      <c r="B738" s="64"/>
      <c r="C738" s="64"/>
      <c r="D738" s="64"/>
      <c r="E738" s="64"/>
      <c r="F738" s="64"/>
      <c r="G738" s="64"/>
      <c r="H738" s="64"/>
      <c r="I738" s="64"/>
      <c r="J738" s="64"/>
      <c r="K738" s="64"/>
      <c r="L738" s="64"/>
      <c r="M738" s="64"/>
      <c r="N738" s="194"/>
      <c r="O738" s="157"/>
      <c r="P738" s="92"/>
      <c r="Q738" s="145"/>
      <c r="R738" s="92"/>
      <c r="S738" s="145"/>
      <c r="T738" s="92"/>
      <c r="U738" s="145"/>
      <c r="V738" s="92"/>
      <c r="W738" s="145"/>
      <c r="X738" s="92"/>
      <c r="Y738" s="145"/>
      <c r="Z738" s="92"/>
      <c r="AA738" s="145"/>
      <c r="AB738" s="92"/>
      <c r="AC738" s="145"/>
      <c r="AD738" s="92"/>
      <c r="AE738" s="145"/>
      <c r="AF738" s="142" t="str">
        <f t="shared" si="35"/>
        <v/>
      </c>
      <c r="AG738" s="190" t="b">
        <f t="shared" si="34"/>
        <v>0</v>
      </c>
      <c r="AH738" s="145"/>
      <c r="AI738" s="153" t="s">
        <v>6</v>
      </c>
      <c r="AJ738" s="150">
        <f t="shared" si="36"/>
        <v>0</v>
      </c>
      <c r="AK738" s="154" t="s">
        <v>60</v>
      </c>
    </row>
    <row r="739" spans="1:37" ht="30" customHeight="1">
      <c r="A739" s="64"/>
      <c r="B739" s="64"/>
      <c r="C739" s="64"/>
      <c r="D739" s="64"/>
      <c r="E739" s="64"/>
      <c r="F739" s="64"/>
      <c r="G739" s="64"/>
      <c r="H739" s="64"/>
      <c r="I739" s="64"/>
      <c r="J739" s="64"/>
      <c r="K739" s="64"/>
      <c r="L739" s="64"/>
      <c r="M739" s="64"/>
      <c r="N739" s="194"/>
      <c r="O739" s="157"/>
      <c r="P739" s="92"/>
      <c r="Q739" s="145"/>
      <c r="R739" s="92"/>
      <c r="S739" s="145"/>
      <c r="T739" s="92"/>
      <c r="U739" s="145"/>
      <c r="V739" s="92"/>
      <c r="W739" s="145"/>
      <c r="X739" s="92"/>
      <c r="Y739" s="145"/>
      <c r="Z739" s="92"/>
      <c r="AA739" s="145"/>
      <c r="AB739" s="92"/>
      <c r="AC739" s="145"/>
      <c r="AD739" s="92"/>
      <c r="AE739" s="145"/>
      <c r="AF739" s="142" t="str">
        <f t="shared" si="35"/>
        <v/>
      </c>
      <c r="AG739" s="190" t="b">
        <f t="shared" si="34"/>
        <v>0</v>
      </c>
      <c r="AH739" s="145"/>
      <c r="AI739" s="153" t="s">
        <v>6</v>
      </c>
      <c r="AJ739" s="150">
        <f t="shared" si="36"/>
        <v>0</v>
      </c>
      <c r="AK739" s="154" t="s">
        <v>60</v>
      </c>
    </row>
    <row r="740" spans="1:37" ht="30" customHeight="1">
      <c r="A740" s="64"/>
      <c r="B740" s="64"/>
      <c r="C740" s="64"/>
      <c r="D740" s="64"/>
      <c r="E740" s="64"/>
      <c r="F740" s="64"/>
      <c r="G740" s="64"/>
      <c r="H740" s="64"/>
      <c r="I740" s="64"/>
      <c r="J740" s="64"/>
      <c r="K740" s="64"/>
      <c r="L740" s="64"/>
      <c r="M740" s="64"/>
      <c r="N740" s="194"/>
      <c r="O740" s="157"/>
      <c r="P740" s="92"/>
      <c r="Q740" s="145"/>
      <c r="R740" s="92"/>
      <c r="S740" s="145"/>
      <c r="T740" s="92"/>
      <c r="U740" s="145"/>
      <c r="V740" s="92"/>
      <c r="W740" s="145"/>
      <c r="X740" s="92"/>
      <c r="Y740" s="145"/>
      <c r="Z740" s="92"/>
      <c r="AA740" s="145"/>
      <c r="AB740" s="92"/>
      <c r="AC740" s="145"/>
      <c r="AD740" s="92"/>
      <c r="AE740" s="145"/>
      <c r="AF740" s="142" t="str">
        <f t="shared" si="35"/>
        <v/>
      </c>
      <c r="AG740" s="190" t="b">
        <f t="shared" si="34"/>
        <v>0</v>
      </c>
      <c r="AH740" s="145"/>
      <c r="AI740" s="153" t="s">
        <v>6</v>
      </c>
      <c r="AJ740" s="150">
        <f t="shared" si="36"/>
        <v>0</v>
      </c>
      <c r="AK740" s="154" t="s">
        <v>60</v>
      </c>
    </row>
    <row r="741" spans="1:37" ht="30" customHeight="1">
      <c r="A741" s="64"/>
      <c r="B741" s="64"/>
      <c r="C741" s="64"/>
      <c r="D741" s="64"/>
      <c r="E741" s="64"/>
      <c r="F741" s="64"/>
      <c r="G741" s="64"/>
      <c r="H741" s="64"/>
      <c r="I741" s="64"/>
      <c r="J741" s="64"/>
      <c r="K741" s="64"/>
      <c r="L741" s="64"/>
      <c r="M741" s="64"/>
      <c r="N741" s="194"/>
      <c r="O741" s="157"/>
      <c r="P741" s="92"/>
      <c r="Q741" s="145"/>
      <c r="R741" s="92"/>
      <c r="S741" s="145"/>
      <c r="T741" s="92"/>
      <c r="U741" s="145"/>
      <c r="V741" s="92"/>
      <c r="W741" s="145"/>
      <c r="X741" s="92"/>
      <c r="Y741" s="145"/>
      <c r="Z741" s="92"/>
      <c r="AA741" s="145"/>
      <c r="AB741" s="92"/>
      <c r="AC741" s="145"/>
      <c r="AD741" s="92"/>
      <c r="AE741" s="145"/>
      <c r="AF741" s="142" t="str">
        <f t="shared" si="35"/>
        <v/>
      </c>
      <c r="AG741" s="190" t="b">
        <f t="shared" si="34"/>
        <v>0</v>
      </c>
      <c r="AH741" s="145"/>
      <c r="AI741" s="153" t="s">
        <v>6</v>
      </c>
      <c r="AJ741" s="150">
        <f t="shared" si="36"/>
        <v>0</v>
      </c>
      <c r="AK741" s="154" t="s">
        <v>60</v>
      </c>
    </row>
    <row r="742" spans="1:37" ht="30" customHeight="1">
      <c r="A742" s="64"/>
      <c r="B742" s="64"/>
      <c r="C742" s="64"/>
      <c r="D742" s="64"/>
      <c r="E742" s="64"/>
      <c r="F742" s="64"/>
      <c r="G742" s="64"/>
      <c r="H742" s="64"/>
      <c r="I742" s="64"/>
      <c r="J742" s="64"/>
      <c r="K742" s="64"/>
      <c r="L742" s="64"/>
      <c r="M742" s="64"/>
      <c r="N742" s="194"/>
      <c r="O742" s="157"/>
      <c r="P742" s="92"/>
      <c r="Q742" s="145"/>
      <c r="R742" s="92"/>
      <c r="S742" s="145"/>
      <c r="T742" s="92"/>
      <c r="U742" s="145"/>
      <c r="V742" s="92"/>
      <c r="W742" s="145"/>
      <c r="X742" s="92"/>
      <c r="Y742" s="145"/>
      <c r="Z742" s="92"/>
      <c r="AA742" s="145"/>
      <c r="AB742" s="92"/>
      <c r="AC742" s="145"/>
      <c r="AD742" s="92"/>
      <c r="AE742" s="145"/>
      <c r="AF742" s="142" t="str">
        <f t="shared" si="35"/>
        <v/>
      </c>
      <c r="AG742" s="190" t="b">
        <f t="shared" si="34"/>
        <v>0</v>
      </c>
      <c r="AH742" s="145"/>
      <c r="AI742" s="153" t="s">
        <v>6</v>
      </c>
      <c r="AJ742" s="150">
        <f t="shared" si="36"/>
        <v>0</v>
      </c>
      <c r="AK742" s="154" t="s">
        <v>60</v>
      </c>
    </row>
    <row r="743" spans="1:37" ht="30" customHeight="1">
      <c r="A743" s="64"/>
      <c r="B743" s="64"/>
      <c r="C743" s="64"/>
      <c r="D743" s="64"/>
      <c r="E743" s="64"/>
      <c r="F743" s="64"/>
      <c r="G743" s="64"/>
      <c r="H743" s="64"/>
      <c r="I743" s="64"/>
      <c r="J743" s="64"/>
      <c r="K743" s="64"/>
      <c r="L743" s="64"/>
      <c r="M743" s="64"/>
      <c r="N743" s="194"/>
      <c r="O743" s="157"/>
      <c r="P743" s="92"/>
      <c r="Q743" s="145"/>
      <c r="R743" s="92"/>
      <c r="S743" s="145"/>
      <c r="T743" s="92"/>
      <c r="U743" s="145"/>
      <c r="V743" s="92"/>
      <c r="W743" s="145"/>
      <c r="X743" s="92"/>
      <c r="Y743" s="145"/>
      <c r="Z743" s="92"/>
      <c r="AA743" s="145"/>
      <c r="AB743" s="92"/>
      <c r="AC743" s="145"/>
      <c r="AD743" s="92"/>
      <c r="AE743" s="145"/>
      <c r="AF743" s="142" t="str">
        <f t="shared" si="35"/>
        <v/>
      </c>
      <c r="AG743" s="190" t="b">
        <f t="shared" ref="AG743:AG806" si="37">IF(AND(AE743="C",AF743="C"),"UTILIZOU O PDA CORRETAMENTE",IF(AND(AE743="C",AF743="NC"),"UTILIZOU O PDA CORRETAMENTE. NÃO HÁ FOTOS DE TODAS AS ETAPAS",IF(AND(AE743="NC",AF743="NC"),"NÃO UTILIZOU O PDA",IF(AND(AE743="NA",AF743="NA"),"NÃO AVALIADO POR FALHA DE SINCRONISMO"))))</f>
        <v>0</v>
      </c>
      <c r="AH743" s="145"/>
      <c r="AI743" s="153" t="s">
        <v>6</v>
      </c>
      <c r="AJ743" s="150">
        <f t="shared" si="36"/>
        <v>0</v>
      </c>
      <c r="AK743" s="154" t="s">
        <v>60</v>
      </c>
    </row>
    <row r="744" spans="1:37" ht="30" customHeight="1">
      <c r="A744" s="64"/>
      <c r="B744" s="64"/>
      <c r="C744" s="64"/>
      <c r="D744" s="64"/>
      <c r="E744" s="64"/>
      <c r="F744" s="64"/>
      <c r="G744" s="64"/>
      <c r="H744" s="64"/>
      <c r="I744" s="64"/>
      <c r="J744" s="64"/>
      <c r="K744" s="64"/>
      <c r="L744" s="64"/>
      <c r="M744" s="64"/>
      <c r="N744" s="194"/>
      <c r="O744" s="157"/>
      <c r="P744" s="92"/>
      <c r="Q744" s="145"/>
      <c r="R744" s="92"/>
      <c r="S744" s="145"/>
      <c r="T744" s="92"/>
      <c r="U744" s="145"/>
      <c r="V744" s="92"/>
      <c r="W744" s="145"/>
      <c r="X744" s="92"/>
      <c r="Y744" s="145"/>
      <c r="Z744" s="92"/>
      <c r="AA744" s="145"/>
      <c r="AB744" s="92"/>
      <c r="AC744" s="145"/>
      <c r="AD744" s="92"/>
      <c r="AE744" s="145"/>
      <c r="AF744" s="142" t="str">
        <f t="shared" ref="AF744:AF807" si="38">IF(AND(O744="",Q744="",S744="",U744="",W744="",Y744="",AA744="",AC744=""),"",IF(OR(AND(O744&lt;&gt;"NA",O744&lt;&gt;"C",O744&lt;&gt;"NC",O744&lt;&gt;"SF",O744&lt;&gt;""),AND(Q744&lt;&gt;"NA",Q744&lt;&gt;"C",Q744&lt;&gt;"NC",Q744&lt;&gt;"SF",Q744&lt;&gt;""),AND(S744&lt;&gt;"NA",S744&lt;&gt;"C",S744&lt;&gt;"NC",S744&lt;&gt;"SF",S744&lt;&gt;""),AND(U744&lt;&gt;"NA",U744&lt;&gt;"C",U744&lt;&gt;"NC",U744&lt;&gt;"SF",U744&lt;&gt;""),AND(W744&lt;&gt;"NA",W744&lt;&gt;"C",W744&lt;&gt;"NC",W744&lt;&gt;"SF",W744&lt;&gt;""),AND(Y744&lt;&gt;"NA",Y744&lt;&gt;"C",Y744&lt;&gt;"NC",Y744&lt;&gt;"SF",Y744&lt;&gt;""),AND(AA744&lt;&gt;"NA",AA744&lt;&gt;"C",AA744&lt;&gt;"NC",AA744&lt;&gt;"SF",AA744&lt;&gt;""),AND(AC744&lt;&gt;"NA",AC744&lt;&gt;"C",AC744&lt;&gt;"NC",AC744&lt;&gt;"SF",AC744&lt;&gt;"")),"FALSO",IF(AND(O744="NA",Q744="NA",S744="NA",U744="NA",W744="NA",Y744="NA",AA744="NA",AC744="NA"),"NA",IF(OR(O744="NC",Q744="NC",S744="NC",U744="NC",W744="NC",Y744="NC",AA744="NC",AC744="NC",O744="SF",Q744="SF",S744="SF",U744="SF",W744="SF",Y744="SF",AA744="SF",AC744="SF"),"NC",IF(OR(O744="C",Q744="C",S744="C",U744="C",W744="C",Y744="C",AA744="C",AC744="C"),"C","")))))</f>
        <v/>
      </c>
      <c r="AG744" s="190" t="b">
        <f t="shared" si="37"/>
        <v>0</v>
      </c>
      <c r="AH744" s="145"/>
      <c r="AI744" s="153" t="s">
        <v>6</v>
      </c>
      <c r="AJ744" s="150">
        <f t="shared" si="36"/>
        <v>0</v>
      </c>
      <c r="AK744" s="154" t="s">
        <v>60</v>
      </c>
    </row>
    <row r="745" spans="1:37" ht="30" customHeight="1">
      <c r="A745" s="64"/>
      <c r="B745" s="64"/>
      <c r="C745" s="64"/>
      <c r="D745" s="64"/>
      <c r="E745" s="64"/>
      <c r="F745" s="64"/>
      <c r="G745" s="64"/>
      <c r="H745" s="64"/>
      <c r="I745" s="64"/>
      <c r="J745" s="64"/>
      <c r="K745" s="64"/>
      <c r="L745" s="64"/>
      <c r="M745" s="64"/>
      <c r="N745" s="194"/>
      <c r="O745" s="157"/>
      <c r="P745" s="92"/>
      <c r="Q745" s="145"/>
      <c r="R745" s="92"/>
      <c r="S745" s="145"/>
      <c r="T745" s="92"/>
      <c r="U745" s="145"/>
      <c r="V745" s="92"/>
      <c r="W745" s="145"/>
      <c r="X745" s="92"/>
      <c r="Y745" s="145"/>
      <c r="Z745" s="92"/>
      <c r="AA745" s="145"/>
      <c r="AB745" s="92"/>
      <c r="AC745" s="145"/>
      <c r="AD745" s="92"/>
      <c r="AE745" s="145"/>
      <c r="AF745" s="142" t="str">
        <f t="shared" si="38"/>
        <v/>
      </c>
      <c r="AG745" s="190" t="b">
        <f t="shared" si="37"/>
        <v>0</v>
      </c>
      <c r="AH745" s="145"/>
      <c r="AI745" s="153" t="s">
        <v>6</v>
      </c>
      <c r="AJ745" s="150">
        <f t="shared" si="36"/>
        <v>0</v>
      </c>
      <c r="AK745" s="154" t="s">
        <v>60</v>
      </c>
    </row>
    <row r="746" spans="1:37" ht="30" customHeight="1">
      <c r="A746" s="64"/>
      <c r="B746" s="64"/>
      <c r="C746" s="64"/>
      <c r="D746" s="64"/>
      <c r="E746" s="64"/>
      <c r="F746" s="64"/>
      <c r="G746" s="64"/>
      <c r="H746" s="64"/>
      <c r="I746" s="64"/>
      <c r="J746" s="64"/>
      <c r="K746" s="64"/>
      <c r="L746" s="64"/>
      <c r="M746" s="64"/>
      <c r="N746" s="194"/>
      <c r="O746" s="157"/>
      <c r="P746" s="92"/>
      <c r="Q746" s="145"/>
      <c r="R746" s="92"/>
      <c r="S746" s="145"/>
      <c r="T746" s="92"/>
      <c r="U746" s="145"/>
      <c r="V746" s="92"/>
      <c r="W746" s="145"/>
      <c r="X746" s="92"/>
      <c r="Y746" s="145"/>
      <c r="Z746" s="92"/>
      <c r="AA746" s="145"/>
      <c r="AB746" s="92"/>
      <c r="AC746" s="145"/>
      <c r="AD746" s="92"/>
      <c r="AE746" s="145"/>
      <c r="AF746" s="142" t="str">
        <f t="shared" si="38"/>
        <v/>
      </c>
      <c r="AG746" s="190" t="b">
        <f t="shared" si="37"/>
        <v>0</v>
      </c>
      <c r="AH746" s="145"/>
      <c r="AI746" s="153" t="s">
        <v>6</v>
      </c>
      <c r="AJ746" s="150">
        <f t="shared" si="36"/>
        <v>0</v>
      </c>
      <c r="AK746" s="154" t="s">
        <v>60</v>
      </c>
    </row>
    <row r="747" spans="1:37" ht="30" customHeight="1">
      <c r="A747" s="64"/>
      <c r="B747" s="64"/>
      <c r="C747" s="64"/>
      <c r="D747" s="64"/>
      <c r="E747" s="64"/>
      <c r="F747" s="64"/>
      <c r="G747" s="64"/>
      <c r="H747" s="64"/>
      <c r="I747" s="64"/>
      <c r="J747" s="64"/>
      <c r="K747" s="64"/>
      <c r="L747" s="64"/>
      <c r="M747" s="64"/>
      <c r="N747" s="194"/>
      <c r="O747" s="157"/>
      <c r="P747" s="92"/>
      <c r="Q747" s="145"/>
      <c r="R747" s="92"/>
      <c r="S747" s="145"/>
      <c r="T747" s="92"/>
      <c r="U747" s="145"/>
      <c r="V747" s="92"/>
      <c r="W747" s="145"/>
      <c r="X747" s="92"/>
      <c r="Y747" s="145"/>
      <c r="Z747" s="92"/>
      <c r="AA747" s="145"/>
      <c r="AB747" s="92"/>
      <c r="AC747" s="145"/>
      <c r="AD747" s="92"/>
      <c r="AE747" s="145"/>
      <c r="AF747" s="142" t="str">
        <f t="shared" si="38"/>
        <v/>
      </c>
      <c r="AG747" s="190" t="b">
        <f t="shared" si="37"/>
        <v>0</v>
      </c>
      <c r="AH747" s="145"/>
      <c r="AI747" s="153" t="s">
        <v>6</v>
      </c>
      <c r="AJ747" s="150">
        <f t="shared" si="36"/>
        <v>0</v>
      </c>
      <c r="AK747" s="154" t="s">
        <v>60</v>
      </c>
    </row>
    <row r="748" spans="1:37" ht="30" customHeight="1">
      <c r="A748" s="64"/>
      <c r="B748" s="64"/>
      <c r="C748" s="64"/>
      <c r="D748" s="64"/>
      <c r="E748" s="64"/>
      <c r="F748" s="64"/>
      <c r="G748" s="64"/>
      <c r="H748" s="64"/>
      <c r="I748" s="64"/>
      <c r="J748" s="64"/>
      <c r="K748" s="64"/>
      <c r="L748" s="64"/>
      <c r="M748" s="64"/>
      <c r="N748" s="194"/>
      <c r="O748" s="157"/>
      <c r="P748" s="92"/>
      <c r="Q748" s="145"/>
      <c r="R748" s="92"/>
      <c r="S748" s="145"/>
      <c r="T748" s="92"/>
      <c r="U748" s="145"/>
      <c r="V748" s="92"/>
      <c r="W748" s="145"/>
      <c r="X748" s="92"/>
      <c r="Y748" s="145"/>
      <c r="Z748" s="92"/>
      <c r="AA748" s="145"/>
      <c r="AB748" s="92"/>
      <c r="AC748" s="145"/>
      <c r="AD748" s="92"/>
      <c r="AE748" s="145"/>
      <c r="AF748" s="142" t="str">
        <f t="shared" si="38"/>
        <v/>
      </c>
      <c r="AG748" s="190" t="b">
        <f t="shared" si="37"/>
        <v>0</v>
      </c>
      <c r="AH748" s="145"/>
      <c r="AI748" s="153" t="s">
        <v>6</v>
      </c>
      <c r="AJ748" s="150">
        <f t="shared" si="36"/>
        <v>0</v>
      </c>
      <c r="AK748" s="154" t="s">
        <v>60</v>
      </c>
    </row>
    <row r="749" spans="1:37" ht="30" customHeight="1">
      <c r="A749" s="64"/>
      <c r="B749" s="64"/>
      <c r="C749" s="64"/>
      <c r="D749" s="64"/>
      <c r="E749" s="64"/>
      <c r="F749" s="64"/>
      <c r="G749" s="64"/>
      <c r="H749" s="64"/>
      <c r="I749" s="64"/>
      <c r="J749" s="64"/>
      <c r="K749" s="64"/>
      <c r="L749" s="64"/>
      <c r="M749" s="64"/>
      <c r="N749" s="194"/>
      <c r="O749" s="157"/>
      <c r="P749" s="92"/>
      <c r="Q749" s="145"/>
      <c r="R749" s="92"/>
      <c r="S749" s="145"/>
      <c r="T749" s="92"/>
      <c r="U749" s="145"/>
      <c r="V749" s="92"/>
      <c r="W749" s="145"/>
      <c r="X749" s="92"/>
      <c r="Y749" s="145"/>
      <c r="Z749" s="92"/>
      <c r="AA749" s="145"/>
      <c r="AB749" s="92"/>
      <c r="AC749" s="145"/>
      <c r="AD749" s="92"/>
      <c r="AE749" s="145"/>
      <c r="AF749" s="142" t="str">
        <f t="shared" si="38"/>
        <v/>
      </c>
      <c r="AG749" s="190" t="b">
        <f t="shared" si="37"/>
        <v>0</v>
      </c>
      <c r="AH749" s="145"/>
      <c r="AI749" s="153" t="s">
        <v>6</v>
      </c>
      <c r="AJ749" s="150">
        <f t="shared" si="36"/>
        <v>0</v>
      </c>
      <c r="AK749" s="154" t="s">
        <v>60</v>
      </c>
    </row>
    <row r="750" spans="1:37" ht="30" customHeight="1">
      <c r="A750" s="64"/>
      <c r="B750" s="64"/>
      <c r="C750" s="64"/>
      <c r="D750" s="64"/>
      <c r="E750" s="64"/>
      <c r="F750" s="64"/>
      <c r="G750" s="64"/>
      <c r="H750" s="64"/>
      <c r="I750" s="64"/>
      <c r="J750" s="64"/>
      <c r="K750" s="64"/>
      <c r="L750" s="64"/>
      <c r="M750" s="64"/>
      <c r="N750" s="194"/>
      <c r="O750" s="157"/>
      <c r="P750" s="92"/>
      <c r="Q750" s="145"/>
      <c r="R750" s="92"/>
      <c r="S750" s="145"/>
      <c r="T750" s="92"/>
      <c r="U750" s="145"/>
      <c r="V750" s="92"/>
      <c r="W750" s="145"/>
      <c r="X750" s="92"/>
      <c r="Y750" s="145"/>
      <c r="Z750" s="92"/>
      <c r="AA750" s="145"/>
      <c r="AB750" s="92"/>
      <c r="AC750" s="145"/>
      <c r="AD750" s="92"/>
      <c r="AE750" s="145"/>
      <c r="AF750" s="142" t="str">
        <f t="shared" si="38"/>
        <v/>
      </c>
      <c r="AG750" s="190" t="b">
        <f t="shared" si="37"/>
        <v>0</v>
      </c>
      <c r="AH750" s="145"/>
      <c r="AI750" s="153" t="s">
        <v>6</v>
      </c>
      <c r="AJ750" s="150">
        <f t="shared" si="36"/>
        <v>0</v>
      </c>
      <c r="AK750" s="154" t="s">
        <v>60</v>
      </c>
    </row>
    <row r="751" spans="1:37" ht="30" customHeight="1">
      <c r="A751" s="64"/>
      <c r="B751" s="64"/>
      <c r="C751" s="64"/>
      <c r="D751" s="64"/>
      <c r="E751" s="64"/>
      <c r="F751" s="64"/>
      <c r="G751" s="64"/>
      <c r="H751" s="64"/>
      <c r="I751" s="64"/>
      <c r="J751" s="64"/>
      <c r="K751" s="64"/>
      <c r="L751" s="64"/>
      <c r="M751" s="64"/>
      <c r="N751" s="194"/>
      <c r="O751" s="157"/>
      <c r="P751" s="92"/>
      <c r="Q751" s="145"/>
      <c r="R751" s="92"/>
      <c r="S751" s="145"/>
      <c r="T751" s="92"/>
      <c r="U751" s="145"/>
      <c r="V751" s="92"/>
      <c r="W751" s="145"/>
      <c r="X751" s="92"/>
      <c r="Y751" s="145"/>
      <c r="Z751" s="92"/>
      <c r="AA751" s="145"/>
      <c r="AB751" s="92"/>
      <c r="AC751" s="145"/>
      <c r="AD751" s="92"/>
      <c r="AE751" s="145"/>
      <c r="AF751" s="142" t="str">
        <f t="shared" si="38"/>
        <v/>
      </c>
      <c r="AG751" s="190" t="b">
        <f t="shared" si="37"/>
        <v>0</v>
      </c>
      <c r="AH751" s="145"/>
      <c r="AI751" s="153" t="s">
        <v>6</v>
      </c>
      <c r="AJ751" s="150">
        <f t="shared" si="36"/>
        <v>0</v>
      </c>
      <c r="AK751" s="154" t="s">
        <v>60</v>
      </c>
    </row>
    <row r="752" spans="1:37" ht="30" customHeight="1">
      <c r="A752" s="64"/>
      <c r="B752" s="64"/>
      <c r="C752" s="64"/>
      <c r="D752" s="64"/>
      <c r="E752" s="64"/>
      <c r="F752" s="64"/>
      <c r="G752" s="64"/>
      <c r="H752" s="64"/>
      <c r="I752" s="64"/>
      <c r="J752" s="64"/>
      <c r="K752" s="64"/>
      <c r="L752" s="64"/>
      <c r="M752" s="64"/>
      <c r="N752" s="194"/>
      <c r="O752" s="157"/>
      <c r="P752" s="92"/>
      <c r="Q752" s="145"/>
      <c r="R752" s="92"/>
      <c r="S752" s="145"/>
      <c r="T752" s="92"/>
      <c r="U752" s="145"/>
      <c r="V752" s="92"/>
      <c r="W752" s="145"/>
      <c r="X752" s="92"/>
      <c r="Y752" s="145"/>
      <c r="Z752" s="92"/>
      <c r="AA752" s="145"/>
      <c r="AB752" s="92"/>
      <c r="AC752" s="145"/>
      <c r="AD752" s="92"/>
      <c r="AE752" s="145"/>
      <c r="AF752" s="142" t="str">
        <f t="shared" si="38"/>
        <v/>
      </c>
      <c r="AG752" s="190" t="b">
        <f t="shared" si="37"/>
        <v>0</v>
      </c>
      <c r="AH752" s="145"/>
      <c r="AI752" s="153" t="s">
        <v>6</v>
      </c>
      <c r="AJ752" s="150">
        <f t="shared" si="36"/>
        <v>0</v>
      </c>
      <c r="AK752" s="154" t="s">
        <v>60</v>
      </c>
    </row>
    <row r="753" spans="1:37" ht="30" customHeight="1">
      <c r="A753" s="64"/>
      <c r="B753" s="64"/>
      <c r="C753" s="64"/>
      <c r="D753" s="64"/>
      <c r="E753" s="64"/>
      <c r="F753" s="64"/>
      <c r="G753" s="64"/>
      <c r="H753" s="64"/>
      <c r="I753" s="64"/>
      <c r="J753" s="64"/>
      <c r="K753" s="64"/>
      <c r="L753" s="64"/>
      <c r="M753" s="64"/>
      <c r="N753" s="194"/>
      <c r="O753" s="157"/>
      <c r="P753" s="92"/>
      <c r="Q753" s="145"/>
      <c r="R753" s="92"/>
      <c r="S753" s="145"/>
      <c r="T753" s="92"/>
      <c r="U753" s="145"/>
      <c r="V753" s="92"/>
      <c r="W753" s="145"/>
      <c r="X753" s="92"/>
      <c r="Y753" s="145"/>
      <c r="Z753" s="92"/>
      <c r="AA753" s="145"/>
      <c r="AB753" s="92"/>
      <c r="AC753" s="145"/>
      <c r="AD753" s="92"/>
      <c r="AE753" s="145"/>
      <c r="AF753" s="142" t="str">
        <f t="shared" si="38"/>
        <v/>
      </c>
      <c r="AG753" s="190" t="b">
        <f t="shared" si="37"/>
        <v>0</v>
      </c>
      <c r="AH753" s="145"/>
      <c r="AI753" s="153" t="s">
        <v>6</v>
      </c>
      <c r="AJ753" s="150">
        <f t="shared" si="36"/>
        <v>0</v>
      </c>
      <c r="AK753" s="154" t="s">
        <v>60</v>
      </c>
    </row>
    <row r="754" spans="1:37" ht="30" customHeight="1">
      <c r="A754" s="64"/>
      <c r="B754" s="64"/>
      <c r="C754" s="64"/>
      <c r="D754" s="64"/>
      <c r="E754" s="64"/>
      <c r="F754" s="64"/>
      <c r="G754" s="64"/>
      <c r="H754" s="64"/>
      <c r="I754" s="64"/>
      <c r="J754" s="64"/>
      <c r="K754" s="64"/>
      <c r="L754" s="64"/>
      <c r="M754" s="64"/>
      <c r="N754" s="194"/>
      <c r="O754" s="157"/>
      <c r="P754" s="92"/>
      <c r="Q754" s="145"/>
      <c r="R754" s="92"/>
      <c r="S754" s="145"/>
      <c r="T754" s="92"/>
      <c r="U754" s="145"/>
      <c r="V754" s="92"/>
      <c r="W754" s="145"/>
      <c r="X754" s="92"/>
      <c r="Y754" s="145"/>
      <c r="Z754" s="92"/>
      <c r="AA754" s="145"/>
      <c r="AB754" s="92"/>
      <c r="AC754" s="145"/>
      <c r="AD754" s="92"/>
      <c r="AE754" s="145"/>
      <c r="AF754" s="142" t="str">
        <f t="shared" si="38"/>
        <v/>
      </c>
      <c r="AG754" s="190" t="b">
        <f t="shared" si="37"/>
        <v>0</v>
      </c>
      <c r="AH754" s="145"/>
      <c r="AI754" s="153" t="s">
        <v>6</v>
      </c>
      <c r="AJ754" s="150">
        <f t="shared" si="36"/>
        <v>0</v>
      </c>
      <c r="AK754" s="154" t="s">
        <v>60</v>
      </c>
    </row>
    <row r="755" spans="1:37" ht="30" customHeight="1">
      <c r="A755" s="64"/>
      <c r="B755" s="64"/>
      <c r="C755" s="64"/>
      <c r="D755" s="64"/>
      <c r="E755" s="64"/>
      <c r="F755" s="64"/>
      <c r="G755" s="64"/>
      <c r="H755" s="64"/>
      <c r="I755" s="64"/>
      <c r="J755" s="64"/>
      <c r="K755" s="64"/>
      <c r="L755" s="64"/>
      <c r="M755" s="64"/>
      <c r="N755" s="194"/>
      <c r="O755" s="157"/>
      <c r="P755" s="92"/>
      <c r="Q755" s="145"/>
      <c r="R755" s="92"/>
      <c r="S755" s="145"/>
      <c r="T755" s="92"/>
      <c r="U755" s="145"/>
      <c r="V755" s="92"/>
      <c r="W755" s="145"/>
      <c r="X755" s="92"/>
      <c r="Y755" s="145"/>
      <c r="Z755" s="92"/>
      <c r="AA755" s="145"/>
      <c r="AB755" s="92"/>
      <c r="AC755" s="145"/>
      <c r="AD755" s="92"/>
      <c r="AE755" s="145"/>
      <c r="AF755" s="142" t="str">
        <f t="shared" si="38"/>
        <v/>
      </c>
      <c r="AG755" s="190" t="b">
        <f t="shared" si="37"/>
        <v>0</v>
      </c>
      <c r="AH755" s="145"/>
      <c r="AI755" s="153" t="s">
        <v>6</v>
      </c>
      <c r="AJ755" s="150">
        <f t="shared" si="36"/>
        <v>0</v>
      </c>
      <c r="AK755" s="154" t="s">
        <v>60</v>
      </c>
    </row>
    <row r="756" spans="1:37" ht="30" customHeight="1">
      <c r="A756" s="64"/>
      <c r="B756" s="64"/>
      <c r="C756" s="64"/>
      <c r="D756" s="64"/>
      <c r="E756" s="64"/>
      <c r="F756" s="64"/>
      <c r="G756" s="64"/>
      <c r="H756" s="64"/>
      <c r="I756" s="64"/>
      <c r="J756" s="64"/>
      <c r="K756" s="64"/>
      <c r="L756" s="64"/>
      <c r="M756" s="64"/>
      <c r="N756" s="194"/>
      <c r="O756" s="157"/>
      <c r="P756" s="92"/>
      <c r="Q756" s="145"/>
      <c r="R756" s="92"/>
      <c r="S756" s="145"/>
      <c r="T756" s="92"/>
      <c r="U756" s="145"/>
      <c r="V756" s="92"/>
      <c r="W756" s="145"/>
      <c r="X756" s="92"/>
      <c r="Y756" s="145"/>
      <c r="Z756" s="92"/>
      <c r="AA756" s="145"/>
      <c r="AB756" s="92"/>
      <c r="AC756" s="145"/>
      <c r="AD756" s="92"/>
      <c r="AE756" s="145"/>
      <c r="AF756" s="142" t="str">
        <f t="shared" si="38"/>
        <v/>
      </c>
      <c r="AG756" s="190" t="b">
        <f t="shared" si="37"/>
        <v>0</v>
      </c>
      <c r="AH756" s="145"/>
      <c r="AI756" s="153" t="s">
        <v>6</v>
      </c>
      <c r="AJ756" s="150">
        <f t="shared" si="36"/>
        <v>0</v>
      </c>
      <c r="AK756" s="154" t="s">
        <v>60</v>
      </c>
    </row>
    <row r="757" spans="1:37" ht="30" customHeight="1">
      <c r="A757" s="64"/>
      <c r="B757" s="64"/>
      <c r="C757" s="64"/>
      <c r="D757" s="64"/>
      <c r="E757" s="64"/>
      <c r="F757" s="64"/>
      <c r="G757" s="64"/>
      <c r="H757" s="64"/>
      <c r="I757" s="64"/>
      <c r="J757" s="64"/>
      <c r="K757" s="64"/>
      <c r="L757" s="64"/>
      <c r="M757" s="64"/>
      <c r="N757" s="194"/>
      <c r="O757" s="157"/>
      <c r="P757" s="92"/>
      <c r="Q757" s="145"/>
      <c r="R757" s="92"/>
      <c r="S757" s="145"/>
      <c r="T757" s="92"/>
      <c r="U757" s="145"/>
      <c r="V757" s="92"/>
      <c r="W757" s="145"/>
      <c r="X757" s="92"/>
      <c r="Y757" s="145"/>
      <c r="Z757" s="92"/>
      <c r="AA757" s="145"/>
      <c r="AB757" s="92"/>
      <c r="AC757" s="145"/>
      <c r="AD757" s="92"/>
      <c r="AE757" s="145"/>
      <c r="AF757" s="142" t="str">
        <f t="shared" si="38"/>
        <v/>
      </c>
      <c r="AG757" s="190" t="b">
        <f t="shared" si="37"/>
        <v>0</v>
      </c>
      <c r="AH757" s="145"/>
      <c r="AI757" s="153" t="s">
        <v>6</v>
      </c>
      <c r="AJ757" s="150">
        <f t="shared" si="36"/>
        <v>0</v>
      </c>
      <c r="AK757" s="154" t="s">
        <v>60</v>
      </c>
    </row>
    <row r="758" spans="1:37" ht="30" customHeight="1">
      <c r="A758" s="64"/>
      <c r="B758" s="64"/>
      <c r="C758" s="64"/>
      <c r="D758" s="64"/>
      <c r="E758" s="64"/>
      <c r="F758" s="64"/>
      <c r="G758" s="64"/>
      <c r="H758" s="64"/>
      <c r="I758" s="64"/>
      <c r="J758" s="64"/>
      <c r="K758" s="64"/>
      <c r="L758" s="64"/>
      <c r="M758" s="64"/>
      <c r="N758" s="194"/>
      <c r="O758" s="157"/>
      <c r="P758" s="92"/>
      <c r="Q758" s="145"/>
      <c r="R758" s="92"/>
      <c r="S758" s="145"/>
      <c r="T758" s="92"/>
      <c r="U758" s="145"/>
      <c r="V758" s="92"/>
      <c r="W758" s="145"/>
      <c r="X758" s="92"/>
      <c r="Y758" s="145"/>
      <c r="Z758" s="92"/>
      <c r="AA758" s="145"/>
      <c r="AB758" s="92"/>
      <c r="AC758" s="145"/>
      <c r="AD758" s="92"/>
      <c r="AE758" s="145"/>
      <c r="AF758" s="142" t="str">
        <f t="shared" si="38"/>
        <v/>
      </c>
      <c r="AG758" s="190" t="b">
        <f t="shared" si="37"/>
        <v>0</v>
      </c>
      <c r="AH758" s="145"/>
      <c r="AI758" s="153" t="s">
        <v>6</v>
      </c>
      <c r="AJ758" s="150">
        <f t="shared" si="36"/>
        <v>0</v>
      </c>
      <c r="AK758" s="154" t="s">
        <v>60</v>
      </c>
    </row>
    <row r="759" spans="1:37" ht="30" customHeight="1">
      <c r="A759" s="64"/>
      <c r="B759" s="64"/>
      <c r="C759" s="64"/>
      <c r="D759" s="64"/>
      <c r="E759" s="64"/>
      <c r="F759" s="64"/>
      <c r="G759" s="64"/>
      <c r="H759" s="64"/>
      <c r="I759" s="64"/>
      <c r="J759" s="64"/>
      <c r="K759" s="64"/>
      <c r="L759" s="64"/>
      <c r="M759" s="64"/>
      <c r="N759" s="194"/>
      <c r="O759" s="157"/>
      <c r="P759" s="92"/>
      <c r="Q759" s="145"/>
      <c r="R759" s="92"/>
      <c r="S759" s="145"/>
      <c r="T759" s="92"/>
      <c r="U759" s="145"/>
      <c r="V759" s="92"/>
      <c r="W759" s="145"/>
      <c r="X759" s="92"/>
      <c r="Y759" s="145"/>
      <c r="Z759" s="92"/>
      <c r="AA759" s="145"/>
      <c r="AB759" s="92"/>
      <c r="AC759" s="145"/>
      <c r="AD759" s="92"/>
      <c r="AE759" s="145"/>
      <c r="AF759" s="142" t="str">
        <f t="shared" si="38"/>
        <v/>
      </c>
      <c r="AG759" s="190" t="b">
        <f t="shared" si="37"/>
        <v>0</v>
      </c>
      <c r="AH759" s="145"/>
      <c r="AI759" s="153" t="s">
        <v>6</v>
      </c>
      <c r="AJ759" s="150">
        <f t="shared" si="36"/>
        <v>0</v>
      </c>
      <c r="AK759" s="154" t="s">
        <v>60</v>
      </c>
    </row>
    <row r="760" spans="1:37" ht="30" customHeight="1">
      <c r="A760" s="64"/>
      <c r="B760" s="64"/>
      <c r="C760" s="64"/>
      <c r="D760" s="64"/>
      <c r="E760" s="64"/>
      <c r="F760" s="64"/>
      <c r="G760" s="64"/>
      <c r="H760" s="64"/>
      <c r="I760" s="64"/>
      <c r="J760" s="64"/>
      <c r="K760" s="64"/>
      <c r="L760" s="64"/>
      <c r="M760" s="64"/>
      <c r="N760" s="194"/>
      <c r="O760" s="157"/>
      <c r="P760" s="92"/>
      <c r="Q760" s="145"/>
      <c r="R760" s="92"/>
      <c r="S760" s="145"/>
      <c r="T760" s="92"/>
      <c r="U760" s="145"/>
      <c r="V760" s="92"/>
      <c r="W760" s="145"/>
      <c r="X760" s="92"/>
      <c r="Y760" s="145"/>
      <c r="Z760" s="92"/>
      <c r="AA760" s="145"/>
      <c r="AB760" s="92"/>
      <c r="AC760" s="145"/>
      <c r="AD760" s="92"/>
      <c r="AE760" s="145"/>
      <c r="AF760" s="142" t="str">
        <f t="shared" si="38"/>
        <v/>
      </c>
      <c r="AG760" s="190" t="b">
        <f t="shared" si="37"/>
        <v>0</v>
      </c>
      <c r="AH760" s="145"/>
      <c r="AI760" s="153" t="s">
        <v>6</v>
      </c>
      <c r="AJ760" s="150">
        <f t="shared" si="36"/>
        <v>0</v>
      </c>
      <c r="AK760" s="154" t="s">
        <v>60</v>
      </c>
    </row>
    <row r="761" spans="1:37" ht="30" customHeight="1">
      <c r="A761" s="64"/>
      <c r="B761" s="64"/>
      <c r="C761" s="64"/>
      <c r="D761" s="64"/>
      <c r="E761" s="64"/>
      <c r="F761" s="64"/>
      <c r="G761" s="64"/>
      <c r="H761" s="64"/>
      <c r="I761" s="64"/>
      <c r="J761" s="64"/>
      <c r="K761" s="64"/>
      <c r="L761" s="64"/>
      <c r="M761" s="64"/>
      <c r="N761" s="194"/>
      <c r="O761" s="157"/>
      <c r="P761" s="92"/>
      <c r="Q761" s="145"/>
      <c r="R761" s="92"/>
      <c r="S761" s="145"/>
      <c r="T761" s="92"/>
      <c r="U761" s="145"/>
      <c r="V761" s="92"/>
      <c r="W761" s="145"/>
      <c r="X761" s="92"/>
      <c r="Y761" s="145"/>
      <c r="Z761" s="92"/>
      <c r="AA761" s="145"/>
      <c r="AB761" s="92"/>
      <c r="AC761" s="145"/>
      <c r="AD761" s="92"/>
      <c r="AE761" s="145"/>
      <c r="AF761" s="142" t="str">
        <f t="shared" si="38"/>
        <v/>
      </c>
      <c r="AG761" s="190" t="b">
        <f t="shared" si="37"/>
        <v>0</v>
      </c>
      <c r="AH761" s="145"/>
      <c r="AI761" s="153" t="s">
        <v>6</v>
      </c>
      <c r="AJ761" s="150">
        <f t="shared" si="36"/>
        <v>0</v>
      </c>
      <c r="AK761" s="154" t="s">
        <v>60</v>
      </c>
    </row>
    <row r="762" spans="1:37" ht="30" customHeight="1">
      <c r="A762" s="64"/>
      <c r="B762" s="64"/>
      <c r="C762" s="64"/>
      <c r="D762" s="64"/>
      <c r="E762" s="64"/>
      <c r="F762" s="64"/>
      <c r="G762" s="64"/>
      <c r="H762" s="64"/>
      <c r="I762" s="64"/>
      <c r="J762" s="64"/>
      <c r="K762" s="64"/>
      <c r="L762" s="64"/>
      <c r="M762" s="64"/>
      <c r="N762" s="194"/>
      <c r="O762" s="157"/>
      <c r="P762" s="92"/>
      <c r="Q762" s="145"/>
      <c r="R762" s="92"/>
      <c r="S762" s="145"/>
      <c r="T762" s="92"/>
      <c r="U762" s="145"/>
      <c r="V762" s="92"/>
      <c r="W762" s="145"/>
      <c r="X762" s="92"/>
      <c r="Y762" s="145"/>
      <c r="Z762" s="92"/>
      <c r="AA762" s="145"/>
      <c r="AB762" s="92"/>
      <c r="AC762" s="145"/>
      <c r="AD762" s="92"/>
      <c r="AE762" s="145"/>
      <c r="AF762" s="142" t="str">
        <f t="shared" si="38"/>
        <v/>
      </c>
      <c r="AG762" s="190" t="b">
        <f t="shared" si="37"/>
        <v>0</v>
      </c>
      <c r="AH762" s="145"/>
      <c r="AI762" s="153" t="s">
        <v>6</v>
      </c>
      <c r="AJ762" s="150">
        <f t="shared" si="36"/>
        <v>0</v>
      </c>
      <c r="AK762" s="154" t="s">
        <v>60</v>
      </c>
    </row>
    <row r="763" spans="1:37" ht="30" customHeight="1">
      <c r="A763" s="64"/>
      <c r="B763" s="64"/>
      <c r="C763" s="64"/>
      <c r="D763" s="64"/>
      <c r="E763" s="64"/>
      <c r="F763" s="64"/>
      <c r="G763" s="64"/>
      <c r="H763" s="64"/>
      <c r="I763" s="64"/>
      <c r="J763" s="64"/>
      <c r="K763" s="64"/>
      <c r="L763" s="64"/>
      <c r="M763" s="64"/>
      <c r="N763" s="194"/>
      <c r="O763" s="157"/>
      <c r="P763" s="92"/>
      <c r="Q763" s="145"/>
      <c r="R763" s="92"/>
      <c r="S763" s="145"/>
      <c r="T763" s="92"/>
      <c r="U763" s="145"/>
      <c r="V763" s="92"/>
      <c r="W763" s="145"/>
      <c r="X763" s="92"/>
      <c r="Y763" s="145"/>
      <c r="Z763" s="92"/>
      <c r="AA763" s="145"/>
      <c r="AB763" s="92"/>
      <c r="AC763" s="145"/>
      <c r="AD763" s="92"/>
      <c r="AE763" s="145"/>
      <c r="AF763" s="142" t="str">
        <f t="shared" si="38"/>
        <v/>
      </c>
      <c r="AG763" s="190" t="b">
        <f t="shared" si="37"/>
        <v>0</v>
      </c>
      <c r="AH763" s="145"/>
      <c r="AI763" s="153" t="s">
        <v>6</v>
      </c>
      <c r="AJ763" s="150">
        <f t="shared" si="36"/>
        <v>0</v>
      </c>
      <c r="AK763" s="154" t="s">
        <v>60</v>
      </c>
    </row>
    <row r="764" spans="1:37" ht="30" customHeight="1">
      <c r="A764" s="64"/>
      <c r="B764" s="64"/>
      <c r="C764" s="64"/>
      <c r="D764" s="64"/>
      <c r="E764" s="64"/>
      <c r="F764" s="64"/>
      <c r="G764" s="64"/>
      <c r="H764" s="64"/>
      <c r="I764" s="64"/>
      <c r="J764" s="64"/>
      <c r="K764" s="64"/>
      <c r="L764" s="64"/>
      <c r="M764" s="64"/>
      <c r="N764" s="194"/>
      <c r="O764" s="157"/>
      <c r="P764" s="92"/>
      <c r="Q764" s="145"/>
      <c r="R764" s="92"/>
      <c r="S764" s="145"/>
      <c r="T764" s="92"/>
      <c r="U764" s="145"/>
      <c r="V764" s="92"/>
      <c r="W764" s="145"/>
      <c r="X764" s="92"/>
      <c r="Y764" s="145"/>
      <c r="Z764" s="92"/>
      <c r="AA764" s="145"/>
      <c r="AB764" s="92"/>
      <c r="AC764" s="145"/>
      <c r="AD764" s="92"/>
      <c r="AE764" s="145"/>
      <c r="AF764" s="142" t="str">
        <f t="shared" si="38"/>
        <v/>
      </c>
      <c r="AG764" s="190" t="b">
        <f t="shared" si="37"/>
        <v>0</v>
      </c>
      <c r="AH764" s="145"/>
      <c r="AI764" s="153" t="s">
        <v>6</v>
      </c>
      <c r="AJ764" s="150">
        <f t="shared" si="36"/>
        <v>0</v>
      </c>
      <c r="AK764" s="154" t="s">
        <v>60</v>
      </c>
    </row>
    <row r="765" spans="1:37" ht="30" customHeight="1">
      <c r="A765" s="64"/>
      <c r="B765" s="64"/>
      <c r="C765" s="64"/>
      <c r="D765" s="64"/>
      <c r="E765" s="64"/>
      <c r="F765" s="64"/>
      <c r="G765" s="64"/>
      <c r="H765" s="64"/>
      <c r="I765" s="64"/>
      <c r="J765" s="64"/>
      <c r="K765" s="64"/>
      <c r="L765" s="64"/>
      <c r="M765" s="64"/>
      <c r="N765" s="194"/>
      <c r="O765" s="157"/>
      <c r="P765" s="92"/>
      <c r="Q765" s="145"/>
      <c r="R765" s="92"/>
      <c r="S765" s="145"/>
      <c r="T765" s="92"/>
      <c r="U765" s="145"/>
      <c r="V765" s="92"/>
      <c r="W765" s="145"/>
      <c r="X765" s="92"/>
      <c r="Y765" s="145"/>
      <c r="Z765" s="92"/>
      <c r="AA765" s="145"/>
      <c r="AB765" s="92"/>
      <c r="AC765" s="145"/>
      <c r="AD765" s="92"/>
      <c r="AE765" s="145"/>
      <c r="AF765" s="142" t="str">
        <f t="shared" si="38"/>
        <v/>
      </c>
      <c r="AG765" s="190" t="b">
        <f t="shared" si="37"/>
        <v>0</v>
      </c>
      <c r="AH765" s="145"/>
      <c r="AI765" s="153" t="s">
        <v>6</v>
      </c>
      <c r="AJ765" s="150">
        <f t="shared" si="36"/>
        <v>0</v>
      </c>
      <c r="AK765" s="154" t="s">
        <v>60</v>
      </c>
    </row>
    <row r="766" spans="1:37" ht="30" customHeight="1">
      <c r="A766" s="64"/>
      <c r="B766" s="64"/>
      <c r="C766" s="64"/>
      <c r="D766" s="64"/>
      <c r="E766" s="64"/>
      <c r="F766" s="64"/>
      <c r="G766" s="64"/>
      <c r="H766" s="64"/>
      <c r="I766" s="64"/>
      <c r="J766" s="64"/>
      <c r="K766" s="64"/>
      <c r="L766" s="64"/>
      <c r="M766" s="64"/>
      <c r="N766" s="194"/>
      <c r="O766" s="157"/>
      <c r="P766" s="92"/>
      <c r="Q766" s="145"/>
      <c r="R766" s="92"/>
      <c r="S766" s="145"/>
      <c r="T766" s="92"/>
      <c r="U766" s="145"/>
      <c r="V766" s="92"/>
      <c r="W766" s="145"/>
      <c r="X766" s="92"/>
      <c r="Y766" s="145"/>
      <c r="Z766" s="92"/>
      <c r="AA766" s="145"/>
      <c r="AB766" s="92"/>
      <c r="AC766" s="145"/>
      <c r="AD766" s="92"/>
      <c r="AE766" s="145"/>
      <c r="AF766" s="142" t="str">
        <f t="shared" si="38"/>
        <v/>
      </c>
      <c r="AG766" s="190" t="b">
        <f t="shared" si="37"/>
        <v>0</v>
      </c>
      <c r="AH766" s="145"/>
      <c r="AI766" s="153" t="s">
        <v>6</v>
      </c>
      <c r="AJ766" s="150">
        <f t="shared" si="36"/>
        <v>0</v>
      </c>
      <c r="AK766" s="154" t="s">
        <v>60</v>
      </c>
    </row>
    <row r="767" spans="1:37" ht="30" customHeight="1">
      <c r="A767" s="64"/>
      <c r="B767" s="64"/>
      <c r="C767" s="64"/>
      <c r="D767" s="64"/>
      <c r="E767" s="64"/>
      <c r="F767" s="64"/>
      <c r="G767" s="64"/>
      <c r="H767" s="64"/>
      <c r="I767" s="64"/>
      <c r="J767" s="64"/>
      <c r="K767" s="64"/>
      <c r="L767" s="64"/>
      <c r="M767" s="64"/>
      <c r="N767" s="194"/>
      <c r="O767" s="157"/>
      <c r="P767" s="92"/>
      <c r="Q767" s="145"/>
      <c r="R767" s="92"/>
      <c r="S767" s="145"/>
      <c r="T767" s="92"/>
      <c r="U767" s="145"/>
      <c r="V767" s="92"/>
      <c r="W767" s="145"/>
      <c r="X767" s="92"/>
      <c r="Y767" s="145"/>
      <c r="Z767" s="92"/>
      <c r="AA767" s="145"/>
      <c r="AB767" s="92"/>
      <c r="AC767" s="145"/>
      <c r="AD767" s="92"/>
      <c r="AE767" s="145"/>
      <c r="AF767" s="142" t="str">
        <f t="shared" si="38"/>
        <v/>
      </c>
      <c r="AG767" s="190" t="b">
        <f t="shared" si="37"/>
        <v>0</v>
      </c>
      <c r="AH767" s="145"/>
      <c r="AI767" s="153" t="s">
        <v>6</v>
      </c>
      <c r="AJ767" s="150">
        <f t="shared" si="36"/>
        <v>0</v>
      </c>
      <c r="AK767" s="154" t="s">
        <v>60</v>
      </c>
    </row>
    <row r="768" spans="1:37" ht="30" customHeight="1">
      <c r="A768" s="64"/>
      <c r="B768" s="64"/>
      <c r="C768" s="64"/>
      <c r="D768" s="64"/>
      <c r="E768" s="64"/>
      <c r="F768" s="64"/>
      <c r="G768" s="64"/>
      <c r="H768" s="64"/>
      <c r="I768" s="64"/>
      <c r="J768" s="64"/>
      <c r="K768" s="64"/>
      <c r="L768" s="64"/>
      <c r="M768" s="64"/>
      <c r="N768" s="194"/>
      <c r="O768" s="157"/>
      <c r="P768" s="92"/>
      <c r="Q768" s="145"/>
      <c r="R768" s="92"/>
      <c r="S768" s="145"/>
      <c r="T768" s="92"/>
      <c r="U768" s="145"/>
      <c r="V768" s="92"/>
      <c r="W768" s="145"/>
      <c r="X768" s="92"/>
      <c r="Y768" s="145"/>
      <c r="Z768" s="92"/>
      <c r="AA768" s="145"/>
      <c r="AB768" s="92"/>
      <c r="AC768" s="145"/>
      <c r="AD768" s="92"/>
      <c r="AE768" s="145"/>
      <c r="AF768" s="142" t="str">
        <f t="shared" si="38"/>
        <v/>
      </c>
      <c r="AG768" s="190" t="b">
        <f t="shared" si="37"/>
        <v>0</v>
      </c>
      <c r="AH768" s="145"/>
      <c r="AI768" s="153" t="s">
        <v>6</v>
      </c>
      <c r="AJ768" s="150">
        <f t="shared" si="36"/>
        <v>0</v>
      </c>
      <c r="AK768" s="154" t="s">
        <v>60</v>
      </c>
    </row>
    <row r="769" spans="1:37" ht="30" customHeight="1">
      <c r="A769" s="64"/>
      <c r="B769" s="64"/>
      <c r="C769" s="64"/>
      <c r="D769" s="64"/>
      <c r="E769" s="64"/>
      <c r="F769" s="64"/>
      <c r="G769" s="64"/>
      <c r="H769" s="64"/>
      <c r="I769" s="64"/>
      <c r="J769" s="64"/>
      <c r="K769" s="64"/>
      <c r="L769" s="64"/>
      <c r="M769" s="64"/>
      <c r="N769" s="194"/>
      <c r="O769" s="157"/>
      <c r="P769" s="92"/>
      <c r="Q769" s="145"/>
      <c r="R769" s="92"/>
      <c r="S769" s="145"/>
      <c r="T769" s="92"/>
      <c r="U769" s="145"/>
      <c r="V769" s="92"/>
      <c r="W769" s="145"/>
      <c r="X769" s="92"/>
      <c r="Y769" s="145"/>
      <c r="Z769" s="92"/>
      <c r="AA769" s="145"/>
      <c r="AB769" s="92"/>
      <c r="AC769" s="145"/>
      <c r="AD769" s="92"/>
      <c r="AE769" s="145"/>
      <c r="AF769" s="142" t="str">
        <f t="shared" si="38"/>
        <v/>
      </c>
      <c r="AG769" s="190" t="b">
        <f t="shared" si="37"/>
        <v>0</v>
      </c>
      <c r="AH769" s="145"/>
      <c r="AI769" s="153" t="s">
        <v>6</v>
      </c>
      <c r="AJ769" s="150">
        <f t="shared" si="36"/>
        <v>0</v>
      </c>
      <c r="AK769" s="154" t="s">
        <v>60</v>
      </c>
    </row>
    <row r="770" spans="1:37" ht="30" customHeight="1">
      <c r="A770" s="64"/>
      <c r="B770" s="64"/>
      <c r="C770" s="64"/>
      <c r="D770" s="64"/>
      <c r="E770" s="64"/>
      <c r="F770" s="64"/>
      <c r="G770" s="64"/>
      <c r="H770" s="64"/>
      <c r="I770" s="64"/>
      <c r="J770" s="64"/>
      <c r="K770" s="64"/>
      <c r="L770" s="64"/>
      <c r="M770" s="64"/>
      <c r="N770" s="194"/>
      <c r="O770" s="157"/>
      <c r="P770" s="92"/>
      <c r="Q770" s="145"/>
      <c r="R770" s="92"/>
      <c r="S770" s="145"/>
      <c r="T770" s="92"/>
      <c r="U770" s="145"/>
      <c r="V770" s="92"/>
      <c r="W770" s="145"/>
      <c r="X770" s="92"/>
      <c r="Y770" s="145"/>
      <c r="Z770" s="92"/>
      <c r="AA770" s="145"/>
      <c r="AB770" s="92"/>
      <c r="AC770" s="145"/>
      <c r="AD770" s="92"/>
      <c r="AE770" s="145"/>
      <c r="AF770" s="142" t="str">
        <f t="shared" si="38"/>
        <v/>
      </c>
      <c r="AG770" s="190" t="b">
        <f t="shared" si="37"/>
        <v>0</v>
      </c>
      <c r="AH770" s="145"/>
      <c r="AI770" s="153" t="s">
        <v>6</v>
      </c>
      <c r="AJ770" s="150">
        <f t="shared" si="36"/>
        <v>0</v>
      </c>
      <c r="AK770" s="154" t="s">
        <v>60</v>
      </c>
    </row>
    <row r="771" spans="1:37" ht="30" customHeight="1">
      <c r="A771" s="64"/>
      <c r="B771" s="64"/>
      <c r="C771" s="64"/>
      <c r="D771" s="64"/>
      <c r="E771" s="64"/>
      <c r="F771" s="64"/>
      <c r="G771" s="64"/>
      <c r="H771" s="64"/>
      <c r="I771" s="64"/>
      <c r="J771" s="64"/>
      <c r="K771" s="64"/>
      <c r="L771" s="64"/>
      <c r="M771" s="64"/>
      <c r="N771" s="194"/>
      <c r="O771" s="157"/>
      <c r="P771" s="92"/>
      <c r="Q771" s="145"/>
      <c r="R771" s="92"/>
      <c r="S771" s="145"/>
      <c r="T771" s="92"/>
      <c r="U771" s="145"/>
      <c r="V771" s="92"/>
      <c r="W771" s="145"/>
      <c r="X771" s="92"/>
      <c r="Y771" s="145"/>
      <c r="Z771" s="92"/>
      <c r="AA771" s="145"/>
      <c r="AB771" s="92"/>
      <c r="AC771" s="145"/>
      <c r="AD771" s="92"/>
      <c r="AE771" s="145"/>
      <c r="AF771" s="142" t="str">
        <f t="shared" si="38"/>
        <v/>
      </c>
      <c r="AG771" s="190" t="b">
        <f t="shared" si="37"/>
        <v>0</v>
      </c>
      <c r="AH771" s="145"/>
      <c r="AI771" s="153" t="s">
        <v>6</v>
      </c>
      <c r="AJ771" s="150">
        <f t="shared" si="36"/>
        <v>0</v>
      </c>
      <c r="AK771" s="154" t="s">
        <v>60</v>
      </c>
    </row>
    <row r="772" spans="1:37" ht="30" customHeight="1">
      <c r="A772" s="64"/>
      <c r="B772" s="64"/>
      <c r="C772" s="64"/>
      <c r="D772" s="64"/>
      <c r="E772" s="64"/>
      <c r="F772" s="64"/>
      <c r="G772" s="64"/>
      <c r="H772" s="64"/>
      <c r="I772" s="64"/>
      <c r="J772" s="64"/>
      <c r="K772" s="64"/>
      <c r="L772" s="64"/>
      <c r="M772" s="64"/>
      <c r="N772" s="194"/>
      <c r="O772" s="157"/>
      <c r="P772" s="92"/>
      <c r="Q772" s="145"/>
      <c r="R772" s="92"/>
      <c r="S772" s="145"/>
      <c r="T772" s="92"/>
      <c r="U772" s="145"/>
      <c r="V772" s="92"/>
      <c r="W772" s="145"/>
      <c r="X772" s="92"/>
      <c r="Y772" s="145"/>
      <c r="Z772" s="92"/>
      <c r="AA772" s="145"/>
      <c r="AB772" s="92"/>
      <c r="AC772" s="145"/>
      <c r="AD772" s="92"/>
      <c r="AE772" s="145"/>
      <c r="AF772" s="142" t="str">
        <f t="shared" si="38"/>
        <v/>
      </c>
      <c r="AG772" s="190" t="b">
        <f t="shared" si="37"/>
        <v>0</v>
      </c>
      <c r="AH772" s="145"/>
      <c r="AI772" s="153" t="s">
        <v>6</v>
      </c>
      <c r="AJ772" s="150">
        <f t="shared" si="36"/>
        <v>0</v>
      </c>
      <c r="AK772" s="154" t="s">
        <v>60</v>
      </c>
    </row>
    <row r="773" spans="1:37" ht="30" customHeight="1">
      <c r="A773" s="64"/>
      <c r="B773" s="64"/>
      <c r="C773" s="64"/>
      <c r="D773" s="64"/>
      <c r="E773" s="64"/>
      <c r="F773" s="64"/>
      <c r="G773" s="64"/>
      <c r="H773" s="64"/>
      <c r="I773" s="64"/>
      <c r="J773" s="64"/>
      <c r="K773" s="64"/>
      <c r="L773" s="64"/>
      <c r="M773" s="64"/>
      <c r="N773" s="194"/>
      <c r="O773" s="157"/>
      <c r="P773" s="92"/>
      <c r="Q773" s="145"/>
      <c r="R773" s="92"/>
      <c r="S773" s="145"/>
      <c r="T773" s="92"/>
      <c r="U773" s="145"/>
      <c r="V773" s="92"/>
      <c r="W773" s="145"/>
      <c r="X773" s="92"/>
      <c r="Y773" s="145"/>
      <c r="Z773" s="92"/>
      <c r="AA773" s="145"/>
      <c r="AB773" s="92"/>
      <c r="AC773" s="145"/>
      <c r="AD773" s="92"/>
      <c r="AE773" s="145"/>
      <c r="AF773" s="142" t="str">
        <f t="shared" si="38"/>
        <v/>
      </c>
      <c r="AG773" s="190" t="b">
        <f t="shared" si="37"/>
        <v>0</v>
      </c>
      <c r="AH773" s="145"/>
      <c r="AI773" s="153" t="s">
        <v>6</v>
      </c>
      <c r="AJ773" s="150">
        <f t="shared" si="36"/>
        <v>0</v>
      </c>
      <c r="AK773" s="154" t="s">
        <v>60</v>
      </c>
    </row>
    <row r="774" spans="1:37" ht="30" customHeight="1">
      <c r="A774" s="64"/>
      <c r="B774" s="64"/>
      <c r="C774" s="64"/>
      <c r="D774" s="64"/>
      <c r="E774" s="64"/>
      <c r="F774" s="64"/>
      <c r="G774" s="64"/>
      <c r="H774" s="64"/>
      <c r="I774" s="64"/>
      <c r="J774" s="64"/>
      <c r="K774" s="64"/>
      <c r="L774" s="64"/>
      <c r="M774" s="64"/>
      <c r="N774" s="194"/>
      <c r="O774" s="157"/>
      <c r="P774" s="92"/>
      <c r="Q774" s="145"/>
      <c r="R774" s="92"/>
      <c r="S774" s="145"/>
      <c r="T774" s="92"/>
      <c r="U774" s="145"/>
      <c r="V774" s="92"/>
      <c r="W774" s="145"/>
      <c r="X774" s="92"/>
      <c r="Y774" s="145"/>
      <c r="Z774" s="92"/>
      <c r="AA774" s="145"/>
      <c r="AB774" s="92"/>
      <c r="AC774" s="145"/>
      <c r="AD774" s="92"/>
      <c r="AE774" s="145"/>
      <c r="AF774" s="142" t="str">
        <f t="shared" si="38"/>
        <v/>
      </c>
      <c r="AG774" s="190" t="b">
        <f t="shared" si="37"/>
        <v>0</v>
      </c>
      <c r="AH774" s="145"/>
      <c r="AI774" s="153" t="s">
        <v>6</v>
      </c>
      <c r="AJ774" s="150">
        <f t="shared" si="36"/>
        <v>0</v>
      </c>
      <c r="AK774" s="154" t="s">
        <v>60</v>
      </c>
    </row>
    <row r="775" spans="1:37" ht="30" customHeight="1">
      <c r="A775" s="64"/>
      <c r="B775" s="64"/>
      <c r="C775" s="64"/>
      <c r="D775" s="64"/>
      <c r="E775" s="64"/>
      <c r="F775" s="64"/>
      <c r="G775" s="64"/>
      <c r="H775" s="64"/>
      <c r="I775" s="64"/>
      <c r="J775" s="64"/>
      <c r="K775" s="64"/>
      <c r="L775" s="64"/>
      <c r="M775" s="64"/>
      <c r="N775" s="194"/>
      <c r="O775" s="157"/>
      <c r="P775" s="92"/>
      <c r="Q775" s="145"/>
      <c r="R775" s="92"/>
      <c r="S775" s="145"/>
      <c r="T775" s="92"/>
      <c r="U775" s="145"/>
      <c r="V775" s="92"/>
      <c r="W775" s="145"/>
      <c r="X775" s="92"/>
      <c r="Y775" s="145"/>
      <c r="Z775" s="92"/>
      <c r="AA775" s="145"/>
      <c r="AB775" s="92"/>
      <c r="AC775" s="145"/>
      <c r="AD775" s="92"/>
      <c r="AE775" s="145"/>
      <c r="AF775" s="142" t="str">
        <f t="shared" si="38"/>
        <v/>
      </c>
      <c r="AG775" s="190" t="b">
        <f t="shared" si="37"/>
        <v>0</v>
      </c>
      <c r="AH775" s="145"/>
      <c r="AI775" s="153" t="s">
        <v>6</v>
      </c>
      <c r="AJ775" s="150">
        <f t="shared" ref="AJ775:AJ838" si="39">E775</f>
        <v>0</v>
      </c>
      <c r="AK775" s="154" t="s">
        <v>60</v>
      </c>
    </row>
    <row r="776" spans="1:37" ht="30" customHeight="1">
      <c r="A776" s="64"/>
      <c r="B776" s="64"/>
      <c r="C776" s="64"/>
      <c r="D776" s="64"/>
      <c r="E776" s="64"/>
      <c r="F776" s="64"/>
      <c r="G776" s="64"/>
      <c r="H776" s="64"/>
      <c r="I776" s="64"/>
      <c r="J776" s="64"/>
      <c r="K776" s="64"/>
      <c r="L776" s="64"/>
      <c r="M776" s="64"/>
      <c r="N776" s="194"/>
      <c r="O776" s="157"/>
      <c r="P776" s="92"/>
      <c r="Q776" s="145"/>
      <c r="R776" s="92"/>
      <c r="S776" s="145"/>
      <c r="T776" s="92"/>
      <c r="U776" s="145"/>
      <c r="V776" s="92"/>
      <c r="W776" s="145"/>
      <c r="X776" s="92"/>
      <c r="Y776" s="145"/>
      <c r="Z776" s="92"/>
      <c r="AA776" s="145"/>
      <c r="AB776" s="92"/>
      <c r="AC776" s="145"/>
      <c r="AD776" s="92"/>
      <c r="AE776" s="145"/>
      <c r="AF776" s="142" t="str">
        <f t="shared" si="38"/>
        <v/>
      </c>
      <c r="AG776" s="190" t="b">
        <f t="shared" si="37"/>
        <v>0</v>
      </c>
      <c r="AH776" s="145"/>
      <c r="AI776" s="153" t="s">
        <v>6</v>
      </c>
      <c r="AJ776" s="150">
        <f t="shared" si="39"/>
        <v>0</v>
      </c>
      <c r="AK776" s="154" t="s">
        <v>60</v>
      </c>
    </row>
    <row r="777" spans="1:37" ht="30" customHeight="1">
      <c r="A777" s="64"/>
      <c r="B777" s="64"/>
      <c r="C777" s="64"/>
      <c r="D777" s="64"/>
      <c r="E777" s="64"/>
      <c r="F777" s="64"/>
      <c r="G777" s="64"/>
      <c r="H777" s="64"/>
      <c r="I777" s="64"/>
      <c r="J777" s="64"/>
      <c r="K777" s="64"/>
      <c r="L777" s="64"/>
      <c r="M777" s="64"/>
      <c r="N777" s="194"/>
      <c r="O777" s="157"/>
      <c r="P777" s="92"/>
      <c r="Q777" s="145"/>
      <c r="R777" s="92"/>
      <c r="S777" s="145"/>
      <c r="T777" s="92"/>
      <c r="U777" s="145"/>
      <c r="V777" s="92"/>
      <c r="W777" s="145"/>
      <c r="X777" s="92"/>
      <c r="Y777" s="145"/>
      <c r="Z777" s="92"/>
      <c r="AA777" s="145"/>
      <c r="AB777" s="92"/>
      <c r="AC777" s="145"/>
      <c r="AD777" s="92"/>
      <c r="AE777" s="145"/>
      <c r="AF777" s="142" t="str">
        <f t="shared" si="38"/>
        <v/>
      </c>
      <c r="AG777" s="190" t="b">
        <f t="shared" si="37"/>
        <v>0</v>
      </c>
      <c r="AH777" s="145"/>
      <c r="AI777" s="153" t="s">
        <v>6</v>
      </c>
      <c r="AJ777" s="150">
        <f t="shared" si="39"/>
        <v>0</v>
      </c>
      <c r="AK777" s="154" t="s">
        <v>60</v>
      </c>
    </row>
    <row r="778" spans="1:37" ht="30" customHeight="1">
      <c r="A778" s="64"/>
      <c r="B778" s="64"/>
      <c r="C778" s="64"/>
      <c r="D778" s="64"/>
      <c r="E778" s="64"/>
      <c r="F778" s="64"/>
      <c r="G778" s="64"/>
      <c r="H778" s="64"/>
      <c r="I778" s="64"/>
      <c r="J778" s="64"/>
      <c r="K778" s="64"/>
      <c r="L778" s="64"/>
      <c r="M778" s="64"/>
      <c r="N778" s="194"/>
      <c r="O778" s="157"/>
      <c r="P778" s="92"/>
      <c r="Q778" s="145"/>
      <c r="R778" s="92"/>
      <c r="S778" s="145"/>
      <c r="T778" s="92"/>
      <c r="U778" s="145"/>
      <c r="V778" s="92"/>
      <c r="W778" s="145"/>
      <c r="X778" s="92"/>
      <c r="Y778" s="145"/>
      <c r="Z778" s="92"/>
      <c r="AA778" s="145"/>
      <c r="AB778" s="92"/>
      <c r="AC778" s="145"/>
      <c r="AD778" s="92"/>
      <c r="AE778" s="145"/>
      <c r="AF778" s="142" t="str">
        <f t="shared" si="38"/>
        <v/>
      </c>
      <c r="AG778" s="190" t="b">
        <f t="shared" si="37"/>
        <v>0</v>
      </c>
      <c r="AH778" s="145"/>
      <c r="AI778" s="153" t="s">
        <v>6</v>
      </c>
      <c r="AJ778" s="150">
        <f t="shared" si="39"/>
        <v>0</v>
      </c>
      <c r="AK778" s="154" t="s">
        <v>60</v>
      </c>
    </row>
    <row r="779" spans="1:37" ht="30" customHeight="1">
      <c r="A779" s="64"/>
      <c r="B779" s="64"/>
      <c r="C779" s="64"/>
      <c r="D779" s="64"/>
      <c r="E779" s="64"/>
      <c r="F779" s="64"/>
      <c r="G779" s="64"/>
      <c r="H779" s="64"/>
      <c r="I779" s="64"/>
      <c r="J779" s="64"/>
      <c r="K779" s="64"/>
      <c r="L779" s="64"/>
      <c r="M779" s="64"/>
      <c r="N779" s="194"/>
      <c r="O779" s="157"/>
      <c r="P779" s="92"/>
      <c r="Q779" s="145"/>
      <c r="R779" s="92"/>
      <c r="S779" s="145"/>
      <c r="T779" s="92"/>
      <c r="U779" s="145"/>
      <c r="V779" s="92"/>
      <c r="W779" s="145"/>
      <c r="X779" s="92"/>
      <c r="Y779" s="145"/>
      <c r="Z779" s="92"/>
      <c r="AA779" s="145"/>
      <c r="AB779" s="92"/>
      <c r="AC779" s="145"/>
      <c r="AD779" s="92"/>
      <c r="AE779" s="145"/>
      <c r="AF779" s="142" t="str">
        <f t="shared" si="38"/>
        <v/>
      </c>
      <c r="AG779" s="190" t="b">
        <f t="shared" si="37"/>
        <v>0</v>
      </c>
      <c r="AH779" s="145"/>
      <c r="AI779" s="153" t="s">
        <v>6</v>
      </c>
      <c r="AJ779" s="150">
        <f t="shared" si="39"/>
        <v>0</v>
      </c>
      <c r="AK779" s="154" t="s">
        <v>60</v>
      </c>
    </row>
    <row r="780" spans="1:37" ht="30" customHeight="1">
      <c r="A780" s="64"/>
      <c r="B780" s="64"/>
      <c r="C780" s="64"/>
      <c r="D780" s="64"/>
      <c r="E780" s="64"/>
      <c r="F780" s="64"/>
      <c r="G780" s="64"/>
      <c r="H780" s="64"/>
      <c r="I780" s="64"/>
      <c r="J780" s="64"/>
      <c r="K780" s="64"/>
      <c r="L780" s="64"/>
      <c r="M780" s="64"/>
      <c r="N780" s="194"/>
      <c r="O780" s="157"/>
      <c r="P780" s="92"/>
      <c r="Q780" s="145"/>
      <c r="R780" s="92"/>
      <c r="S780" s="145"/>
      <c r="T780" s="92"/>
      <c r="U780" s="145"/>
      <c r="V780" s="92"/>
      <c r="W780" s="145"/>
      <c r="X780" s="92"/>
      <c r="Y780" s="145"/>
      <c r="Z780" s="92"/>
      <c r="AA780" s="145"/>
      <c r="AB780" s="92"/>
      <c r="AC780" s="145"/>
      <c r="AD780" s="92"/>
      <c r="AE780" s="145"/>
      <c r="AF780" s="142" t="str">
        <f t="shared" si="38"/>
        <v/>
      </c>
      <c r="AG780" s="190" t="b">
        <f t="shared" si="37"/>
        <v>0</v>
      </c>
      <c r="AH780" s="145"/>
      <c r="AI780" s="153" t="s">
        <v>6</v>
      </c>
      <c r="AJ780" s="150">
        <f t="shared" si="39"/>
        <v>0</v>
      </c>
      <c r="AK780" s="154" t="s">
        <v>60</v>
      </c>
    </row>
    <row r="781" spans="1:37" ht="30" customHeight="1">
      <c r="A781" s="64"/>
      <c r="B781" s="64"/>
      <c r="C781" s="64"/>
      <c r="D781" s="64"/>
      <c r="E781" s="64"/>
      <c r="F781" s="64"/>
      <c r="G781" s="64"/>
      <c r="H781" s="64"/>
      <c r="I781" s="64"/>
      <c r="J781" s="64"/>
      <c r="K781" s="64"/>
      <c r="L781" s="64"/>
      <c r="M781" s="64"/>
      <c r="N781" s="194"/>
      <c r="O781" s="157"/>
      <c r="P781" s="92"/>
      <c r="Q781" s="145"/>
      <c r="R781" s="92"/>
      <c r="S781" s="145"/>
      <c r="T781" s="92"/>
      <c r="U781" s="145"/>
      <c r="V781" s="92"/>
      <c r="W781" s="145"/>
      <c r="X781" s="92"/>
      <c r="Y781" s="145"/>
      <c r="Z781" s="92"/>
      <c r="AA781" s="145"/>
      <c r="AB781" s="92"/>
      <c r="AC781" s="145"/>
      <c r="AD781" s="92"/>
      <c r="AE781" s="145"/>
      <c r="AF781" s="142" t="str">
        <f t="shared" si="38"/>
        <v/>
      </c>
      <c r="AG781" s="190" t="b">
        <f t="shared" si="37"/>
        <v>0</v>
      </c>
      <c r="AH781" s="145"/>
      <c r="AI781" s="153" t="s">
        <v>6</v>
      </c>
      <c r="AJ781" s="150">
        <f t="shared" si="39"/>
        <v>0</v>
      </c>
      <c r="AK781" s="154" t="s">
        <v>60</v>
      </c>
    </row>
    <row r="782" spans="1:37" ht="30" customHeight="1">
      <c r="A782" s="64"/>
      <c r="B782" s="64"/>
      <c r="C782" s="64"/>
      <c r="D782" s="64"/>
      <c r="E782" s="64"/>
      <c r="F782" s="64"/>
      <c r="G782" s="64"/>
      <c r="H782" s="64"/>
      <c r="I782" s="64"/>
      <c r="J782" s="64"/>
      <c r="K782" s="64"/>
      <c r="L782" s="64"/>
      <c r="M782" s="64"/>
      <c r="N782" s="194"/>
      <c r="O782" s="157"/>
      <c r="P782" s="92"/>
      <c r="Q782" s="145"/>
      <c r="R782" s="92"/>
      <c r="S782" s="145"/>
      <c r="T782" s="92"/>
      <c r="U782" s="145"/>
      <c r="V782" s="92"/>
      <c r="W782" s="145"/>
      <c r="X782" s="92"/>
      <c r="Y782" s="145"/>
      <c r="Z782" s="92"/>
      <c r="AA782" s="145"/>
      <c r="AB782" s="92"/>
      <c r="AC782" s="145"/>
      <c r="AD782" s="92"/>
      <c r="AE782" s="145"/>
      <c r="AF782" s="142" t="str">
        <f t="shared" si="38"/>
        <v/>
      </c>
      <c r="AG782" s="190" t="b">
        <f t="shared" si="37"/>
        <v>0</v>
      </c>
      <c r="AH782" s="145"/>
      <c r="AI782" s="153" t="s">
        <v>6</v>
      </c>
      <c r="AJ782" s="150">
        <f t="shared" si="39"/>
        <v>0</v>
      </c>
      <c r="AK782" s="154" t="s">
        <v>60</v>
      </c>
    </row>
    <row r="783" spans="1:37" ht="30" customHeight="1">
      <c r="A783" s="64"/>
      <c r="B783" s="64"/>
      <c r="C783" s="64"/>
      <c r="D783" s="64"/>
      <c r="E783" s="64"/>
      <c r="F783" s="64"/>
      <c r="G783" s="64"/>
      <c r="H783" s="64"/>
      <c r="I783" s="64"/>
      <c r="J783" s="64"/>
      <c r="K783" s="64"/>
      <c r="L783" s="64"/>
      <c r="M783" s="64"/>
      <c r="N783" s="194"/>
      <c r="O783" s="157"/>
      <c r="P783" s="92"/>
      <c r="Q783" s="145"/>
      <c r="R783" s="92"/>
      <c r="S783" s="145"/>
      <c r="T783" s="92"/>
      <c r="U783" s="145"/>
      <c r="V783" s="92"/>
      <c r="W783" s="145"/>
      <c r="X783" s="92"/>
      <c r="Y783" s="145"/>
      <c r="Z783" s="92"/>
      <c r="AA783" s="145"/>
      <c r="AB783" s="92"/>
      <c r="AC783" s="145"/>
      <c r="AD783" s="92"/>
      <c r="AE783" s="145"/>
      <c r="AF783" s="142" t="str">
        <f t="shared" si="38"/>
        <v/>
      </c>
      <c r="AG783" s="190" t="b">
        <f t="shared" si="37"/>
        <v>0</v>
      </c>
      <c r="AH783" s="145"/>
      <c r="AI783" s="153" t="s">
        <v>6</v>
      </c>
      <c r="AJ783" s="150">
        <f t="shared" si="39"/>
        <v>0</v>
      </c>
      <c r="AK783" s="154" t="s">
        <v>60</v>
      </c>
    </row>
    <row r="784" spans="1:37" ht="30" customHeight="1">
      <c r="A784" s="64"/>
      <c r="B784" s="64"/>
      <c r="C784" s="64"/>
      <c r="D784" s="64"/>
      <c r="E784" s="64"/>
      <c r="F784" s="64"/>
      <c r="G784" s="64"/>
      <c r="H784" s="64"/>
      <c r="I784" s="64"/>
      <c r="J784" s="64"/>
      <c r="K784" s="64"/>
      <c r="L784" s="64"/>
      <c r="M784" s="64"/>
      <c r="N784" s="194"/>
      <c r="O784" s="157"/>
      <c r="P784" s="92"/>
      <c r="Q784" s="145"/>
      <c r="R784" s="92"/>
      <c r="S784" s="145"/>
      <c r="T784" s="92"/>
      <c r="U784" s="145"/>
      <c r="V784" s="92"/>
      <c r="W784" s="145"/>
      <c r="X784" s="92"/>
      <c r="Y784" s="145"/>
      <c r="Z784" s="92"/>
      <c r="AA784" s="145"/>
      <c r="AB784" s="92"/>
      <c r="AC784" s="145"/>
      <c r="AD784" s="92"/>
      <c r="AE784" s="145"/>
      <c r="AF784" s="142" t="str">
        <f t="shared" si="38"/>
        <v/>
      </c>
      <c r="AG784" s="190" t="b">
        <f t="shared" si="37"/>
        <v>0</v>
      </c>
      <c r="AH784" s="145"/>
      <c r="AI784" s="153" t="s">
        <v>6</v>
      </c>
      <c r="AJ784" s="150">
        <f t="shared" si="39"/>
        <v>0</v>
      </c>
      <c r="AK784" s="154" t="s">
        <v>60</v>
      </c>
    </row>
    <row r="785" spans="1:37" ht="30" customHeight="1">
      <c r="A785" s="64"/>
      <c r="B785" s="64"/>
      <c r="C785" s="64"/>
      <c r="D785" s="64"/>
      <c r="E785" s="64"/>
      <c r="F785" s="64"/>
      <c r="G785" s="64"/>
      <c r="H785" s="64"/>
      <c r="I785" s="64"/>
      <c r="J785" s="64"/>
      <c r="K785" s="64"/>
      <c r="L785" s="64"/>
      <c r="M785" s="64"/>
      <c r="N785" s="194"/>
      <c r="O785" s="157"/>
      <c r="P785" s="92"/>
      <c r="Q785" s="145"/>
      <c r="R785" s="92"/>
      <c r="S785" s="145"/>
      <c r="T785" s="92"/>
      <c r="U785" s="145"/>
      <c r="V785" s="92"/>
      <c r="W785" s="145"/>
      <c r="X785" s="92"/>
      <c r="Y785" s="145"/>
      <c r="Z785" s="92"/>
      <c r="AA785" s="145"/>
      <c r="AB785" s="92"/>
      <c r="AC785" s="145"/>
      <c r="AD785" s="92"/>
      <c r="AE785" s="145"/>
      <c r="AF785" s="142" t="str">
        <f t="shared" si="38"/>
        <v/>
      </c>
      <c r="AG785" s="190" t="b">
        <f t="shared" si="37"/>
        <v>0</v>
      </c>
      <c r="AH785" s="145"/>
      <c r="AI785" s="153" t="s">
        <v>6</v>
      </c>
      <c r="AJ785" s="150">
        <f t="shared" si="39"/>
        <v>0</v>
      </c>
      <c r="AK785" s="154" t="s">
        <v>60</v>
      </c>
    </row>
    <row r="786" spans="1:37" ht="30" customHeight="1">
      <c r="A786" s="64"/>
      <c r="B786" s="64"/>
      <c r="C786" s="64"/>
      <c r="D786" s="64"/>
      <c r="E786" s="64"/>
      <c r="F786" s="64"/>
      <c r="G786" s="64"/>
      <c r="H786" s="64"/>
      <c r="I786" s="64"/>
      <c r="J786" s="64"/>
      <c r="K786" s="64"/>
      <c r="L786" s="64"/>
      <c r="M786" s="64"/>
      <c r="N786" s="194"/>
      <c r="O786" s="157"/>
      <c r="P786" s="92"/>
      <c r="Q786" s="145"/>
      <c r="R786" s="92"/>
      <c r="S786" s="145"/>
      <c r="T786" s="92"/>
      <c r="U786" s="145"/>
      <c r="V786" s="92"/>
      <c r="W786" s="145"/>
      <c r="X786" s="92"/>
      <c r="Y786" s="145"/>
      <c r="Z786" s="92"/>
      <c r="AA786" s="145"/>
      <c r="AB786" s="92"/>
      <c r="AC786" s="145"/>
      <c r="AD786" s="92"/>
      <c r="AE786" s="145"/>
      <c r="AF786" s="142" t="str">
        <f t="shared" si="38"/>
        <v/>
      </c>
      <c r="AG786" s="190" t="b">
        <f t="shared" si="37"/>
        <v>0</v>
      </c>
      <c r="AH786" s="145"/>
      <c r="AI786" s="153" t="s">
        <v>6</v>
      </c>
      <c r="AJ786" s="150">
        <f t="shared" si="39"/>
        <v>0</v>
      </c>
      <c r="AK786" s="154" t="s">
        <v>60</v>
      </c>
    </row>
    <row r="787" spans="1:37" ht="30" customHeight="1">
      <c r="A787" s="64"/>
      <c r="B787" s="64"/>
      <c r="C787" s="64"/>
      <c r="D787" s="64"/>
      <c r="E787" s="64"/>
      <c r="F787" s="64"/>
      <c r="G787" s="64"/>
      <c r="H787" s="64"/>
      <c r="I787" s="64"/>
      <c r="J787" s="64"/>
      <c r="K787" s="64"/>
      <c r="L787" s="64"/>
      <c r="M787" s="64"/>
      <c r="N787" s="194"/>
      <c r="O787" s="157"/>
      <c r="P787" s="92"/>
      <c r="Q787" s="145"/>
      <c r="R787" s="92"/>
      <c r="S787" s="145"/>
      <c r="T787" s="92"/>
      <c r="U787" s="145"/>
      <c r="V787" s="92"/>
      <c r="W787" s="145"/>
      <c r="X787" s="92"/>
      <c r="Y787" s="145"/>
      <c r="Z787" s="92"/>
      <c r="AA787" s="145"/>
      <c r="AB787" s="92"/>
      <c r="AC787" s="145"/>
      <c r="AD787" s="92"/>
      <c r="AE787" s="145"/>
      <c r="AF787" s="142" t="str">
        <f t="shared" si="38"/>
        <v/>
      </c>
      <c r="AG787" s="190" t="b">
        <f t="shared" si="37"/>
        <v>0</v>
      </c>
      <c r="AH787" s="145"/>
      <c r="AI787" s="153" t="s">
        <v>6</v>
      </c>
      <c r="AJ787" s="150">
        <f t="shared" si="39"/>
        <v>0</v>
      </c>
      <c r="AK787" s="154" t="s">
        <v>60</v>
      </c>
    </row>
    <row r="788" spans="1:37" ht="30" customHeight="1">
      <c r="A788" s="64"/>
      <c r="B788" s="64"/>
      <c r="C788" s="64"/>
      <c r="D788" s="64"/>
      <c r="E788" s="64"/>
      <c r="F788" s="64"/>
      <c r="G788" s="64"/>
      <c r="H788" s="64"/>
      <c r="I788" s="64"/>
      <c r="J788" s="64"/>
      <c r="K788" s="64"/>
      <c r="L788" s="64"/>
      <c r="M788" s="64"/>
      <c r="N788" s="194"/>
      <c r="O788" s="157"/>
      <c r="P788" s="92"/>
      <c r="Q788" s="145"/>
      <c r="R788" s="92"/>
      <c r="S788" s="145"/>
      <c r="T788" s="92"/>
      <c r="U788" s="145"/>
      <c r="V788" s="92"/>
      <c r="W788" s="145"/>
      <c r="X788" s="92"/>
      <c r="Y788" s="145"/>
      <c r="Z788" s="92"/>
      <c r="AA788" s="145"/>
      <c r="AB788" s="92"/>
      <c r="AC788" s="145"/>
      <c r="AD788" s="92"/>
      <c r="AE788" s="145"/>
      <c r="AF788" s="142" t="str">
        <f t="shared" si="38"/>
        <v/>
      </c>
      <c r="AG788" s="190" t="b">
        <f t="shared" si="37"/>
        <v>0</v>
      </c>
      <c r="AH788" s="145"/>
      <c r="AI788" s="153" t="s">
        <v>6</v>
      </c>
      <c r="AJ788" s="150">
        <f t="shared" si="39"/>
        <v>0</v>
      </c>
      <c r="AK788" s="154" t="s">
        <v>60</v>
      </c>
    </row>
    <row r="789" spans="1:37" ht="30" customHeight="1">
      <c r="A789" s="64"/>
      <c r="B789" s="64"/>
      <c r="C789" s="64"/>
      <c r="D789" s="64"/>
      <c r="E789" s="64"/>
      <c r="F789" s="64"/>
      <c r="G789" s="64"/>
      <c r="H789" s="64"/>
      <c r="I789" s="64"/>
      <c r="J789" s="64"/>
      <c r="K789" s="64"/>
      <c r="L789" s="64"/>
      <c r="M789" s="64"/>
      <c r="N789" s="194"/>
      <c r="O789" s="157"/>
      <c r="P789" s="92"/>
      <c r="Q789" s="145"/>
      <c r="R789" s="92"/>
      <c r="S789" s="145"/>
      <c r="T789" s="92"/>
      <c r="U789" s="145"/>
      <c r="V789" s="92"/>
      <c r="W789" s="145"/>
      <c r="X789" s="92"/>
      <c r="Y789" s="145"/>
      <c r="Z789" s="92"/>
      <c r="AA789" s="145"/>
      <c r="AB789" s="92"/>
      <c r="AC789" s="145"/>
      <c r="AD789" s="92"/>
      <c r="AE789" s="145"/>
      <c r="AF789" s="142" t="str">
        <f t="shared" si="38"/>
        <v/>
      </c>
      <c r="AG789" s="190" t="b">
        <f t="shared" si="37"/>
        <v>0</v>
      </c>
      <c r="AH789" s="145"/>
      <c r="AI789" s="153" t="s">
        <v>6</v>
      </c>
      <c r="AJ789" s="150">
        <f t="shared" si="39"/>
        <v>0</v>
      </c>
      <c r="AK789" s="154" t="s">
        <v>60</v>
      </c>
    </row>
    <row r="790" spans="1:37" ht="30" customHeight="1">
      <c r="A790" s="64"/>
      <c r="B790" s="64"/>
      <c r="C790" s="64"/>
      <c r="D790" s="64"/>
      <c r="E790" s="64"/>
      <c r="F790" s="64"/>
      <c r="G790" s="64"/>
      <c r="H790" s="64"/>
      <c r="I790" s="64"/>
      <c r="J790" s="64"/>
      <c r="K790" s="64"/>
      <c r="L790" s="64"/>
      <c r="M790" s="64"/>
      <c r="N790" s="194"/>
      <c r="O790" s="157"/>
      <c r="P790" s="92"/>
      <c r="Q790" s="145"/>
      <c r="R790" s="92"/>
      <c r="S790" s="145"/>
      <c r="T790" s="92"/>
      <c r="U790" s="145"/>
      <c r="V790" s="92"/>
      <c r="W790" s="145"/>
      <c r="X790" s="92"/>
      <c r="Y790" s="145"/>
      <c r="Z790" s="92"/>
      <c r="AA790" s="145"/>
      <c r="AB790" s="92"/>
      <c r="AC790" s="145"/>
      <c r="AD790" s="92"/>
      <c r="AE790" s="145"/>
      <c r="AF790" s="142" t="str">
        <f t="shared" si="38"/>
        <v/>
      </c>
      <c r="AG790" s="190" t="b">
        <f t="shared" si="37"/>
        <v>0</v>
      </c>
      <c r="AH790" s="145"/>
      <c r="AI790" s="153" t="s">
        <v>6</v>
      </c>
      <c r="AJ790" s="150">
        <f t="shared" si="39"/>
        <v>0</v>
      </c>
      <c r="AK790" s="154" t="s">
        <v>60</v>
      </c>
    </row>
    <row r="791" spans="1:37" ht="30" customHeight="1">
      <c r="A791" s="64"/>
      <c r="B791" s="64"/>
      <c r="C791" s="64"/>
      <c r="D791" s="64"/>
      <c r="E791" s="64"/>
      <c r="F791" s="64"/>
      <c r="G791" s="64"/>
      <c r="H791" s="64"/>
      <c r="I791" s="64"/>
      <c r="J791" s="64"/>
      <c r="K791" s="64"/>
      <c r="L791" s="64"/>
      <c r="M791" s="64"/>
      <c r="N791" s="194"/>
      <c r="O791" s="157"/>
      <c r="P791" s="92"/>
      <c r="Q791" s="145"/>
      <c r="R791" s="92"/>
      <c r="S791" s="145"/>
      <c r="T791" s="92"/>
      <c r="U791" s="145"/>
      <c r="V791" s="92"/>
      <c r="W791" s="145"/>
      <c r="X791" s="92"/>
      <c r="Y791" s="145"/>
      <c r="Z791" s="92"/>
      <c r="AA791" s="145"/>
      <c r="AB791" s="92"/>
      <c r="AC791" s="145"/>
      <c r="AD791" s="92"/>
      <c r="AE791" s="145"/>
      <c r="AF791" s="142" t="str">
        <f t="shared" si="38"/>
        <v/>
      </c>
      <c r="AG791" s="190" t="b">
        <f t="shared" si="37"/>
        <v>0</v>
      </c>
      <c r="AH791" s="145"/>
      <c r="AI791" s="153" t="s">
        <v>6</v>
      </c>
      <c r="AJ791" s="150">
        <f t="shared" si="39"/>
        <v>0</v>
      </c>
      <c r="AK791" s="154" t="s">
        <v>60</v>
      </c>
    </row>
    <row r="792" spans="1:37" ht="30" customHeight="1">
      <c r="A792" s="64"/>
      <c r="B792" s="64"/>
      <c r="C792" s="64"/>
      <c r="D792" s="64"/>
      <c r="E792" s="64"/>
      <c r="F792" s="64"/>
      <c r="G792" s="64"/>
      <c r="H792" s="64"/>
      <c r="I792" s="64"/>
      <c r="J792" s="64"/>
      <c r="K792" s="64"/>
      <c r="L792" s="64"/>
      <c r="M792" s="64"/>
      <c r="N792" s="194"/>
      <c r="O792" s="157"/>
      <c r="P792" s="92"/>
      <c r="Q792" s="145"/>
      <c r="R792" s="92"/>
      <c r="S792" s="145"/>
      <c r="T792" s="92"/>
      <c r="U792" s="145"/>
      <c r="V792" s="92"/>
      <c r="W792" s="145"/>
      <c r="X792" s="92"/>
      <c r="Y792" s="145"/>
      <c r="Z792" s="92"/>
      <c r="AA792" s="145"/>
      <c r="AB792" s="92"/>
      <c r="AC792" s="145"/>
      <c r="AD792" s="92"/>
      <c r="AE792" s="145"/>
      <c r="AF792" s="142" t="str">
        <f t="shared" si="38"/>
        <v/>
      </c>
      <c r="AG792" s="190" t="b">
        <f t="shared" si="37"/>
        <v>0</v>
      </c>
      <c r="AH792" s="145"/>
      <c r="AI792" s="153" t="s">
        <v>6</v>
      </c>
      <c r="AJ792" s="150">
        <f t="shared" si="39"/>
        <v>0</v>
      </c>
      <c r="AK792" s="154" t="s">
        <v>60</v>
      </c>
    </row>
    <row r="793" spans="1:37" ht="30" customHeight="1">
      <c r="A793" s="64"/>
      <c r="B793" s="64"/>
      <c r="C793" s="64"/>
      <c r="D793" s="64"/>
      <c r="E793" s="64"/>
      <c r="F793" s="64"/>
      <c r="G793" s="64"/>
      <c r="H793" s="64"/>
      <c r="I793" s="64"/>
      <c r="J793" s="64"/>
      <c r="K793" s="64"/>
      <c r="L793" s="64"/>
      <c r="M793" s="64"/>
      <c r="N793" s="194"/>
      <c r="O793" s="157"/>
      <c r="P793" s="92"/>
      <c r="Q793" s="145"/>
      <c r="R793" s="92"/>
      <c r="S793" s="145"/>
      <c r="T793" s="92"/>
      <c r="U793" s="145"/>
      <c r="V793" s="92"/>
      <c r="W793" s="145"/>
      <c r="X793" s="92"/>
      <c r="Y793" s="145"/>
      <c r="Z793" s="92"/>
      <c r="AA793" s="145"/>
      <c r="AB793" s="92"/>
      <c r="AC793" s="145"/>
      <c r="AD793" s="92"/>
      <c r="AE793" s="145"/>
      <c r="AF793" s="142" t="str">
        <f t="shared" si="38"/>
        <v/>
      </c>
      <c r="AG793" s="190" t="b">
        <f t="shared" si="37"/>
        <v>0</v>
      </c>
      <c r="AH793" s="145"/>
      <c r="AI793" s="153" t="s">
        <v>6</v>
      </c>
      <c r="AJ793" s="150">
        <f t="shared" si="39"/>
        <v>0</v>
      </c>
      <c r="AK793" s="154" t="s">
        <v>60</v>
      </c>
    </row>
    <row r="794" spans="1:37" ht="30" customHeight="1">
      <c r="A794" s="64"/>
      <c r="B794" s="64"/>
      <c r="C794" s="64"/>
      <c r="D794" s="64"/>
      <c r="E794" s="64"/>
      <c r="F794" s="64"/>
      <c r="G794" s="64"/>
      <c r="H794" s="64"/>
      <c r="I794" s="64"/>
      <c r="J794" s="64"/>
      <c r="K794" s="64"/>
      <c r="L794" s="64"/>
      <c r="M794" s="64"/>
      <c r="N794" s="194"/>
      <c r="O794" s="157"/>
      <c r="P794" s="92"/>
      <c r="Q794" s="145"/>
      <c r="R794" s="92"/>
      <c r="S794" s="145"/>
      <c r="T794" s="92"/>
      <c r="U794" s="145"/>
      <c r="V794" s="92"/>
      <c r="W794" s="145"/>
      <c r="X794" s="92"/>
      <c r="Y794" s="145"/>
      <c r="Z794" s="92"/>
      <c r="AA794" s="145"/>
      <c r="AB794" s="92"/>
      <c r="AC794" s="145"/>
      <c r="AD794" s="92"/>
      <c r="AE794" s="145"/>
      <c r="AF794" s="142" t="str">
        <f t="shared" si="38"/>
        <v/>
      </c>
      <c r="AG794" s="190" t="b">
        <f t="shared" si="37"/>
        <v>0</v>
      </c>
      <c r="AH794" s="145"/>
      <c r="AI794" s="153" t="s">
        <v>6</v>
      </c>
      <c r="AJ794" s="150">
        <f t="shared" si="39"/>
        <v>0</v>
      </c>
      <c r="AK794" s="154" t="s">
        <v>60</v>
      </c>
    </row>
    <row r="795" spans="1:37" ht="30" customHeight="1">
      <c r="A795" s="64"/>
      <c r="B795" s="64"/>
      <c r="C795" s="64"/>
      <c r="D795" s="64"/>
      <c r="E795" s="64"/>
      <c r="F795" s="64"/>
      <c r="G795" s="64"/>
      <c r="H795" s="64"/>
      <c r="I795" s="64"/>
      <c r="J795" s="64"/>
      <c r="K795" s="64"/>
      <c r="L795" s="64"/>
      <c r="M795" s="64"/>
      <c r="N795" s="194"/>
      <c r="O795" s="157"/>
      <c r="P795" s="92"/>
      <c r="Q795" s="145"/>
      <c r="R795" s="92"/>
      <c r="S795" s="145"/>
      <c r="T795" s="92"/>
      <c r="U795" s="145"/>
      <c r="V795" s="92"/>
      <c r="W795" s="145"/>
      <c r="X795" s="92"/>
      <c r="Y795" s="145"/>
      <c r="Z795" s="92"/>
      <c r="AA795" s="145"/>
      <c r="AB795" s="92"/>
      <c r="AC795" s="145"/>
      <c r="AD795" s="92"/>
      <c r="AE795" s="145"/>
      <c r="AF795" s="142" t="str">
        <f t="shared" si="38"/>
        <v/>
      </c>
      <c r="AG795" s="190" t="b">
        <f t="shared" si="37"/>
        <v>0</v>
      </c>
      <c r="AH795" s="145"/>
      <c r="AI795" s="153" t="s">
        <v>6</v>
      </c>
      <c r="AJ795" s="150">
        <f t="shared" si="39"/>
        <v>0</v>
      </c>
      <c r="AK795" s="154" t="s">
        <v>60</v>
      </c>
    </row>
    <row r="796" spans="1:37" ht="30" customHeight="1">
      <c r="A796" s="64"/>
      <c r="B796" s="64"/>
      <c r="C796" s="64"/>
      <c r="D796" s="64"/>
      <c r="E796" s="64"/>
      <c r="F796" s="64"/>
      <c r="G796" s="64"/>
      <c r="H796" s="64"/>
      <c r="I796" s="64"/>
      <c r="J796" s="64"/>
      <c r="K796" s="64"/>
      <c r="L796" s="64"/>
      <c r="M796" s="64"/>
      <c r="N796" s="194"/>
      <c r="O796" s="157"/>
      <c r="P796" s="92"/>
      <c r="Q796" s="145"/>
      <c r="R796" s="92"/>
      <c r="S796" s="145"/>
      <c r="T796" s="92"/>
      <c r="U796" s="145"/>
      <c r="V796" s="92"/>
      <c r="W796" s="145"/>
      <c r="X796" s="92"/>
      <c r="Y796" s="145"/>
      <c r="Z796" s="92"/>
      <c r="AA796" s="145"/>
      <c r="AB796" s="92"/>
      <c r="AC796" s="145"/>
      <c r="AD796" s="92"/>
      <c r="AE796" s="145"/>
      <c r="AF796" s="142" t="str">
        <f t="shared" si="38"/>
        <v/>
      </c>
      <c r="AG796" s="190" t="b">
        <f t="shared" si="37"/>
        <v>0</v>
      </c>
      <c r="AH796" s="145"/>
      <c r="AI796" s="153" t="s">
        <v>6</v>
      </c>
      <c r="AJ796" s="150">
        <f t="shared" si="39"/>
        <v>0</v>
      </c>
      <c r="AK796" s="154" t="s">
        <v>60</v>
      </c>
    </row>
    <row r="797" spans="1:37" ht="30" customHeight="1">
      <c r="A797" s="64"/>
      <c r="B797" s="64"/>
      <c r="C797" s="64"/>
      <c r="D797" s="64"/>
      <c r="E797" s="64"/>
      <c r="F797" s="64"/>
      <c r="G797" s="64"/>
      <c r="H797" s="64"/>
      <c r="I797" s="64"/>
      <c r="J797" s="64"/>
      <c r="K797" s="64"/>
      <c r="L797" s="64"/>
      <c r="M797" s="64"/>
      <c r="N797" s="194"/>
      <c r="O797" s="157"/>
      <c r="P797" s="92"/>
      <c r="Q797" s="145"/>
      <c r="R797" s="92"/>
      <c r="S797" s="145"/>
      <c r="T797" s="92"/>
      <c r="U797" s="145"/>
      <c r="V797" s="92"/>
      <c r="W797" s="145"/>
      <c r="X797" s="92"/>
      <c r="Y797" s="145"/>
      <c r="Z797" s="92"/>
      <c r="AA797" s="145"/>
      <c r="AB797" s="92"/>
      <c r="AC797" s="145"/>
      <c r="AD797" s="92"/>
      <c r="AE797" s="145"/>
      <c r="AF797" s="142" t="str">
        <f t="shared" si="38"/>
        <v/>
      </c>
      <c r="AG797" s="190" t="b">
        <f t="shared" si="37"/>
        <v>0</v>
      </c>
      <c r="AH797" s="145"/>
      <c r="AI797" s="153" t="s">
        <v>6</v>
      </c>
      <c r="AJ797" s="150">
        <f t="shared" si="39"/>
        <v>0</v>
      </c>
      <c r="AK797" s="154" t="s">
        <v>60</v>
      </c>
    </row>
    <row r="798" spans="1:37" ht="30" customHeight="1">
      <c r="A798" s="64"/>
      <c r="B798" s="64"/>
      <c r="C798" s="64"/>
      <c r="D798" s="64"/>
      <c r="E798" s="64"/>
      <c r="F798" s="64"/>
      <c r="G798" s="64"/>
      <c r="H798" s="64"/>
      <c r="I798" s="64"/>
      <c r="J798" s="64"/>
      <c r="K798" s="64"/>
      <c r="L798" s="64"/>
      <c r="M798" s="64"/>
      <c r="N798" s="194"/>
      <c r="O798" s="157"/>
      <c r="P798" s="92"/>
      <c r="Q798" s="145"/>
      <c r="R798" s="92"/>
      <c r="S798" s="145"/>
      <c r="T798" s="92"/>
      <c r="U798" s="145"/>
      <c r="V798" s="92"/>
      <c r="W798" s="145"/>
      <c r="X798" s="92"/>
      <c r="Y798" s="145"/>
      <c r="Z798" s="92"/>
      <c r="AA798" s="145"/>
      <c r="AB798" s="92"/>
      <c r="AC798" s="145"/>
      <c r="AD798" s="92"/>
      <c r="AE798" s="145"/>
      <c r="AF798" s="142" t="str">
        <f t="shared" si="38"/>
        <v/>
      </c>
      <c r="AG798" s="190" t="b">
        <f t="shared" si="37"/>
        <v>0</v>
      </c>
      <c r="AH798" s="145"/>
      <c r="AI798" s="153" t="s">
        <v>6</v>
      </c>
      <c r="AJ798" s="150">
        <f t="shared" si="39"/>
        <v>0</v>
      </c>
      <c r="AK798" s="154" t="s">
        <v>60</v>
      </c>
    </row>
    <row r="799" spans="1:37" ht="30" customHeight="1">
      <c r="A799" s="64"/>
      <c r="B799" s="64"/>
      <c r="C799" s="64"/>
      <c r="D799" s="64"/>
      <c r="E799" s="64"/>
      <c r="F799" s="64"/>
      <c r="G799" s="64"/>
      <c r="H799" s="64"/>
      <c r="I799" s="64"/>
      <c r="J799" s="64"/>
      <c r="K799" s="64"/>
      <c r="L799" s="64"/>
      <c r="M799" s="64"/>
      <c r="N799" s="194"/>
      <c r="O799" s="157"/>
      <c r="P799" s="92"/>
      <c r="Q799" s="145"/>
      <c r="R799" s="92"/>
      <c r="S799" s="145"/>
      <c r="T799" s="92"/>
      <c r="U799" s="145"/>
      <c r="V799" s="92"/>
      <c r="W799" s="145"/>
      <c r="X799" s="92"/>
      <c r="Y799" s="145"/>
      <c r="Z799" s="92"/>
      <c r="AA799" s="145"/>
      <c r="AB799" s="92"/>
      <c r="AC799" s="145"/>
      <c r="AD799" s="92"/>
      <c r="AE799" s="145"/>
      <c r="AF799" s="142" t="str">
        <f t="shared" si="38"/>
        <v/>
      </c>
      <c r="AG799" s="190" t="b">
        <f t="shared" si="37"/>
        <v>0</v>
      </c>
      <c r="AH799" s="145"/>
      <c r="AI799" s="153" t="s">
        <v>6</v>
      </c>
      <c r="AJ799" s="150">
        <f t="shared" si="39"/>
        <v>0</v>
      </c>
      <c r="AK799" s="154" t="s">
        <v>60</v>
      </c>
    </row>
    <row r="800" spans="1:37" ht="30" customHeight="1">
      <c r="A800" s="64"/>
      <c r="B800" s="64"/>
      <c r="C800" s="64"/>
      <c r="D800" s="64"/>
      <c r="E800" s="64"/>
      <c r="F800" s="64"/>
      <c r="G800" s="64"/>
      <c r="H800" s="64"/>
      <c r="I800" s="64"/>
      <c r="J800" s="64"/>
      <c r="K800" s="64"/>
      <c r="L800" s="64"/>
      <c r="M800" s="64"/>
      <c r="N800" s="194"/>
      <c r="O800" s="157"/>
      <c r="P800" s="92"/>
      <c r="Q800" s="145"/>
      <c r="R800" s="92"/>
      <c r="S800" s="145"/>
      <c r="T800" s="92"/>
      <c r="U800" s="145"/>
      <c r="V800" s="92"/>
      <c r="W800" s="145"/>
      <c r="X800" s="92"/>
      <c r="Y800" s="145"/>
      <c r="Z800" s="92"/>
      <c r="AA800" s="145"/>
      <c r="AB800" s="92"/>
      <c r="AC800" s="145"/>
      <c r="AD800" s="92"/>
      <c r="AE800" s="145"/>
      <c r="AF800" s="142" t="str">
        <f t="shared" si="38"/>
        <v/>
      </c>
      <c r="AG800" s="190" t="b">
        <f t="shared" si="37"/>
        <v>0</v>
      </c>
      <c r="AH800" s="145"/>
      <c r="AI800" s="153" t="s">
        <v>6</v>
      </c>
      <c r="AJ800" s="150">
        <f t="shared" si="39"/>
        <v>0</v>
      </c>
      <c r="AK800" s="154" t="s">
        <v>60</v>
      </c>
    </row>
    <row r="801" spans="1:37" ht="30" customHeight="1">
      <c r="A801" s="64"/>
      <c r="B801" s="64"/>
      <c r="C801" s="64"/>
      <c r="D801" s="64"/>
      <c r="E801" s="64"/>
      <c r="F801" s="64"/>
      <c r="G801" s="64"/>
      <c r="H801" s="64"/>
      <c r="I801" s="64"/>
      <c r="J801" s="64"/>
      <c r="K801" s="64"/>
      <c r="L801" s="64"/>
      <c r="M801" s="64"/>
      <c r="N801" s="194"/>
      <c r="O801" s="157"/>
      <c r="P801" s="92"/>
      <c r="Q801" s="145"/>
      <c r="R801" s="92"/>
      <c r="S801" s="145"/>
      <c r="T801" s="92"/>
      <c r="U801" s="145"/>
      <c r="V801" s="92"/>
      <c r="W801" s="145"/>
      <c r="X801" s="92"/>
      <c r="Y801" s="145"/>
      <c r="Z801" s="92"/>
      <c r="AA801" s="145"/>
      <c r="AB801" s="92"/>
      <c r="AC801" s="145"/>
      <c r="AD801" s="92"/>
      <c r="AE801" s="145"/>
      <c r="AF801" s="142" t="str">
        <f t="shared" si="38"/>
        <v/>
      </c>
      <c r="AG801" s="190" t="b">
        <f t="shared" si="37"/>
        <v>0</v>
      </c>
      <c r="AH801" s="145"/>
      <c r="AI801" s="153" t="s">
        <v>6</v>
      </c>
      <c r="AJ801" s="150">
        <f t="shared" si="39"/>
        <v>0</v>
      </c>
      <c r="AK801" s="154" t="s">
        <v>60</v>
      </c>
    </row>
    <row r="802" spans="1:37" ht="30" customHeight="1">
      <c r="A802" s="64"/>
      <c r="B802" s="64"/>
      <c r="C802" s="64"/>
      <c r="D802" s="64"/>
      <c r="E802" s="64"/>
      <c r="F802" s="64"/>
      <c r="G802" s="64"/>
      <c r="H802" s="64"/>
      <c r="I802" s="64"/>
      <c r="J802" s="64"/>
      <c r="K802" s="64"/>
      <c r="L802" s="64"/>
      <c r="M802" s="64"/>
      <c r="N802" s="194"/>
      <c r="O802" s="157"/>
      <c r="P802" s="92"/>
      <c r="Q802" s="145"/>
      <c r="R802" s="92"/>
      <c r="S802" s="145"/>
      <c r="T802" s="92"/>
      <c r="U802" s="145"/>
      <c r="V802" s="92"/>
      <c r="W802" s="145"/>
      <c r="X802" s="92"/>
      <c r="Y802" s="145"/>
      <c r="Z802" s="92"/>
      <c r="AA802" s="145"/>
      <c r="AB802" s="92"/>
      <c r="AC802" s="145"/>
      <c r="AD802" s="92"/>
      <c r="AE802" s="145"/>
      <c r="AF802" s="142" t="str">
        <f t="shared" si="38"/>
        <v/>
      </c>
      <c r="AG802" s="190" t="b">
        <f t="shared" si="37"/>
        <v>0</v>
      </c>
      <c r="AH802" s="145"/>
      <c r="AI802" s="153" t="s">
        <v>6</v>
      </c>
      <c r="AJ802" s="150">
        <f t="shared" si="39"/>
        <v>0</v>
      </c>
      <c r="AK802" s="154" t="s">
        <v>60</v>
      </c>
    </row>
    <row r="803" spans="1:37" ht="30" customHeight="1">
      <c r="A803" s="64"/>
      <c r="B803" s="64"/>
      <c r="C803" s="64"/>
      <c r="D803" s="64"/>
      <c r="E803" s="64"/>
      <c r="F803" s="64"/>
      <c r="G803" s="64"/>
      <c r="H803" s="64"/>
      <c r="I803" s="64"/>
      <c r="J803" s="64"/>
      <c r="K803" s="64"/>
      <c r="L803" s="64"/>
      <c r="M803" s="64"/>
      <c r="N803" s="194"/>
      <c r="O803" s="157"/>
      <c r="P803" s="92"/>
      <c r="Q803" s="145"/>
      <c r="R803" s="92"/>
      <c r="S803" s="145"/>
      <c r="T803" s="92"/>
      <c r="U803" s="145"/>
      <c r="V803" s="92"/>
      <c r="W803" s="145"/>
      <c r="X803" s="92"/>
      <c r="Y803" s="145"/>
      <c r="Z803" s="92"/>
      <c r="AA803" s="145"/>
      <c r="AB803" s="92"/>
      <c r="AC803" s="145"/>
      <c r="AD803" s="92"/>
      <c r="AE803" s="145"/>
      <c r="AF803" s="142" t="str">
        <f t="shared" si="38"/>
        <v/>
      </c>
      <c r="AG803" s="190" t="b">
        <f t="shared" si="37"/>
        <v>0</v>
      </c>
      <c r="AH803" s="145"/>
      <c r="AI803" s="153" t="s">
        <v>6</v>
      </c>
      <c r="AJ803" s="150">
        <f t="shared" si="39"/>
        <v>0</v>
      </c>
      <c r="AK803" s="154" t="s">
        <v>60</v>
      </c>
    </row>
    <row r="804" spans="1:37" ht="30" customHeight="1">
      <c r="A804" s="64"/>
      <c r="B804" s="64"/>
      <c r="C804" s="64"/>
      <c r="D804" s="64"/>
      <c r="E804" s="64"/>
      <c r="F804" s="64"/>
      <c r="G804" s="64"/>
      <c r="H804" s="64"/>
      <c r="I804" s="64"/>
      <c r="J804" s="64"/>
      <c r="K804" s="64"/>
      <c r="L804" s="64"/>
      <c r="M804" s="64"/>
      <c r="N804" s="194"/>
      <c r="O804" s="157"/>
      <c r="P804" s="92"/>
      <c r="Q804" s="145"/>
      <c r="R804" s="92"/>
      <c r="S804" s="145"/>
      <c r="T804" s="92"/>
      <c r="U804" s="145"/>
      <c r="V804" s="92"/>
      <c r="W804" s="145"/>
      <c r="X804" s="92"/>
      <c r="Y804" s="145"/>
      <c r="Z804" s="92"/>
      <c r="AA804" s="145"/>
      <c r="AB804" s="92"/>
      <c r="AC804" s="145"/>
      <c r="AD804" s="92"/>
      <c r="AE804" s="145"/>
      <c r="AF804" s="142" t="str">
        <f t="shared" si="38"/>
        <v/>
      </c>
      <c r="AG804" s="190" t="b">
        <f t="shared" si="37"/>
        <v>0</v>
      </c>
      <c r="AH804" s="145"/>
      <c r="AI804" s="153" t="s">
        <v>6</v>
      </c>
      <c r="AJ804" s="150">
        <f t="shared" si="39"/>
        <v>0</v>
      </c>
      <c r="AK804" s="154" t="s">
        <v>60</v>
      </c>
    </row>
    <row r="805" spans="1:37" ht="30" customHeight="1">
      <c r="A805" s="64"/>
      <c r="B805" s="64"/>
      <c r="C805" s="64"/>
      <c r="D805" s="64"/>
      <c r="E805" s="64"/>
      <c r="F805" s="64"/>
      <c r="G805" s="64"/>
      <c r="H805" s="64"/>
      <c r="I805" s="64"/>
      <c r="J805" s="64"/>
      <c r="K805" s="64"/>
      <c r="L805" s="64"/>
      <c r="M805" s="64"/>
      <c r="N805" s="194"/>
      <c r="O805" s="157"/>
      <c r="P805" s="92"/>
      <c r="Q805" s="145"/>
      <c r="R805" s="92"/>
      <c r="S805" s="145"/>
      <c r="T805" s="92"/>
      <c r="U805" s="145"/>
      <c r="V805" s="92"/>
      <c r="W805" s="145"/>
      <c r="X805" s="92"/>
      <c r="Y805" s="145"/>
      <c r="Z805" s="92"/>
      <c r="AA805" s="145"/>
      <c r="AB805" s="92"/>
      <c r="AC805" s="145"/>
      <c r="AD805" s="92"/>
      <c r="AE805" s="145"/>
      <c r="AF805" s="142" t="str">
        <f t="shared" si="38"/>
        <v/>
      </c>
      <c r="AG805" s="190" t="b">
        <f t="shared" si="37"/>
        <v>0</v>
      </c>
      <c r="AH805" s="145"/>
      <c r="AI805" s="153" t="s">
        <v>6</v>
      </c>
      <c r="AJ805" s="150">
        <f t="shared" si="39"/>
        <v>0</v>
      </c>
      <c r="AK805" s="154" t="s">
        <v>60</v>
      </c>
    </row>
    <row r="806" spans="1:37" ht="30" customHeight="1">
      <c r="A806" s="64"/>
      <c r="B806" s="64"/>
      <c r="C806" s="64"/>
      <c r="D806" s="64"/>
      <c r="E806" s="64"/>
      <c r="F806" s="64"/>
      <c r="G806" s="64"/>
      <c r="H806" s="64"/>
      <c r="I806" s="64"/>
      <c r="J806" s="64"/>
      <c r="K806" s="64"/>
      <c r="L806" s="64"/>
      <c r="M806" s="64"/>
      <c r="N806" s="194"/>
      <c r="O806" s="157"/>
      <c r="P806" s="92"/>
      <c r="Q806" s="145"/>
      <c r="R806" s="92"/>
      <c r="S806" s="145"/>
      <c r="T806" s="92"/>
      <c r="U806" s="145"/>
      <c r="V806" s="92"/>
      <c r="W806" s="145"/>
      <c r="X806" s="92"/>
      <c r="Y806" s="145"/>
      <c r="Z806" s="92"/>
      <c r="AA806" s="145"/>
      <c r="AB806" s="92"/>
      <c r="AC806" s="145"/>
      <c r="AD806" s="92"/>
      <c r="AE806" s="145"/>
      <c r="AF806" s="142" t="str">
        <f t="shared" si="38"/>
        <v/>
      </c>
      <c r="AG806" s="190" t="b">
        <f t="shared" si="37"/>
        <v>0</v>
      </c>
      <c r="AH806" s="145"/>
      <c r="AI806" s="153" t="s">
        <v>6</v>
      </c>
      <c r="AJ806" s="150">
        <f t="shared" si="39"/>
        <v>0</v>
      </c>
      <c r="AK806" s="154" t="s">
        <v>60</v>
      </c>
    </row>
    <row r="807" spans="1:37" ht="30" customHeight="1">
      <c r="A807" s="64"/>
      <c r="B807" s="64"/>
      <c r="C807" s="64"/>
      <c r="D807" s="64"/>
      <c r="E807" s="64"/>
      <c r="F807" s="64"/>
      <c r="G807" s="64"/>
      <c r="H807" s="64"/>
      <c r="I807" s="64"/>
      <c r="J807" s="64"/>
      <c r="K807" s="64"/>
      <c r="L807" s="64"/>
      <c r="M807" s="64"/>
      <c r="N807" s="194"/>
      <c r="O807" s="157"/>
      <c r="P807" s="92"/>
      <c r="Q807" s="145"/>
      <c r="R807" s="92"/>
      <c r="S807" s="145"/>
      <c r="T807" s="92"/>
      <c r="U807" s="145"/>
      <c r="V807" s="92"/>
      <c r="W807" s="145"/>
      <c r="X807" s="92"/>
      <c r="Y807" s="145"/>
      <c r="Z807" s="92"/>
      <c r="AA807" s="145"/>
      <c r="AB807" s="92"/>
      <c r="AC807" s="145"/>
      <c r="AD807" s="92"/>
      <c r="AE807" s="145"/>
      <c r="AF807" s="142" t="str">
        <f t="shared" si="38"/>
        <v/>
      </c>
      <c r="AG807" s="190" t="b">
        <f t="shared" ref="AG807:AG870" si="40">IF(AND(AE807="C",AF807="C"),"UTILIZOU O PDA CORRETAMENTE",IF(AND(AE807="C",AF807="NC"),"UTILIZOU O PDA CORRETAMENTE. NÃO HÁ FOTOS DE TODAS AS ETAPAS",IF(AND(AE807="NC",AF807="NC"),"NÃO UTILIZOU O PDA",IF(AND(AE807="NA",AF807="NA"),"NÃO AVALIADO POR FALHA DE SINCRONISMO"))))</f>
        <v>0</v>
      </c>
      <c r="AH807" s="145"/>
      <c r="AI807" s="153" t="s">
        <v>6</v>
      </c>
      <c r="AJ807" s="150">
        <f t="shared" si="39"/>
        <v>0</v>
      </c>
      <c r="AK807" s="154" t="s">
        <v>60</v>
      </c>
    </row>
    <row r="808" spans="1:37" ht="30" customHeight="1">
      <c r="A808" s="64"/>
      <c r="B808" s="64"/>
      <c r="C808" s="64"/>
      <c r="D808" s="64"/>
      <c r="E808" s="64"/>
      <c r="F808" s="64"/>
      <c r="G808" s="64"/>
      <c r="H808" s="64"/>
      <c r="I808" s="64"/>
      <c r="J808" s="64"/>
      <c r="K808" s="64"/>
      <c r="L808" s="64"/>
      <c r="M808" s="64"/>
      <c r="N808" s="194"/>
      <c r="O808" s="157"/>
      <c r="P808" s="92"/>
      <c r="Q808" s="145"/>
      <c r="R808" s="92"/>
      <c r="S808" s="145"/>
      <c r="T808" s="92"/>
      <c r="U808" s="145"/>
      <c r="V808" s="92"/>
      <c r="W808" s="145"/>
      <c r="X808" s="92"/>
      <c r="Y808" s="145"/>
      <c r="Z808" s="92"/>
      <c r="AA808" s="145"/>
      <c r="AB808" s="92"/>
      <c r="AC808" s="145"/>
      <c r="AD808" s="92"/>
      <c r="AE808" s="145"/>
      <c r="AF808" s="142" t="str">
        <f t="shared" ref="AF808:AF871" si="41">IF(AND(O808="",Q808="",S808="",U808="",W808="",Y808="",AA808="",AC808=""),"",IF(OR(AND(O808&lt;&gt;"NA",O808&lt;&gt;"C",O808&lt;&gt;"NC",O808&lt;&gt;"SF",O808&lt;&gt;""),AND(Q808&lt;&gt;"NA",Q808&lt;&gt;"C",Q808&lt;&gt;"NC",Q808&lt;&gt;"SF",Q808&lt;&gt;""),AND(S808&lt;&gt;"NA",S808&lt;&gt;"C",S808&lt;&gt;"NC",S808&lt;&gt;"SF",S808&lt;&gt;""),AND(U808&lt;&gt;"NA",U808&lt;&gt;"C",U808&lt;&gt;"NC",U808&lt;&gt;"SF",U808&lt;&gt;""),AND(W808&lt;&gt;"NA",W808&lt;&gt;"C",W808&lt;&gt;"NC",W808&lt;&gt;"SF",W808&lt;&gt;""),AND(Y808&lt;&gt;"NA",Y808&lt;&gt;"C",Y808&lt;&gt;"NC",Y808&lt;&gt;"SF",Y808&lt;&gt;""),AND(AA808&lt;&gt;"NA",AA808&lt;&gt;"C",AA808&lt;&gt;"NC",AA808&lt;&gt;"SF",AA808&lt;&gt;""),AND(AC808&lt;&gt;"NA",AC808&lt;&gt;"C",AC808&lt;&gt;"NC",AC808&lt;&gt;"SF",AC808&lt;&gt;"")),"FALSO",IF(AND(O808="NA",Q808="NA",S808="NA",U808="NA",W808="NA",Y808="NA",AA808="NA",AC808="NA"),"NA",IF(OR(O808="NC",Q808="NC",S808="NC",U808="NC",W808="NC",Y808="NC",AA808="NC",AC808="NC",O808="SF",Q808="SF",S808="SF",U808="SF",W808="SF",Y808="SF",AA808="SF",AC808="SF"),"NC",IF(OR(O808="C",Q808="C",S808="C",U808="C",W808="C",Y808="C",AA808="C",AC808="C"),"C","")))))</f>
        <v/>
      </c>
      <c r="AG808" s="190" t="b">
        <f t="shared" si="40"/>
        <v>0</v>
      </c>
      <c r="AH808" s="145"/>
      <c r="AI808" s="153" t="s">
        <v>6</v>
      </c>
      <c r="AJ808" s="150">
        <f t="shared" si="39"/>
        <v>0</v>
      </c>
      <c r="AK808" s="154" t="s">
        <v>60</v>
      </c>
    </row>
    <row r="809" spans="1:37" ht="30" customHeight="1">
      <c r="A809" s="64"/>
      <c r="B809" s="64"/>
      <c r="C809" s="64"/>
      <c r="D809" s="64"/>
      <c r="E809" s="64"/>
      <c r="F809" s="64"/>
      <c r="G809" s="64"/>
      <c r="H809" s="64"/>
      <c r="I809" s="64"/>
      <c r="J809" s="64"/>
      <c r="K809" s="64"/>
      <c r="L809" s="64"/>
      <c r="M809" s="64"/>
      <c r="N809" s="194"/>
      <c r="O809" s="157"/>
      <c r="P809" s="92"/>
      <c r="Q809" s="145"/>
      <c r="R809" s="92"/>
      <c r="S809" s="145"/>
      <c r="T809" s="92"/>
      <c r="U809" s="145"/>
      <c r="V809" s="92"/>
      <c r="W809" s="145"/>
      <c r="X809" s="92"/>
      <c r="Y809" s="145"/>
      <c r="Z809" s="92"/>
      <c r="AA809" s="145"/>
      <c r="AB809" s="92"/>
      <c r="AC809" s="145"/>
      <c r="AD809" s="92"/>
      <c r="AE809" s="145"/>
      <c r="AF809" s="142" t="str">
        <f t="shared" si="41"/>
        <v/>
      </c>
      <c r="AG809" s="190" t="b">
        <f t="shared" si="40"/>
        <v>0</v>
      </c>
      <c r="AH809" s="145"/>
      <c r="AI809" s="153" t="s">
        <v>6</v>
      </c>
      <c r="AJ809" s="150">
        <f t="shared" si="39"/>
        <v>0</v>
      </c>
      <c r="AK809" s="154" t="s">
        <v>60</v>
      </c>
    </row>
    <row r="810" spans="1:37" ht="30" customHeight="1">
      <c r="A810" s="64"/>
      <c r="B810" s="64"/>
      <c r="C810" s="64"/>
      <c r="D810" s="64"/>
      <c r="E810" s="64"/>
      <c r="F810" s="64"/>
      <c r="G810" s="64"/>
      <c r="H810" s="64"/>
      <c r="I810" s="64"/>
      <c r="J810" s="64"/>
      <c r="K810" s="64"/>
      <c r="L810" s="64"/>
      <c r="M810" s="64"/>
      <c r="N810" s="194"/>
      <c r="O810" s="157"/>
      <c r="P810" s="92"/>
      <c r="Q810" s="145"/>
      <c r="R810" s="92"/>
      <c r="S810" s="145"/>
      <c r="T810" s="92"/>
      <c r="U810" s="145"/>
      <c r="V810" s="92"/>
      <c r="W810" s="145"/>
      <c r="X810" s="92"/>
      <c r="Y810" s="145"/>
      <c r="Z810" s="92"/>
      <c r="AA810" s="145"/>
      <c r="AB810" s="92"/>
      <c r="AC810" s="145"/>
      <c r="AD810" s="92"/>
      <c r="AE810" s="145"/>
      <c r="AF810" s="142" t="str">
        <f t="shared" si="41"/>
        <v/>
      </c>
      <c r="AG810" s="190" t="b">
        <f t="shared" si="40"/>
        <v>0</v>
      </c>
      <c r="AH810" s="145"/>
      <c r="AI810" s="153" t="s">
        <v>6</v>
      </c>
      <c r="AJ810" s="150">
        <f t="shared" si="39"/>
        <v>0</v>
      </c>
      <c r="AK810" s="154" t="s">
        <v>60</v>
      </c>
    </row>
    <row r="811" spans="1:37" ht="30" customHeight="1">
      <c r="A811" s="64"/>
      <c r="B811" s="64"/>
      <c r="C811" s="64"/>
      <c r="D811" s="64"/>
      <c r="E811" s="64"/>
      <c r="F811" s="64"/>
      <c r="G811" s="64"/>
      <c r="H811" s="64"/>
      <c r="I811" s="64"/>
      <c r="J811" s="64"/>
      <c r="K811" s="64"/>
      <c r="L811" s="64"/>
      <c r="M811" s="64"/>
      <c r="N811" s="194"/>
      <c r="O811" s="157"/>
      <c r="P811" s="92"/>
      <c r="Q811" s="145"/>
      <c r="R811" s="92"/>
      <c r="S811" s="145"/>
      <c r="T811" s="92"/>
      <c r="U811" s="145"/>
      <c r="V811" s="92"/>
      <c r="W811" s="145"/>
      <c r="X811" s="92"/>
      <c r="Y811" s="145"/>
      <c r="Z811" s="92"/>
      <c r="AA811" s="145"/>
      <c r="AB811" s="92"/>
      <c r="AC811" s="145"/>
      <c r="AD811" s="92"/>
      <c r="AE811" s="145"/>
      <c r="AF811" s="142" t="str">
        <f t="shared" si="41"/>
        <v/>
      </c>
      <c r="AG811" s="190" t="b">
        <f t="shared" si="40"/>
        <v>0</v>
      </c>
      <c r="AH811" s="145"/>
      <c r="AI811" s="153" t="s">
        <v>6</v>
      </c>
      <c r="AJ811" s="150">
        <f t="shared" si="39"/>
        <v>0</v>
      </c>
      <c r="AK811" s="154" t="s">
        <v>60</v>
      </c>
    </row>
    <row r="812" spans="1:37" ht="30" customHeight="1">
      <c r="A812" s="64"/>
      <c r="B812" s="64"/>
      <c r="C812" s="64"/>
      <c r="D812" s="64"/>
      <c r="E812" s="64"/>
      <c r="F812" s="64"/>
      <c r="G812" s="64"/>
      <c r="H812" s="64"/>
      <c r="I812" s="64"/>
      <c r="J812" s="64"/>
      <c r="K812" s="64"/>
      <c r="L812" s="64"/>
      <c r="M812" s="64"/>
      <c r="N812" s="194"/>
      <c r="O812" s="157"/>
      <c r="P812" s="92"/>
      <c r="Q812" s="145"/>
      <c r="R812" s="92"/>
      <c r="S812" s="145"/>
      <c r="T812" s="92"/>
      <c r="U812" s="145"/>
      <c r="V812" s="92"/>
      <c r="W812" s="145"/>
      <c r="X812" s="92"/>
      <c r="Y812" s="145"/>
      <c r="Z812" s="92"/>
      <c r="AA812" s="145"/>
      <c r="AB812" s="92"/>
      <c r="AC812" s="145"/>
      <c r="AD812" s="92"/>
      <c r="AE812" s="145"/>
      <c r="AF812" s="142" t="str">
        <f t="shared" si="41"/>
        <v/>
      </c>
      <c r="AG812" s="190" t="b">
        <f t="shared" si="40"/>
        <v>0</v>
      </c>
      <c r="AH812" s="145"/>
      <c r="AI812" s="153" t="s">
        <v>6</v>
      </c>
      <c r="AJ812" s="150">
        <f t="shared" si="39"/>
        <v>0</v>
      </c>
      <c r="AK812" s="154" t="s">
        <v>60</v>
      </c>
    </row>
    <row r="813" spans="1:37" ht="30" customHeight="1">
      <c r="A813" s="64"/>
      <c r="B813" s="64"/>
      <c r="C813" s="64"/>
      <c r="D813" s="64"/>
      <c r="E813" s="64"/>
      <c r="F813" s="64"/>
      <c r="G813" s="64"/>
      <c r="H813" s="64"/>
      <c r="I813" s="64"/>
      <c r="J813" s="64"/>
      <c r="K813" s="64"/>
      <c r="L813" s="64"/>
      <c r="M813" s="64"/>
      <c r="N813" s="194"/>
      <c r="O813" s="157"/>
      <c r="P813" s="92"/>
      <c r="Q813" s="145"/>
      <c r="R813" s="92"/>
      <c r="S813" s="145"/>
      <c r="T813" s="92"/>
      <c r="U813" s="145"/>
      <c r="V813" s="92"/>
      <c r="W813" s="145"/>
      <c r="X813" s="92"/>
      <c r="Y813" s="145"/>
      <c r="Z813" s="92"/>
      <c r="AA813" s="145"/>
      <c r="AB813" s="92"/>
      <c r="AC813" s="145"/>
      <c r="AD813" s="92"/>
      <c r="AE813" s="145"/>
      <c r="AF813" s="142" t="str">
        <f t="shared" si="41"/>
        <v/>
      </c>
      <c r="AG813" s="190" t="b">
        <f t="shared" si="40"/>
        <v>0</v>
      </c>
      <c r="AH813" s="145"/>
      <c r="AI813" s="153" t="s">
        <v>6</v>
      </c>
      <c r="AJ813" s="150">
        <f t="shared" si="39"/>
        <v>0</v>
      </c>
      <c r="AK813" s="154" t="s">
        <v>60</v>
      </c>
    </row>
    <row r="814" spans="1:37" ht="30" customHeight="1">
      <c r="A814" s="64"/>
      <c r="B814" s="64"/>
      <c r="C814" s="64"/>
      <c r="D814" s="64"/>
      <c r="E814" s="64"/>
      <c r="F814" s="64"/>
      <c r="G814" s="64"/>
      <c r="H814" s="64"/>
      <c r="I814" s="64"/>
      <c r="J814" s="64"/>
      <c r="K814" s="64"/>
      <c r="L814" s="64"/>
      <c r="M814" s="64"/>
      <c r="N814" s="194"/>
      <c r="O814" s="157"/>
      <c r="P814" s="92"/>
      <c r="Q814" s="145"/>
      <c r="R814" s="92"/>
      <c r="S814" s="145"/>
      <c r="T814" s="92"/>
      <c r="U814" s="145"/>
      <c r="V814" s="92"/>
      <c r="W814" s="145"/>
      <c r="X814" s="92"/>
      <c r="Y814" s="145"/>
      <c r="Z814" s="92"/>
      <c r="AA814" s="145"/>
      <c r="AB814" s="92"/>
      <c r="AC814" s="145"/>
      <c r="AD814" s="92"/>
      <c r="AE814" s="145"/>
      <c r="AF814" s="142" t="str">
        <f t="shared" si="41"/>
        <v/>
      </c>
      <c r="AG814" s="190" t="b">
        <f t="shared" si="40"/>
        <v>0</v>
      </c>
      <c r="AH814" s="145"/>
      <c r="AI814" s="153" t="s">
        <v>6</v>
      </c>
      <c r="AJ814" s="150">
        <f t="shared" si="39"/>
        <v>0</v>
      </c>
      <c r="AK814" s="154" t="s">
        <v>60</v>
      </c>
    </row>
    <row r="815" spans="1:37" ht="30" customHeight="1">
      <c r="A815" s="64"/>
      <c r="B815" s="64"/>
      <c r="C815" s="64"/>
      <c r="D815" s="64"/>
      <c r="E815" s="64"/>
      <c r="F815" s="64"/>
      <c r="G815" s="64"/>
      <c r="H815" s="64"/>
      <c r="I815" s="64"/>
      <c r="J815" s="64"/>
      <c r="K815" s="64"/>
      <c r="L815" s="64"/>
      <c r="M815" s="64"/>
      <c r="N815" s="194"/>
      <c r="O815" s="157"/>
      <c r="P815" s="92"/>
      <c r="Q815" s="145"/>
      <c r="R815" s="92"/>
      <c r="S815" s="145"/>
      <c r="T815" s="92"/>
      <c r="U815" s="145"/>
      <c r="V815" s="92"/>
      <c r="W815" s="145"/>
      <c r="X815" s="92"/>
      <c r="Y815" s="145"/>
      <c r="Z815" s="92"/>
      <c r="AA815" s="145"/>
      <c r="AB815" s="92"/>
      <c r="AC815" s="145"/>
      <c r="AD815" s="92"/>
      <c r="AE815" s="145"/>
      <c r="AF815" s="142" t="str">
        <f t="shared" si="41"/>
        <v/>
      </c>
      <c r="AG815" s="190" t="b">
        <f t="shared" si="40"/>
        <v>0</v>
      </c>
      <c r="AH815" s="145"/>
      <c r="AI815" s="153" t="s">
        <v>6</v>
      </c>
      <c r="AJ815" s="150">
        <f t="shared" si="39"/>
        <v>0</v>
      </c>
      <c r="AK815" s="154" t="s">
        <v>60</v>
      </c>
    </row>
    <row r="816" spans="1:37" ht="30" customHeight="1">
      <c r="A816" s="64"/>
      <c r="B816" s="64"/>
      <c r="C816" s="64"/>
      <c r="D816" s="64"/>
      <c r="E816" s="64"/>
      <c r="F816" s="64"/>
      <c r="G816" s="64"/>
      <c r="H816" s="64"/>
      <c r="I816" s="64"/>
      <c r="J816" s="64"/>
      <c r="K816" s="64"/>
      <c r="L816" s="64"/>
      <c r="M816" s="64"/>
      <c r="N816" s="194"/>
      <c r="O816" s="157"/>
      <c r="P816" s="92"/>
      <c r="Q816" s="145"/>
      <c r="R816" s="92"/>
      <c r="S816" s="145"/>
      <c r="T816" s="92"/>
      <c r="U816" s="145"/>
      <c r="V816" s="92"/>
      <c r="W816" s="145"/>
      <c r="X816" s="92"/>
      <c r="Y816" s="145"/>
      <c r="Z816" s="92"/>
      <c r="AA816" s="145"/>
      <c r="AB816" s="92"/>
      <c r="AC816" s="145"/>
      <c r="AD816" s="92"/>
      <c r="AE816" s="145"/>
      <c r="AF816" s="142" t="str">
        <f t="shared" si="41"/>
        <v/>
      </c>
      <c r="AG816" s="190" t="b">
        <f t="shared" si="40"/>
        <v>0</v>
      </c>
      <c r="AH816" s="145"/>
      <c r="AI816" s="153" t="s">
        <v>6</v>
      </c>
      <c r="AJ816" s="150">
        <f t="shared" si="39"/>
        <v>0</v>
      </c>
      <c r="AK816" s="154" t="s">
        <v>60</v>
      </c>
    </row>
    <row r="817" spans="1:37" ht="30" customHeight="1">
      <c r="A817" s="64"/>
      <c r="B817" s="64"/>
      <c r="C817" s="64"/>
      <c r="D817" s="64"/>
      <c r="E817" s="64"/>
      <c r="F817" s="64"/>
      <c r="G817" s="64"/>
      <c r="H817" s="64"/>
      <c r="I817" s="64"/>
      <c r="J817" s="64"/>
      <c r="K817" s="64"/>
      <c r="L817" s="64"/>
      <c r="M817" s="64"/>
      <c r="N817" s="194"/>
      <c r="O817" s="157"/>
      <c r="P817" s="92"/>
      <c r="Q817" s="145"/>
      <c r="R817" s="92"/>
      <c r="S817" s="145"/>
      <c r="T817" s="92"/>
      <c r="U817" s="145"/>
      <c r="V817" s="92"/>
      <c r="W817" s="145"/>
      <c r="X817" s="92"/>
      <c r="Y817" s="145"/>
      <c r="Z817" s="92"/>
      <c r="AA817" s="145"/>
      <c r="AB817" s="92"/>
      <c r="AC817" s="145"/>
      <c r="AD817" s="92"/>
      <c r="AE817" s="145"/>
      <c r="AF817" s="142" t="str">
        <f t="shared" si="41"/>
        <v/>
      </c>
      <c r="AG817" s="190" t="b">
        <f t="shared" si="40"/>
        <v>0</v>
      </c>
      <c r="AH817" s="145"/>
      <c r="AI817" s="153" t="s">
        <v>6</v>
      </c>
      <c r="AJ817" s="150">
        <f t="shared" si="39"/>
        <v>0</v>
      </c>
      <c r="AK817" s="154" t="s">
        <v>60</v>
      </c>
    </row>
    <row r="818" spans="1:37" ht="30" customHeight="1">
      <c r="A818" s="64"/>
      <c r="B818" s="64"/>
      <c r="C818" s="64"/>
      <c r="D818" s="64"/>
      <c r="E818" s="64"/>
      <c r="F818" s="64"/>
      <c r="G818" s="64"/>
      <c r="H818" s="64"/>
      <c r="I818" s="64"/>
      <c r="J818" s="64"/>
      <c r="K818" s="64"/>
      <c r="L818" s="64"/>
      <c r="M818" s="64"/>
      <c r="N818" s="194"/>
      <c r="O818" s="157"/>
      <c r="P818" s="92"/>
      <c r="Q818" s="145"/>
      <c r="R818" s="92"/>
      <c r="S818" s="145"/>
      <c r="T818" s="92"/>
      <c r="U818" s="145"/>
      <c r="V818" s="92"/>
      <c r="W818" s="145"/>
      <c r="X818" s="92"/>
      <c r="Y818" s="145"/>
      <c r="Z818" s="92"/>
      <c r="AA818" s="145"/>
      <c r="AB818" s="92"/>
      <c r="AC818" s="145"/>
      <c r="AD818" s="92"/>
      <c r="AE818" s="145"/>
      <c r="AF818" s="142" t="str">
        <f t="shared" si="41"/>
        <v/>
      </c>
      <c r="AG818" s="190" t="b">
        <f t="shared" si="40"/>
        <v>0</v>
      </c>
      <c r="AH818" s="145"/>
      <c r="AI818" s="153" t="s">
        <v>6</v>
      </c>
      <c r="AJ818" s="150">
        <f t="shared" si="39"/>
        <v>0</v>
      </c>
      <c r="AK818" s="154" t="s">
        <v>60</v>
      </c>
    </row>
    <row r="819" spans="1:37" ht="30" customHeight="1">
      <c r="A819" s="64"/>
      <c r="B819" s="64"/>
      <c r="C819" s="64"/>
      <c r="D819" s="64"/>
      <c r="E819" s="64"/>
      <c r="F819" s="64"/>
      <c r="G819" s="64"/>
      <c r="H819" s="64"/>
      <c r="I819" s="64"/>
      <c r="J819" s="64"/>
      <c r="K819" s="64"/>
      <c r="L819" s="64"/>
      <c r="M819" s="64"/>
      <c r="N819" s="194"/>
      <c r="O819" s="157"/>
      <c r="P819" s="92"/>
      <c r="Q819" s="145"/>
      <c r="R819" s="92"/>
      <c r="S819" s="145"/>
      <c r="T819" s="92"/>
      <c r="U819" s="145"/>
      <c r="V819" s="92"/>
      <c r="W819" s="145"/>
      <c r="X819" s="92"/>
      <c r="Y819" s="145"/>
      <c r="Z819" s="92"/>
      <c r="AA819" s="145"/>
      <c r="AB819" s="92"/>
      <c r="AC819" s="145"/>
      <c r="AD819" s="92"/>
      <c r="AE819" s="145"/>
      <c r="AF819" s="142" t="str">
        <f t="shared" si="41"/>
        <v/>
      </c>
      <c r="AG819" s="190" t="b">
        <f t="shared" si="40"/>
        <v>0</v>
      </c>
      <c r="AH819" s="145"/>
      <c r="AI819" s="153" t="s">
        <v>6</v>
      </c>
      <c r="AJ819" s="150">
        <f t="shared" si="39"/>
        <v>0</v>
      </c>
      <c r="AK819" s="154" t="s">
        <v>60</v>
      </c>
    </row>
    <row r="820" spans="1:37" ht="30" customHeight="1">
      <c r="A820" s="64"/>
      <c r="B820" s="64"/>
      <c r="C820" s="64"/>
      <c r="D820" s="64"/>
      <c r="E820" s="64"/>
      <c r="F820" s="64"/>
      <c r="G820" s="64"/>
      <c r="H820" s="64"/>
      <c r="I820" s="64"/>
      <c r="J820" s="64"/>
      <c r="K820" s="64"/>
      <c r="L820" s="64"/>
      <c r="M820" s="64"/>
      <c r="N820" s="194"/>
      <c r="O820" s="157"/>
      <c r="P820" s="92"/>
      <c r="Q820" s="145"/>
      <c r="R820" s="92"/>
      <c r="S820" s="145"/>
      <c r="T820" s="92"/>
      <c r="U820" s="145"/>
      <c r="V820" s="92"/>
      <c r="W820" s="145"/>
      <c r="X820" s="92"/>
      <c r="Y820" s="145"/>
      <c r="Z820" s="92"/>
      <c r="AA820" s="145"/>
      <c r="AB820" s="92"/>
      <c r="AC820" s="145"/>
      <c r="AD820" s="92"/>
      <c r="AE820" s="145"/>
      <c r="AF820" s="142" t="str">
        <f t="shared" si="41"/>
        <v/>
      </c>
      <c r="AG820" s="190" t="b">
        <f t="shared" si="40"/>
        <v>0</v>
      </c>
      <c r="AH820" s="145"/>
      <c r="AI820" s="153" t="s">
        <v>6</v>
      </c>
      <c r="AJ820" s="150">
        <f t="shared" si="39"/>
        <v>0</v>
      </c>
      <c r="AK820" s="154" t="s">
        <v>60</v>
      </c>
    </row>
    <row r="821" spans="1:37" ht="30" customHeight="1">
      <c r="A821" s="64"/>
      <c r="B821" s="64"/>
      <c r="C821" s="64"/>
      <c r="D821" s="64"/>
      <c r="E821" s="64"/>
      <c r="F821" s="64"/>
      <c r="G821" s="64"/>
      <c r="H821" s="64"/>
      <c r="I821" s="64"/>
      <c r="J821" s="64"/>
      <c r="K821" s="64"/>
      <c r="L821" s="64"/>
      <c r="M821" s="64"/>
      <c r="N821" s="194"/>
      <c r="O821" s="157"/>
      <c r="P821" s="92"/>
      <c r="Q821" s="145"/>
      <c r="R821" s="92"/>
      <c r="S821" s="145"/>
      <c r="T821" s="92"/>
      <c r="U821" s="145"/>
      <c r="V821" s="92"/>
      <c r="W821" s="145"/>
      <c r="X821" s="92"/>
      <c r="Y821" s="145"/>
      <c r="Z821" s="92"/>
      <c r="AA821" s="145"/>
      <c r="AB821" s="92"/>
      <c r="AC821" s="145"/>
      <c r="AD821" s="92"/>
      <c r="AE821" s="145"/>
      <c r="AF821" s="142" t="str">
        <f t="shared" si="41"/>
        <v/>
      </c>
      <c r="AG821" s="190" t="b">
        <f t="shared" si="40"/>
        <v>0</v>
      </c>
      <c r="AH821" s="145"/>
      <c r="AI821" s="153" t="s">
        <v>6</v>
      </c>
      <c r="AJ821" s="150">
        <f t="shared" si="39"/>
        <v>0</v>
      </c>
      <c r="AK821" s="154" t="s">
        <v>60</v>
      </c>
    </row>
    <row r="822" spans="1:37" ht="30" customHeight="1">
      <c r="A822" s="64"/>
      <c r="B822" s="64"/>
      <c r="C822" s="64"/>
      <c r="D822" s="64"/>
      <c r="E822" s="64"/>
      <c r="F822" s="64"/>
      <c r="G822" s="64"/>
      <c r="H822" s="64"/>
      <c r="I822" s="64"/>
      <c r="J822" s="64"/>
      <c r="K822" s="64"/>
      <c r="L822" s="64"/>
      <c r="M822" s="64"/>
      <c r="N822" s="194"/>
      <c r="O822" s="157"/>
      <c r="P822" s="92"/>
      <c r="Q822" s="145"/>
      <c r="R822" s="92"/>
      <c r="S822" s="145"/>
      <c r="T822" s="92"/>
      <c r="U822" s="145"/>
      <c r="V822" s="92"/>
      <c r="W822" s="145"/>
      <c r="X822" s="92"/>
      <c r="Y822" s="145"/>
      <c r="Z822" s="92"/>
      <c r="AA822" s="145"/>
      <c r="AB822" s="92"/>
      <c r="AC822" s="145"/>
      <c r="AD822" s="92"/>
      <c r="AE822" s="145"/>
      <c r="AF822" s="142" t="str">
        <f t="shared" si="41"/>
        <v/>
      </c>
      <c r="AG822" s="190" t="b">
        <f t="shared" si="40"/>
        <v>0</v>
      </c>
      <c r="AH822" s="145"/>
      <c r="AI822" s="153" t="s">
        <v>6</v>
      </c>
      <c r="AJ822" s="150">
        <f t="shared" si="39"/>
        <v>0</v>
      </c>
      <c r="AK822" s="154" t="s">
        <v>60</v>
      </c>
    </row>
    <row r="823" spans="1:37" ht="30" customHeight="1">
      <c r="A823" s="64"/>
      <c r="B823" s="64"/>
      <c r="C823" s="64"/>
      <c r="D823" s="64"/>
      <c r="E823" s="64"/>
      <c r="F823" s="64"/>
      <c r="G823" s="64"/>
      <c r="H823" s="64"/>
      <c r="I823" s="64"/>
      <c r="J823" s="64"/>
      <c r="K823" s="64"/>
      <c r="L823" s="64"/>
      <c r="M823" s="64"/>
      <c r="N823" s="194"/>
      <c r="O823" s="157"/>
      <c r="P823" s="92"/>
      <c r="Q823" s="145"/>
      <c r="R823" s="92"/>
      <c r="S823" s="145"/>
      <c r="T823" s="92"/>
      <c r="U823" s="145"/>
      <c r="V823" s="92"/>
      <c r="W823" s="145"/>
      <c r="X823" s="92"/>
      <c r="Y823" s="145"/>
      <c r="Z823" s="92"/>
      <c r="AA823" s="145"/>
      <c r="AB823" s="92"/>
      <c r="AC823" s="145"/>
      <c r="AD823" s="92"/>
      <c r="AE823" s="145"/>
      <c r="AF823" s="142" t="str">
        <f t="shared" si="41"/>
        <v/>
      </c>
      <c r="AG823" s="190" t="b">
        <f t="shared" si="40"/>
        <v>0</v>
      </c>
      <c r="AH823" s="145"/>
      <c r="AI823" s="153" t="s">
        <v>6</v>
      </c>
      <c r="AJ823" s="150">
        <f t="shared" si="39"/>
        <v>0</v>
      </c>
      <c r="AK823" s="154" t="s">
        <v>60</v>
      </c>
    </row>
    <row r="824" spans="1:37" ht="30" customHeight="1">
      <c r="A824" s="64"/>
      <c r="B824" s="64"/>
      <c r="C824" s="64"/>
      <c r="D824" s="64"/>
      <c r="E824" s="64"/>
      <c r="F824" s="64"/>
      <c r="G824" s="64"/>
      <c r="H824" s="64"/>
      <c r="I824" s="64"/>
      <c r="J824" s="64"/>
      <c r="K824" s="64"/>
      <c r="L824" s="64"/>
      <c r="M824" s="64"/>
      <c r="N824" s="194"/>
      <c r="O824" s="157"/>
      <c r="P824" s="92"/>
      <c r="Q824" s="145"/>
      <c r="R824" s="92"/>
      <c r="S824" s="145"/>
      <c r="T824" s="92"/>
      <c r="U824" s="145"/>
      <c r="V824" s="92"/>
      <c r="W824" s="145"/>
      <c r="X824" s="92"/>
      <c r="Y824" s="145"/>
      <c r="Z824" s="92"/>
      <c r="AA824" s="145"/>
      <c r="AB824" s="92"/>
      <c r="AC824" s="145"/>
      <c r="AD824" s="92"/>
      <c r="AE824" s="145"/>
      <c r="AF824" s="142" t="str">
        <f t="shared" si="41"/>
        <v/>
      </c>
      <c r="AG824" s="190" t="b">
        <f t="shared" si="40"/>
        <v>0</v>
      </c>
      <c r="AH824" s="145"/>
      <c r="AI824" s="153" t="s">
        <v>6</v>
      </c>
      <c r="AJ824" s="150">
        <f t="shared" si="39"/>
        <v>0</v>
      </c>
      <c r="AK824" s="154" t="s">
        <v>60</v>
      </c>
    </row>
    <row r="825" spans="1:37" ht="30" customHeight="1">
      <c r="A825" s="64"/>
      <c r="B825" s="64"/>
      <c r="C825" s="64"/>
      <c r="D825" s="64"/>
      <c r="E825" s="64"/>
      <c r="F825" s="64"/>
      <c r="G825" s="64"/>
      <c r="H825" s="64"/>
      <c r="I825" s="64"/>
      <c r="J825" s="64"/>
      <c r="K825" s="64"/>
      <c r="L825" s="64"/>
      <c r="M825" s="64"/>
      <c r="N825" s="194"/>
      <c r="O825" s="157"/>
      <c r="P825" s="92"/>
      <c r="Q825" s="145"/>
      <c r="R825" s="92"/>
      <c r="S825" s="145"/>
      <c r="T825" s="92"/>
      <c r="U825" s="145"/>
      <c r="V825" s="92"/>
      <c r="W825" s="145"/>
      <c r="X825" s="92"/>
      <c r="Y825" s="145"/>
      <c r="Z825" s="92"/>
      <c r="AA825" s="145"/>
      <c r="AB825" s="92"/>
      <c r="AC825" s="145"/>
      <c r="AD825" s="92"/>
      <c r="AE825" s="145"/>
      <c r="AF825" s="142" t="str">
        <f t="shared" si="41"/>
        <v/>
      </c>
      <c r="AG825" s="190" t="b">
        <f t="shared" si="40"/>
        <v>0</v>
      </c>
      <c r="AH825" s="145"/>
      <c r="AI825" s="153" t="s">
        <v>6</v>
      </c>
      <c r="AJ825" s="150">
        <f t="shared" si="39"/>
        <v>0</v>
      </c>
      <c r="AK825" s="154" t="s">
        <v>60</v>
      </c>
    </row>
    <row r="826" spans="1:37" ht="30" customHeight="1">
      <c r="A826" s="64"/>
      <c r="B826" s="64"/>
      <c r="C826" s="64"/>
      <c r="D826" s="64"/>
      <c r="E826" s="64"/>
      <c r="F826" s="64"/>
      <c r="G826" s="64"/>
      <c r="H826" s="64"/>
      <c r="I826" s="64"/>
      <c r="J826" s="64"/>
      <c r="K826" s="64"/>
      <c r="L826" s="64"/>
      <c r="M826" s="64"/>
      <c r="N826" s="194"/>
      <c r="O826" s="157"/>
      <c r="P826" s="92"/>
      <c r="Q826" s="145"/>
      <c r="R826" s="92"/>
      <c r="S826" s="145"/>
      <c r="T826" s="92"/>
      <c r="U826" s="145"/>
      <c r="V826" s="92"/>
      <c r="W826" s="145"/>
      <c r="X826" s="92"/>
      <c r="Y826" s="145"/>
      <c r="Z826" s="92"/>
      <c r="AA826" s="145"/>
      <c r="AB826" s="92"/>
      <c r="AC826" s="145"/>
      <c r="AD826" s="92"/>
      <c r="AE826" s="145"/>
      <c r="AF826" s="142" t="str">
        <f t="shared" si="41"/>
        <v/>
      </c>
      <c r="AG826" s="190" t="b">
        <f t="shared" si="40"/>
        <v>0</v>
      </c>
      <c r="AH826" s="145"/>
      <c r="AI826" s="153" t="s">
        <v>6</v>
      </c>
      <c r="AJ826" s="150">
        <f t="shared" si="39"/>
        <v>0</v>
      </c>
      <c r="AK826" s="154" t="s">
        <v>60</v>
      </c>
    </row>
    <row r="827" spans="1:37" ht="30" customHeight="1">
      <c r="A827" s="64"/>
      <c r="B827" s="64"/>
      <c r="C827" s="64"/>
      <c r="D827" s="64"/>
      <c r="E827" s="64"/>
      <c r="F827" s="64"/>
      <c r="G827" s="64"/>
      <c r="H827" s="64"/>
      <c r="I827" s="64"/>
      <c r="J827" s="64"/>
      <c r="K827" s="64"/>
      <c r="L827" s="64"/>
      <c r="M827" s="64"/>
      <c r="N827" s="194"/>
      <c r="O827" s="157"/>
      <c r="P827" s="92"/>
      <c r="Q827" s="145"/>
      <c r="R827" s="92"/>
      <c r="S827" s="145"/>
      <c r="T827" s="92"/>
      <c r="U827" s="145"/>
      <c r="V827" s="92"/>
      <c r="W827" s="145"/>
      <c r="X827" s="92"/>
      <c r="Y827" s="145"/>
      <c r="Z827" s="92"/>
      <c r="AA827" s="145"/>
      <c r="AB827" s="92"/>
      <c r="AC827" s="145"/>
      <c r="AD827" s="92"/>
      <c r="AE827" s="145"/>
      <c r="AF827" s="142" t="str">
        <f t="shared" si="41"/>
        <v/>
      </c>
      <c r="AG827" s="190" t="b">
        <f t="shared" si="40"/>
        <v>0</v>
      </c>
      <c r="AH827" s="145"/>
      <c r="AI827" s="153" t="s">
        <v>6</v>
      </c>
      <c r="AJ827" s="150">
        <f t="shared" si="39"/>
        <v>0</v>
      </c>
      <c r="AK827" s="154" t="s">
        <v>60</v>
      </c>
    </row>
    <row r="828" spans="1:37" ht="30" customHeight="1">
      <c r="A828" s="64"/>
      <c r="B828" s="64"/>
      <c r="C828" s="64"/>
      <c r="D828" s="64"/>
      <c r="E828" s="64"/>
      <c r="F828" s="64"/>
      <c r="G828" s="64"/>
      <c r="H828" s="64"/>
      <c r="I828" s="64"/>
      <c r="J828" s="64"/>
      <c r="K828" s="64"/>
      <c r="L828" s="64"/>
      <c r="M828" s="64"/>
      <c r="N828" s="194"/>
      <c r="O828" s="157"/>
      <c r="P828" s="92"/>
      <c r="Q828" s="145"/>
      <c r="R828" s="92"/>
      <c r="S828" s="145"/>
      <c r="T828" s="92"/>
      <c r="U828" s="145"/>
      <c r="V828" s="92"/>
      <c r="W828" s="145"/>
      <c r="X828" s="92"/>
      <c r="Y828" s="145"/>
      <c r="Z828" s="92"/>
      <c r="AA828" s="145"/>
      <c r="AB828" s="92"/>
      <c r="AC828" s="145"/>
      <c r="AD828" s="92"/>
      <c r="AE828" s="145"/>
      <c r="AF828" s="142" t="str">
        <f t="shared" si="41"/>
        <v/>
      </c>
      <c r="AG828" s="190" t="b">
        <f t="shared" si="40"/>
        <v>0</v>
      </c>
      <c r="AH828" s="145"/>
      <c r="AI828" s="153" t="s">
        <v>6</v>
      </c>
      <c r="AJ828" s="150">
        <f t="shared" si="39"/>
        <v>0</v>
      </c>
      <c r="AK828" s="154" t="s">
        <v>60</v>
      </c>
    </row>
    <row r="829" spans="1:37" ht="30" customHeight="1">
      <c r="A829" s="64"/>
      <c r="B829" s="64"/>
      <c r="C829" s="64"/>
      <c r="D829" s="64"/>
      <c r="E829" s="64"/>
      <c r="F829" s="64"/>
      <c r="G829" s="64"/>
      <c r="H829" s="64"/>
      <c r="I829" s="64"/>
      <c r="J829" s="64"/>
      <c r="K829" s="64"/>
      <c r="L829" s="64"/>
      <c r="M829" s="64"/>
      <c r="N829" s="194"/>
      <c r="O829" s="157"/>
      <c r="P829" s="92"/>
      <c r="Q829" s="145"/>
      <c r="R829" s="92"/>
      <c r="S829" s="145"/>
      <c r="T829" s="92"/>
      <c r="U829" s="145"/>
      <c r="V829" s="92"/>
      <c r="W829" s="145"/>
      <c r="X829" s="92"/>
      <c r="Y829" s="145"/>
      <c r="Z829" s="92"/>
      <c r="AA829" s="145"/>
      <c r="AB829" s="92"/>
      <c r="AC829" s="145"/>
      <c r="AD829" s="92"/>
      <c r="AE829" s="145"/>
      <c r="AF829" s="142" t="str">
        <f t="shared" si="41"/>
        <v/>
      </c>
      <c r="AG829" s="190" t="b">
        <f t="shared" si="40"/>
        <v>0</v>
      </c>
      <c r="AH829" s="145"/>
      <c r="AI829" s="153" t="s">
        <v>6</v>
      </c>
      <c r="AJ829" s="150">
        <f t="shared" si="39"/>
        <v>0</v>
      </c>
      <c r="AK829" s="154" t="s">
        <v>60</v>
      </c>
    </row>
    <row r="830" spans="1:37" ht="30" customHeight="1">
      <c r="A830" s="64"/>
      <c r="B830" s="64"/>
      <c r="C830" s="64"/>
      <c r="D830" s="64"/>
      <c r="E830" s="64"/>
      <c r="F830" s="64"/>
      <c r="G830" s="64"/>
      <c r="H830" s="64"/>
      <c r="I830" s="64"/>
      <c r="J830" s="64"/>
      <c r="K830" s="64"/>
      <c r="L830" s="64"/>
      <c r="M830" s="64"/>
      <c r="N830" s="194"/>
      <c r="O830" s="157"/>
      <c r="P830" s="92"/>
      <c r="Q830" s="145"/>
      <c r="R830" s="92"/>
      <c r="S830" s="145"/>
      <c r="T830" s="92"/>
      <c r="U830" s="145"/>
      <c r="V830" s="92"/>
      <c r="W830" s="145"/>
      <c r="X830" s="92"/>
      <c r="Y830" s="145"/>
      <c r="Z830" s="92"/>
      <c r="AA830" s="145"/>
      <c r="AB830" s="92"/>
      <c r="AC830" s="145"/>
      <c r="AD830" s="92"/>
      <c r="AE830" s="145"/>
      <c r="AF830" s="142" t="str">
        <f t="shared" si="41"/>
        <v/>
      </c>
      <c r="AG830" s="190" t="b">
        <f t="shared" si="40"/>
        <v>0</v>
      </c>
      <c r="AH830" s="145"/>
      <c r="AI830" s="153" t="s">
        <v>6</v>
      </c>
      <c r="AJ830" s="150">
        <f t="shared" si="39"/>
        <v>0</v>
      </c>
      <c r="AK830" s="154" t="s">
        <v>60</v>
      </c>
    </row>
    <row r="831" spans="1:37" ht="30" customHeight="1">
      <c r="A831" s="64"/>
      <c r="B831" s="64"/>
      <c r="C831" s="64"/>
      <c r="D831" s="64"/>
      <c r="E831" s="64"/>
      <c r="F831" s="64"/>
      <c r="G831" s="64"/>
      <c r="H831" s="64"/>
      <c r="I831" s="64"/>
      <c r="J831" s="64"/>
      <c r="K831" s="64"/>
      <c r="L831" s="64"/>
      <c r="M831" s="64"/>
      <c r="N831" s="194"/>
      <c r="O831" s="157"/>
      <c r="P831" s="92"/>
      <c r="Q831" s="145"/>
      <c r="R831" s="92"/>
      <c r="S831" s="145"/>
      <c r="T831" s="92"/>
      <c r="U831" s="145"/>
      <c r="V831" s="92"/>
      <c r="W831" s="145"/>
      <c r="X831" s="92"/>
      <c r="Y831" s="145"/>
      <c r="Z831" s="92"/>
      <c r="AA831" s="145"/>
      <c r="AB831" s="92"/>
      <c r="AC831" s="145"/>
      <c r="AD831" s="92"/>
      <c r="AE831" s="145"/>
      <c r="AF831" s="142" t="str">
        <f t="shared" si="41"/>
        <v/>
      </c>
      <c r="AG831" s="190" t="b">
        <f t="shared" si="40"/>
        <v>0</v>
      </c>
      <c r="AH831" s="145"/>
      <c r="AI831" s="153" t="s">
        <v>6</v>
      </c>
      <c r="AJ831" s="150">
        <f t="shared" si="39"/>
        <v>0</v>
      </c>
      <c r="AK831" s="154" t="s">
        <v>60</v>
      </c>
    </row>
    <row r="832" spans="1:37" ht="30" customHeight="1">
      <c r="A832" s="64"/>
      <c r="B832" s="64"/>
      <c r="C832" s="64"/>
      <c r="D832" s="64"/>
      <c r="E832" s="64"/>
      <c r="F832" s="64"/>
      <c r="G832" s="64"/>
      <c r="H832" s="64"/>
      <c r="I832" s="64"/>
      <c r="J832" s="64"/>
      <c r="K832" s="64"/>
      <c r="L832" s="64"/>
      <c r="M832" s="64"/>
      <c r="N832" s="194"/>
      <c r="O832" s="157"/>
      <c r="P832" s="92"/>
      <c r="Q832" s="145"/>
      <c r="R832" s="92"/>
      <c r="S832" s="145"/>
      <c r="T832" s="92"/>
      <c r="U832" s="145"/>
      <c r="V832" s="92"/>
      <c r="W832" s="145"/>
      <c r="X832" s="92"/>
      <c r="Y832" s="145"/>
      <c r="Z832" s="92"/>
      <c r="AA832" s="145"/>
      <c r="AB832" s="92"/>
      <c r="AC832" s="145"/>
      <c r="AD832" s="92"/>
      <c r="AE832" s="145"/>
      <c r="AF832" s="142" t="str">
        <f t="shared" si="41"/>
        <v/>
      </c>
      <c r="AG832" s="190" t="b">
        <f t="shared" si="40"/>
        <v>0</v>
      </c>
      <c r="AH832" s="145"/>
      <c r="AI832" s="153" t="s">
        <v>6</v>
      </c>
      <c r="AJ832" s="150">
        <f t="shared" si="39"/>
        <v>0</v>
      </c>
      <c r="AK832" s="154" t="s">
        <v>60</v>
      </c>
    </row>
    <row r="833" spans="1:37" ht="30" customHeight="1">
      <c r="A833" s="64"/>
      <c r="B833" s="64"/>
      <c r="C833" s="64"/>
      <c r="D833" s="64"/>
      <c r="E833" s="64"/>
      <c r="F833" s="64"/>
      <c r="G833" s="64"/>
      <c r="H833" s="64"/>
      <c r="I833" s="64"/>
      <c r="J833" s="64"/>
      <c r="K833" s="64"/>
      <c r="L833" s="64"/>
      <c r="M833" s="64"/>
      <c r="N833" s="194"/>
      <c r="O833" s="157"/>
      <c r="P833" s="92"/>
      <c r="Q833" s="145"/>
      <c r="R833" s="92"/>
      <c r="S833" s="145"/>
      <c r="T833" s="92"/>
      <c r="U833" s="145"/>
      <c r="V833" s="92"/>
      <c r="W833" s="145"/>
      <c r="X833" s="92"/>
      <c r="Y833" s="145"/>
      <c r="Z833" s="92"/>
      <c r="AA833" s="145"/>
      <c r="AB833" s="92"/>
      <c r="AC833" s="145"/>
      <c r="AD833" s="92"/>
      <c r="AE833" s="145"/>
      <c r="AF833" s="142" t="str">
        <f t="shared" si="41"/>
        <v/>
      </c>
      <c r="AG833" s="190" t="b">
        <f t="shared" si="40"/>
        <v>0</v>
      </c>
      <c r="AH833" s="145"/>
      <c r="AI833" s="153" t="s">
        <v>6</v>
      </c>
      <c r="AJ833" s="150">
        <f t="shared" si="39"/>
        <v>0</v>
      </c>
      <c r="AK833" s="154" t="s">
        <v>60</v>
      </c>
    </row>
    <row r="834" spans="1:37" ht="30" customHeight="1">
      <c r="A834" s="64"/>
      <c r="B834" s="64"/>
      <c r="C834" s="64"/>
      <c r="D834" s="64"/>
      <c r="E834" s="64"/>
      <c r="F834" s="64"/>
      <c r="G834" s="64"/>
      <c r="H834" s="64"/>
      <c r="I834" s="64"/>
      <c r="J834" s="64"/>
      <c r="K834" s="64"/>
      <c r="L834" s="64"/>
      <c r="M834" s="64"/>
      <c r="N834" s="194"/>
      <c r="O834" s="157"/>
      <c r="P834" s="92"/>
      <c r="Q834" s="145"/>
      <c r="R834" s="92"/>
      <c r="S834" s="145"/>
      <c r="T834" s="92"/>
      <c r="U834" s="145"/>
      <c r="V834" s="92"/>
      <c r="W834" s="145"/>
      <c r="X834" s="92"/>
      <c r="Y834" s="145"/>
      <c r="Z834" s="92"/>
      <c r="AA834" s="145"/>
      <c r="AB834" s="92"/>
      <c r="AC834" s="145"/>
      <c r="AD834" s="92"/>
      <c r="AE834" s="145"/>
      <c r="AF834" s="142" t="str">
        <f t="shared" si="41"/>
        <v/>
      </c>
      <c r="AG834" s="190" t="b">
        <f t="shared" si="40"/>
        <v>0</v>
      </c>
      <c r="AH834" s="145"/>
      <c r="AI834" s="153" t="s">
        <v>6</v>
      </c>
      <c r="AJ834" s="150">
        <f t="shared" si="39"/>
        <v>0</v>
      </c>
      <c r="AK834" s="154" t="s">
        <v>60</v>
      </c>
    </row>
    <row r="835" spans="1:37" ht="30" customHeight="1">
      <c r="A835" s="64"/>
      <c r="B835" s="64"/>
      <c r="C835" s="64"/>
      <c r="D835" s="64"/>
      <c r="E835" s="64"/>
      <c r="F835" s="64"/>
      <c r="G835" s="64"/>
      <c r="H835" s="64"/>
      <c r="I835" s="64"/>
      <c r="J835" s="64"/>
      <c r="K835" s="64"/>
      <c r="L835" s="64"/>
      <c r="M835" s="64"/>
      <c r="N835" s="194"/>
      <c r="O835" s="157"/>
      <c r="P835" s="92"/>
      <c r="Q835" s="145"/>
      <c r="R835" s="92"/>
      <c r="S835" s="145"/>
      <c r="T835" s="92"/>
      <c r="U835" s="145"/>
      <c r="V835" s="92"/>
      <c r="W835" s="145"/>
      <c r="X835" s="92"/>
      <c r="Y835" s="145"/>
      <c r="Z835" s="92"/>
      <c r="AA835" s="145"/>
      <c r="AB835" s="92"/>
      <c r="AC835" s="145"/>
      <c r="AD835" s="92"/>
      <c r="AE835" s="145"/>
      <c r="AF835" s="142" t="str">
        <f t="shared" si="41"/>
        <v/>
      </c>
      <c r="AG835" s="190" t="b">
        <f t="shared" si="40"/>
        <v>0</v>
      </c>
      <c r="AH835" s="145"/>
      <c r="AI835" s="153" t="s">
        <v>6</v>
      </c>
      <c r="AJ835" s="150">
        <f t="shared" si="39"/>
        <v>0</v>
      </c>
      <c r="AK835" s="154" t="s">
        <v>60</v>
      </c>
    </row>
    <row r="836" spans="1:37" ht="30" customHeight="1">
      <c r="A836" s="64"/>
      <c r="B836" s="64"/>
      <c r="C836" s="64"/>
      <c r="D836" s="64"/>
      <c r="E836" s="64"/>
      <c r="F836" s="64"/>
      <c r="G836" s="64"/>
      <c r="H836" s="64"/>
      <c r="I836" s="64"/>
      <c r="J836" s="64"/>
      <c r="K836" s="64"/>
      <c r="L836" s="64"/>
      <c r="M836" s="64"/>
      <c r="N836" s="194"/>
      <c r="O836" s="157"/>
      <c r="P836" s="92"/>
      <c r="Q836" s="145"/>
      <c r="R836" s="92"/>
      <c r="S836" s="145"/>
      <c r="T836" s="92"/>
      <c r="U836" s="145"/>
      <c r="V836" s="92"/>
      <c r="W836" s="145"/>
      <c r="X836" s="92"/>
      <c r="Y836" s="145"/>
      <c r="Z836" s="92"/>
      <c r="AA836" s="145"/>
      <c r="AB836" s="92"/>
      <c r="AC836" s="145"/>
      <c r="AD836" s="92"/>
      <c r="AE836" s="145"/>
      <c r="AF836" s="142" t="str">
        <f t="shared" si="41"/>
        <v/>
      </c>
      <c r="AG836" s="190" t="b">
        <f t="shared" si="40"/>
        <v>0</v>
      </c>
      <c r="AH836" s="145"/>
      <c r="AI836" s="153" t="s">
        <v>6</v>
      </c>
      <c r="AJ836" s="150">
        <f t="shared" si="39"/>
        <v>0</v>
      </c>
      <c r="AK836" s="154" t="s">
        <v>60</v>
      </c>
    </row>
    <row r="837" spans="1:37" ht="30" customHeight="1">
      <c r="A837" s="64"/>
      <c r="B837" s="64"/>
      <c r="C837" s="64"/>
      <c r="D837" s="64"/>
      <c r="E837" s="64"/>
      <c r="F837" s="64"/>
      <c r="G837" s="64"/>
      <c r="H837" s="64"/>
      <c r="I837" s="64"/>
      <c r="J837" s="64"/>
      <c r="K837" s="64"/>
      <c r="L837" s="64"/>
      <c r="M837" s="64"/>
      <c r="N837" s="194"/>
      <c r="O837" s="157"/>
      <c r="P837" s="92"/>
      <c r="Q837" s="145"/>
      <c r="R837" s="92"/>
      <c r="S837" s="145"/>
      <c r="T837" s="92"/>
      <c r="U837" s="145"/>
      <c r="V837" s="92"/>
      <c r="W837" s="145"/>
      <c r="X837" s="92"/>
      <c r="Y837" s="145"/>
      <c r="Z837" s="92"/>
      <c r="AA837" s="145"/>
      <c r="AB837" s="92"/>
      <c r="AC837" s="145"/>
      <c r="AD837" s="92"/>
      <c r="AE837" s="145"/>
      <c r="AF837" s="142" t="str">
        <f t="shared" si="41"/>
        <v/>
      </c>
      <c r="AG837" s="190" t="b">
        <f t="shared" si="40"/>
        <v>0</v>
      </c>
      <c r="AH837" s="145"/>
      <c r="AI837" s="153" t="s">
        <v>6</v>
      </c>
      <c r="AJ837" s="150">
        <f t="shared" si="39"/>
        <v>0</v>
      </c>
      <c r="AK837" s="154" t="s">
        <v>60</v>
      </c>
    </row>
    <row r="838" spans="1:37" ht="30" customHeight="1">
      <c r="A838" s="64"/>
      <c r="B838" s="64"/>
      <c r="C838" s="64"/>
      <c r="D838" s="64"/>
      <c r="E838" s="64"/>
      <c r="F838" s="64"/>
      <c r="G838" s="64"/>
      <c r="H838" s="64"/>
      <c r="I838" s="64"/>
      <c r="J838" s="64"/>
      <c r="K838" s="64"/>
      <c r="L838" s="64"/>
      <c r="M838" s="64"/>
      <c r="N838" s="194"/>
      <c r="O838" s="157"/>
      <c r="P838" s="92"/>
      <c r="Q838" s="145"/>
      <c r="R838" s="92"/>
      <c r="S838" s="145"/>
      <c r="T838" s="92"/>
      <c r="U838" s="145"/>
      <c r="V838" s="92"/>
      <c r="W838" s="145"/>
      <c r="X838" s="92"/>
      <c r="Y838" s="145"/>
      <c r="Z838" s="92"/>
      <c r="AA838" s="145"/>
      <c r="AB838" s="92"/>
      <c r="AC838" s="145"/>
      <c r="AD838" s="92"/>
      <c r="AE838" s="145"/>
      <c r="AF838" s="142" t="str">
        <f t="shared" si="41"/>
        <v/>
      </c>
      <c r="AG838" s="190" t="b">
        <f t="shared" si="40"/>
        <v>0</v>
      </c>
      <c r="AH838" s="145"/>
      <c r="AI838" s="153" t="s">
        <v>6</v>
      </c>
      <c r="AJ838" s="150">
        <f t="shared" si="39"/>
        <v>0</v>
      </c>
      <c r="AK838" s="154" t="s">
        <v>60</v>
      </c>
    </row>
    <row r="839" spans="1:37" ht="30" customHeight="1">
      <c r="A839" s="64"/>
      <c r="B839" s="64"/>
      <c r="C839" s="64"/>
      <c r="D839" s="64"/>
      <c r="E839" s="64"/>
      <c r="F839" s="64"/>
      <c r="G839" s="64"/>
      <c r="H839" s="64"/>
      <c r="I839" s="64"/>
      <c r="J839" s="64"/>
      <c r="K839" s="64"/>
      <c r="L839" s="64"/>
      <c r="M839" s="64"/>
      <c r="N839" s="194"/>
      <c r="O839" s="157"/>
      <c r="P839" s="92"/>
      <c r="Q839" s="145"/>
      <c r="R839" s="92"/>
      <c r="S839" s="145"/>
      <c r="T839" s="92"/>
      <c r="U839" s="145"/>
      <c r="V839" s="92"/>
      <c r="W839" s="145"/>
      <c r="X839" s="92"/>
      <c r="Y839" s="145"/>
      <c r="Z839" s="92"/>
      <c r="AA839" s="145"/>
      <c r="AB839" s="92"/>
      <c r="AC839" s="145"/>
      <c r="AD839" s="92"/>
      <c r="AE839" s="145"/>
      <c r="AF839" s="142" t="str">
        <f t="shared" si="41"/>
        <v/>
      </c>
      <c r="AG839" s="190" t="b">
        <f t="shared" si="40"/>
        <v>0</v>
      </c>
      <c r="AH839" s="145"/>
      <c r="AI839" s="153" t="s">
        <v>6</v>
      </c>
      <c r="AJ839" s="150">
        <f t="shared" ref="AJ839:AJ902" si="42">E839</f>
        <v>0</v>
      </c>
      <c r="AK839" s="154" t="s">
        <v>60</v>
      </c>
    </row>
    <row r="840" spans="1:37" ht="30" customHeight="1">
      <c r="A840" s="64"/>
      <c r="B840" s="64"/>
      <c r="C840" s="64"/>
      <c r="D840" s="64"/>
      <c r="E840" s="64"/>
      <c r="F840" s="64"/>
      <c r="G840" s="64"/>
      <c r="H840" s="64"/>
      <c r="I840" s="64"/>
      <c r="J840" s="64"/>
      <c r="K840" s="64"/>
      <c r="L840" s="64"/>
      <c r="M840" s="64"/>
      <c r="N840" s="194"/>
      <c r="O840" s="157"/>
      <c r="P840" s="92"/>
      <c r="Q840" s="145"/>
      <c r="R840" s="92"/>
      <c r="S840" s="145"/>
      <c r="T840" s="92"/>
      <c r="U840" s="145"/>
      <c r="V840" s="92"/>
      <c r="W840" s="145"/>
      <c r="X840" s="92"/>
      <c r="Y840" s="145"/>
      <c r="Z840" s="92"/>
      <c r="AA840" s="145"/>
      <c r="AB840" s="92"/>
      <c r="AC840" s="145"/>
      <c r="AD840" s="92"/>
      <c r="AE840" s="145"/>
      <c r="AF840" s="142" t="str">
        <f t="shared" si="41"/>
        <v/>
      </c>
      <c r="AG840" s="190" t="b">
        <f t="shared" si="40"/>
        <v>0</v>
      </c>
      <c r="AH840" s="145"/>
      <c r="AI840" s="153" t="s">
        <v>6</v>
      </c>
      <c r="AJ840" s="150">
        <f t="shared" si="42"/>
        <v>0</v>
      </c>
      <c r="AK840" s="154" t="s">
        <v>60</v>
      </c>
    </row>
    <row r="841" spans="1:37" ht="30" customHeight="1">
      <c r="A841" s="64"/>
      <c r="B841" s="64"/>
      <c r="C841" s="64"/>
      <c r="D841" s="64"/>
      <c r="E841" s="64"/>
      <c r="F841" s="64"/>
      <c r="G841" s="64"/>
      <c r="H841" s="64"/>
      <c r="I841" s="64"/>
      <c r="J841" s="64"/>
      <c r="K841" s="64"/>
      <c r="L841" s="64"/>
      <c r="M841" s="64"/>
      <c r="N841" s="194"/>
      <c r="O841" s="157"/>
      <c r="P841" s="92"/>
      <c r="Q841" s="145"/>
      <c r="R841" s="92"/>
      <c r="S841" s="145"/>
      <c r="T841" s="92"/>
      <c r="U841" s="145"/>
      <c r="V841" s="92"/>
      <c r="W841" s="145"/>
      <c r="X841" s="92"/>
      <c r="Y841" s="145"/>
      <c r="Z841" s="92"/>
      <c r="AA841" s="145"/>
      <c r="AB841" s="92"/>
      <c r="AC841" s="145"/>
      <c r="AD841" s="92"/>
      <c r="AE841" s="145"/>
      <c r="AF841" s="142" t="str">
        <f t="shared" si="41"/>
        <v/>
      </c>
      <c r="AG841" s="190" t="b">
        <f t="shared" si="40"/>
        <v>0</v>
      </c>
      <c r="AH841" s="145"/>
      <c r="AI841" s="153" t="s">
        <v>6</v>
      </c>
      <c r="AJ841" s="150">
        <f t="shared" si="42"/>
        <v>0</v>
      </c>
      <c r="AK841" s="154" t="s">
        <v>60</v>
      </c>
    </row>
    <row r="842" spans="1:37" ht="30" customHeight="1">
      <c r="A842" s="64"/>
      <c r="B842" s="64"/>
      <c r="C842" s="64"/>
      <c r="D842" s="64"/>
      <c r="E842" s="64"/>
      <c r="F842" s="64"/>
      <c r="G842" s="64"/>
      <c r="H842" s="64"/>
      <c r="I842" s="64"/>
      <c r="J842" s="64"/>
      <c r="K842" s="64"/>
      <c r="L842" s="64"/>
      <c r="M842" s="64"/>
      <c r="N842" s="194"/>
      <c r="O842" s="157"/>
      <c r="P842" s="92"/>
      <c r="Q842" s="145"/>
      <c r="R842" s="92"/>
      <c r="S842" s="145"/>
      <c r="T842" s="92"/>
      <c r="U842" s="145"/>
      <c r="V842" s="92"/>
      <c r="W842" s="145"/>
      <c r="X842" s="92"/>
      <c r="Y842" s="145"/>
      <c r="Z842" s="92"/>
      <c r="AA842" s="145"/>
      <c r="AB842" s="92"/>
      <c r="AC842" s="145"/>
      <c r="AD842" s="92"/>
      <c r="AE842" s="145"/>
      <c r="AF842" s="142" t="str">
        <f t="shared" si="41"/>
        <v/>
      </c>
      <c r="AG842" s="190" t="b">
        <f t="shared" si="40"/>
        <v>0</v>
      </c>
      <c r="AH842" s="145"/>
      <c r="AI842" s="153" t="s">
        <v>6</v>
      </c>
      <c r="AJ842" s="150">
        <f t="shared" si="42"/>
        <v>0</v>
      </c>
      <c r="AK842" s="154" t="s">
        <v>60</v>
      </c>
    </row>
    <row r="843" spans="1:37" ht="30" customHeight="1">
      <c r="A843" s="64"/>
      <c r="B843" s="64"/>
      <c r="C843" s="64"/>
      <c r="D843" s="64"/>
      <c r="E843" s="64"/>
      <c r="F843" s="64"/>
      <c r="G843" s="64"/>
      <c r="H843" s="64"/>
      <c r="I843" s="64"/>
      <c r="J843" s="64"/>
      <c r="K843" s="64"/>
      <c r="L843" s="64"/>
      <c r="M843" s="64"/>
      <c r="N843" s="194"/>
      <c r="O843" s="157"/>
      <c r="P843" s="92"/>
      <c r="Q843" s="145"/>
      <c r="R843" s="92"/>
      <c r="S843" s="145"/>
      <c r="T843" s="92"/>
      <c r="U843" s="145"/>
      <c r="V843" s="92"/>
      <c r="W843" s="145"/>
      <c r="X843" s="92"/>
      <c r="Y843" s="145"/>
      <c r="Z843" s="92"/>
      <c r="AA843" s="145"/>
      <c r="AB843" s="92"/>
      <c r="AC843" s="145"/>
      <c r="AD843" s="92"/>
      <c r="AE843" s="145"/>
      <c r="AF843" s="142" t="str">
        <f t="shared" si="41"/>
        <v/>
      </c>
      <c r="AG843" s="190" t="b">
        <f t="shared" si="40"/>
        <v>0</v>
      </c>
      <c r="AH843" s="145"/>
      <c r="AI843" s="153" t="s">
        <v>6</v>
      </c>
      <c r="AJ843" s="150">
        <f t="shared" si="42"/>
        <v>0</v>
      </c>
      <c r="AK843" s="154" t="s">
        <v>60</v>
      </c>
    </row>
    <row r="844" spans="1:37" ht="30" customHeight="1">
      <c r="A844" s="64"/>
      <c r="B844" s="64"/>
      <c r="C844" s="64"/>
      <c r="D844" s="64"/>
      <c r="E844" s="64"/>
      <c r="F844" s="64"/>
      <c r="G844" s="64"/>
      <c r="H844" s="64"/>
      <c r="I844" s="64"/>
      <c r="J844" s="64"/>
      <c r="K844" s="64"/>
      <c r="L844" s="64"/>
      <c r="M844" s="64"/>
      <c r="N844" s="194"/>
      <c r="O844" s="157"/>
      <c r="P844" s="92"/>
      <c r="Q844" s="145"/>
      <c r="R844" s="92"/>
      <c r="S844" s="145"/>
      <c r="T844" s="92"/>
      <c r="U844" s="145"/>
      <c r="V844" s="92"/>
      <c r="W844" s="145"/>
      <c r="X844" s="92"/>
      <c r="Y844" s="145"/>
      <c r="Z844" s="92"/>
      <c r="AA844" s="145"/>
      <c r="AB844" s="92"/>
      <c r="AC844" s="145"/>
      <c r="AD844" s="92"/>
      <c r="AE844" s="145"/>
      <c r="AF844" s="142" t="str">
        <f t="shared" si="41"/>
        <v/>
      </c>
      <c r="AG844" s="190" t="b">
        <f t="shared" si="40"/>
        <v>0</v>
      </c>
      <c r="AH844" s="145"/>
      <c r="AI844" s="153" t="s">
        <v>6</v>
      </c>
      <c r="AJ844" s="150">
        <f t="shared" si="42"/>
        <v>0</v>
      </c>
      <c r="AK844" s="154" t="s">
        <v>60</v>
      </c>
    </row>
    <row r="845" spans="1:37" ht="30" customHeight="1">
      <c r="A845" s="64"/>
      <c r="B845" s="64"/>
      <c r="C845" s="64"/>
      <c r="D845" s="64"/>
      <c r="E845" s="64"/>
      <c r="F845" s="64"/>
      <c r="G845" s="64"/>
      <c r="H845" s="64"/>
      <c r="I845" s="64"/>
      <c r="J845" s="64"/>
      <c r="K845" s="64"/>
      <c r="L845" s="64"/>
      <c r="M845" s="64"/>
      <c r="N845" s="194"/>
      <c r="O845" s="157"/>
      <c r="P845" s="92"/>
      <c r="Q845" s="145"/>
      <c r="R845" s="92"/>
      <c r="S845" s="145"/>
      <c r="T845" s="92"/>
      <c r="U845" s="145"/>
      <c r="V845" s="92"/>
      <c r="W845" s="145"/>
      <c r="X845" s="92"/>
      <c r="Y845" s="145"/>
      <c r="Z845" s="92"/>
      <c r="AA845" s="145"/>
      <c r="AB845" s="92"/>
      <c r="AC845" s="145"/>
      <c r="AD845" s="92"/>
      <c r="AE845" s="145"/>
      <c r="AF845" s="142" t="str">
        <f t="shared" si="41"/>
        <v/>
      </c>
      <c r="AG845" s="190" t="b">
        <f t="shared" si="40"/>
        <v>0</v>
      </c>
      <c r="AH845" s="145"/>
      <c r="AI845" s="153" t="s">
        <v>6</v>
      </c>
      <c r="AJ845" s="150">
        <f t="shared" si="42"/>
        <v>0</v>
      </c>
      <c r="AK845" s="154" t="s">
        <v>60</v>
      </c>
    </row>
    <row r="846" spans="1:37" ht="30" customHeight="1">
      <c r="A846" s="64"/>
      <c r="B846" s="64"/>
      <c r="C846" s="64"/>
      <c r="D846" s="64"/>
      <c r="E846" s="64"/>
      <c r="F846" s="64"/>
      <c r="G846" s="64"/>
      <c r="H846" s="64"/>
      <c r="I846" s="64"/>
      <c r="J846" s="64"/>
      <c r="K846" s="64"/>
      <c r="L846" s="64"/>
      <c r="M846" s="64"/>
      <c r="N846" s="194"/>
      <c r="O846" s="157"/>
      <c r="P846" s="92"/>
      <c r="Q846" s="145"/>
      <c r="R846" s="92"/>
      <c r="S846" s="145"/>
      <c r="T846" s="92"/>
      <c r="U846" s="145"/>
      <c r="V846" s="92"/>
      <c r="W846" s="145"/>
      <c r="X846" s="92"/>
      <c r="Y846" s="145"/>
      <c r="Z846" s="92"/>
      <c r="AA846" s="145"/>
      <c r="AB846" s="92"/>
      <c r="AC846" s="145"/>
      <c r="AD846" s="92"/>
      <c r="AE846" s="145"/>
      <c r="AF846" s="142" t="str">
        <f t="shared" si="41"/>
        <v/>
      </c>
      <c r="AG846" s="190" t="b">
        <f t="shared" si="40"/>
        <v>0</v>
      </c>
      <c r="AH846" s="145"/>
      <c r="AI846" s="153" t="s">
        <v>6</v>
      </c>
      <c r="AJ846" s="150">
        <f t="shared" si="42"/>
        <v>0</v>
      </c>
      <c r="AK846" s="154" t="s">
        <v>60</v>
      </c>
    </row>
    <row r="847" spans="1:37" ht="30" customHeight="1">
      <c r="A847" s="64"/>
      <c r="B847" s="64"/>
      <c r="C847" s="64"/>
      <c r="D847" s="64"/>
      <c r="E847" s="64"/>
      <c r="F847" s="64"/>
      <c r="G847" s="64"/>
      <c r="H847" s="64"/>
      <c r="I847" s="64"/>
      <c r="J847" s="64"/>
      <c r="K847" s="64"/>
      <c r="L847" s="64"/>
      <c r="M847" s="64"/>
      <c r="N847" s="194"/>
      <c r="O847" s="157"/>
      <c r="P847" s="92"/>
      <c r="Q847" s="145"/>
      <c r="R847" s="92"/>
      <c r="S847" s="145"/>
      <c r="T847" s="92"/>
      <c r="U847" s="145"/>
      <c r="V847" s="92"/>
      <c r="W847" s="145"/>
      <c r="X847" s="92"/>
      <c r="Y847" s="145"/>
      <c r="Z847" s="92"/>
      <c r="AA847" s="145"/>
      <c r="AB847" s="92"/>
      <c r="AC847" s="145"/>
      <c r="AD847" s="92"/>
      <c r="AE847" s="145"/>
      <c r="AF847" s="142" t="str">
        <f t="shared" si="41"/>
        <v/>
      </c>
      <c r="AG847" s="190" t="b">
        <f t="shared" si="40"/>
        <v>0</v>
      </c>
      <c r="AH847" s="145"/>
      <c r="AI847" s="153" t="s">
        <v>6</v>
      </c>
      <c r="AJ847" s="150">
        <f t="shared" si="42"/>
        <v>0</v>
      </c>
      <c r="AK847" s="154" t="s">
        <v>60</v>
      </c>
    </row>
    <row r="848" spans="1:37" ht="30" customHeight="1">
      <c r="A848" s="64"/>
      <c r="B848" s="64"/>
      <c r="C848" s="64"/>
      <c r="D848" s="64"/>
      <c r="E848" s="64"/>
      <c r="F848" s="64"/>
      <c r="G848" s="64"/>
      <c r="H848" s="64"/>
      <c r="I848" s="64"/>
      <c r="J848" s="64"/>
      <c r="K848" s="64"/>
      <c r="L848" s="64"/>
      <c r="M848" s="64"/>
      <c r="N848" s="194"/>
      <c r="O848" s="157"/>
      <c r="P848" s="92"/>
      <c r="Q848" s="145"/>
      <c r="R848" s="92"/>
      <c r="S848" s="145"/>
      <c r="T848" s="92"/>
      <c r="U848" s="145"/>
      <c r="V848" s="92"/>
      <c r="W848" s="145"/>
      <c r="X848" s="92"/>
      <c r="Y848" s="145"/>
      <c r="Z848" s="92"/>
      <c r="AA848" s="145"/>
      <c r="AB848" s="92"/>
      <c r="AC848" s="145"/>
      <c r="AD848" s="92"/>
      <c r="AE848" s="145"/>
      <c r="AF848" s="142" t="str">
        <f t="shared" si="41"/>
        <v/>
      </c>
      <c r="AG848" s="190" t="b">
        <f t="shared" si="40"/>
        <v>0</v>
      </c>
      <c r="AH848" s="145"/>
      <c r="AI848" s="153" t="s">
        <v>6</v>
      </c>
      <c r="AJ848" s="150">
        <f t="shared" si="42"/>
        <v>0</v>
      </c>
      <c r="AK848" s="154" t="s">
        <v>60</v>
      </c>
    </row>
    <row r="849" spans="1:37" ht="30" customHeight="1">
      <c r="A849" s="64"/>
      <c r="B849" s="64"/>
      <c r="C849" s="64"/>
      <c r="D849" s="64"/>
      <c r="E849" s="64"/>
      <c r="F849" s="64"/>
      <c r="G849" s="64"/>
      <c r="H849" s="64"/>
      <c r="I849" s="64"/>
      <c r="J849" s="64"/>
      <c r="K849" s="64"/>
      <c r="L849" s="64"/>
      <c r="M849" s="64"/>
      <c r="N849" s="194"/>
      <c r="O849" s="157"/>
      <c r="P849" s="92"/>
      <c r="Q849" s="145"/>
      <c r="R849" s="92"/>
      <c r="S849" s="145"/>
      <c r="T849" s="92"/>
      <c r="U849" s="145"/>
      <c r="V849" s="92"/>
      <c r="W849" s="145"/>
      <c r="X849" s="92"/>
      <c r="Y849" s="145"/>
      <c r="Z849" s="92"/>
      <c r="AA849" s="145"/>
      <c r="AB849" s="92"/>
      <c r="AC849" s="145"/>
      <c r="AD849" s="92"/>
      <c r="AE849" s="145"/>
      <c r="AF849" s="142" t="str">
        <f t="shared" si="41"/>
        <v/>
      </c>
      <c r="AG849" s="190" t="b">
        <f t="shared" si="40"/>
        <v>0</v>
      </c>
      <c r="AH849" s="145"/>
      <c r="AI849" s="153" t="s">
        <v>6</v>
      </c>
      <c r="AJ849" s="150">
        <f t="shared" si="42"/>
        <v>0</v>
      </c>
      <c r="AK849" s="154" t="s">
        <v>60</v>
      </c>
    </row>
    <row r="850" spans="1:37" ht="30" customHeight="1">
      <c r="A850" s="64"/>
      <c r="B850" s="64"/>
      <c r="C850" s="64"/>
      <c r="D850" s="64"/>
      <c r="E850" s="64"/>
      <c r="F850" s="64"/>
      <c r="G850" s="64"/>
      <c r="H850" s="64"/>
      <c r="I850" s="64"/>
      <c r="J850" s="64"/>
      <c r="K850" s="64"/>
      <c r="L850" s="64"/>
      <c r="M850" s="64"/>
      <c r="N850" s="194"/>
      <c r="O850" s="157"/>
      <c r="P850" s="92"/>
      <c r="Q850" s="145"/>
      <c r="R850" s="92"/>
      <c r="S850" s="145"/>
      <c r="T850" s="92"/>
      <c r="U850" s="145"/>
      <c r="V850" s="92"/>
      <c r="W850" s="145"/>
      <c r="X850" s="92"/>
      <c r="Y850" s="145"/>
      <c r="Z850" s="92"/>
      <c r="AA850" s="145"/>
      <c r="AB850" s="92"/>
      <c r="AC850" s="145"/>
      <c r="AD850" s="92"/>
      <c r="AE850" s="145"/>
      <c r="AF850" s="142" t="str">
        <f t="shared" si="41"/>
        <v/>
      </c>
      <c r="AG850" s="190" t="b">
        <f t="shared" si="40"/>
        <v>0</v>
      </c>
      <c r="AH850" s="145"/>
      <c r="AI850" s="153" t="s">
        <v>6</v>
      </c>
      <c r="AJ850" s="150">
        <f t="shared" si="42"/>
        <v>0</v>
      </c>
      <c r="AK850" s="154" t="s">
        <v>60</v>
      </c>
    </row>
    <row r="851" spans="1:37" ht="30" customHeight="1">
      <c r="A851" s="64"/>
      <c r="B851" s="64"/>
      <c r="C851" s="64"/>
      <c r="D851" s="64"/>
      <c r="E851" s="64"/>
      <c r="F851" s="64"/>
      <c r="G851" s="64"/>
      <c r="H851" s="64"/>
      <c r="I851" s="64"/>
      <c r="J851" s="64"/>
      <c r="K851" s="64"/>
      <c r="L851" s="64"/>
      <c r="M851" s="64"/>
      <c r="N851" s="194"/>
      <c r="O851" s="157"/>
      <c r="P851" s="92"/>
      <c r="Q851" s="145"/>
      <c r="R851" s="92"/>
      <c r="S851" s="145"/>
      <c r="T851" s="92"/>
      <c r="U851" s="145"/>
      <c r="V851" s="92"/>
      <c r="W851" s="145"/>
      <c r="X851" s="92"/>
      <c r="Y851" s="145"/>
      <c r="Z851" s="92"/>
      <c r="AA851" s="145"/>
      <c r="AB851" s="92"/>
      <c r="AC851" s="145"/>
      <c r="AD851" s="92"/>
      <c r="AE851" s="145"/>
      <c r="AF851" s="142" t="str">
        <f t="shared" si="41"/>
        <v/>
      </c>
      <c r="AG851" s="190" t="b">
        <f t="shared" si="40"/>
        <v>0</v>
      </c>
      <c r="AH851" s="145"/>
      <c r="AI851" s="153" t="s">
        <v>6</v>
      </c>
      <c r="AJ851" s="150">
        <f t="shared" si="42"/>
        <v>0</v>
      </c>
      <c r="AK851" s="154" t="s">
        <v>60</v>
      </c>
    </row>
    <row r="852" spans="1:37" ht="30" customHeight="1">
      <c r="A852" s="64"/>
      <c r="B852" s="64"/>
      <c r="C852" s="64"/>
      <c r="D852" s="64"/>
      <c r="E852" s="64"/>
      <c r="F852" s="64"/>
      <c r="G852" s="64"/>
      <c r="H852" s="64"/>
      <c r="I852" s="64"/>
      <c r="J852" s="64"/>
      <c r="K852" s="64"/>
      <c r="L852" s="64"/>
      <c r="M852" s="64"/>
      <c r="N852" s="194"/>
      <c r="O852" s="157"/>
      <c r="P852" s="92"/>
      <c r="Q852" s="145"/>
      <c r="R852" s="92"/>
      <c r="S852" s="145"/>
      <c r="T852" s="92"/>
      <c r="U852" s="145"/>
      <c r="V852" s="92"/>
      <c r="W852" s="145"/>
      <c r="X852" s="92"/>
      <c r="Y852" s="145"/>
      <c r="Z852" s="92"/>
      <c r="AA852" s="145"/>
      <c r="AB852" s="92"/>
      <c r="AC852" s="145"/>
      <c r="AD852" s="92"/>
      <c r="AE852" s="145"/>
      <c r="AF852" s="142" t="str">
        <f t="shared" si="41"/>
        <v/>
      </c>
      <c r="AG852" s="190" t="b">
        <f t="shared" si="40"/>
        <v>0</v>
      </c>
      <c r="AH852" s="145"/>
      <c r="AI852" s="153" t="s">
        <v>6</v>
      </c>
      <c r="AJ852" s="150">
        <f t="shared" si="42"/>
        <v>0</v>
      </c>
      <c r="AK852" s="154" t="s">
        <v>60</v>
      </c>
    </row>
    <row r="853" spans="1:37" ht="30" customHeight="1">
      <c r="A853" s="64"/>
      <c r="B853" s="64"/>
      <c r="C853" s="64"/>
      <c r="D853" s="64"/>
      <c r="E853" s="64"/>
      <c r="F853" s="64"/>
      <c r="G853" s="64"/>
      <c r="H853" s="64"/>
      <c r="I853" s="64"/>
      <c r="J853" s="64"/>
      <c r="K853" s="64"/>
      <c r="L853" s="64"/>
      <c r="M853" s="64"/>
      <c r="N853" s="194"/>
      <c r="O853" s="157"/>
      <c r="P853" s="92"/>
      <c r="Q853" s="145"/>
      <c r="R853" s="92"/>
      <c r="S853" s="145"/>
      <c r="T853" s="92"/>
      <c r="U853" s="145"/>
      <c r="V853" s="92"/>
      <c r="W853" s="145"/>
      <c r="X853" s="92"/>
      <c r="Y853" s="145"/>
      <c r="Z853" s="92"/>
      <c r="AA853" s="145"/>
      <c r="AB853" s="92"/>
      <c r="AC853" s="145"/>
      <c r="AD853" s="92"/>
      <c r="AE853" s="145"/>
      <c r="AF853" s="142" t="str">
        <f t="shared" si="41"/>
        <v/>
      </c>
      <c r="AG853" s="190" t="b">
        <f t="shared" si="40"/>
        <v>0</v>
      </c>
      <c r="AH853" s="145"/>
      <c r="AI853" s="153" t="s">
        <v>6</v>
      </c>
      <c r="AJ853" s="150">
        <f t="shared" si="42"/>
        <v>0</v>
      </c>
      <c r="AK853" s="154" t="s">
        <v>60</v>
      </c>
    </row>
    <row r="854" spans="1:37" ht="30" customHeight="1">
      <c r="A854" s="64"/>
      <c r="B854" s="64"/>
      <c r="C854" s="64"/>
      <c r="D854" s="64"/>
      <c r="E854" s="64"/>
      <c r="F854" s="64"/>
      <c r="G854" s="64"/>
      <c r="H854" s="64"/>
      <c r="I854" s="64"/>
      <c r="J854" s="64"/>
      <c r="K854" s="64"/>
      <c r="L854" s="64"/>
      <c r="M854" s="64"/>
      <c r="N854" s="194"/>
      <c r="O854" s="157"/>
      <c r="P854" s="92"/>
      <c r="Q854" s="145"/>
      <c r="R854" s="92"/>
      <c r="S854" s="145"/>
      <c r="T854" s="92"/>
      <c r="U854" s="145"/>
      <c r="V854" s="92"/>
      <c r="W854" s="145"/>
      <c r="X854" s="92"/>
      <c r="Y854" s="145"/>
      <c r="Z854" s="92"/>
      <c r="AA854" s="145"/>
      <c r="AB854" s="92"/>
      <c r="AC854" s="145"/>
      <c r="AD854" s="92"/>
      <c r="AE854" s="145"/>
      <c r="AF854" s="142" t="str">
        <f t="shared" si="41"/>
        <v/>
      </c>
      <c r="AG854" s="190" t="b">
        <f t="shared" si="40"/>
        <v>0</v>
      </c>
      <c r="AH854" s="145"/>
      <c r="AI854" s="153" t="s">
        <v>6</v>
      </c>
      <c r="AJ854" s="150">
        <f t="shared" si="42"/>
        <v>0</v>
      </c>
      <c r="AK854" s="154" t="s">
        <v>60</v>
      </c>
    </row>
    <row r="855" spans="1:37" ht="30" customHeight="1">
      <c r="A855" s="64"/>
      <c r="B855" s="64"/>
      <c r="C855" s="64"/>
      <c r="D855" s="64"/>
      <c r="E855" s="64"/>
      <c r="F855" s="64"/>
      <c r="G855" s="64"/>
      <c r="H855" s="64"/>
      <c r="I855" s="64"/>
      <c r="J855" s="64"/>
      <c r="K855" s="64"/>
      <c r="L855" s="64"/>
      <c r="M855" s="64"/>
      <c r="N855" s="194"/>
      <c r="O855" s="157"/>
      <c r="P855" s="92"/>
      <c r="Q855" s="145"/>
      <c r="R855" s="92"/>
      <c r="S855" s="145"/>
      <c r="T855" s="92"/>
      <c r="U855" s="145"/>
      <c r="V855" s="92"/>
      <c r="W855" s="145"/>
      <c r="X855" s="92"/>
      <c r="Y855" s="145"/>
      <c r="Z855" s="92"/>
      <c r="AA855" s="145"/>
      <c r="AB855" s="92"/>
      <c r="AC855" s="145"/>
      <c r="AD855" s="92"/>
      <c r="AE855" s="145"/>
      <c r="AF855" s="142" t="str">
        <f t="shared" si="41"/>
        <v/>
      </c>
      <c r="AG855" s="190" t="b">
        <f t="shared" si="40"/>
        <v>0</v>
      </c>
      <c r="AH855" s="145"/>
      <c r="AI855" s="153" t="s">
        <v>6</v>
      </c>
      <c r="AJ855" s="150">
        <f t="shared" si="42"/>
        <v>0</v>
      </c>
      <c r="AK855" s="154" t="s">
        <v>60</v>
      </c>
    </row>
    <row r="856" spans="1:37" ht="30" customHeight="1">
      <c r="A856" s="64"/>
      <c r="B856" s="64"/>
      <c r="C856" s="64"/>
      <c r="D856" s="64"/>
      <c r="E856" s="64"/>
      <c r="F856" s="64"/>
      <c r="G856" s="64"/>
      <c r="H856" s="64"/>
      <c r="I856" s="64"/>
      <c r="J856" s="64"/>
      <c r="K856" s="64"/>
      <c r="L856" s="64"/>
      <c r="M856" s="64"/>
      <c r="N856" s="194"/>
      <c r="O856" s="157"/>
      <c r="P856" s="92"/>
      <c r="Q856" s="145"/>
      <c r="R856" s="92"/>
      <c r="S856" s="145"/>
      <c r="T856" s="92"/>
      <c r="U856" s="145"/>
      <c r="V856" s="92"/>
      <c r="W856" s="145"/>
      <c r="X856" s="92"/>
      <c r="Y856" s="145"/>
      <c r="Z856" s="92"/>
      <c r="AA856" s="145"/>
      <c r="AB856" s="92"/>
      <c r="AC856" s="145"/>
      <c r="AD856" s="92"/>
      <c r="AE856" s="145"/>
      <c r="AF856" s="142" t="str">
        <f t="shared" si="41"/>
        <v/>
      </c>
      <c r="AG856" s="190" t="b">
        <f t="shared" si="40"/>
        <v>0</v>
      </c>
      <c r="AH856" s="145"/>
      <c r="AI856" s="153" t="s">
        <v>6</v>
      </c>
      <c r="AJ856" s="150">
        <f t="shared" si="42"/>
        <v>0</v>
      </c>
      <c r="AK856" s="154" t="s">
        <v>60</v>
      </c>
    </row>
    <row r="857" spans="1:37" ht="30" customHeight="1">
      <c r="A857" s="64"/>
      <c r="B857" s="64"/>
      <c r="C857" s="64"/>
      <c r="D857" s="64"/>
      <c r="E857" s="64"/>
      <c r="F857" s="64"/>
      <c r="G857" s="64"/>
      <c r="H857" s="64"/>
      <c r="I857" s="64"/>
      <c r="J857" s="64"/>
      <c r="K857" s="64"/>
      <c r="L857" s="64"/>
      <c r="M857" s="64"/>
      <c r="N857" s="194"/>
      <c r="O857" s="157"/>
      <c r="P857" s="92"/>
      <c r="Q857" s="145"/>
      <c r="R857" s="92"/>
      <c r="S857" s="145"/>
      <c r="T857" s="92"/>
      <c r="U857" s="145"/>
      <c r="V857" s="92"/>
      <c r="W857" s="145"/>
      <c r="X857" s="92"/>
      <c r="Y857" s="145"/>
      <c r="Z857" s="92"/>
      <c r="AA857" s="145"/>
      <c r="AB857" s="92"/>
      <c r="AC857" s="145"/>
      <c r="AD857" s="92"/>
      <c r="AE857" s="145"/>
      <c r="AF857" s="142" t="str">
        <f t="shared" si="41"/>
        <v/>
      </c>
      <c r="AG857" s="190" t="b">
        <f t="shared" si="40"/>
        <v>0</v>
      </c>
      <c r="AH857" s="145"/>
      <c r="AI857" s="153" t="s">
        <v>6</v>
      </c>
      <c r="AJ857" s="150">
        <f t="shared" si="42"/>
        <v>0</v>
      </c>
      <c r="AK857" s="154" t="s">
        <v>60</v>
      </c>
    </row>
    <row r="858" spans="1:37" ht="30" customHeight="1">
      <c r="A858" s="64"/>
      <c r="B858" s="64"/>
      <c r="C858" s="64"/>
      <c r="D858" s="64"/>
      <c r="E858" s="64"/>
      <c r="F858" s="64"/>
      <c r="G858" s="64"/>
      <c r="H858" s="64"/>
      <c r="I858" s="64"/>
      <c r="J858" s="64"/>
      <c r="K858" s="64"/>
      <c r="L858" s="64"/>
      <c r="M858" s="64"/>
      <c r="N858" s="194"/>
      <c r="O858" s="157"/>
      <c r="P858" s="92"/>
      <c r="Q858" s="145"/>
      <c r="R858" s="92"/>
      <c r="S858" s="145"/>
      <c r="T858" s="92"/>
      <c r="U858" s="145"/>
      <c r="V858" s="92"/>
      <c r="W858" s="145"/>
      <c r="X858" s="92"/>
      <c r="Y858" s="145"/>
      <c r="Z858" s="92"/>
      <c r="AA858" s="145"/>
      <c r="AB858" s="92"/>
      <c r="AC858" s="145"/>
      <c r="AD858" s="92"/>
      <c r="AE858" s="145"/>
      <c r="AF858" s="142" t="str">
        <f t="shared" si="41"/>
        <v/>
      </c>
      <c r="AG858" s="190" t="b">
        <f t="shared" si="40"/>
        <v>0</v>
      </c>
      <c r="AH858" s="145"/>
      <c r="AI858" s="153" t="s">
        <v>6</v>
      </c>
      <c r="AJ858" s="150">
        <f t="shared" si="42"/>
        <v>0</v>
      </c>
      <c r="AK858" s="154" t="s">
        <v>60</v>
      </c>
    </row>
    <row r="859" spans="1:37" ht="30" customHeight="1">
      <c r="A859" s="64"/>
      <c r="B859" s="64"/>
      <c r="C859" s="64"/>
      <c r="D859" s="64"/>
      <c r="E859" s="64"/>
      <c r="F859" s="64"/>
      <c r="G859" s="64"/>
      <c r="H859" s="64"/>
      <c r="I859" s="64"/>
      <c r="J859" s="64"/>
      <c r="K859" s="64"/>
      <c r="L859" s="64"/>
      <c r="M859" s="64"/>
      <c r="N859" s="194"/>
      <c r="O859" s="157"/>
      <c r="P859" s="92"/>
      <c r="Q859" s="145"/>
      <c r="R859" s="92"/>
      <c r="S859" s="145"/>
      <c r="T859" s="92"/>
      <c r="U859" s="145"/>
      <c r="V859" s="92"/>
      <c r="W859" s="145"/>
      <c r="X859" s="92"/>
      <c r="Y859" s="145"/>
      <c r="Z859" s="92"/>
      <c r="AA859" s="145"/>
      <c r="AB859" s="92"/>
      <c r="AC859" s="145"/>
      <c r="AD859" s="92"/>
      <c r="AE859" s="145"/>
      <c r="AF859" s="142" t="str">
        <f t="shared" si="41"/>
        <v/>
      </c>
      <c r="AG859" s="190" t="b">
        <f t="shared" si="40"/>
        <v>0</v>
      </c>
      <c r="AH859" s="145"/>
      <c r="AI859" s="153" t="s">
        <v>6</v>
      </c>
      <c r="AJ859" s="150">
        <f t="shared" si="42"/>
        <v>0</v>
      </c>
      <c r="AK859" s="154" t="s">
        <v>60</v>
      </c>
    </row>
    <row r="860" spans="1:37" ht="30" customHeight="1">
      <c r="A860" s="64"/>
      <c r="B860" s="64"/>
      <c r="C860" s="64"/>
      <c r="D860" s="64"/>
      <c r="E860" s="64"/>
      <c r="F860" s="64"/>
      <c r="G860" s="64"/>
      <c r="H860" s="64"/>
      <c r="I860" s="64"/>
      <c r="J860" s="64"/>
      <c r="K860" s="64"/>
      <c r="L860" s="64"/>
      <c r="M860" s="64"/>
      <c r="N860" s="194"/>
      <c r="O860" s="157"/>
      <c r="P860" s="92"/>
      <c r="Q860" s="145"/>
      <c r="R860" s="92"/>
      <c r="S860" s="145"/>
      <c r="T860" s="92"/>
      <c r="U860" s="145"/>
      <c r="V860" s="92"/>
      <c r="W860" s="145"/>
      <c r="X860" s="92"/>
      <c r="Y860" s="145"/>
      <c r="Z860" s="92"/>
      <c r="AA860" s="145"/>
      <c r="AB860" s="92"/>
      <c r="AC860" s="145"/>
      <c r="AD860" s="92"/>
      <c r="AE860" s="145"/>
      <c r="AF860" s="142" t="str">
        <f t="shared" si="41"/>
        <v/>
      </c>
      <c r="AG860" s="190" t="b">
        <f t="shared" si="40"/>
        <v>0</v>
      </c>
      <c r="AH860" s="145"/>
      <c r="AI860" s="153" t="s">
        <v>6</v>
      </c>
      <c r="AJ860" s="150">
        <f t="shared" si="42"/>
        <v>0</v>
      </c>
      <c r="AK860" s="154" t="s">
        <v>60</v>
      </c>
    </row>
    <row r="861" spans="1:37" ht="30" customHeight="1">
      <c r="A861" s="64"/>
      <c r="B861" s="64"/>
      <c r="C861" s="64"/>
      <c r="D861" s="64"/>
      <c r="E861" s="64"/>
      <c r="F861" s="64"/>
      <c r="G861" s="64"/>
      <c r="H861" s="64"/>
      <c r="I861" s="64"/>
      <c r="J861" s="64"/>
      <c r="K861" s="64"/>
      <c r="L861" s="64"/>
      <c r="M861" s="64"/>
      <c r="N861" s="194"/>
      <c r="O861" s="157"/>
      <c r="P861" s="92"/>
      <c r="Q861" s="145"/>
      <c r="R861" s="92"/>
      <c r="S861" s="145"/>
      <c r="T861" s="92"/>
      <c r="U861" s="145"/>
      <c r="V861" s="92"/>
      <c r="W861" s="145"/>
      <c r="X861" s="92"/>
      <c r="Y861" s="145"/>
      <c r="Z861" s="92"/>
      <c r="AA861" s="145"/>
      <c r="AB861" s="92"/>
      <c r="AC861" s="145"/>
      <c r="AD861" s="92"/>
      <c r="AE861" s="145"/>
      <c r="AF861" s="142" t="str">
        <f t="shared" si="41"/>
        <v/>
      </c>
      <c r="AG861" s="190" t="b">
        <f t="shared" si="40"/>
        <v>0</v>
      </c>
      <c r="AH861" s="145"/>
      <c r="AI861" s="153" t="s">
        <v>6</v>
      </c>
      <c r="AJ861" s="150">
        <f t="shared" si="42"/>
        <v>0</v>
      </c>
      <c r="AK861" s="154" t="s">
        <v>60</v>
      </c>
    </row>
    <row r="862" spans="1:37" ht="30" customHeight="1">
      <c r="A862" s="64"/>
      <c r="B862" s="64"/>
      <c r="C862" s="64"/>
      <c r="D862" s="64"/>
      <c r="E862" s="64"/>
      <c r="F862" s="64"/>
      <c r="G862" s="64"/>
      <c r="H862" s="64"/>
      <c r="I862" s="64"/>
      <c r="J862" s="64"/>
      <c r="K862" s="64"/>
      <c r="L862" s="64"/>
      <c r="M862" s="64"/>
      <c r="N862" s="194"/>
      <c r="O862" s="157"/>
      <c r="P862" s="92"/>
      <c r="Q862" s="145"/>
      <c r="R862" s="92"/>
      <c r="S862" s="145"/>
      <c r="T862" s="92"/>
      <c r="U862" s="145"/>
      <c r="V862" s="92"/>
      <c r="W862" s="145"/>
      <c r="X862" s="92"/>
      <c r="Y862" s="145"/>
      <c r="Z862" s="92"/>
      <c r="AA862" s="145"/>
      <c r="AB862" s="92"/>
      <c r="AC862" s="145"/>
      <c r="AD862" s="92"/>
      <c r="AE862" s="145"/>
      <c r="AF862" s="142" t="str">
        <f t="shared" si="41"/>
        <v/>
      </c>
      <c r="AG862" s="190" t="b">
        <f t="shared" si="40"/>
        <v>0</v>
      </c>
      <c r="AH862" s="145"/>
      <c r="AI862" s="153" t="s">
        <v>6</v>
      </c>
      <c r="AJ862" s="150">
        <f t="shared" si="42"/>
        <v>0</v>
      </c>
      <c r="AK862" s="154" t="s">
        <v>60</v>
      </c>
    </row>
    <row r="863" spans="1:37" ht="30" customHeight="1">
      <c r="A863" s="64"/>
      <c r="B863" s="64"/>
      <c r="C863" s="64"/>
      <c r="D863" s="64"/>
      <c r="E863" s="64"/>
      <c r="F863" s="64"/>
      <c r="G863" s="64"/>
      <c r="H863" s="64"/>
      <c r="I863" s="64"/>
      <c r="J863" s="64"/>
      <c r="K863" s="64"/>
      <c r="L863" s="64"/>
      <c r="M863" s="64"/>
      <c r="N863" s="194"/>
      <c r="O863" s="157"/>
      <c r="P863" s="92"/>
      <c r="Q863" s="145"/>
      <c r="R863" s="92"/>
      <c r="S863" s="145"/>
      <c r="T863" s="92"/>
      <c r="U863" s="145"/>
      <c r="V863" s="92"/>
      <c r="W863" s="145"/>
      <c r="X863" s="92"/>
      <c r="Y863" s="145"/>
      <c r="Z863" s="92"/>
      <c r="AA863" s="145"/>
      <c r="AB863" s="92"/>
      <c r="AC863" s="145"/>
      <c r="AD863" s="92"/>
      <c r="AE863" s="145"/>
      <c r="AF863" s="142" t="str">
        <f t="shared" si="41"/>
        <v/>
      </c>
      <c r="AG863" s="190" t="b">
        <f t="shared" si="40"/>
        <v>0</v>
      </c>
      <c r="AH863" s="145"/>
      <c r="AI863" s="153" t="s">
        <v>6</v>
      </c>
      <c r="AJ863" s="150">
        <f t="shared" si="42"/>
        <v>0</v>
      </c>
      <c r="AK863" s="154" t="s">
        <v>60</v>
      </c>
    </row>
    <row r="864" spans="1:37" ht="30" customHeight="1">
      <c r="A864" s="64"/>
      <c r="B864" s="64"/>
      <c r="C864" s="64"/>
      <c r="D864" s="64"/>
      <c r="E864" s="64"/>
      <c r="F864" s="64"/>
      <c r="G864" s="64"/>
      <c r="H864" s="64"/>
      <c r="I864" s="64"/>
      <c r="J864" s="64"/>
      <c r="K864" s="64"/>
      <c r="L864" s="64"/>
      <c r="M864" s="64"/>
      <c r="N864" s="194"/>
      <c r="O864" s="157"/>
      <c r="P864" s="92"/>
      <c r="Q864" s="145"/>
      <c r="R864" s="92"/>
      <c r="S864" s="145"/>
      <c r="T864" s="92"/>
      <c r="U864" s="145"/>
      <c r="V864" s="92"/>
      <c r="W864" s="145"/>
      <c r="X864" s="92"/>
      <c r="Y864" s="145"/>
      <c r="Z864" s="92"/>
      <c r="AA864" s="145"/>
      <c r="AB864" s="92"/>
      <c r="AC864" s="145"/>
      <c r="AD864" s="92"/>
      <c r="AE864" s="145"/>
      <c r="AF864" s="142" t="str">
        <f t="shared" si="41"/>
        <v/>
      </c>
      <c r="AG864" s="190" t="b">
        <f t="shared" si="40"/>
        <v>0</v>
      </c>
      <c r="AH864" s="145"/>
      <c r="AI864" s="153" t="s">
        <v>6</v>
      </c>
      <c r="AJ864" s="150">
        <f t="shared" si="42"/>
        <v>0</v>
      </c>
      <c r="AK864" s="154" t="s">
        <v>60</v>
      </c>
    </row>
    <row r="865" spans="1:37" ht="30" customHeight="1">
      <c r="A865" s="64"/>
      <c r="B865" s="64"/>
      <c r="C865" s="64"/>
      <c r="D865" s="64"/>
      <c r="E865" s="64"/>
      <c r="F865" s="64"/>
      <c r="G865" s="64"/>
      <c r="H865" s="64"/>
      <c r="I865" s="64"/>
      <c r="J865" s="64"/>
      <c r="K865" s="64"/>
      <c r="L865" s="64"/>
      <c r="M865" s="64"/>
      <c r="N865" s="194"/>
      <c r="O865" s="157"/>
      <c r="P865" s="92"/>
      <c r="Q865" s="145"/>
      <c r="R865" s="92"/>
      <c r="S865" s="145"/>
      <c r="T865" s="92"/>
      <c r="U865" s="145"/>
      <c r="V865" s="92"/>
      <c r="W865" s="145"/>
      <c r="X865" s="92"/>
      <c r="Y865" s="145"/>
      <c r="Z865" s="92"/>
      <c r="AA865" s="145"/>
      <c r="AB865" s="92"/>
      <c r="AC865" s="145"/>
      <c r="AD865" s="92"/>
      <c r="AE865" s="145"/>
      <c r="AF865" s="142" t="str">
        <f t="shared" si="41"/>
        <v/>
      </c>
      <c r="AG865" s="190" t="b">
        <f t="shared" si="40"/>
        <v>0</v>
      </c>
      <c r="AH865" s="145"/>
      <c r="AI865" s="153" t="s">
        <v>6</v>
      </c>
      <c r="AJ865" s="150">
        <f t="shared" si="42"/>
        <v>0</v>
      </c>
      <c r="AK865" s="154" t="s">
        <v>60</v>
      </c>
    </row>
    <row r="866" spans="1:37" ht="30" customHeight="1">
      <c r="A866" s="64"/>
      <c r="B866" s="64"/>
      <c r="C866" s="64"/>
      <c r="D866" s="64"/>
      <c r="E866" s="64"/>
      <c r="F866" s="64"/>
      <c r="G866" s="64"/>
      <c r="H866" s="64"/>
      <c r="I866" s="64"/>
      <c r="J866" s="64"/>
      <c r="K866" s="64"/>
      <c r="L866" s="64"/>
      <c r="M866" s="64"/>
      <c r="N866" s="194"/>
      <c r="O866" s="157"/>
      <c r="P866" s="92"/>
      <c r="Q866" s="145"/>
      <c r="R866" s="92"/>
      <c r="S866" s="145"/>
      <c r="T866" s="92"/>
      <c r="U866" s="145"/>
      <c r="V866" s="92"/>
      <c r="W866" s="145"/>
      <c r="X866" s="92"/>
      <c r="Y866" s="145"/>
      <c r="Z866" s="92"/>
      <c r="AA866" s="145"/>
      <c r="AB866" s="92"/>
      <c r="AC866" s="145"/>
      <c r="AD866" s="92"/>
      <c r="AE866" s="145"/>
      <c r="AF866" s="142" t="str">
        <f t="shared" si="41"/>
        <v/>
      </c>
      <c r="AG866" s="190" t="b">
        <f t="shared" si="40"/>
        <v>0</v>
      </c>
      <c r="AH866" s="145"/>
      <c r="AI866" s="153" t="s">
        <v>6</v>
      </c>
      <c r="AJ866" s="150">
        <f t="shared" si="42"/>
        <v>0</v>
      </c>
      <c r="AK866" s="154" t="s">
        <v>60</v>
      </c>
    </row>
    <row r="867" spans="1:37" ht="30" customHeight="1">
      <c r="A867" s="64"/>
      <c r="B867" s="64"/>
      <c r="C867" s="64"/>
      <c r="D867" s="64"/>
      <c r="E867" s="64"/>
      <c r="F867" s="64"/>
      <c r="G867" s="64"/>
      <c r="H867" s="64"/>
      <c r="I867" s="64"/>
      <c r="J867" s="64"/>
      <c r="K867" s="64"/>
      <c r="L867" s="64"/>
      <c r="M867" s="64"/>
      <c r="N867" s="194"/>
      <c r="O867" s="157"/>
      <c r="P867" s="92"/>
      <c r="Q867" s="145"/>
      <c r="R867" s="92"/>
      <c r="S867" s="145"/>
      <c r="T867" s="92"/>
      <c r="U867" s="145"/>
      <c r="V867" s="92"/>
      <c r="W867" s="145"/>
      <c r="X867" s="92"/>
      <c r="Y867" s="145"/>
      <c r="Z867" s="92"/>
      <c r="AA867" s="145"/>
      <c r="AB867" s="92"/>
      <c r="AC867" s="145"/>
      <c r="AD867" s="92"/>
      <c r="AE867" s="145"/>
      <c r="AF867" s="142" t="str">
        <f t="shared" si="41"/>
        <v/>
      </c>
      <c r="AG867" s="190" t="b">
        <f t="shared" si="40"/>
        <v>0</v>
      </c>
      <c r="AH867" s="145"/>
      <c r="AI867" s="153" t="s">
        <v>6</v>
      </c>
      <c r="AJ867" s="150">
        <f t="shared" si="42"/>
        <v>0</v>
      </c>
      <c r="AK867" s="154" t="s">
        <v>60</v>
      </c>
    </row>
    <row r="868" spans="1:37" ht="30" customHeight="1">
      <c r="A868" s="64"/>
      <c r="B868" s="64"/>
      <c r="C868" s="64"/>
      <c r="D868" s="64"/>
      <c r="E868" s="64"/>
      <c r="F868" s="64"/>
      <c r="G868" s="64"/>
      <c r="H868" s="64"/>
      <c r="I868" s="64"/>
      <c r="J868" s="64"/>
      <c r="K868" s="64"/>
      <c r="L868" s="64"/>
      <c r="M868" s="64"/>
      <c r="N868" s="194"/>
      <c r="O868" s="157"/>
      <c r="P868" s="92"/>
      <c r="Q868" s="145"/>
      <c r="R868" s="92"/>
      <c r="S868" s="145"/>
      <c r="T868" s="92"/>
      <c r="U868" s="145"/>
      <c r="V868" s="92"/>
      <c r="W868" s="145"/>
      <c r="X868" s="92"/>
      <c r="Y868" s="145"/>
      <c r="Z868" s="92"/>
      <c r="AA868" s="145"/>
      <c r="AB868" s="92"/>
      <c r="AC868" s="145"/>
      <c r="AD868" s="92"/>
      <c r="AE868" s="145"/>
      <c r="AF868" s="142" t="str">
        <f t="shared" si="41"/>
        <v/>
      </c>
      <c r="AG868" s="190" t="b">
        <f t="shared" si="40"/>
        <v>0</v>
      </c>
      <c r="AH868" s="145"/>
      <c r="AI868" s="153" t="s">
        <v>6</v>
      </c>
      <c r="AJ868" s="150">
        <f t="shared" si="42"/>
        <v>0</v>
      </c>
      <c r="AK868" s="154" t="s">
        <v>60</v>
      </c>
    </row>
    <row r="869" spans="1:37" ht="30" customHeight="1">
      <c r="A869" s="64"/>
      <c r="B869" s="64"/>
      <c r="C869" s="64"/>
      <c r="D869" s="64"/>
      <c r="E869" s="64"/>
      <c r="F869" s="64"/>
      <c r="G869" s="64"/>
      <c r="H869" s="64"/>
      <c r="I869" s="64"/>
      <c r="J869" s="64"/>
      <c r="K869" s="64"/>
      <c r="L869" s="64"/>
      <c r="M869" s="64"/>
      <c r="N869" s="194"/>
      <c r="O869" s="157"/>
      <c r="P869" s="92"/>
      <c r="Q869" s="145"/>
      <c r="R869" s="92"/>
      <c r="S869" s="145"/>
      <c r="T869" s="92"/>
      <c r="U869" s="145"/>
      <c r="V869" s="92"/>
      <c r="W869" s="145"/>
      <c r="X869" s="92"/>
      <c r="Y869" s="145"/>
      <c r="Z869" s="92"/>
      <c r="AA869" s="145"/>
      <c r="AB869" s="92"/>
      <c r="AC869" s="145"/>
      <c r="AD869" s="92"/>
      <c r="AE869" s="145"/>
      <c r="AF869" s="142" t="str">
        <f t="shared" si="41"/>
        <v/>
      </c>
      <c r="AG869" s="190" t="b">
        <f t="shared" si="40"/>
        <v>0</v>
      </c>
      <c r="AH869" s="145"/>
      <c r="AI869" s="153" t="s">
        <v>6</v>
      </c>
      <c r="AJ869" s="150">
        <f t="shared" si="42"/>
        <v>0</v>
      </c>
      <c r="AK869" s="154" t="s">
        <v>60</v>
      </c>
    </row>
    <row r="870" spans="1:37" ht="30" customHeight="1">
      <c r="A870" s="64"/>
      <c r="B870" s="64"/>
      <c r="C870" s="64"/>
      <c r="D870" s="64"/>
      <c r="E870" s="64"/>
      <c r="F870" s="64"/>
      <c r="G870" s="64"/>
      <c r="H870" s="64"/>
      <c r="I870" s="64"/>
      <c r="J870" s="64"/>
      <c r="K870" s="64"/>
      <c r="L870" s="64"/>
      <c r="M870" s="64"/>
      <c r="N870" s="194"/>
      <c r="O870" s="157"/>
      <c r="P870" s="92"/>
      <c r="Q870" s="145"/>
      <c r="R870" s="92"/>
      <c r="S870" s="145"/>
      <c r="T870" s="92"/>
      <c r="U870" s="145"/>
      <c r="V870" s="92"/>
      <c r="W870" s="145"/>
      <c r="X870" s="92"/>
      <c r="Y870" s="145"/>
      <c r="Z870" s="92"/>
      <c r="AA870" s="145"/>
      <c r="AB870" s="92"/>
      <c r="AC870" s="145"/>
      <c r="AD870" s="92"/>
      <c r="AE870" s="145"/>
      <c r="AF870" s="142" t="str">
        <f t="shared" si="41"/>
        <v/>
      </c>
      <c r="AG870" s="190" t="b">
        <f t="shared" si="40"/>
        <v>0</v>
      </c>
      <c r="AH870" s="145"/>
      <c r="AI870" s="153" t="s">
        <v>6</v>
      </c>
      <c r="AJ870" s="150">
        <f t="shared" si="42"/>
        <v>0</v>
      </c>
      <c r="AK870" s="154" t="s">
        <v>60</v>
      </c>
    </row>
    <row r="871" spans="1:37" ht="30" customHeight="1">
      <c r="A871" s="64"/>
      <c r="B871" s="64"/>
      <c r="C871" s="64"/>
      <c r="D871" s="64"/>
      <c r="E871" s="64"/>
      <c r="F871" s="64"/>
      <c r="G871" s="64"/>
      <c r="H871" s="64"/>
      <c r="I871" s="64"/>
      <c r="J871" s="64"/>
      <c r="K871" s="64"/>
      <c r="L871" s="64"/>
      <c r="M871" s="64"/>
      <c r="N871" s="194"/>
      <c r="O871" s="157"/>
      <c r="P871" s="92"/>
      <c r="Q871" s="145"/>
      <c r="R871" s="92"/>
      <c r="S871" s="145"/>
      <c r="T871" s="92"/>
      <c r="U871" s="145"/>
      <c r="V871" s="92"/>
      <c r="W871" s="145"/>
      <c r="X871" s="92"/>
      <c r="Y871" s="145"/>
      <c r="Z871" s="92"/>
      <c r="AA871" s="145"/>
      <c r="AB871" s="92"/>
      <c r="AC871" s="145"/>
      <c r="AD871" s="92"/>
      <c r="AE871" s="145"/>
      <c r="AF871" s="142" t="str">
        <f t="shared" si="41"/>
        <v/>
      </c>
      <c r="AG871" s="190" t="b">
        <f t="shared" ref="AG871:AG934" si="43">IF(AND(AE871="C",AF871="C"),"UTILIZOU O PDA CORRETAMENTE",IF(AND(AE871="C",AF871="NC"),"UTILIZOU O PDA CORRETAMENTE. NÃO HÁ FOTOS DE TODAS AS ETAPAS",IF(AND(AE871="NC",AF871="NC"),"NÃO UTILIZOU O PDA",IF(AND(AE871="NA",AF871="NA"),"NÃO AVALIADO POR FALHA DE SINCRONISMO"))))</f>
        <v>0</v>
      </c>
      <c r="AH871" s="145"/>
      <c r="AI871" s="153" t="s">
        <v>6</v>
      </c>
      <c r="AJ871" s="150">
        <f t="shared" si="42"/>
        <v>0</v>
      </c>
      <c r="AK871" s="154" t="s">
        <v>60</v>
      </c>
    </row>
    <row r="872" spans="1:37" ht="30" customHeight="1">
      <c r="A872" s="64"/>
      <c r="B872" s="64"/>
      <c r="C872" s="64"/>
      <c r="D872" s="64"/>
      <c r="E872" s="64"/>
      <c r="F872" s="64"/>
      <c r="G872" s="64"/>
      <c r="H872" s="64"/>
      <c r="I872" s="64"/>
      <c r="J872" s="64"/>
      <c r="K872" s="64"/>
      <c r="L872" s="64"/>
      <c r="M872" s="64"/>
      <c r="N872" s="194"/>
      <c r="O872" s="157"/>
      <c r="P872" s="92"/>
      <c r="Q872" s="145"/>
      <c r="R872" s="92"/>
      <c r="S872" s="145"/>
      <c r="T872" s="92"/>
      <c r="U872" s="145"/>
      <c r="V872" s="92"/>
      <c r="W872" s="145"/>
      <c r="X872" s="92"/>
      <c r="Y872" s="145"/>
      <c r="Z872" s="92"/>
      <c r="AA872" s="145"/>
      <c r="AB872" s="92"/>
      <c r="AC872" s="145"/>
      <c r="AD872" s="92"/>
      <c r="AE872" s="145"/>
      <c r="AF872" s="142" t="str">
        <f t="shared" ref="AF872:AF935" si="44">IF(AND(O872="",Q872="",S872="",U872="",W872="",Y872="",AA872="",AC872=""),"",IF(OR(AND(O872&lt;&gt;"NA",O872&lt;&gt;"C",O872&lt;&gt;"NC",O872&lt;&gt;"SF",O872&lt;&gt;""),AND(Q872&lt;&gt;"NA",Q872&lt;&gt;"C",Q872&lt;&gt;"NC",Q872&lt;&gt;"SF",Q872&lt;&gt;""),AND(S872&lt;&gt;"NA",S872&lt;&gt;"C",S872&lt;&gt;"NC",S872&lt;&gt;"SF",S872&lt;&gt;""),AND(U872&lt;&gt;"NA",U872&lt;&gt;"C",U872&lt;&gt;"NC",U872&lt;&gt;"SF",U872&lt;&gt;""),AND(W872&lt;&gt;"NA",W872&lt;&gt;"C",W872&lt;&gt;"NC",W872&lt;&gt;"SF",W872&lt;&gt;""),AND(Y872&lt;&gt;"NA",Y872&lt;&gt;"C",Y872&lt;&gt;"NC",Y872&lt;&gt;"SF",Y872&lt;&gt;""),AND(AA872&lt;&gt;"NA",AA872&lt;&gt;"C",AA872&lt;&gt;"NC",AA872&lt;&gt;"SF",AA872&lt;&gt;""),AND(AC872&lt;&gt;"NA",AC872&lt;&gt;"C",AC872&lt;&gt;"NC",AC872&lt;&gt;"SF",AC872&lt;&gt;"")),"FALSO",IF(AND(O872="NA",Q872="NA",S872="NA",U872="NA",W872="NA",Y872="NA",AA872="NA",AC872="NA"),"NA",IF(OR(O872="NC",Q872="NC",S872="NC",U872="NC",W872="NC",Y872="NC",AA872="NC",AC872="NC",O872="SF",Q872="SF",S872="SF",U872="SF",W872="SF",Y872="SF",AA872="SF",AC872="SF"),"NC",IF(OR(O872="C",Q872="C",S872="C",U872="C",W872="C",Y872="C",AA872="C",AC872="C"),"C","")))))</f>
        <v/>
      </c>
      <c r="AG872" s="190" t="b">
        <f t="shared" si="43"/>
        <v>0</v>
      </c>
      <c r="AH872" s="145"/>
      <c r="AI872" s="153" t="s">
        <v>6</v>
      </c>
      <c r="AJ872" s="150">
        <f t="shared" si="42"/>
        <v>0</v>
      </c>
      <c r="AK872" s="154" t="s">
        <v>60</v>
      </c>
    </row>
    <row r="873" spans="1:37" ht="30" customHeight="1">
      <c r="A873" s="64"/>
      <c r="B873" s="64"/>
      <c r="C873" s="64"/>
      <c r="D873" s="64"/>
      <c r="E873" s="64"/>
      <c r="F873" s="64"/>
      <c r="G873" s="64"/>
      <c r="H873" s="64"/>
      <c r="I873" s="64"/>
      <c r="J873" s="64"/>
      <c r="K873" s="64"/>
      <c r="L873" s="64"/>
      <c r="M873" s="64"/>
      <c r="N873" s="194"/>
      <c r="O873" s="157"/>
      <c r="P873" s="92"/>
      <c r="Q873" s="145"/>
      <c r="R873" s="92"/>
      <c r="S873" s="145"/>
      <c r="T873" s="92"/>
      <c r="U873" s="145"/>
      <c r="V873" s="92"/>
      <c r="W873" s="145"/>
      <c r="X873" s="92"/>
      <c r="Y873" s="145"/>
      <c r="Z873" s="92"/>
      <c r="AA873" s="145"/>
      <c r="AB873" s="92"/>
      <c r="AC873" s="145"/>
      <c r="AD873" s="92"/>
      <c r="AE873" s="145"/>
      <c r="AF873" s="142" t="str">
        <f t="shared" si="44"/>
        <v/>
      </c>
      <c r="AG873" s="190" t="b">
        <f t="shared" si="43"/>
        <v>0</v>
      </c>
      <c r="AH873" s="145"/>
      <c r="AI873" s="153" t="s">
        <v>6</v>
      </c>
      <c r="AJ873" s="150">
        <f t="shared" si="42"/>
        <v>0</v>
      </c>
      <c r="AK873" s="154" t="s">
        <v>60</v>
      </c>
    </row>
    <row r="874" spans="1:37" ht="30" customHeight="1">
      <c r="A874" s="64"/>
      <c r="B874" s="64"/>
      <c r="C874" s="64"/>
      <c r="D874" s="64"/>
      <c r="E874" s="64"/>
      <c r="F874" s="64"/>
      <c r="G874" s="64"/>
      <c r="H874" s="64"/>
      <c r="I874" s="64"/>
      <c r="J874" s="64"/>
      <c r="K874" s="64"/>
      <c r="L874" s="64"/>
      <c r="M874" s="64"/>
      <c r="N874" s="194"/>
      <c r="O874" s="157"/>
      <c r="P874" s="92"/>
      <c r="Q874" s="145"/>
      <c r="R874" s="92"/>
      <c r="S874" s="145"/>
      <c r="T874" s="92"/>
      <c r="U874" s="145"/>
      <c r="V874" s="92"/>
      <c r="W874" s="145"/>
      <c r="X874" s="92"/>
      <c r="Y874" s="145"/>
      <c r="Z874" s="92"/>
      <c r="AA874" s="145"/>
      <c r="AB874" s="92"/>
      <c r="AC874" s="145"/>
      <c r="AD874" s="92"/>
      <c r="AE874" s="145"/>
      <c r="AF874" s="142" t="str">
        <f t="shared" si="44"/>
        <v/>
      </c>
      <c r="AG874" s="190" t="b">
        <f t="shared" si="43"/>
        <v>0</v>
      </c>
      <c r="AH874" s="145"/>
      <c r="AI874" s="153" t="s">
        <v>6</v>
      </c>
      <c r="AJ874" s="150">
        <f t="shared" si="42"/>
        <v>0</v>
      </c>
      <c r="AK874" s="154" t="s">
        <v>60</v>
      </c>
    </row>
    <row r="875" spans="1:37" ht="30" customHeight="1">
      <c r="A875" s="64"/>
      <c r="B875" s="64"/>
      <c r="C875" s="64"/>
      <c r="D875" s="64"/>
      <c r="E875" s="64"/>
      <c r="F875" s="64"/>
      <c r="G875" s="64"/>
      <c r="H875" s="64"/>
      <c r="I875" s="64"/>
      <c r="J875" s="64"/>
      <c r="K875" s="64"/>
      <c r="L875" s="64"/>
      <c r="M875" s="64"/>
      <c r="N875" s="194"/>
      <c r="O875" s="157"/>
      <c r="P875" s="92"/>
      <c r="Q875" s="145"/>
      <c r="R875" s="92"/>
      <c r="S875" s="145"/>
      <c r="T875" s="92"/>
      <c r="U875" s="145"/>
      <c r="V875" s="92"/>
      <c r="W875" s="145"/>
      <c r="X875" s="92"/>
      <c r="Y875" s="145"/>
      <c r="Z875" s="92"/>
      <c r="AA875" s="145"/>
      <c r="AB875" s="92"/>
      <c r="AC875" s="145"/>
      <c r="AD875" s="92"/>
      <c r="AE875" s="145"/>
      <c r="AF875" s="142" t="str">
        <f t="shared" si="44"/>
        <v/>
      </c>
      <c r="AG875" s="190" t="b">
        <f t="shared" si="43"/>
        <v>0</v>
      </c>
      <c r="AH875" s="145"/>
      <c r="AI875" s="153" t="s">
        <v>6</v>
      </c>
      <c r="AJ875" s="150">
        <f t="shared" si="42"/>
        <v>0</v>
      </c>
      <c r="AK875" s="154" t="s">
        <v>60</v>
      </c>
    </row>
    <row r="876" spans="1:37" ht="30" customHeight="1">
      <c r="A876" s="64"/>
      <c r="B876" s="64"/>
      <c r="C876" s="64"/>
      <c r="D876" s="64"/>
      <c r="E876" s="64"/>
      <c r="F876" s="64"/>
      <c r="G876" s="64"/>
      <c r="H876" s="64"/>
      <c r="I876" s="64"/>
      <c r="J876" s="64"/>
      <c r="K876" s="64"/>
      <c r="L876" s="64"/>
      <c r="M876" s="64"/>
      <c r="N876" s="194"/>
      <c r="O876" s="157"/>
      <c r="P876" s="92"/>
      <c r="Q876" s="145"/>
      <c r="R876" s="92"/>
      <c r="S876" s="145"/>
      <c r="T876" s="92"/>
      <c r="U876" s="145"/>
      <c r="V876" s="92"/>
      <c r="W876" s="145"/>
      <c r="X876" s="92"/>
      <c r="Y876" s="145"/>
      <c r="Z876" s="92"/>
      <c r="AA876" s="145"/>
      <c r="AB876" s="92"/>
      <c r="AC876" s="145"/>
      <c r="AD876" s="92"/>
      <c r="AE876" s="145"/>
      <c r="AF876" s="142" t="str">
        <f t="shared" si="44"/>
        <v/>
      </c>
      <c r="AG876" s="190" t="b">
        <f t="shared" si="43"/>
        <v>0</v>
      </c>
      <c r="AH876" s="145"/>
      <c r="AI876" s="153" t="s">
        <v>6</v>
      </c>
      <c r="AJ876" s="150">
        <f t="shared" si="42"/>
        <v>0</v>
      </c>
      <c r="AK876" s="154" t="s">
        <v>60</v>
      </c>
    </row>
    <row r="877" spans="1:37" ht="30" customHeight="1">
      <c r="A877" s="64"/>
      <c r="B877" s="64"/>
      <c r="C877" s="64"/>
      <c r="D877" s="64"/>
      <c r="E877" s="64"/>
      <c r="F877" s="64"/>
      <c r="G877" s="64"/>
      <c r="H877" s="64"/>
      <c r="I877" s="64"/>
      <c r="J877" s="64"/>
      <c r="K877" s="64"/>
      <c r="L877" s="64"/>
      <c r="M877" s="64"/>
      <c r="N877" s="194"/>
      <c r="O877" s="157"/>
      <c r="P877" s="92"/>
      <c r="Q877" s="145"/>
      <c r="R877" s="92"/>
      <c r="S877" s="145"/>
      <c r="T877" s="92"/>
      <c r="U877" s="145"/>
      <c r="V877" s="92"/>
      <c r="W877" s="145"/>
      <c r="X877" s="92"/>
      <c r="Y877" s="145"/>
      <c r="Z877" s="92"/>
      <c r="AA877" s="145"/>
      <c r="AB877" s="92"/>
      <c r="AC877" s="145"/>
      <c r="AD877" s="92"/>
      <c r="AE877" s="145"/>
      <c r="AF877" s="142" t="str">
        <f t="shared" si="44"/>
        <v/>
      </c>
      <c r="AG877" s="190" t="b">
        <f t="shared" si="43"/>
        <v>0</v>
      </c>
      <c r="AH877" s="145"/>
      <c r="AI877" s="153" t="s">
        <v>6</v>
      </c>
      <c r="AJ877" s="150">
        <f t="shared" si="42"/>
        <v>0</v>
      </c>
      <c r="AK877" s="154" t="s">
        <v>60</v>
      </c>
    </row>
    <row r="878" spans="1:37" ht="30" customHeight="1">
      <c r="A878" s="64"/>
      <c r="B878" s="64"/>
      <c r="C878" s="64"/>
      <c r="D878" s="64"/>
      <c r="E878" s="64"/>
      <c r="F878" s="64"/>
      <c r="G878" s="64"/>
      <c r="H878" s="64"/>
      <c r="I878" s="64"/>
      <c r="J878" s="64"/>
      <c r="K878" s="64"/>
      <c r="L878" s="64"/>
      <c r="M878" s="64"/>
      <c r="N878" s="194"/>
      <c r="O878" s="157"/>
      <c r="P878" s="92"/>
      <c r="Q878" s="145"/>
      <c r="R878" s="92"/>
      <c r="S878" s="145"/>
      <c r="T878" s="92"/>
      <c r="U878" s="145"/>
      <c r="V878" s="92"/>
      <c r="W878" s="145"/>
      <c r="X878" s="92"/>
      <c r="Y878" s="145"/>
      <c r="Z878" s="92"/>
      <c r="AA878" s="145"/>
      <c r="AB878" s="92"/>
      <c r="AC878" s="145"/>
      <c r="AD878" s="92"/>
      <c r="AE878" s="145"/>
      <c r="AF878" s="142" t="str">
        <f t="shared" si="44"/>
        <v/>
      </c>
      <c r="AG878" s="190" t="b">
        <f t="shared" si="43"/>
        <v>0</v>
      </c>
      <c r="AH878" s="145"/>
      <c r="AI878" s="153" t="s">
        <v>6</v>
      </c>
      <c r="AJ878" s="150">
        <f t="shared" si="42"/>
        <v>0</v>
      </c>
      <c r="AK878" s="154" t="s">
        <v>60</v>
      </c>
    </row>
    <row r="879" spans="1:37" ht="30" customHeight="1">
      <c r="A879" s="64"/>
      <c r="B879" s="64"/>
      <c r="C879" s="64"/>
      <c r="D879" s="64"/>
      <c r="E879" s="64"/>
      <c r="F879" s="64"/>
      <c r="G879" s="64"/>
      <c r="H879" s="64"/>
      <c r="I879" s="64"/>
      <c r="J879" s="64"/>
      <c r="K879" s="64"/>
      <c r="L879" s="64"/>
      <c r="M879" s="64"/>
      <c r="N879" s="194"/>
      <c r="O879" s="157"/>
      <c r="P879" s="92"/>
      <c r="Q879" s="145"/>
      <c r="R879" s="92"/>
      <c r="S879" s="145"/>
      <c r="T879" s="92"/>
      <c r="U879" s="145"/>
      <c r="V879" s="92"/>
      <c r="W879" s="145"/>
      <c r="X879" s="92"/>
      <c r="Y879" s="145"/>
      <c r="Z879" s="92"/>
      <c r="AA879" s="145"/>
      <c r="AB879" s="92"/>
      <c r="AC879" s="145"/>
      <c r="AD879" s="92"/>
      <c r="AE879" s="145"/>
      <c r="AF879" s="142" t="str">
        <f t="shared" si="44"/>
        <v/>
      </c>
      <c r="AG879" s="190" t="b">
        <f t="shared" si="43"/>
        <v>0</v>
      </c>
      <c r="AH879" s="145"/>
      <c r="AI879" s="153" t="s">
        <v>6</v>
      </c>
      <c r="AJ879" s="150">
        <f t="shared" si="42"/>
        <v>0</v>
      </c>
      <c r="AK879" s="154" t="s">
        <v>60</v>
      </c>
    </row>
    <row r="880" spans="1:37" ht="30" customHeight="1">
      <c r="A880" s="64"/>
      <c r="B880" s="64"/>
      <c r="C880" s="64"/>
      <c r="D880" s="64"/>
      <c r="E880" s="64"/>
      <c r="F880" s="64"/>
      <c r="G880" s="64"/>
      <c r="H880" s="64"/>
      <c r="I880" s="64"/>
      <c r="J880" s="64"/>
      <c r="K880" s="64"/>
      <c r="L880" s="64"/>
      <c r="M880" s="64"/>
      <c r="N880" s="194"/>
      <c r="O880" s="157"/>
      <c r="P880" s="92"/>
      <c r="Q880" s="145"/>
      <c r="R880" s="92"/>
      <c r="S880" s="145"/>
      <c r="T880" s="92"/>
      <c r="U880" s="145"/>
      <c r="V880" s="92"/>
      <c r="W880" s="145"/>
      <c r="X880" s="92"/>
      <c r="Y880" s="145"/>
      <c r="Z880" s="92"/>
      <c r="AA880" s="145"/>
      <c r="AB880" s="92"/>
      <c r="AC880" s="145"/>
      <c r="AD880" s="92"/>
      <c r="AE880" s="145"/>
      <c r="AF880" s="142" t="str">
        <f t="shared" si="44"/>
        <v/>
      </c>
      <c r="AG880" s="190" t="b">
        <f t="shared" si="43"/>
        <v>0</v>
      </c>
      <c r="AH880" s="145"/>
      <c r="AI880" s="153" t="s">
        <v>6</v>
      </c>
      <c r="AJ880" s="150">
        <f t="shared" si="42"/>
        <v>0</v>
      </c>
      <c r="AK880" s="154" t="s">
        <v>60</v>
      </c>
    </row>
    <row r="881" spans="1:37" ht="30" customHeight="1">
      <c r="A881" s="64"/>
      <c r="B881" s="64"/>
      <c r="C881" s="64"/>
      <c r="D881" s="64"/>
      <c r="E881" s="64"/>
      <c r="F881" s="64"/>
      <c r="G881" s="64"/>
      <c r="H881" s="64"/>
      <c r="I881" s="64"/>
      <c r="J881" s="64"/>
      <c r="K881" s="64"/>
      <c r="L881" s="64"/>
      <c r="M881" s="64"/>
      <c r="N881" s="194"/>
      <c r="O881" s="157"/>
      <c r="P881" s="92"/>
      <c r="Q881" s="145"/>
      <c r="R881" s="92"/>
      <c r="S881" s="145"/>
      <c r="T881" s="92"/>
      <c r="U881" s="145"/>
      <c r="V881" s="92"/>
      <c r="W881" s="145"/>
      <c r="X881" s="92"/>
      <c r="Y881" s="145"/>
      <c r="Z881" s="92"/>
      <c r="AA881" s="145"/>
      <c r="AB881" s="92"/>
      <c r="AC881" s="145"/>
      <c r="AD881" s="92"/>
      <c r="AE881" s="145"/>
      <c r="AF881" s="142" t="str">
        <f t="shared" si="44"/>
        <v/>
      </c>
      <c r="AG881" s="190" t="b">
        <f t="shared" si="43"/>
        <v>0</v>
      </c>
      <c r="AH881" s="145"/>
      <c r="AI881" s="153" t="s">
        <v>6</v>
      </c>
      <c r="AJ881" s="150">
        <f t="shared" si="42"/>
        <v>0</v>
      </c>
      <c r="AK881" s="154" t="s">
        <v>60</v>
      </c>
    </row>
    <row r="882" spans="1:37" ht="30" customHeight="1">
      <c r="A882" s="64"/>
      <c r="B882" s="64"/>
      <c r="C882" s="64"/>
      <c r="D882" s="64"/>
      <c r="E882" s="64"/>
      <c r="F882" s="64"/>
      <c r="G882" s="64"/>
      <c r="H882" s="64"/>
      <c r="I882" s="64"/>
      <c r="J882" s="64"/>
      <c r="K882" s="64"/>
      <c r="L882" s="64"/>
      <c r="M882" s="64"/>
      <c r="N882" s="194"/>
      <c r="O882" s="157"/>
      <c r="P882" s="92"/>
      <c r="Q882" s="145"/>
      <c r="R882" s="92"/>
      <c r="S882" s="145"/>
      <c r="T882" s="92"/>
      <c r="U882" s="145"/>
      <c r="V882" s="92"/>
      <c r="W882" s="145"/>
      <c r="X882" s="92"/>
      <c r="Y882" s="145"/>
      <c r="Z882" s="92"/>
      <c r="AA882" s="145"/>
      <c r="AB882" s="92"/>
      <c r="AC882" s="145"/>
      <c r="AD882" s="92"/>
      <c r="AE882" s="145"/>
      <c r="AF882" s="142" t="str">
        <f t="shared" si="44"/>
        <v/>
      </c>
      <c r="AG882" s="190" t="b">
        <f t="shared" si="43"/>
        <v>0</v>
      </c>
      <c r="AH882" s="145"/>
      <c r="AI882" s="153" t="s">
        <v>6</v>
      </c>
      <c r="AJ882" s="150">
        <f t="shared" si="42"/>
        <v>0</v>
      </c>
      <c r="AK882" s="154" t="s">
        <v>60</v>
      </c>
    </row>
    <row r="883" spans="1:37" ht="30" customHeight="1">
      <c r="A883" s="64"/>
      <c r="B883" s="64"/>
      <c r="C883" s="64"/>
      <c r="D883" s="64"/>
      <c r="E883" s="64"/>
      <c r="F883" s="64"/>
      <c r="G883" s="64"/>
      <c r="H883" s="64"/>
      <c r="I883" s="64"/>
      <c r="J883" s="64"/>
      <c r="K883" s="64"/>
      <c r="L883" s="64"/>
      <c r="M883" s="64"/>
      <c r="N883" s="194"/>
      <c r="O883" s="157"/>
      <c r="P883" s="92"/>
      <c r="Q883" s="145"/>
      <c r="R883" s="92"/>
      <c r="S883" s="145"/>
      <c r="T883" s="92"/>
      <c r="U883" s="145"/>
      <c r="V883" s="92"/>
      <c r="W883" s="145"/>
      <c r="X883" s="92"/>
      <c r="Y883" s="145"/>
      <c r="Z883" s="92"/>
      <c r="AA883" s="145"/>
      <c r="AB883" s="92"/>
      <c r="AC883" s="145"/>
      <c r="AD883" s="92"/>
      <c r="AE883" s="145"/>
      <c r="AF883" s="142" t="str">
        <f t="shared" si="44"/>
        <v/>
      </c>
      <c r="AG883" s="190" t="b">
        <f t="shared" si="43"/>
        <v>0</v>
      </c>
      <c r="AH883" s="145"/>
      <c r="AI883" s="153" t="s">
        <v>6</v>
      </c>
      <c r="AJ883" s="150">
        <f t="shared" si="42"/>
        <v>0</v>
      </c>
      <c r="AK883" s="154" t="s">
        <v>60</v>
      </c>
    </row>
    <row r="884" spans="1:37" ht="30" customHeight="1">
      <c r="A884" s="64"/>
      <c r="B884" s="64"/>
      <c r="C884" s="64"/>
      <c r="D884" s="64"/>
      <c r="E884" s="64"/>
      <c r="F884" s="64"/>
      <c r="G884" s="64"/>
      <c r="H884" s="64"/>
      <c r="I884" s="64"/>
      <c r="J884" s="64"/>
      <c r="K884" s="64"/>
      <c r="L884" s="64"/>
      <c r="M884" s="64"/>
      <c r="N884" s="194"/>
      <c r="O884" s="157"/>
      <c r="P884" s="92"/>
      <c r="Q884" s="145"/>
      <c r="R884" s="92"/>
      <c r="S884" s="145"/>
      <c r="T884" s="92"/>
      <c r="U884" s="145"/>
      <c r="V884" s="92"/>
      <c r="W884" s="145"/>
      <c r="X884" s="92"/>
      <c r="Y884" s="145"/>
      <c r="Z884" s="92"/>
      <c r="AA884" s="145"/>
      <c r="AB884" s="92"/>
      <c r="AC884" s="145"/>
      <c r="AD884" s="92"/>
      <c r="AE884" s="145"/>
      <c r="AF884" s="142" t="str">
        <f t="shared" si="44"/>
        <v/>
      </c>
      <c r="AG884" s="190" t="b">
        <f t="shared" si="43"/>
        <v>0</v>
      </c>
      <c r="AH884" s="145"/>
      <c r="AI884" s="153" t="s">
        <v>6</v>
      </c>
      <c r="AJ884" s="150">
        <f t="shared" si="42"/>
        <v>0</v>
      </c>
      <c r="AK884" s="154" t="s">
        <v>60</v>
      </c>
    </row>
    <row r="885" spans="1:37" ht="30" customHeight="1">
      <c r="A885" s="64"/>
      <c r="B885" s="64"/>
      <c r="C885" s="64"/>
      <c r="D885" s="64"/>
      <c r="E885" s="64"/>
      <c r="F885" s="64"/>
      <c r="G885" s="64"/>
      <c r="H885" s="64"/>
      <c r="I885" s="64"/>
      <c r="J885" s="64"/>
      <c r="K885" s="64"/>
      <c r="L885" s="64"/>
      <c r="M885" s="64"/>
      <c r="N885" s="194"/>
      <c r="O885" s="157"/>
      <c r="P885" s="92"/>
      <c r="Q885" s="145"/>
      <c r="R885" s="92"/>
      <c r="S885" s="145"/>
      <c r="T885" s="92"/>
      <c r="U885" s="145"/>
      <c r="V885" s="92"/>
      <c r="W885" s="145"/>
      <c r="X885" s="92"/>
      <c r="Y885" s="145"/>
      <c r="Z885" s="92"/>
      <c r="AA885" s="145"/>
      <c r="AB885" s="92"/>
      <c r="AC885" s="145"/>
      <c r="AD885" s="92"/>
      <c r="AE885" s="145"/>
      <c r="AF885" s="142" t="str">
        <f t="shared" si="44"/>
        <v/>
      </c>
      <c r="AG885" s="190" t="b">
        <f t="shared" si="43"/>
        <v>0</v>
      </c>
      <c r="AH885" s="145"/>
      <c r="AI885" s="153" t="s">
        <v>6</v>
      </c>
      <c r="AJ885" s="150">
        <f t="shared" si="42"/>
        <v>0</v>
      </c>
      <c r="AK885" s="154" t="s">
        <v>60</v>
      </c>
    </row>
    <row r="886" spans="1:37" ht="30" customHeight="1">
      <c r="A886" s="64"/>
      <c r="B886" s="64"/>
      <c r="C886" s="64"/>
      <c r="D886" s="64"/>
      <c r="E886" s="64"/>
      <c r="F886" s="64"/>
      <c r="G886" s="64"/>
      <c r="H886" s="64"/>
      <c r="I886" s="64"/>
      <c r="J886" s="64"/>
      <c r="K886" s="64"/>
      <c r="L886" s="64"/>
      <c r="M886" s="64"/>
      <c r="N886" s="194"/>
      <c r="O886" s="157"/>
      <c r="P886" s="92"/>
      <c r="Q886" s="145"/>
      <c r="R886" s="92"/>
      <c r="S886" s="145"/>
      <c r="T886" s="92"/>
      <c r="U886" s="145"/>
      <c r="V886" s="92"/>
      <c r="W886" s="145"/>
      <c r="X886" s="92"/>
      <c r="Y886" s="145"/>
      <c r="Z886" s="92"/>
      <c r="AA886" s="145"/>
      <c r="AB886" s="92"/>
      <c r="AC886" s="145"/>
      <c r="AD886" s="92"/>
      <c r="AE886" s="145"/>
      <c r="AF886" s="142" t="str">
        <f t="shared" si="44"/>
        <v/>
      </c>
      <c r="AG886" s="190" t="b">
        <f t="shared" si="43"/>
        <v>0</v>
      </c>
      <c r="AH886" s="145"/>
      <c r="AI886" s="153" t="s">
        <v>6</v>
      </c>
      <c r="AJ886" s="150">
        <f t="shared" si="42"/>
        <v>0</v>
      </c>
      <c r="AK886" s="154" t="s">
        <v>60</v>
      </c>
    </row>
    <row r="887" spans="1:37" ht="30" customHeight="1">
      <c r="A887" s="64"/>
      <c r="B887" s="64"/>
      <c r="C887" s="64"/>
      <c r="D887" s="64"/>
      <c r="E887" s="64"/>
      <c r="F887" s="64"/>
      <c r="G887" s="64"/>
      <c r="H887" s="64"/>
      <c r="I887" s="64"/>
      <c r="J887" s="64"/>
      <c r="K887" s="64"/>
      <c r="L887" s="64"/>
      <c r="M887" s="64"/>
      <c r="N887" s="194"/>
      <c r="O887" s="157"/>
      <c r="P887" s="92"/>
      <c r="Q887" s="145"/>
      <c r="R887" s="92"/>
      <c r="S887" s="145"/>
      <c r="T887" s="92"/>
      <c r="U887" s="145"/>
      <c r="V887" s="92"/>
      <c r="W887" s="145"/>
      <c r="X887" s="92"/>
      <c r="Y887" s="145"/>
      <c r="Z887" s="92"/>
      <c r="AA887" s="145"/>
      <c r="AB887" s="92"/>
      <c r="AC887" s="145"/>
      <c r="AD887" s="92"/>
      <c r="AE887" s="145"/>
      <c r="AF887" s="142" t="str">
        <f t="shared" si="44"/>
        <v/>
      </c>
      <c r="AG887" s="190" t="b">
        <f t="shared" si="43"/>
        <v>0</v>
      </c>
      <c r="AH887" s="145"/>
      <c r="AI887" s="153" t="s">
        <v>6</v>
      </c>
      <c r="AJ887" s="150">
        <f t="shared" si="42"/>
        <v>0</v>
      </c>
      <c r="AK887" s="154" t="s">
        <v>60</v>
      </c>
    </row>
    <row r="888" spans="1:37" ht="30" customHeight="1">
      <c r="A888" s="64"/>
      <c r="B888" s="64"/>
      <c r="C888" s="64"/>
      <c r="D888" s="64"/>
      <c r="E888" s="64"/>
      <c r="F888" s="64"/>
      <c r="G888" s="64"/>
      <c r="H888" s="64"/>
      <c r="I888" s="64"/>
      <c r="J888" s="64"/>
      <c r="K888" s="64"/>
      <c r="L888" s="64"/>
      <c r="M888" s="64"/>
      <c r="N888" s="194"/>
      <c r="O888" s="157"/>
      <c r="P888" s="92"/>
      <c r="Q888" s="145"/>
      <c r="R888" s="92"/>
      <c r="S888" s="145"/>
      <c r="T888" s="92"/>
      <c r="U888" s="145"/>
      <c r="V888" s="92"/>
      <c r="W888" s="145"/>
      <c r="X888" s="92"/>
      <c r="Y888" s="145"/>
      <c r="Z888" s="92"/>
      <c r="AA888" s="145"/>
      <c r="AB888" s="92"/>
      <c r="AC888" s="145"/>
      <c r="AD888" s="92"/>
      <c r="AE888" s="145"/>
      <c r="AF888" s="142" t="str">
        <f t="shared" si="44"/>
        <v/>
      </c>
      <c r="AG888" s="190" t="b">
        <f t="shared" si="43"/>
        <v>0</v>
      </c>
      <c r="AH888" s="145"/>
      <c r="AI888" s="153" t="s">
        <v>6</v>
      </c>
      <c r="AJ888" s="150">
        <f t="shared" si="42"/>
        <v>0</v>
      </c>
      <c r="AK888" s="154" t="s">
        <v>60</v>
      </c>
    </row>
    <row r="889" spans="1:37" ht="30" customHeight="1">
      <c r="A889" s="64"/>
      <c r="B889" s="64"/>
      <c r="C889" s="64"/>
      <c r="D889" s="64"/>
      <c r="E889" s="64"/>
      <c r="F889" s="64"/>
      <c r="G889" s="64"/>
      <c r="H889" s="64"/>
      <c r="I889" s="64"/>
      <c r="J889" s="64"/>
      <c r="K889" s="64"/>
      <c r="L889" s="64"/>
      <c r="M889" s="64"/>
      <c r="N889" s="194"/>
      <c r="O889" s="157"/>
      <c r="P889" s="92"/>
      <c r="Q889" s="145"/>
      <c r="R889" s="92"/>
      <c r="S889" s="145"/>
      <c r="T889" s="92"/>
      <c r="U889" s="145"/>
      <c r="V889" s="92"/>
      <c r="W889" s="145"/>
      <c r="X889" s="92"/>
      <c r="Y889" s="145"/>
      <c r="Z889" s="92"/>
      <c r="AA889" s="145"/>
      <c r="AB889" s="92"/>
      <c r="AC889" s="145"/>
      <c r="AD889" s="92"/>
      <c r="AE889" s="145"/>
      <c r="AF889" s="142" t="str">
        <f t="shared" si="44"/>
        <v/>
      </c>
      <c r="AG889" s="190" t="b">
        <f t="shared" si="43"/>
        <v>0</v>
      </c>
      <c r="AH889" s="145"/>
      <c r="AI889" s="153" t="s">
        <v>6</v>
      </c>
      <c r="AJ889" s="150">
        <f t="shared" si="42"/>
        <v>0</v>
      </c>
      <c r="AK889" s="154" t="s">
        <v>60</v>
      </c>
    </row>
    <row r="890" spans="1:37" ht="30" customHeight="1">
      <c r="A890" s="64"/>
      <c r="B890" s="64"/>
      <c r="C890" s="64"/>
      <c r="D890" s="64"/>
      <c r="E890" s="64"/>
      <c r="F890" s="64"/>
      <c r="G890" s="64"/>
      <c r="H890" s="64"/>
      <c r="I890" s="64"/>
      <c r="J890" s="64"/>
      <c r="K890" s="64"/>
      <c r="L890" s="64"/>
      <c r="M890" s="64"/>
      <c r="N890" s="194"/>
      <c r="O890" s="157"/>
      <c r="P890" s="92"/>
      <c r="Q890" s="145"/>
      <c r="R890" s="92"/>
      <c r="S890" s="145"/>
      <c r="T890" s="92"/>
      <c r="U890" s="145"/>
      <c r="V890" s="92"/>
      <c r="W890" s="145"/>
      <c r="X890" s="92"/>
      <c r="Y890" s="145"/>
      <c r="Z890" s="92"/>
      <c r="AA890" s="145"/>
      <c r="AB890" s="92"/>
      <c r="AC890" s="145"/>
      <c r="AD890" s="92"/>
      <c r="AE890" s="145"/>
      <c r="AF890" s="142" t="str">
        <f t="shared" si="44"/>
        <v/>
      </c>
      <c r="AG890" s="190" t="b">
        <f t="shared" si="43"/>
        <v>0</v>
      </c>
      <c r="AH890" s="145"/>
      <c r="AI890" s="153" t="s">
        <v>6</v>
      </c>
      <c r="AJ890" s="150">
        <f t="shared" si="42"/>
        <v>0</v>
      </c>
      <c r="AK890" s="154" t="s">
        <v>60</v>
      </c>
    </row>
    <row r="891" spans="1:37" ht="30" customHeight="1">
      <c r="A891" s="64"/>
      <c r="B891" s="64"/>
      <c r="C891" s="64"/>
      <c r="D891" s="64"/>
      <c r="E891" s="64"/>
      <c r="F891" s="64"/>
      <c r="G891" s="64"/>
      <c r="H891" s="64"/>
      <c r="I891" s="64"/>
      <c r="J891" s="64"/>
      <c r="K891" s="64"/>
      <c r="L891" s="64"/>
      <c r="M891" s="64"/>
      <c r="N891" s="194"/>
      <c r="O891" s="157"/>
      <c r="P891" s="92"/>
      <c r="Q891" s="145"/>
      <c r="R891" s="92"/>
      <c r="S891" s="145"/>
      <c r="T891" s="92"/>
      <c r="U891" s="145"/>
      <c r="V891" s="92"/>
      <c r="W891" s="145"/>
      <c r="X891" s="92"/>
      <c r="Y891" s="145"/>
      <c r="Z891" s="92"/>
      <c r="AA891" s="145"/>
      <c r="AB891" s="92"/>
      <c r="AC891" s="145"/>
      <c r="AD891" s="92"/>
      <c r="AE891" s="145"/>
      <c r="AF891" s="142" t="str">
        <f t="shared" si="44"/>
        <v/>
      </c>
      <c r="AG891" s="190" t="b">
        <f t="shared" si="43"/>
        <v>0</v>
      </c>
      <c r="AH891" s="145"/>
      <c r="AI891" s="153" t="s">
        <v>6</v>
      </c>
      <c r="AJ891" s="150">
        <f t="shared" si="42"/>
        <v>0</v>
      </c>
      <c r="AK891" s="154" t="s">
        <v>60</v>
      </c>
    </row>
    <row r="892" spans="1:37" ht="30" customHeight="1">
      <c r="A892" s="64"/>
      <c r="B892" s="64"/>
      <c r="C892" s="64"/>
      <c r="D892" s="64"/>
      <c r="E892" s="64"/>
      <c r="F892" s="64"/>
      <c r="G892" s="64"/>
      <c r="H892" s="64"/>
      <c r="I892" s="64"/>
      <c r="J892" s="64"/>
      <c r="K892" s="64"/>
      <c r="L892" s="64"/>
      <c r="M892" s="64"/>
      <c r="N892" s="194"/>
      <c r="O892" s="157"/>
      <c r="P892" s="92"/>
      <c r="Q892" s="145"/>
      <c r="R892" s="92"/>
      <c r="S892" s="145"/>
      <c r="T892" s="92"/>
      <c r="U892" s="145"/>
      <c r="V892" s="92"/>
      <c r="W892" s="145"/>
      <c r="X892" s="92"/>
      <c r="Y892" s="145"/>
      <c r="Z892" s="92"/>
      <c r="AA892" s="145"/>
      <c r="AB892" s="92"/>
      <c r="AC892" s="145"/>
      <c r="AD892" s="92"/>
      <c r="AE892" s="145"/>
      <c r="AF892" s="142" t="str">
        <f t="shared" si="44"/>
        <v/>
      </c>
      <c r="AG892" s="190" t="b">
        <f t="shared" si="43"/>
        <v>0</v>
      </c>
      <c r="AH892" s="145"/>
      <c r="AI892" s="153" t="s">
        <v>6</v>
      </c>
      <c r="AJ892" s="150">
        <f t="shared" si="42"/>
        <v>0</v>
      </c>
      <c r="AK892" s="154" t="s">
        <v>60</v>
      </c>
    </row>
    <row r="893" spans="1:37" ht="30" customHeight="1">
      <c r="A893" s="64"/>
      <c r="B893" s="64"/>
      <c r="C893" s="64"/>
      <c r="D893" s="64"/>
      <c r="E893" s="64"/>
      <c r="F893" s="64"/>
      <c r="G893" s="64"/>
      <c r="H893" s="64"/>
      <c r="I893" s="64"/>
      <c r="J893" s="64"/>
      <c r="K893" s="64"/>
      <c r="L893" s="64"/>
      <c r="M893" s="64"/>
      <c r="N893" s="194"/>
      <c r="O893" s="157"/>
      <c r="P893" s="92"/>
      <c r="Q893" s="145"/>
      <c r="R893" s="92"/>
      <c r="S893" s="145"/>
      <c r="T893" s="92"/>
      <c r="U893" s="145"/>
      <c r="V893" s="92"/>
      <c r="W893" s="145"/>
      <c r="X893" s="92"/>
      <c r="Y893" s="145"/>
      <c r="Z893" s="92"/>
      <c r="AA893" s="145"/>
      <c r="AB893" s="92"/>
      <c r="AC893" s="145"/>
      <c r="AD893" s="92"/>
      <c r="AE893" s="145"/>
      <c r="AF893" s="142" t="str">
        <f t="shared" si="44"/>
        <v/>
      </c>
      <c r="AG893" s="190" t="b">
        <f t="shared" si="43"/>
        <v>0</v>
      </c>
      <c r="AH893" s="145"/>
      <c r="AI893" s="153" t="s">
        <v>6</v>
      </c>
      <c r="AJ893" s="150">
        <f t="shared" si="42"/>
        <v>0</v>
      </c>
      <c r="AK893" s="154" t="s">
        <v>60</v>
      </c>
    </row>
    <row r="894" spans="1:37" ht="30" customHeight="1">
      <c r="A894" s="64"/>
      <c r="B894" s="64"/>
      <c r="C894" s="64"/>
      <c r="D894" s="64"/>
      <c r="E894" s="64"/>
      <c r="F894" s="64"/>
      <c r="G894" s="64"/>
      <c r="H894" s="64"/>
      <c r="I894" s="64"/>
      <c r="J894" s="64"/>
      <c r="K894" s="64"/>
      <c r="L894" s="64"/>
      <c r="M894" s="64"/>
      <c r="N894" s="194"/>
      <c r="O894" s="157"/>
      <c r="P894" s="92"/>
      <c r="Q894" s="145"/>
      <c r="R894" s="92"/>
      <c r="S894" s="145"/>
      <c r="T894" s="92"/>
      <c r="U894" s="145"/>
      <c r="V894" s="92"/>
      <c r="W894" s="145"/>
      <c r="X894" s="92"/>
      <c r="Y894" s="145"/>
      <c r="Z894" s="92"/>
      <c r="AA894" s="145"/>
      <c r="AB894" s="92"/>
      <c r="AC894" s="145"/>
      <c r="AD894" s="92"/>
      <c r="AE894" s="145"/>
      <c r="AF894" s="142" t="str">
        <f t="shared" si="44"/>
        <v/>
      </c>
      <c r="AG894" s="190" t="b">
        <f t="shared" si="43"/>
        <v>0</v>
      </c>
      <c r="AH894" s="145"/>
      <c r="AI894" s="153" t="s">
        <v>6</v>
      </c>
      <c r="AJ894" s="150">
        <f t="shared" si="42"/>
        <v>0</v>
      </c>
      <c r="AK894" s="154" t="s">
        <v>60</v>
      </c>
    </row>
    <row r="895" spans="1:37" ht="30" customHeight="1">
      <c r="A895" s="64"/>
      <c r="B895" s="64"/>
      <c r="C895" s="64"/>
      <c r="D895" s="64"/>
      <c r="E895" s="64"/>
      <c r="F895" s="64"/>
      <c r="G895" s="64"/>
      <c r="H895" s="64"/>
      <c r="I895" s="64"/>
      <c r="J895" s="64"/>
      <c r="K895" s="64"/>
      <c r="L895" s="64"/>
      <c r="M895" s="64"/>
      <c r="N895" s="194"/>
      <c r="O895" s="157"/>
      <c r="P895" s="92"/>
      <c r="Q895" s="145"/>
      <c r="R895" s="92"/>
      <c r="S895" s="145"/>
      <c r="T895" s="92"/>
      <c r="U895" s="145"/>
      <c r="V895" s="92"/>
      <c r="W895" s="145"/>
      <c r="X895" s="92"/>
      <c r="Y895" s="145"/>
      <c r="Z895" s="92"/>
      <c r="AA895" s="145"/>
      <c r="AB895" s="92"/>
      <c r="AC895" s="145"/>
      <c r="AD895" s="92"/>
      <c r="AE895" s="145"/>
      <c r="AF895" s="142" t="str">
        <f t="shared" si="44"/>
        <v/>
      </c>
      <c r="AG895" s="190" t="b">
        <f t="shared" si="43"/>
        <v>0</v>
      </c>
      <c r="AH895" s="145"/>
      <c r="AI895" s="153" t="s">
        <v>6</v>
      </c>
      <c r="AJ895" s="150">
        <f t="shared" si="42"/>
        <v>0</v>
      </c>
      <c r="AK895" s="154" t="s">
        <v>60</v>
      </c>
    </row>
    <row r="896" spans="1:37" ht="30" customHeight="1">
      <c r="A896" s="64"/>
      <c r="B896" s="64"/>
      <c r="C896" s="64"/>
      <c r="D896" s="64"/>
      <c r="E896" s="64"/>
      <c r="F896" s="64"/>
      <c r="G896" s="64"/>
      <c r="H896" s="64"/>
      <c r="I896" s="64"/>
      <c r="J896" s="64"/>
      <c r="K896" s="64"/>
      <c r="L896" s="64"/>
      <c r="M896" s="64"/>
      <c r="N896" s="194"/>
      <c r="O896" s="157"/>
      <c r="P896" s="92"/>
      <c r="Q896" s="145"/>
      <c r="R896" s="92"/>
      <c r="S896" s="145"/>
      <c r="T896" s="92"/>
      <c r="U896" s="145"/>
      <c r="V896" s="92"/>
      <c r="W896" s="145"/>
      <c r="X896" s="92"/>
      <c r="Y896" s="145"/>
      <c r="Z896" s="92"/>
      <c r="AA896" s="145"/>
      <c r="AB896" s="92"/>
      <c r="AC896" s="145"/>
      <c r="AD896" s="92"/>
      <c r="AE896" s="145"/>
      <c r="AF896" s="142" t="str">
        <f t="shared" si="44"/>
        <v/>
      </c>
      <c r="AG896" s="190" t="b">
        <f t="shared" si="43"/>
        <v>0</v>
      </c>
      <c r="AH896" s="145"/>
      <c r="AI896" s="153" t="s">
        <v>6</v>
      </c>
      <c r="AJ896" s="150">
        <f t="shared" si="42"/>
        <v>0</v>
      </c>
      <c r="AK896" s="154" t="s">
        <v>60</v>
      </c>
    </row>
    <row r="897" spans="1:37" ht="30" customHeight="1">
      <c r="A897" s="64"/>
      <c r="B897" s="64"/>
      <c r="C897" s="64"/>
      <c r="D897" s="64"/>
      <c r="E897" s="64"/>
      <c r="F897" s="64"/>
      <c r="G897" s="64"/>
      <c r="H897" s="64"/>
      <c r="I897" s="64"/>
      <c r="J897" s="64"/>
      <c r="K897" s="64"/>
      <c r="L897" s="64"/>
      <c r="M897" s="64"/>
      <c r="N897" s="194"/>
      <c r="O897" s="157"/>
      <c r="P897" s="92"/>
      <c r="Q897" s="145"/>
      <c r="R897" s="92"/>
      <c r="S897" s="145"/>
      <c r="T897" s="92"/>
      <c r="U897" s="145"/>
      <c r="V897" s="92"/>
      <c r="W897" s="145"/>
      <c r="X897" s="92"/>
      <c r="Y897" s="145"/>
      <c r="Z897" s="92"/>
      <c r="AA897" s="145"/>
      <c r="AB897" s="92"/>
      <c r="AC897" s="145"/>
      <c r="AD897" s="92"/>
      <c r="AE897" s="145"/>
      <c r="AF897" s="142" t="str">
        <f t="shared" si="44"/>
        <v/>
      </c>
      <c r="AG897" s="190" t="b">
        <f t="shared" si="43"/>
        <v>0</v>
      </c>
      <c r="AH897" s="145"/>
      <c r="AI897" s="153" t="s">
        <v>6</v>
      </c>
      <c r="AJ897" s="150">
        <f t="shared" si="42"/>
        <v>0</v>
      </c>
      <c r="AK897" s="154" t="s">
        <v>60</v>
      </c>
    </row>
    <row r="898" spans="1:37" ht="30" customHeight="1">
      <c r="A898" s="64"/>
      <c r="B898" s="64"/>
      <c r="C898" s="64"/>
      <c r="D898" s="64"/>
      <c r="E898" s="64"/>
      <c r="F898" s="64"/>
      <c r="G898" s="64"/>
      <c r="H898" s="64"/>
      <c r="I898" s="64"/>
      <c r="J898" s="64"/>
      <c r="K898" s="64"/>
      <c r="L898" s="64"/>
      <c r="M898" s="64"/>
      <c r="N898" s="194"/>
      <c r="O898" s="157"/>
      <c r="P898" s="92"/>
      <c r="Q898" s="145"/>
      <c r="R898" s="92"/>
      <c r="S898" s="145"/>
      <c r="T898" s="92"/>
      <c r="U898" s="145"/>
      <c r="V898" s="92"/>
      <c r="W898" s="145"/>
      <c r="X898" s="92"/>
      <c r="Y898" s="145"/>
      <c r="Z898" s="92"/>
      <c r="AA898" s="145"/>
      <c r="AB898" s="92"/>
      <c r="AC898" s="145"/>
      <c r="AD898" s="92"/>
      <c r="AE898" s="145"/>
      <c r="AF898" s="142" t="str">
        <f t="shared" si="44"/>
        <v/>
      </c>
      <c r="AG898" s="190" t="b">
        <f t="shared" si="43"/>
        <v>0</v>
      </c>
      <c r="AH898" s="145"/>
      <c r="AI898" s="153" t="s">
        <v>6</v>
      </c>
      <c r="AJ898" s="150">
        <f t="shared" si="42"/>
        <v>0</v>
      </c>
      <c r="AK898" s="154" t="s">
        <v>60</v>
      </c>
    </row>
    <row r="899" spans="1:37" ht="30" customHeight="1">
      <c r="A899" s="64"/>
      <c r="B899" s="64"/>
      <c r="C899" s="64"/>
      <c r="D899" s="64"/>
      <c r="E899" s="64"/>
      <c r="F899" s="64"/>
      <c r="G899" s="64"/>
      <c r="H899" s="64"/>
      <c r="I899" s="64"/>
      <c r="J899" s="64"/>
      <c r="K899" s="64"/>
      <c r="L899" s="64"/>
      <c r="M899" s="64"/>
      <c r="N899" s="194"/>
      <c r="O899" s="157"/>
      <c r="P899" s="92"/>
      <c r="Q899" s="145"/>
      <c r="R899" s="92"/>
      <c r="S899" s="145"/>
      <c r="T899" s="92"/>
      <c r="U899" s="145"/>
      <c r="V899" s="92"/>
      <c r="W899" s="145"/>
      <c r="X899" s="92"/>
      <c r="Y899" s="145"/>
      <c r="Z899" s="92"/>
      <c r="AA899" s="145"/>
      <c r="AB899" s="92"/>
      <c r="AC899" s="145"/>
      <c r="AD899" s="92"/>
      <c r="AE899" s="145"/>
      <c r="AF899" s="142" t="str">
        <f t="shared" si="44"/>
        <v/>
      </c>
      <c r="AG899" s="190" t="b">
        <f t="shared" si="43"/>
        <v>0</v>
      </c>
      <c r="AH899" s="145"/>
      <c r="AI899" s="153" t="s">
        <v>6</v>
      </c>
      <c r="AJ899" s="150">
        <f t="shared" si="42"/>
        <v>0</v>
      </c>
      <c r="AK899" s="154" t="s">
        <v>60</v>
      </c>
    </row>
    <row r="900" spans="1:37" ht="30" customHeight="1">
      <c r="A900" s="64"/>
      <c r="B900" s="64"/>
      <c r="C900" s="64"/>
      <c r="D900" s="64"/>
      <c r="E900" s="64"/>
      <c r="F900" s="64"/>
      <c r="G900" s="64"/>
      <c r="H900" s="64"/>
      <c r="I900" s="64"/>
      <c r="J900" s="64"/>
      <c r="K900" s="64"/>
      <c r="L900" s="64"/>
      <c r="M900" s="64"/>
      <c r="N900" s="194"/>
      <c r="O900" s="157"/>
      <c r="P900" s="92"/>
      <c r="Q900" s="145"/>
      <c r="R900" s="92"/>
      <c r="S900" s="145"/>
      <c r="T900" s="92"/>
      <c r="U900" s="145"/>
      <c r="V900" s="92"/>
      <c r="W900" s="145"/>
      <c r="X900" s="92"/>
      <c r="Y900" s="145"/>
      <c r="Z900" s="92"/>
      <c r="AA900" s="145"/>
      <c r="AB900" s="92"/>
      <c r="AC900" s="145"/>
      <c r="AD900" s="92"/>
      <c r="AE900" s="145"/>
      <c r="AF900" s="142" t="str">
        <f t="shared" si="44"/>
        <v/>
      </c>
      <c r="AG900" s="190" t="b">
        <f t="shared" si="43"/>
        <v>0</v>
      </c>
      <c r="AH900" s="145"/>
      <c r="AI900" s="153" t="s">
        <v>6</v>
      </c>
      <c r="AJ900" s="150">
        <f t="shared" si="42"/>
        <v>0</v>
      </c>
      <c r="AK900" s="154" t="s">
        <v>60</v>
      </c>
    </row>
    <row r="901" spans="1:37" ht="30" customHeight="1">
      <c r="A901" s="64"/>
      <c r="B901" s="64"/>
      <c r="C901" s="64"/>
      <c r="D901" s="64"/>
      <c r="E901" s="64"/>
      <c r="F901" s="64"/>
      <c r="G901" s="64"/>
      <c r="H901" s="64"/>
      <c r="I901" s="64"/>
      <c r="J901" s="64"/>
      <c r="K901" s="64"/>
      <c r="L901" s="64"/>
      <c r="M901" s="64"/>
      <c r="N901" s="194"/>
      <c r="O901" s="157"/>
      <c r="P901" s="92"/>
      <c r="Q901" s="145"/>
      <c r="R901" s="92"/>
      <c r="S901" s="145"/>
      <c r="T901" s="92"/>
      <c r="U901" s="145"/>
      <c r="V901" s="92"/>
      <c r="W901" s="145"/>
      <c r="X901" s="92"/>
      <c r="Y901" s="145"/>
      <c r="Z901" s="92"/>
      <c r="AA901" s="145"/>
      <c r="AB901" s="92"/>
      <c r="AC901" s="145"/>
      <c r="AD901" s="92"/>
      <c r="AE901" s="145"/>
      <c r="AF901" s="142" t="str">
        <f t="shared" si="44"/>
        <v/>
      </c>
      <c r="AG901" s="190" t="b">
        <f t="shared" si="43"/>
        <v>0</v>
      </c>
      <c r="AH901" s="145"/>
      <c r="AI901" s="153" t="s">
        <v>6</v>
      </c>
      <c r="AJ901" s="150">
        <f t="shared" si="42"/>
        <v>0</v>
      </c>
      <c r="AK901" s="154" t="s">
        <v>60</v>
      </c>
    </row>
    <row r="902" spans="1:37" ht="30" customHeight="1">
      <c r="A902" s="64"/>
      <c r="B902" s="64"/>
      <c r="C902" s="64"/>
      <c r="D902" s="64"/>
      <c r="E902" s="64"/>
      <c r="F902" s="64"/>
      <c r="G902" s="64"/>
      <c r="H902" s="64"/>
      <c r="I902" s="64"/>
      <c r="J902" s="64"/>
      <c r="K902" s="64"/>
      <c r="L902" s="64"/>
      <c r="M902" s="64"/>
      <c r="N902" s="194"/>
      <c r="O902" s="157"/>
      <c r="P902" s="92"/>
      <c r="Q902" s="145"/>
      <c r="R902" s="92"/>
      <c r="S902" s="145"/>
      <c r="T902" s="92"/>
      <c r="U902" s="145"/>
      <c r="V902" s="92"/>
      <c r="W902" s="145"/>
      <c r="X902" s="92"/>
      <c r="Y902" s="145"/>
      <c r="Z902" s="92"/>
      <c r="AA902" s="145"/>
      <c r="AB902" s="92"/>
      <c r="AC902" s="145"/>
      <c r="AD902" s="92"/>
      <c r="AE902" s="145"/>
      <c r="AF902" s="142" t="str">
        <f t="shared" si="44"/>
        <v/>
      </c>
      <c r="AG902" s="190" t="b">
        <f t="shared" si="43"/>
        <v>0</v>
      </c>
      <c r="AH902" s="145"/>
      <c r="AI902" s="153" t="s">
        <v>6</v>
      </c>
      <c r="AJ902" s="150">
        <f t="shared" si="42"/>
        <v>0</v>
      </c>
      <c r="AK902" s="154" t="s">
        <v>60</v>
      </c>
    </row>
    <row r="903" spans="1:37" ht="30" customHeight="1">
      <c r="A903" s="64"/>
      <c r="B903" s="64"/>
      <c r="C903" s="64"/>
      <c r="D903" s="64"/>
      <c r="E903" s="64"/>
      <c r="F903" s="64"/>
      <c r="G903" s="64"/>
      <c r="H903" s="64"/>
      <c r="I903" s="64"/>
      <c r="J903" s="64"/>
      <c r="K903" s="64"/>
      <c r="L903" s="64"/>
      <c r="M903" s="64"/>
      <c r="N903" s="194"/>
      <c r="O903" s="157"/>
      <c r="P903" s="92"/>
      <c r="Q903" s="145"/>
      <c r="R903" s="92"/>
      <c r="S903" s="145"/>
      <c r="T903" s="92"/>
      <c r="U903" s="145"/>
      <c r="V903" s="92"/>
      <c r="W903" s="145"/>
      <c r="X903" s="92"/>
      <c r="Y903" s="145"/>
      <c r="Z903" s="92"/>
      <c r="AA903" s="145"/>
      <c r="AB903" s="92"/>
      <c r="AC903" s="145"/>
      <c r="AD903" s="92"/>
      <c r="AE903" s="145"/>
      <c r="AF903" s="142" t="str">
        <f t="shared" si="44"/>
        <v/>
      </c>
      <c r="AG903" s="190" t="b">
        <f t="shared" si="43"/>
        <v>0</v>
      </c>
      <c r="AH903" s="145"/>
      <c r="AI903" s="153" t="s">
        <v>6</v>
      </c>
      <c r="AJ903" s="150">
        <f t="shared" ref="AJ903:AJ932" si="45">E903</f>
        <v>0</v>
      </c>
      <c r="AK903" s="154" t="s">
        <v>60</v>
      </c>
    </row>
    <row r="904" spans="1:37" ht="30" customHeight="1">
      <c r="A904" s="64"/>
      <c r="B904" s="64"/>
      <c r="C904" s="64"/>
      <c r="D904" s="64"/>
      <c r="E904" s="64"/>
      <c r="F904" s="64"/>
      <c r="G904" s="64"/>
      <c r="H904" s="64"/>
      <c r="I904" s="64"/>
      <c r="J904" s="64"/>
      <c r="K904" s="64"/>
      <c r="L904" s="64"/>
      <c r="M904" s="64"/>
      <c r="N904" s="194"/>
      <c r="O904" s="157"/>
      <c r="P904" s="92"/>
      <c r="Q904" s="145"/>
      <c r="R904" s="92"/>
      <c r="S904" s="145"/>
      <c r="T904" s="92"/>
      <c r="U904" s="145"/>
      <c r="V904" s="92"/>
      <c r="W904" s="145"/>
      <c r="X904" s="92"/>
      <c r="Y904" s="145"/>
      <c r="Z904" s="92"/>
      <c r="AA904" s="145"/>
      <c r="AB904" s="92"/>
      <c r="AC904" s="145"/>
      <c r="AD904" s="92"/>
      <c r="AE904" s="145"/>
      <c r="AF904" s="142" t="str">
        <f t="shared" si="44"/>
        <v/>
      </c>
      <c r="AG904" s="190" t="b">
        <f t="shared" si="43"/>
        <v>0</v>
      </c>
      <c r="AH904" s="145"/>
      <c r="AI904" s="153" t="s">
        <v>6</v>
      </c>
      <c r="AJ904" s="150">
        <f t="shared" si="45"/>
        <v>0</v>
      </c>
      <c r="AK904" s="154" t="s">
        <v>60</v>
      </c>
    </row>
    <row r="905" spans="1:37" ht="30" customHeight="1">
      <c r="A905" s="64"/>
      <c r="B905" s="64"/>
      <c r="C905" s="64"/>
      <c r="D905" s="64"/>
      <c r="E905" s="64"/>
      <c r="F905" s="64"/>
      <c r="G905" s="64"/>
      <c r="H905" s="64"/>
      <c r="I905" s="64"/>
      <c r="J905" s="64"/>
      <c r="K905" s="64"/>
      <c r="L905" s="64"/>
      <c r="M905" s="64"/>
      <c r="N905" s="194"/>
      <c r="O905" s="157"/>
      <c r="P905" s="92"/>
      <c r="Q905" s="145"/>
      <c r="R905" s="92"/>
      <c r="S905" s="145"/>
      <c r="T905" s="92"/>
      <c r="U905" s="145"/>
      <c r="V905" s="92"/>
      <c r="W905" s="145"/>
      <c r="X905" s="92"/>
      <c r="Y905" s="145"/>
      <c r="Z905" s="92"/>
      <c r="AA905" s="145"/>
      <c r="AB905" s="92"/>
      <c r="AC905" s="145"/>
      <c r="AD905" s="92"/>
      <c r="AE905" s="145"/>
      <c r="AF905" s="142" t="str">
        <f t="shared" si="44"/>
        <v/>
      </c>
      <c r="AG905" s="190" t="b">
        <f t="shared" si="43"/>
        <v>0</v>
      </c>
      <c r="AH905" s="145"/>
      <c r="AI905" s="153" t="s">
        <v>6</v>
      </c>
      <c r="AJ905" s="150">
        <f t="shared" si="45"/>
        <v>0</v>
      </c>
      <c r="AK905" s="154" t="s">
        <v>60</v>
      </c>
    </row>
    <row r="906" spans="1:37" ht="30" customHeight="1">
      <c r="A906" s="64"/>
      <c r="B906" s="64"/>
      <c r="C906" s="64"/>
      <c r="D906" s="64"/>
      <c r="E906" s="64"/>
      <c r="F906" s="64"/>
      <c r="G906" s="64"/>
      <c r="H906" s="64"/>
      <c r="I906" s="64"/>
      <c r="J906" s="64"/>
      <c r="K906" s="64"/>
      <c r="L906" s="64"/>
      <c r="M906" s="64"/>
      <c r="N906" s="194"/>
      <c r="O906" s="157"/>
      <c r="P906" s="92"/>
      <c r="Q906" s="145"/>
      <c r="R906" s="92"/>
      <c r="S906" s="145"/>
      <c r="T906" s="92"/>
      <c r="U906" s="145"/>
      <c r="V906" s="92"/>
      <c r="W906" s="145"/>
      <c r="X906" s="92"/>
      <c r="Y906" s="145"/>
      <c r="Z906" s="92"/>
      <c r="AA906" s="145"/>
      <c r="AB906" s="92"/>
      <c r="AC906" s="145"/>
      <c r="AD906" s="92"/>
      <c r="AE906" s="145"/>
      <c r="AF906" s="142" t="str">
        <f t="shared" si="44"/>
        <v/>
      </c>
      <c r="AG906" s="190" t="b">
        <f t="shared" si="43"/>
        <v>0</v>
      </c>
      <c r="AH906" s="145"/>
      <c r="AI906" s="153" t="s">
        <v>6</v>
      </c>
      <c r="AJ906" s="150">
        <f t="shared" si="45"/>
        <v>0</v>
      </c>
      <c r="AK906" s="154" t="s">
        <v>60</v>
      </c>
    </row>
    <row r="907" spans="1:37" ht="30" customHeight="1">
      <c r="A907" s="64"/>
      <c r="B907" s="64"/>
      <c r="C907" s="64"/>
      <c r="D907" s="64"/>
      <c r="E907" s="64"/>
      <c r="F907" s="64"/>
      <c r="G907" s="64"/>
      <c r="H907" s="64"/>
      <c r="I907" s="64"/>
      <c r="J907" s="64"/>
      <c r="K907" s="64"/>
      <c r="L907" s="64"/>
      <c r="M907" s="64"/>
      <c r="N907" s="194"/>
      <c r="O907" s="157"/>
      <c r="P907" s="92"/>
      <c r="Q907" s="145"/>
      <c r="R907" s="92"/>
      <c r="S907" s="145"/>
      <c r="T907" s="92"/>
      <c r="U907" s="145"/>
      <c r="V907" s="92"/>
      <c r="W907" s="145"/>
      <c r="X907" s="92"/>
      <c r="Y907" s="145"/>
      <c r="Z907" s="92"/>
      <c r="AA907" s="145"/>
      <c r="AB907" s="92"/>
      <c r="AC907" s="145"/>
      <c r="AD907" s="92"/>
      <c r="AE907" s="145"/>
      <c r="AF907" s="142" t="str">
        <f t="shared" si="44"/>
        <v/>
      </c>
      <c r="AG907" s="190" t="b">
        <f t="shared" si="43"/>
        <v>0</v>
      </c>
      <c r="AH907" s="145"/>
      <c r="AI907" s="153" t="s">
        <v>6</v>
      </c>
      <c r="AJ907" s="150">
        <f t="shared" si="45"/>
        <v>0</v>
      </c>
      <c r="AK907" s="154" t="s">
        <v>60</v>
      </c>
    </row>
    <row r="908" spans="1:37" ht="30" customHeight="1">
      <c r="A908" s="64"/>
      <c r="B908" s="64"/>
      <c r="C908" s="64"/>
      <c r="D908" s="64"/>
      <c r="E908" s="64"/>
      <c r="F908" s="64"/>
      <c r="G908" s="64"/>
      <c r="H908" s="64"/>
      <c r="I908" s="64"/>
      <c r="J908" s="64"/>
      <c r="K908" s="64"/>
      <c r="L908" s="64"/>
      <c r="M908" s="64"/>
      <c r="N908" s="194"/>
      <c r="O908" s="157"/>
      <c r="P908" s="92"/>
      <c r="Q908" s="145"/>
      <c r="R908" s="92"/>
      <c r="S908" s="145"/>
      <c r="T908" s="92"/>
      <c r="U908" s="145"/>
      <c r="V908" s="92"/>
      <c r="W908" s="145"/>
      <c r="X908" s="92"/>
      <c r="Y908" s="145"/>
      <c r="Z908" s="92"/>
      <c r="AA908" s="145"/>
      <c r="AB908" s="92"/>
      <c r="AC908" s="145"/>
      <c r="AD908" s="92"/>
      <c r="AE908" s="145"/>
      <c r="AF908" s="142" t="str">
        <f t="shared" si="44"/>
        <v/>
      </c>
      <c r="AG908" s="190" t="b">
        <f t="shared" si="43"/>
        <v>0</v>
      </c>
      <c r="AH908" s="145"/>
      <c r="AI908" s="153" t="s">
        <v>6</v>
      </c>
      <c r="AJ908" s="150">
        <f t="shared" si="45"/>
        <v>0</v>
      </c>
      <c r="AK908" s="154" t="s">
        <v>60</v>
      </c>
    </row>
    <row r="909" spans="1:37" ht="30" customHeight="1">
      <c r="A909" s="64"/>
      <c r="B909" s="64"/>
      <c r="C909" s="64"/>
      <c r="D909" s="64"/>
      <c r="E909" s="64"/>
      <c r="F909" s="64"/>
      <c r="G909" s="64"/>
      <c r="H909" s="64"/>
      <c r="I909" s="64"/>
      <c r="J909" s="64"/>
      <c r="K909" s="64"/>
      <c r="L909" s="64"/>
      <c r="M909" s="64"/>
      <c r="N909" s="194"/>
      <c r="O909" s="157"/>
      <c r="P909" s="92"/>
      <c r="Q909" s="145"/>
      <c r="R909" s="92"/>
      <c r="S909" s="145"/>
      <c r="T909" s="92"/>
      <c r="U909" s="145"/>
      <c r="V909" s="92"/>
      <c r="W909" s="145"/>
      <c r="X909" s="92"/>
      <c r="Y909" s="145"/>
      <c r="Z909" s="92"/>
      <c r="AA909" s="145"/>
      <c r="AB909" s="92"/>
      <c r="AC909" s="145"/>
      <c r="AD909" s="92"/>
      <c r="AE909" s="145"/>
      <c r="AF909" s="142" t="str">
        <f t="shared" si="44"/>
        <v/>
      </c>
      <c r="AG909" s="190" t="b">
        <f t="shared" si="43"/>
        <v>0</v>
      </c>
      <c r="AH909" s="145"/>
      <c r="AI909" s="153" t="s">
        <v>6</v>
      </c>
      <c r="AJ909" s="150">
        <f t="shared" si="45"/>
        <v>0</v>
      </c>
      <c r="AK909" s="154" t="s">
        <v>60</v>
      </c>
    </row>
    <row r="910" spans="1:37" ht="30" customHeight="1">
      <c r="A910" s="64"/>
      <c r="B910" s="64"/>
      <c r="C910" s="64"/>
      <c r="D910" s="64"/>
      <c r="E910" s="64"/>
      <c r="F910" s="64"/>
      <c r="G910" s="64"/>
      <c r="H910" s="64"/>
      <c r="I910" s="64"/>
      <c r="J910" s="64"/>
      <c r="K910" s="64"/>
      <c r="L910" s="64"/>
      <c r="M910" s="64"/>
      <c r="N910" s="194"/>
      <c r="O910" s="157"/>
      <c r="P910" s="92"/>
      <c r="Q910" s="145"/>
      <c r="R910" s="92"/>
      <c r="S910" s="145"/>
      <c r="T910" s="92"/>
      <c r="U910" s="145"/>
      <c r="V910" s="92"/>
      <c r="W910" s="145"/>
      <c r="X910" s="92"/>
      <c r="Y910" s="145"/>
      <c r="Z910" s="92"/>
      <c r="AA910" s="145"/>
      <c r="AB910" s="92"/>
      <c r="AC910" s="145"/>
      <c r="AD910" s="92"/>
      <c r="AE910" s="145"/>
      <c r="AF910" s="142" t="str">
        <f t="shared" si="44"/>
        <v/>
      </c>
      <c r="AG910" s="190" t="b">
        <f t="shared" si="43"/>
        <v>0</v>
      </c>
      <c r="AH910" s="145"/>
      <c r="AI910" s="153" t="s">
        <v>6</v>
      </c>
      <c r="AJ910" s="150">
        <f t="shared" si="45"/>
        <v>0</v>
      </c>
      <c r="AK910" s="154" t="s">
        <v>60</v>
      </c>
    </row>
    <row r="911" spans="1:37" ht="30" customHeight="1">
      <c r="A911" s="64"/>
      <c r="B911" s="64"/>
      <c r="C911" s="64"/>
      <c r="D911" s="64"/>
      <c r="E911" s="64"/>
      <c r="F911" s="64"/>
      <c r="G911" s="64"/>
      <c r="H911" s="64"/>
      <c r="I911" s="64"/>
      <c r="J911" s="64"/>
      <c r="K911" s="64"/>
      <c r="L911" s="64"/>
      <c r="M911" s="64"/>
      <c r="N911" s="194"/>
      <c r="O911" s="157"/>
      <c r="P911" s="92"/>
      <c r="Q911" s="145"/>
      <c r="R911" s="92"/>
      <c r="S911" s="145"/>
      <c r="T911" s="92"/>
      <c r="U911" s="145"/>
      <c r="V911" s="92"/>
      <c r="W911" s="145"/>
      <c r="X911" s="92"/>
      <c r="Y911" s="145"/>
      <c r="Z911" s="92"/>
      <c r="AA911" s="145"/>
      <c r="AB911" s="92"/>
      <c r="AC911" s="145"/>
      <c r="AD911" s="92"/>
      <c r="AE911" s="145"/>
      <c r="AF911" s="142" t="str">
        <f t="shared" si="44"/>
        <v/>
      </c>
      <c r="AG911" s="190" t="b">
        <f t="shared" si="43"/>
        <v>0</v>
      </c>
      <c r="AH911" s="145"/>
      <c r="AI911" s="153" t="s">
        <v>6</v>
      </c>
      <c r="AJ911" s="150">
        <f t="shared" si="45"/>
        <v>0</v>
      </c>
      <c r="AK911" s="154" t="s">
        <v>60</v>
      </c>
    </row>
    <row r="912" spans="1:37" ht="30" customHeight="1">
      <c r="A912" s="64"/>
      <c r="B912" s="64"/>
      <c r="C912" s="64"/>
      <c r="D912" s="64"/>
      <c r="E912" s="64"/>
      <c r="F912" s="64"/>
      <c r="G912" s="64"/>
      <c r="H912" s="64"/>
      <c r="I912" s="64"/>
      <c r="J912" s="64"/>
      <c r="K912" s="64"/>
      <c r="L912" s="64"/>
      <c r="M912" s="64"/>
      <c r="N912" s="194"/>
      <c r="O912" s="157"/>
      <c r="P912" s="92"/>
      <c r="Q912" s="145"/>
      <c r="R912" s="92"/>
      <c r="S912" s="145"/>
      <c r="T912" s="92"/>
      <c r="U912" s="145"/>
      <c r="V912" s="92"/>
      <c r="W912" s="145"/>
      <c r="X912" s="92"/>
      <c r="Y912" s="145"/>
      <c r="Z912" s="92"/>
      <c r="AA912" s="145"/>
      <c r="AB912" s="92"/>
      <c r="AC912" s="145"/>
      <c r="AD912" s="92"/>
      <c r="AE912" s="145"/>
      <c r="AF912" s="142" t="str">
        <f t="shared" si="44"/>
        <v/>
      </c>
      <c r="AG912" s="190" t="b">
        <f t="shared" si="43"/>
        <v>0</v>
      </c>
      <c r="AH912" s="145"/>
      <c r="AI912" s="153" t="s">
        <v>6</v>
      </c>
      <c r="AJ912" s="150">
        <f t="shared" si="45"/>
        <v>0</v>
      </c>
      <c r="AK912" s="154" t="s">
        <v>60</v>
      </c>
    </row>
    <row r="913" spans="1:37" ht="30" customHeight="1">
      <c r="A913" s="64"/>
      <c r="B913" s="64"/>
      <c r="C913" s="64"/>
      <c r="D913" s="64"/>
      <c r="E913" s="64"/>
      <c r="F913" s="64"/>
      <c r="G913" s="64"/>
      <c r="H913" s="64"/>
      <c r="I913" s="64"/>
      <c r="J913" s="64"/>
      <c r="K913" s="64"/>
      <c r="L913" s="64"/>
      <c r="M913" s="64"/>
      <c r="N913" s="194"/>
      <c r="O913" s="157"/>
      <c r="P913" s="92"/>
      <c r="Q913" s="145"/>
      <c r="R913" s="92"/>
      <c r="S913" s="145"/>
      <c r="T913" s="92"/>
      <c r="U913" s="145"/>
      <c r="V913" s="92"/>
      <c r="W913" s="145"/>
      <c r="X913" s="92"/>
      <c r="Y913" s="145"/>
      <c r="Z913" s="92"/>
      <c r="AA913" s="145"/>
      <c r="AB913" s="92"/>
      <c r="AC913" s="145"/>
      <c r="AD913" s="92"/>
      <c r="AE913" s="145"/>
      <c r="AF913" s="142" t="str">
        <f t="shared" si="44"/>
        <v/>
      </c>
      <c r="AG913" s="190" t="b">
        <f t="shared" si="43"/>
        <v>0</v>
      </c>
      <c r="AH913" s="145"/>
      <c r="AI913" s="153" t="s">
        <v>6</v>
      </c>
      <c r="AJ913" s="150">
        <f t="shared" si="45"/>
        <v>0</v>
      </c>
      <c r="AK913" s="154" t="s">
        <v>60</v>
      </c>
    </row>
    <row r="914" spans="1:37" ht="30" customHeight="1">
      <c r="A914" s="64"/>
      <c r="B914" s="64"/>
      <c r="C914" s="64"/>
      <c r="D914" s="64"/>
      <c r="E914" s="64"/>
      <c r="F914" s="64"/>
      <c r="G914" s="64"/>
      <c r="H914" s="64"/>
      <c r="I914" s="64"/>
      <c r="J914" s="64"/>
      <c r="K914" s="64"/>
      <c r="L914" s="64"/>
      <c r="M914" s="64"/>
      <c r="N914" s="194"/>
      <c r="O914" s="157"/>
      <c r="P914" s="92"/>
      <c r="Q914" s="145"/>
      <c r="R914" s="92"/>
      <c r="S914" s="145"/>
      <c r="T914" s="92"/>
      <c r="U914" s="145"/>
      <c r="V914" s="92"/>
      <c r="W914" s="145"/>
      <c r="X914" s="92"/>
      <c r="Y914" s="145"/>
      <c r="Z914" s="92"/>
      <c r="AA914" s="145"/>
      <c r="AB914" s="92"/>
      <c r="AC914" s="145"/>
      <c r="AD914" s="92"/>
      <c r="AE914" s="145"/>
      <c r="AF914" s="142" t="str">
        <f t="shared" si="44"/>
        <v/>
      </c>
      <c r="AG914" s="190" t="b">
        <f t="shared" si="43"/>
        <v>0</v>
      </c>
      <c r="AH914" s="145"/>
      <c r="AI914" s="153" t="s">
        <v>6</v>
      </c>
      <c r="AJ914" s="150">
        <f t="shared" si="45"/>
        <v>0</v>
      </c>
      <c r="AK914" s="154" t="s">
        <v>60</v>
      </c>
    </row>
    <row r="915" spans="1:37" ht="30" customHeight="1">
      <c r="A915" s="64"/>
      <c r="B915" s="64"/>
      <c r="C915" s="64"/>
      <c r="D915" s="64"/>
      <c r="E915" s="64"/>
      <c r="F915" s="64"/>
      <c r="G915" s="64"/>
      <c r="H915" s="64"/>
      <c r="I915" s="64"/>
      <c r="J915" s="64"/>
      <c r="K915" s="64"/>
      <c r="L915" s="64"/>
      <c r="M915" s="64"/>
      <c r="N915" s="194"/>
      <c r="O915" s="157"/>
      <c r="P915" s="92"/>
      <c r="Q915" s="145"/>
      <c r="R915" s="92"/>
      <c r="S915" s="145"/>
      <c r="T915" s="92"/>
      <c r="U915" s="145"/>
      <c r="V915" s="92"/>
      <c r="W915" s="145"/>
      <c r="X915" s="92"/>
      <c r="Y915" s="145"/>
      <c r="Z915" s="92"/>
      <c r="AA915" s="145"/>
      <c r="AB915" s="92"/>
      <c r="AC915" s="145"/>
      <c r="AD915" s="92"/>
      <c r="AE915" s="145"/>
      <c r="AF915" s="142" t="str">
        <f t="shared" si="44"/>
        <v/>
      </c>
      <c r="AG915" s="190" t="b">
        <f t="shared" si="43"/>
        <v>0</v>
      </c>
      <c r="AH915" s="145"/>
      <c r="AI915" s="153" t="s">
        <v>6</v>
      </c>
      <c r="AJ915" s="150">
        <f t="shared" si="45"/>
        <v>0</v>
      </c>
      <c r="AK915" s="154" t="s">
        <v>60</v>
      </c>
    </row>
    <row r="916" spans="1:37" ht="30" customHeight="1">
      <c r="A916" s="64"/>
      <c r="B916" s="64"/>
      <c r="C916" s="64"/>
      <c r="D916" s="64"/>
      <c r="E916" s="64"/>
      <c r="F916" s="64"/>
      <c r="G916" s="64"/>
      <c r="H916" s="64"/>
      <c r="I916" s="64"/>
      <c r="J916" s="64"/>
      <c r="K916" s="64"/>
      <c r="L916" s="64"/>
      <c r="M916" s="64"/>
      <c r="N916" s="194"/>
      <c r="O916" s="157"/>
      <c r="P916" s="92"/>
      <c r="Q916" s="145"/>
      <c r="R916" s="92"/>
      <c r="S916" s="145"/>
      <c r="T916" s="92"/>
      <c r="U916" s="145"/>
      <c r="V916" s="92"/>
      <c r="W916" s="145"/>
      <c r="X916" s="92"/>
      <c r="Y916" s="145"/>
      <c r="Z916" s="92"/>
      <c r="AA916" s="145"/>
      <c r="AB916" s="92"/>
      <c r="AC916" s="145"/>
      <c r="AD916" s="92"/>
      <c r="AE916" s="145"/>
      <c r="AF916" s="142" t="str">
        <f t="shared" si="44"/>
        <v/>
      </c>
      <c r="AG916" s="190" t="b">
        <f t="shared" si="43"/>
        <v>0</v>
      </c>
      <c r="AH916" s="145"/>
      <c r="AI916" s="153" t="s">
        <v>6</v>
      </c>
      <c r="AJ916" s="150">
        <f t="shared" si="45"/>
        <v>0</v>
      </c>
      <c r="AK916" s="154" t="s">
        <v>60</v>
      </c>
    </row>
    <row r="917" spans="1:37" ht="30" customHeight="1">
      <c r="A917" s="64"/>
      <c r="B917" s="64"/>
      <c r="C917" s="64"/>
      <c r="D917" s="64"/>
      <c r="E917" s="64"/>
      <c r="F917" s="64"/>
      <c r="G917" s="64"/>
      <c r="H917" s="64"/>
      <c r="I917" s="64"/>
      <c r="J917" s="64"/>
      <c r="K917" s="64"/>
      <c r="L917" s="64"/>
      <c r="M917" s="64"/>
      <c r="N917" s="194"/>
      <c r="O917" s="157"/>
      <c r="P917" s="92"/>
      <c r="Q917" s="145"/>
      <c r="R917" s="92"/>
      <c r="S917" s="145"/>
      <c r="T917" s="92"/>
      <c r="U917" s="145"/>
      <c r="V917" s="92"/>
      <c r="W917" s="145"/>
      <c r="X917" s="92"/>
      <c r="Y917" s="145"/>
      <c r="Z917" s="92"/>
      <c r="AA917" s="145"/>
      <c r="AB917" s="92"/>
      <c r="AC917" s="145"/>
      <c r="AD917" s="92"/>
      <c r="AE917" s="145"/>
      <c r="AF917" s="142" t="str">
        <f t="shared" si="44"/>
        <v/>
      </c>
      <c r="AG917" s="190" t="b">
        <f t="shared" si="43"/>
        <v>0</v>
      </c>
      <c r="AH917" s="145"/>
      <c r="AI917" s="153" t="s">
        <v>6</v>
      </c>
      <c r="AJ917" s="150">
        <f t="shared" si="45"/>
        <v>0</v>
      </c>
      <c r="AK917" s="154" t="s">
        <v>60</v>
      </c>
    </row>
    <row r="918" spans="1:37" ht="30" customHeight="1">
      <c r="A918" s="64"/>
      <c r="B918" s="64"/>
      <c r="C918" s="64"/>
      <c r="D918" s="64"/>
      <c r="E918" s="64"/>
      <c r="F918" s="64"/>
      <c r="G918" s="64"/>
      <c r="H918" s="64"/>
      <c r="I918" s="64"/>
      <c r="J918" s="64"/>
      <c r="K918" s="64"/>
      <c r="L918" s="64"/>
      <c r="M918" s="64"/>
      <c r="N918" s="194"/>
      <c r="O918" s="157"/>
      <c r="P918" s="92"/>
      <c r="Q918" s="145"/>
      <c r="R918" s="92"/>
      <c r="S918" s="145"/>
      <c r="T918" s="92"/>
      <c r="U918" s="145"/>
      <c r="V918" s="92"/>
      <c r="W918" s="145"/>
      <c r="X918" s="92"/>
      <c r="Y918" s="145"/>
      <c r="Z918" s="92"/>
      <c r="AA918" s="145"/>
      <c r="AB918" s="92"/>
      <c r="AC918" s="145"/>
      <c r="AD918" s="92"/>
      <c r="AE918" s="145"/>
      <c r="AF918" s="142" t="str">
        <f t="shared" si="44"/>
        <v/>
      </c>
      <c r="AG918" s="190" t="b">
        <f t="shared" si="43"/>
        <v>0</v>
      </c>
      <c r="AH918" s="145"/>
      <c r="AI918" s="153" t="s">
        <v>6</v>
      </c>
      <c r="AJ918" s="150">
        <f t="shared" si="45"/>
        <v>0</v>
      </c>
      <c r="AK918" s="154" t="s">
        <v>60</v>
      </c>
    </row>
    <row r="919" spans="1:37" ht="30" customHeight="1">
      <c r="A919" s="64"/>
      <c r="B919" s="64"/>
      <c r="C919" s="64"/>
      <c r="D919" s="64"/>
      <c r="E919" s="64"/>
      <c r="F919" s="64"/>
      <c r="G919" s="64"/>
      <c r="H919" s="64"/>
      <c r="I919" s="64"/>
      <c r="J919" s="64"/>
      <c r="K919" s="64"/>
      <c r="L919" s="64"/>
      <c r="M919" s="64"/>
      <c r="N919" s="194"/>
      <c r="O919" s="157"/>
      <c r="P919" s="92"/>
      <c r="Q919" s="145"/>
      <c r="R919" s="92"/>
      <c r="S919" s="145"/>
      <c r="T919" s="92"/>
      <c r="U919" s="145"/>
      <c r="V919" s="92"/>
      <c r="W919" s="145"/>
      <c r="X919" s="92"/>
      <c r="Y919" s="145"/>
      <c r="Z919" s="92"/>
      <c r="AA919" s="145"/>
      <c r="AB919" s="92"/>
      <c r="AC919" s="145"/>
      <c r="AD919" s="92"/>
      <c r="AE919" s="145"/>
      <c r="AF919" s="142" t="str">
        <f t="shared" si="44"/>
        <v/>
      </c>
      <c r="AG919" s="190" t="b">
        <f t="shared" si="43"/>
        <v>0</v>
      </c>
      <c r="AH919" s="145"/>
      <c r="AI919" s="153" t="s">
        <v>6</v>
      </c>
      <c r="AJ919" s="150">
        <f t="shared" si="45"/>
        <v>0</v>
      </c>
      <c r="AK919" s="154" t="s">
        <v>60</v>
      </c>
    </row>
    <row r="920" spans="1:37" ht="30" customHeight="1">
      <c r="A920" s="64"/>
      <c r="B920" s="64"/>
      <c r="C920" s="64"/>
      <c r="D920" s="64"/>
      <c r="E920" s="64"/>
      <c r="F920" s="64"/>
      <c r="G920" s="64"/>
      <c r="H920" s="64"/>
      <c r="I920" s="64"/>
      <c r="J920" s="64"/>
      <c r="K920" s="64"/>
      <c r="L920" s="64"/>
      <c r="M920" s="64"/>
      <c r="N920" s="194"/>
      <c r="O920" s="157"/>
      <c r="P920" s="92"/>
      <c r="Q920" s="145"/>
      <c r="R920" s="92"/>
      <c r="S920" s="145"/>
      <c r="T920" s="92"/>
      <c r="U920" s="145"/>
      <c r="V920" s="92"/>
      <c r="W920" s="145"/>
      <c r="X920" s="92"/>
      <c r="Y920" s="145"/>
      <c r="Z920" s="92"/>
      <c r="AA920" s="145"/>
      <c r="AB920" s="92"/>
      <c r="AC920" s="145"/>
      <c r="AD920" s="92"/>
      <c r="AE920" s="145"/>
      <c r="AF920" s="142" t="str">
        <f t="shared" si="44"/>
        <v/>
      </c>
      <c r="AG920" s="190" t="b">
        <f t="shared" si="43"/>
        <v>0</v>
      </c>
      <c r="AH920" s="145"/>
      <c r="AI920" s="153" t="s">
        <v>6</v>
      </c>
      <c r="AJ920" s="150">
        <f t="shared" si="45"/>
        <v>0</v>
      </c>
      <c r="AK920" s="154" t="s">
        <v>60</v>
      </c>
    </row>
    <row r="921" spans="1:37" ht="30" customHeight="1">
      <c r="A921" s="64"/>
      <c r="B921" s="64"/>
      <c r="C921" s="64"/>
      <c r="D921" s="64"/>
      <c r="E921" s="64"/>
      <c r="F921" s="64"/>
      <c r="G921" s="64"/>
      <c r="H921" s="64"/>
      <c r="I921" s="64"/>
      <c r="J921" s="64"/>
      <c r="K921" s="64"/>
      <c r="L921" s="64"/>
      <c r="M921" s="64"/>
      <c r="N921" s="194"/>
      <c r="O921" s="157"/>
      <c r="P921" s="92"/>
      <c r="Q921" s="145"/>
      <c r="R921" s="92"/>
      <c r="S921" s="145"/>
      <c r="T921" s="92"/>
      <c r="U921" s="145"/>
      <c r="V921" s="92"/>
      <c r="W921" s="145"/>
      <c r="X921" s="92"/>
      <c r="Y921" s="145"/>
      <c r="Z921" s="92"/>
      <c r="AA921" s="145"/>
      <c r="AB921" s="92"/>
      <c r="AC921" s="145"/>
      <c r="AD921" s="92"/>
      <c r="AE921" s="145"/>
      <c r="AF921" s="142" t="str">
        <f t="shared" si="44"/>
        <v/>
      </c>
      <c r="AG921" s="190" t="b">
        <f t="shared" si="43"/>
        <v>0</v>
      </c>
      <c r="AH921" s="145"/>
      <c r="AI921" s="153" t="s">
        <v>6</v>
      </c>
      <c r="AJ921" s="150">
        <f t="shared" si="45"/>
        <v>0</v>
      </c>
      <c r="AK921" s="154" t="s">
        <v>60</v>
      </c>
    </row>
    <row r="922" spans="1:37" ht="30" customHeight="1">
      <c r="A922" s="64"/>
      <c r="B922" s="64"/>
      <c r="C922" s="64"/>
      <c r="D922" s="64"/>
      <c r="E922" s="64"/>
      <c r="F922" s="64"/>
      <c r="G922" s="64"/>
      <c r="H922" s="64"/>
      <c r="I922" s="64"/>
      <c r="J922" s="64"/>
      <c r="K922" s="64"/>
      <c r="L922" s="64"/>
      <c r="M922" s="64"/>
      <c r="N922" s="194"/>
      <c r="O922" s="157"/>
      <c r="P922" s="92"/>
      <c r="Q922" s="145"/>
      <c r="R922" s="92"/>
      <c r="S922" s="145"/>
      <c r="T922" s="92"/>
      <c r="U922" s="145"/>
      <c r="V922" s="92"/>
      <c r="W922" s="145"/>
      <c r="X922" s="92"/>
      <c r="Y922" s="145"/>
      <c r="Z922" s="92"/>
      <c r="AA922" s="145"/>
      <c r="AB922" s="92"/>
      <c r="AC922" s="145"/>
      <c r="AD922" s="92"/>
      <c r="AE922" s="145"/>
      <c r="AF922" s="142" t="str">
        <f t="shared" si="44"/>
        <v/>
      </c>
      <c r="AG922" s="190" t="b">
        <f t="shared" si="43"/>
        <v>0</v>
      </c>
      <c r="AH922" s="145"/>
      <c r="AI922" s="153" t="s">
        <v>6</v>
      </c>
      <c r="AJ922" s="150">
        <f t="shared" si="45"/>
        <v>0</v>
      </c>
      <c r="AK922" s="154" t="s">
        <v>60</v>
      </c>
    </row>
    <row r="923" spans="1:37" ht="30" customHeight="1">
      <c r="A923" s="64"/>
      <c r="B923" s="64"/>
      <c r="C923" s="64"/>
      <c r="D923" s="64"/>
      <c r="E923" s="64"/>
      <c r="F923" s="64"/>
      <c r="G923" s="64"/>
      <c r="H923" s="64"/>
      <c r="I923" s="64"/>
      <c r="J923" s="64"/>
      <c r="K923" s="64"/>
      <c r="L923" s="64"/>
      <c r="M923" s="64"/>
      <c r="N923" s="194"/>
      <c r="O923" s="157"/>
      <c r="P923" s="92"/>
      <c r="Q923" s="145"/>
      <c r="R923" s="92"/>
      <c r="S923" s="145"/>
      <c r="T923" s="92"/>
      <c r="U923" s="145"/>
      <c r="V923" s="92"/>
      <c r="W923" s="145"/>
      <c r="X923" s="92"/>
      <c r="Y923" s="145"/>
      <c r="Z923" s="92"/>
      <c r="AA923" s="145"/>
      <c r="AB923" s="92"/>
      <c r="AC923" s="145"/>
      <c r="AD923" s="92"/>
      <c r="AE923" s="145"/>
      <c r="AF923" s="142" t="str">
        <f t="shared" si="44"/>
        <v/>
      </c>
      <c r="AG923" s="190" t="b">
        <f t="shared" si="43"/>
        <v>0</v>
      </c>
      <c r="AH923" s="145"/>
      <c r="AI923" s="153" t="s">
        <v>6</v>
      </c>
      <c r="AJ923" s="150">
        <f t="shared" si="45"/>
        <v>0</v>
      </c>
      <c r="AK923" s="154" t="s">
        <v>60</v>
      </c>
    </row>
    <row r="924" spans="1:37" ht="30" customHeight="1">
      <c r="A924" s="64"/>
      <c r="B924" s="64"/>
      <c r="C924" s="64"/>
      <c r="D924" s="64"/>
      <c r="E924" s="64"/>
      <c r="F924" s="64"/>
      <c r="G924" s="64"/>
      <c r="H924" s="64"/>
      <c r="I924" s="64"/>
      <c r="J924" s="64"/>
      <c r="K924" s="64"/>
      <c r="L924" s="64"/>
      <c r="M924" s="64"/>
      <c r="N924" s="194"/>
      <c r="O924" s="157"/>
      <c r="P924" s="92"/>
      <c r="Q924" s="145"/>
      <c r="R924" s="92"/>
      <c r="S924" s="145"/>
      <c r="T924" s="92"/>
      <c r="U924" s="145"/>
      <c r="V924" s="92"/>
      <c r="W924" s="145"/>
      <c r="X924" s="92"/>
      <c r="Y924" s="145"/>
      <c r="Z924" s="92"/>
      <c r="AA924" s="145"/>
      <c r="AB924" s="92"/>
      <c r="AC924" s="145"/>
      <c r="AD924" s="92"/>
      <c r="AE924" s="145"/>
      <c r="AF924" s="142" t="str">
        <f t="shared" si="44"/>
        <v/>
      </c>
      <c r="AG924" s="190" t="b">
        <f t="shared" si="43"/>
        <v>0</v>
      </c>
      <c r="AH924" s="145"/>
      <c r="AI924" s="153" t="s">
        <v>6</v>
      </c>
      <c r="AJ924" s="150">
        <f t="shared" si="45"/>
        <v>0</v>
      </c>
      <c r="AK924" s="154" t="s">
        <v>60</v>
      </c>
    </row>
    <row r="925" spans="1:37" ht="30" customHeight="1">
      <c r="A925" s="64"/>
      <c r="B925" s="64"/>
      <c r="C925" s="64"/>
      <c r="D925" s="64"/>
      <c r="E925" s="64"/>
      <c r="F925" s="64"/>
      <c r="G925" s="64"/>
      <c r="H925" s="64"/>
      <c r="I925" s="64"/>
      <c r="J925" s="64"/>
      <c r="K925" s="64"/>
      <c r="L925" s="64"/>
      <c r="M925" s="64"/>
      <c r="N925" s="194"/>
      <c r="O925" s="157"/>
      <c r="P925" s="92"/>
      <c r="Q925" s="145"/>
      <c r="R925" s="92"/>
      <c r="S925" s="145"/>
      <c r="T925" s="92"/>
      <c r="U925" s="145"/>
      <c r="V925" s="92"/>
      <c r="W925" s="145"/>
      <c r="X925" s="92"/>
      <c r="Y925" s="145"/>
      <c r="Z925" s="92"/>
      <c r="AA925" s="145"/>
      <c r="AB925" s="92"/>
      <c r="AC925" s="145"/>
      <c r="AD925" s="92"/>
      <c r="AE925" s="145"/>
      <c r="AF925" s="142" t="str">
        <f t="shared" si="44"/>
        <v/>
      </c>
      <c r="AG925" s="190" t="b">
        <f t="shared" si="43"/>
        <v>0</v>
      </c>
      <c r="AH925" s="145"/>
      <c r="AI925" s="153" t="s">
        <v>6</v>
      </c>
      <c r="AJ925" s="150">
        <f t="shared" si="45"/>
        <v>0</v>
      </c>
      <c r="AK925" s="154" t="s">
        <v>60</v>
      </c>
    </row>
    <row r="926" spans="1:37" ht="30" customHeight="1">
      <c r="A926" s="64"/>
      <c r="B926" s="64"/>
      <c r="C926" s="64"/>
      <c r="D926" s="64"/>
      <c r="E926" s="64"/>
      <c r="F926" s="64"/>
      <c r="G926" s="64"/>
      <c r="H926" s="64"/>
      <c r="I926" s="64"/>
      <c r="J926" s="64"/>
      <c r="K926" s="64"/>
      <c r="L926" s="64"/>
      <c r="M926" s="64"/>
      <c r="N926" s="194"/>
      <c r="O926" s="157"/>
      <c r="P926" s="92"/>
      <c r="Q926" s="145"/>
      <c r="R926" s="92"/>
      <c r="S926" s="145"/>
      <c r="T926" s="92"/>
      <c r="U926" s="145"/>
      <c r="V926" s="92"/>
      <c r="W926" s="145"/>
      <c r="X926" s="92"/>
      <c r="Y926" s="145"/>
      <c r="Z926" s="92"/>
      <c r="AA926" s="145"/>
      <c r="AB926" s="92"/>
      <c r="AC926" s="145"/>
      <c r="AD926" s="92"/>
      <c r="AE926" s="145"/>
      <c r="AF926" s="142" t="str">
        <f t="shared" si="44"/>
        <v/>
      </c>
      <c r="AG926" s="190" t="b">
        <f t="shared" si="43"/>
        <v>0</v>
      </c>
      <c r="AH926" s="145"/>
      <c r="AI926" s="153" t="s">
        <v>6</v>
      </c>
      <c r="AJ926" s="150">
        <f t="shared" si="45"/>
        <v>0</v>
      </c>
      <c r="AK926" s="154" t="s">
        <v>60</v>
      </c>
    </row>
    <row r="927" spans="1:37" ht="30" customHeight="1">
      <c r="A927" s="64"/>
      <c r="B927" s="64"/>
      <c r="C927" s="64"/>
      <c r="D927" s="64"/>
      <c r="E927" s="64"/>
      <c r="F927" s="64"/>
      <c r="G927" s="64"/>
      <c r="H927" s="64"/>
      <c r="I927" s="64"/>
      <c r="J927" s="64"/>
      <c r="K927" s="64"/>
      <c r="L927" s="64"/>
      <c r="M927" s="64"/>
      <c r="N927" s="194"/>
      <c r="O927" s="157"/>
      <c r="P927" s="92"/>
      <c r="Q927" s="145"/>
      <c r="R927" s="92"/>
      <c r="S927" s="145"/>
      <c r="T927" s="92"/>
      <c r="U927" s="145"/>
      <c r="V927" s="92"/>
      <c r="W927" s="145"/>
      <c r="X927" s="92"/>
      <c r="Y927" s="145"/>
      <c r="Z927" s="92"/>
      <c r="AA927" s="145"/>
      <c r="AB927" s="92"/>
      <c r="AC927" s="145"/>
      <c r="AD927" s="92"/>
      <c r="AE927" s="145"/>
      <c r="AF927" s="142" t="str">
        <f t="shared" si="44"/>
        <v/>
      </c>
      <c r="AG927" s="190" t="b">
        <f t="shared" si="43"/>
        <v>0</v>
      </c>
      <c r="AH927" s="145"/>
      <c r="AI927" s="153" t="s">
        <v>6</v>
      </c>
      <c r="AJ927" s="150">
        <f t="shared" si="45"/>
        <v>0</v>
      </c>
      <c r="AK927" s="154" t="s">
        <v>60</v>
      </c>
    </row>
    <row r="928" spans="1:37" ht="30" customHeight="1">
      <c r="A928" s="64"/>
      <c r="B928" s="64"/>
      <c r="C928" s="64"/>
      <c r="D928" s="64"/>
      <c r="E928" s="64"/>
      <c r="F928" s="64"/>
      <c r="G928" s="64"/>
      <c r="H928" s="64"/>
      <c r="I928" s="64"/>
      <c r="J928" s="64"/>
      <c r="K928" s="64"/>
      <c r="L928" s="64"/>
      <c r="M928" s="64"/>
      <c r="N928" s="194"/>
      <c r="O928" s="157"/>
      <c r="P928" s="92"/>
      <c r="Q928" s="145"/>
      <c r="R928" s="92"/>
      <c r="S928" s="145"/>
      <c r="T928" s="92"/>
      <c r="U928" s="145"/>
      <c r="V928" s="92"/>
      <c r="W928" s="145"/>
      <c r="X928" s="92"/>
      <c r="Y928" s="145"/>
      <c r="Z928" s="92"/>
      <c r="AA928" s="145"/>
      <c r="AB928" s="92"/>
      <c r="AC928" s="145"/>
      <c r="AD928" s="92"/>
      <c r="AE928" s="145"/>
      <c r="AF928" s="142" t="str">
        <f t="shared" si="44"/>
        <v/>
      </c>
      <c r="AG928" s="190" t="b">
        <f t="shared" si="43"/>
        <v>0</v>
      </c>
      <c r="AH928" s="145"/>
      <c r="AI928" s="153" t="s">
        <v>6</v>
      </c>
      <c r="AJ928" s="150">
        <f t="shared" si="45"/>
        <v>0</v>
      </c>
      <c r="AK928" s="154" t="s">
        <v>60</v>
      </c>
    </row>
    <row r="929" spans="1:37" ht="30" customHeight="1">
      <c r="A929" s="64"/>
      <c r="B929" s="64"/>
      <c r="C929" s="64"/>
      <c r="D929" s="64"/>
      <c r="E929" s="64"/>
      <c r="F929" s="64"/>
      <c r="G929" s="64"/>
      <c r="H929" s="64"/>
      <c r="I929" s="64"/>
      <c r="J929" s="64"/>
      <c r="K929" s="64"/>
      <c r="L929" s="64"/>
      <c r="M929" s="64"/>
      <c r="N929" s="194"/>
      <c r="O929" s="157"/>
      <c r="P929" s="92"/>
      <c r="Q929" s="145"/>
      <c r="R929" s="92"/>
      <c r="S929" s="145"/>
      <c r="T929" s="92"/>
      <c r="U929" s="145"/>
      <c r="V929" s="92"/>
      <c r="W929" s="145"/>
      <c r="X929" s="92"/>
      <c r="Y929" s="145"/>
      <c r="Z929" s="92"/>
      <c r="AA929" s="145"/>
      <c r="AB929" s="92"/>
      <c r="AC929" s="145"/>
      <c r="AD929" s="92"/>
      <c r="AE929" s="145"/>
      <c r="AF929" s="142" t="str">
        <f t="shared" si="44"/>
        <v/>
      </c>
      <c r="AG929" s="190" t="b">
        <f t="shared" si="43"/>
        <v>0</v>
      </c>
      <c r="AH929" s="145"/>
      <c r="AI929" s="153" t="s">
        <v>6</v>
      </c>
      <c r="AJ929" s="150">
        <f t="shared" si="45"/>
        <v>0</v>
      </c>
      <c r="AK929" s="154" t="s">
        <v>60</v>
      </c>
    </row>
    <row r="930" spans="1:37" ht="30" customHeight="1">
      <c r="A930" s="64"/>
      <c r="B930" s="64"/>
      <c r="C930" s="64"/>
      <c r="D930" s="64"/>
      <c r="E930" s="64"/>
      <c r="F930" s="64"/>
      <c r="G930" s="64"/>
      <c r="H930" s="64"/>
      <c r="I930" s="64"/>
      <c r="J930" s="64"/>
      <c r="K930" s="64"/>
      <c r="L930" s="64"/>
      <c r="M930" s="64"/>
      <c r="N930" s="194"/>
      <c r="O930" s="157"/>
      <c r="P930" s="92"/>
      <c r="Q930" s="145"/>
      <c r="R930" s="92"/>
      <c r="S930" s="145"/>
      <c r="T930" s="92"/>
      <c r="U930" s="145"/>
      <c r="V930" s="92"/>
      <c r="W930" s="145"/>
      <c r="X930" s="92"/>
      <c r="Y930" s="145"/>
      <c r="Z930" s="92"/>
      <c r="AA930" s="145"/>
      <c r="AB930" s="92"/>
      <c r="AC930" s="145"/>
      <c r="AD930" s="92"/>
      <c r="AE930" s="145"/>
      <c r="AF930" s="142" t="str">
        <f t="shared" si="44"/>
        <v/>
      </c>
      <c r="AG930" s="190" t="b">
        <f t="shared" si="43"/>
        <v>0</v>
      </c>
      <c r="AH930" s="145"/>
      <c r="AI930" s="153" t="s">
        <v>6</v>
      </c>
      <c r="AJ930" s="150">
        <f t="shared" si="45"/>
        <v>0</v>
      </c>
      <c r="AK930" s="154" t="s">
        <v>60</v>
      </c>
    </row>
    <row r="931" spans="1:37" ht="30" customHeight="1">
      <c r="A931" s="64"/>
      <c r="B931" s="64"/>
      <c r="C931" s="64"/>
      <c r="D931" s="64"/>
      <c r="E931" s="64"/>
      <c r="F931" s="64"/>
      <c r="G931" s="64"/>
      <c r="H931" s="64"/>
      <c r="I931" s="64"/>
      <c r="J931" s="64"/>
      <c r="K931" s="64"/>
      <c r="L931" s="64"/>
      <c r="M931" s="64"/>
      <c r="N931" s="194"/>
      <c r="O931" s="157"/>
      <c r="P931" s="92"/>
      <c r="Q931" s="145"/>
      <c r="R931" s="92"/>
      <c r="S931" s="145"/>
      <c r="T931" s="92"/>
      <c r="U931" s="145"/>
      <c r="V931" s="92"/>
      <c r="W931" s="145"/>
      <c r="X931" s="92"/>
      <c r="Y931" s="145"/>
      <c r="Z931" s="92"/>
      <c r="AA931" s="145"/>
      <c r="AB931" s="92"/>
      <c r="AC931" s="145"/>
      <c r="AD931" s="92"/>
      <c r="AE931" s="145"/>
      <c r="AF931" s="142" t="str">
        <f t="shared" si="44"/>
        <v/>
      </c>
      <c r="AG931" s="190" t="b">
        <f t="shared" si="43"/>
        <v>0</v>
      </c>
      <c r="AH931" s="145"/>
      <c r="AI931" s="153" t="s">
        <v>6</v>
      </c>
      <c r="AJ931" s="150">
        <f t="shared" si="45"/>
        <v>0</v>
      </c>
      <c r="AK931" s="154" t="s">
        <v>60</v>
      </c>
    </row>
    <row r="932" spans="1:37" ht="30" customHeight="1">
      <c r="A932" s="64"/>
      <c r="B932" s="64"/>
      <c r="C932" s="64"/>
      <c r="D932" s="64"/>
      <c r="E932" s="64"/>
      <c r="F932" s="64"/>
      <c r="G932" s="64"/>
      <c r="H932" s="64"/>
      <c r="I932" s="64"/>
      <c r="J932" s="64"/>
      <c r="K932" s="64"/>
      <c r="L932" s="64"/>
      <c r="M932" s="64"/>
      <c r="N932" s="194"/>
      <c r="O932" s="157"/>
      <c r="P932" s="92"/>
      <c r="Q932" s="145"/>
      <c r="R932" s="92"/>
      <c r="S932" s="145"/>
      <c r="T932" s="92"/>
      <c r="U932" s="145"/>
      <c r="V932" s="92"/>
      <c r="W932" s="145"/>
      <c r="X932" s="92"/>
      <c r="Y932" s="145"/>
      <c r="Z932" s="92"/>
      <c r="AA932" s="145"/>
      <c r="AB932" s="92"/>
      <c r="AC932" s="145"/>
      <c r="AD932" s="92"/>
      <c r="AE932" s="145"/>
      <c r="AF932" s="142" t="str">
        <f t="shared" si="44"/>
        <v/>
      </c>
      <c r="AG932" s="190" t="b">
        <f t="shared" si="43"/>
        <v>0</v>
      </c>
      <c r="AH932" s="145"/>
      <c r="AI932" s="153" t="s">
        <v>6</v>
      </c>
      <c r="AJ932" s="153">
        <f t="shared" si="45"/>
        <v>0</v>
      </c>
      <c r="AK932" s="154" t="s">
        <v>60</v>
      </c>
    </row>
    <row r="933" spans="1:37" ht="30" customHeight="1">
      <c r="A933" s="64"/>
      <c r="B933" s="64"/>
      <c r="C933" s="64"/>
      <c r="D933" s="64"/>
      <c r="E933" s="64"/>
      <c r="F933" s="64"/>
      <c r="G933" s="64"/>
      <c r="H933" s="64"/>
      <c r="I933" s="64"/>
      <c r="J933" s="64"/>
      <c r="K933" s="64"/>
      <c r="L933" s="64"/>
      <c r="M933" s="64"/>
      <c r="N933" s="194"/>
      <c r="O933" s="157"/>
      <c r="P933" s="92"/>
      <c r="Q933" s="145"/>
      <c r="R933" s="92"/>
      <c r="S933" s="145"/>
      <c r="T933" s="92"/>
      <c r="U933" s="145"/>
      <c r="V933" s="92"/>
      <c r="W933" s="145"/>
      <c r="X933" s="92"/>
      <c r="Y933" s="145"/>
      <c r="Z933" s="92"/>
      <c r="AA933" s="145"/>
      <c r="AB933" s="92"/>
      <c r="AC933" s="145"/>
      <c r="AD933" s="92"/>
      <c r="AE933" s="145"/>
      <c r="AF933" s="142" t="str">
        <f t="shared" si="44"/>
        <v/>
      </c>
      <c r="AG933" s="190" t="b">
        <f t="shared" si="43"/>
        <v>0</v>
      </c>
      <c r="AH933" s="145"/>
      <c r="AI933" s="153" t="s">
        <v>6</v>
      </c>
      <c r="AJ933" s="153">
        <f t="shared" ref="AJ933:AJ973" si="46">E933</f>
        <v>0</v>
      </c>
      <c r="AK933" s="154" t="s">
        <v>60</v>
      </c>
    </row>
    <row r="934" spans="1:37" ht="30" customHeight="1">
      <c r="A934" s="64"/>
      <c r="B934" s="64"/>
      <c r="C934" s="64"/>
      <c r="D934" s="64"/>
      <c r="E934" s="64"/>
      <c r="F934" s="64"/>
      <c r="G934" s="64"/>
      <c r="H934" s="64"/>
      <c r="I934" s="64"/>
      <c r="J934" s="64"/>
      <c r="K934" s="64"/>
      <c r="L934" s="64"/>
      <c r="M934" s="64"/>
      <c r="N934" s="194"/>
      <c r="O934" s="157"/>
      <c r="P934" s="92"/>
      <c r="Q934" s="145"/>
      <c r="R934" s="92"/>
      <c r="S934" s="145"/>
      <c r="T934" s="92"/>
      <c r="U934" s="145"/>
      <c r="V934" s="92"/>
      <c r="W934" s="145"/>
      <c r="X934" s="92"/>
      <c r="Y934" s="145"/>
      <c r="Z934" s="92"/>
      <c r="AA934" s="145"/>
      <c r="AB934" s="92"/>
      <c r="AC934" s="145"/>
      <c r="AD934" s="92"/>
      <c r="AE934" s="145"/>
      <c r="AF934" s="142" t="str">
        <f t="shared" si="44"/>
        <v/>
      </c>
      <c r="AG934" s="190" t="b">
        <f t="shared" si="43"/>
        <v>0</v>
      </c>
      <c r="AH934" s="145"/>
      <c r="AI934" s="153" t="s">
        <v>6</v>
      </c>
      <c r="AJ934" s="153">
        <f t="shared" si="46"/>
        <v>0</v>
      </c>
      <c r="AK934" s="154" t="s">
        <v>60</v>
      </c>
    </row>
    <row r="935" spans="1:37" ht="30" customHeight="1">
      <c r="A935" s="64"/>
      <c r="B935" s="64"/>
      <c r="C935" s="64"/>
      <c r="D935" s="64"/>
      <c r="E935" s="64"/>
      <c r="F935" s="64"/>
      <c r="G935" s="64"/>
      <c r="H935" s="64"/>
      <c r="I935" s="64"/>
      <c r="J935" s="64"/>
      <c r="K935" s="64"/>
      <c r="L935" s="64"/>
      <c r="M935" s="64"/>
      <c r="N935" s="194"/>
      <c r="O935" s="157"/>
      <c r="P935" s="92"/>
      <c r="Q935" s="145"/>
      <c r="R935" s="92"/>
      <c r="S935" s="145"/>
      <c r="T935" s="92"/>
      <c r="U935" s="145"/>
      <c r="V935" s="92"/>
      <c r="W935" s="145"/>
      <c r="X935" s="92"/>
      <c r="Y935" s="145"/>
      <c r="Z935" s="92"/>
      <c r="AA935" s="145"/>
      <c r="AB935" s="92"/>
      <c r="AC935" s="145"/>
      <c r="AD935" s="92"/>
      <c r="AE935" s="145"/>
      <c r="AF935" s="142" t="str">
        <f t="shared" si="44"/>
        <v/>
      </c>
      <c r="AG935" s="190" t="b">
        <f t="shared" ref="AG935:AG973" si="47">IF(AND(AE935="C",AF935="C"),"UTILIZOU O PDA CORRETAMENTE",IF(AND(AE935="C",AF935="NC"),"UTILIZOU O PDA CORRETAMENTE. NÃO HÁ FOTOS DE TODAS AS ETAPAS",IF(AND(AE935="NC",AF935="NC"),"NÃO UTILIZOU O PDA",IF(AND(AE935="NA",AF935="NA"),"NÃO AVALIADO POR FALHA DE SINCRONISMO"))))</f>
        <v>0</v>
      </c>
      <c r="AH935" s="145"/>
      <c r="AI935" s="153" t="s">
        <v>6</v>
      </c>
      <c r="AJ935" s="153">
        <f t="shared" si="46"/>
        <v>0</v>
      </c>
      <c r="AK935" s="154" t="s">
        <v>60</v>
      </c>
    </row>
    <row r="936" spans="1:37" ht="30" customHeight="1">
      <c r="A936" s="64"/>
      <c r="B936" s="64"/>
      <c r="C936" s="64"/>
      <c r="D936" s="64"/>
      <c r="E936" s="64"/>
      <c r="F936" s="64"/>
      <c r="G936" s="64"/>
      <c r="H936" s="64"/>
      <c r="I936" s="64"/>
      <c r="J936" s="64"/>
      <c r="K936" s="64"/>
      <c r="L936" s="64"/>
      <c r="M936" s="64"/>
      <c r="N936" s="194"/>
      <c r="O936" s="157"/>
      <c r="P936" s="92"/>
      <c r="Q936" s="145"/>
      <c r="R936" s="92"/>
      <c r="S936" s="145"/>
      <c r="T936" s="92"/>
      <c r="U936" s="145"/>
      <c r="V936" s="92"/>
      <c r="W936" s="145"/>
      <c r="X936" s="92"/>
      <c r="Y936" s="145"/>
      <c r="Z936" s="92"/>
      <c r="AA936" s="145"/>
      <c r="AB936" s="92"/>
      <c r="AC936" s="145"/>
      <c r="AD936" s="92"/>
      <c r="AE936" s="145"/>
      <c r="AF936" s="142" t="str">
        <f t="shared" ref="AF936:AF973" si="48">IF(AND(O936="",Q936="",S936="",U936="",W936="",Y936="",AA936="",AC936=""),"",IF(OR(AND(O936&lt;&gt;"NA",O936&lt;&gt;"C",O936&lt;&gt;"NC",O936&lt;&gt;"SF",O936&lt;&gt;""),AND(Q936&lt;&gt;"NA",Q936&lt;&gt;"C",Q936&lt;&gt;"NC",Q936&lt;&gt;"SF",Q936&lt;&gt;""),AND(S936&lt;&gt;"NA",S936&lt;&gt;"C",S936&lt;&gt;"NC",S936&lt;&gt;"SF",S936&lt;&gt;""),AND(U936&lt;&gt;"NA",U936&lt;&gt;"C",U936&lt;&gt;"NC",U936&lt;&gt;"SF",U936&lt;&gt;""),AND(W936&lt;&gt;"NA",W936&lt;&gt;"C",W936&lt;&gt;"NC",W936&lt;&gt;"SF",W936&lt;&gt;""),AND(Y936&lt;&gt;"NA",Y936&lt;&gt;"C",Y936&lt;&gt;"NC",Y936&lt;&gt;"SF",Y936&lt;&gt;""),AND(AA936&lt;&gt;"NA",AA936&lt;&gt;"C",AA936&lt;&gt;"NC",AA936&lt;&gt;"SF",AA936&lt;&gt;""),AND(AC936&lt;&gt;"NA",AC936&lt;&gt;"C",AC936&lt;&gt;"NC",AC936&lt;&gt;"SF",AC936&lt;&gt;"")),"FALSO",IF(AND(O936="NA",Q936="NA",S936="NA",U936="NA",W936="NA",Y936="NA",AA936="NA",AC936="NA"),"NA",IF(OR(O936="NC",Q936="NC",S936="NC",U936="NC",W936="NC",Y936="NC",AA936="NC",AC936="NC",O936="SF",Q936="SF",S936="SF",U936="SF",W936="SF",Y936="SF",AA936="SF",AC936="SF"),"NC",IF(OR(O936="C",Q936="C",S936="C",U936="C",W936="C",Y936="C",AA936="C",AC936="C"),"C","")))))</f>
        <v/>
      </c>
      <c r="AG936" s="190" t="b">
        <f t="shared" si="47"/>
        <v>0</v>
      </c>
      <c r="AH936" s="145"/>
      <c r="AI936" s="153" t="s">
        <v>6</v>
      </c>
      <c r="AJ936" s="153">
        <f t="shared" si="46"/>
        <v>0</v>
      </c>
      <c r="AK936" s="154" t="s">
        <v>60</v>
      </c>
    </row>
    <row r="937" spans="1:37" ht="30" customHeight="1">
      <c r="A937" s="64"/>
      <c r="B937" s="64"/>
      <c r="C937" s="64"/>
      <c r="D937" s="64"/>
      <c r="E937" s="64"/>
      <c r="F937" s="64"/>
      <c r="G937" s="64"/>
      <c r="H937" s="64"/>
      <c r="I937" s="64"/>
      <c r="J937" s="64"/>
      <c r="K937" s="64"/>
      <c r="L937" s="64"/>
      <c r="M937" s="64"/>
      <c r="N937" s="194"/>
      <c r="O937" s="157"/>
      <c r="P937" s="92"/>
      <c r="Q937" s="145"/>
      <c r="R937" s="92"/>
      <c r="S937" s="145"/>
      <c r="T937" s="92"/>
      <c r="U937" s="145"/>
      <c r="V937" s="92"/>
      <c r="W937" s="145"/>
      <c r="X937" s="92"/>
      <c r="Y937" s="145"/>
      <c r="Z937" s="92"/>
      <c r="AA937" s="145"/>
      <c r="AB937" s="92"/>
      <c r="AC937" s="145"/>
      <c r="AD937" s="92"/>
      <c r="AE937" s="145"/>
      <c r="AF937" s="142" t="str">
        <f t="shared" si="48"/>
        <v/>
      </c>
      <c r="AG937" s="190" t="b">
        <f t="shared" si="47"/>
        <v>0</v>
      </c>
      <c r="AH937" s="145"/>
      <c r="AI937" s="153" t="s">
        <v>6</v>
      </c>
      <c r="AJ937" s="153">
        <f t="shared" si="46"/>
        <v>0</v>
      </c>
      <c r="AK937" s="154" t="s">
        <v>60</v>
      </c>
    </row>
    <row r="938" spans="1:37" ht="30" customHeight="1">
      <c r="A938" s="64"/>
      <c r="B938" s="64"/>
      <c r="C938" s="64"/>
      <c r="D938" s="64"/>
      <c r="E938" s="64"/>
      <c r="F938" s="64"/>
      <c r="G938" s="64"/>
      <c r="H938" s="64"/>
      <c r="I938" s="64"/>
      <c r="J938" s="64"/>
      <c r="K938" s="64"/>
      <c r="L938" s="64"/>
      <c r="M938" s="64"/>
      <c r="N938" s="194"/>
      <c r="O938" s="157"/>
      <c r="P938" s="92"/>
      <c r="Q938" s="145"/>
      <c r="R938" s="92"/>
      <c r="S938" s="145"/>
      <c r="T938" s="92"/>
      <c r="U938" s="145"/>
      <c r="V938" s="92"/>
      <c r="W938" s="145"/>
      <c r="X938" s="92"/>
      <c r="Y938" s="145"/>
      <c r="Z938" s="92"/>
      <c r="AA938" s="145"/>
      <c r="AB938" s="92"/>
      <c r="AC938" s="145"/>
      <c r="AD938" s="92"/>
      <c r="AE938" s="145"/>
      <c r="AF938" s="142" t="str">
        <f t="shared" si="48"/>
        <v/>
      </c>
      <c r="AG938" s="190" t="b">
        <f t="shared" si="47"/>
        <v>0</v>
      </c>
      <c r="AH938" s="145"/>
      <c r="AI938" s="153" t="s">
        <v>6</v>
      </c>
      <c r="AJ938" s="153">
        <f t="shared" si="46"/>
        <v>0</v>
      </c>
      <c r="AK938" s="154" t="s">
        <v>60</v>
      </c>
    </row>
    <row r="939" spans="1:37" ht="30" customHeight="1">
      <c r="A939" s="64"/>
      <c r="B939" s="64"/>
      <c r="C939" s="64"/>
      <c r="D939" s="64"/>
      <c r="E939" s="64"/>
      <c r="F939" s="64"/>
      <c r="G939" s="64"/>
      <c r="H939" s="64"/>
      <c r="I939" s="64"/>
      <c r="J939" s="64"/>
      <c r="K939" s="64"/>
      <c r="L939" s="64"/>
      <c r="M939" s="64"/>
      <c r="N939" s="194"/>
      <c r="O939" s="157"/>
      <c r="P939" s="92"/>
      <c r="Q939" s="145"/>
      <c r="R939" s="92"/>
      <c r="S939" s="145"/>
      <c r="T939" s="92"/>
      <c r="U939" s="145"/>
      <c r="V939" s="92"/>
      <c r="W939" s="145"/>
      <c r="X939" s="92"/>
      <c r="Y939" s="145"/>
      <c r="Z939" s="92"/>
      <c r="AA939" s="145"/>
      <c r="AB939" s="92"/>
      <c r="AC939" s="145"/>
      <c r="AD939" s="92"/>
      <c r="AE939" s="145"/>
      <c r="AF939" s="142" t="str">
        <f t="shared" si="48"/>
        <v/>
      </c>
      <c r="AG939" s="190" t="b">
        <f t="shared" si="47"/>
        <v>0</v>
      </c>
      <c r="AH939" s="145"/>
      <c r="AI939" s="153" t="s">
        <v>6</v>
      </c>
      <c r="AJ939" s="153">
        <f t="shared" si="46"/>
        <v>0</v>
      </c>
      <c r="AK939" s="154" t="s">
        <v>60</v>
      </c>
    </row>
    <row r="940" spans="1:37" ht="30" customHeight="1">
      <c r="A940" s="64"/>
      <c r="B940" s="64"/>
      <c r="C940" s="64"/>
      <c r="D940" s="64"/>
      <c r="E940" s="64"/>
      <c r="F940" s="64"/>
      <c r="G940" s="64"/>
      <c r="H940" s="64"/>
      <c r="I940" s="64"/>
      <c r="J940" s="64"/>
      <c r="K940" s="64"/>
      <c r="L940" s="64"/>
      <c r="M940" s="64"/>
      <c r="N940" s="194"/>
      <c r="O940" s="157"/>
      <c r="P940" s="92"/>
      <c r="Q940" s="145"/>
      <c r="R940" s="92"/>
      <c r="S940" s="145"/>
      <c r="T940" s="92"/>
      <c r="U940" s="145"/>
      <c r="V940" s="92"/>
      <c r="W940" s="145"/>
      <c r="X940" s="92"/>
      <c r="Y940" s="145"/>
      <c r="Z940" s="92"/>
      <c r="AA940" s="145"/>
      <c r="AB940" s="92"/>
      <c r="AC940" s="145"/>
      <c r="AD940" s="92"/>
      <c r="AE940" s="145"/>
      <c r="AF940" s="142" t="str">
        <f t="shared" si="48"/>
        <v/>
      </c>
      <c r="AG940" s="190" t="b">
        <f t="shared" si="47"/>
        <v>0</v>
      </c>
      <c r="AH940" s="145"/>
      <c r="AI940" s="153" t="s">
        <v>6</v>
      </c>
      <c r="AJ940" s="153">
        <f t="shared" si="46"/>
        <v>0</v>
      </c>
      <c r="AK940" s="154" t="s">
        <v>60</v>
      </c>
    </row>
    <row r="941" spans="1:37" ht="30" customHeight="1">
      <c r="A941" s="64"/>
      <c r="B941" s="64"/>
      <c r="C941" s="64"/>
      <c r="D941" s="64"/>
      <c r="E941" s="64"/>
      <c r="F941" s="64"/>
      <c r="G941" s="64"/>
      <c r="H941" s="64"/>
      <c r="I941" s="64"/>
      <c r="J941" s="64"/>
      <c r="K941" s="64"/>
      <c r="L941" s="64"/>
      <c r="M941" s="64"/>
      <c r="N941" s="194"/>
      <c r="O941" s="157"/>
      <c r="P941" s="92"/>
      <c r="Q941" s="145"/>
      <c r="R941" s="92"/>
      <c r="S941" s="145"/>
      <c r="T941" s="92"/>
      <c r="U941" s="145"/>
      <c r="V941" s="92"/>
      <c r="W941" s="145"/>
      <c r="X941" s="92"/>
      <c r="Y941" s="145"/>
      <c r="Z941" s="92"/>
      <c r="AA941" s="145"/>
      <c r="AB941" s="92"/>
      <c r="AC941" s="145"/>
      <c r="AD941" s="92"/>
      <c r="AE941" s="145"/>
      <c r="AF941" s="142" t="str">
        <f t="shared" si="48"/>
        <v/>
      </c>
      <c r="AG941" s="190" t="b">
        <f t="shared" si="47"/>
        <v>0</v>
      </c>
      <c r="AH941" s="145"/>
      <c r="AI941" s="153" t="s">
        <v>6</v>
      </c>
      <c r="AJ941" s="153">
        <f t="shared" si="46"/>
        <v>0</v>
      </c>
      <c r="AK941" s="154" t="s">
        <v>60</v>
      </c>
    </row>
    <row r="942" spans="1:37" ht="30" customHeight="1">
      <c r="A942" s="64"/>
      <c r="B942" s="64"/>
      <c r="C942" s="64"/>
      <c r="D942" s="64"/>
      <c r="E942" s="64"/>
      <c r="F942" s="64"/>
      <c r="G942" s="64"/>
      <c r="H942" s="64"/>
      <c r="I942" s="64"/>
      <c r="J942" s="64"/>
      <c r="K942" s="64"/>
      <c r="L942" s="64"/>
      <c r="M942" s="64"/>
      <c r="N942" s="194"/>
      <c r="O942" s="157"/>
      <c r="P942" s="92"/>
      <c r="Q942" s="145"/>
      <c r="R942" s="92"/>
      <c r="S942" s="145"/>
      <c r="T942" s="92"/>
      <c r="U942" s="145"/>
      <c r="V942" s="92"/>
      <c r="W942" s="145"/>
      <c r="X942" s="92"/>
      <c r="Y942" s="145"/>
      <c r="Z942" s="92"/>
      <c r="AA942" s="145"/>
      <c r="AB942" s="92"/>
      <c r="AC942" s="145"/>
      <c r="AD942" s="92"/>
      <c r="AE942" s="145"/>
      <c r="AF942" s="142" t="str">
        <f t="shared" si="48"/>
        <v/>
      </c>
      <c r="AG942" s="190" t="b">
        <f t="shared" si="47"/>
        <v>0</v>
      </c>
      <c r="AH942" s="145"/>
      <c r="AI942" s="153" t="s">
        <v>6</v>
      </c>
      <c r="AJ942" s="153">
        <f t="shared" si="46"/>
        <v>0</v>
      </c>
      <c r="AK942" s="154" t="s">
        <v>60</v>
      </c>
    </row>
    <row r="943" spans="1:37" ht="30" customHeight="1">
      <c r="A943" s="64"/>
      <c r="B943" s="64"/>
      <c r="C943" s="64"/>
      <c r="D943" s="64"/>
      <c r="E943" s="64"/>
      <c r="F943" s="64"/>
      <c r="G943" s="64"/>
      <c r="H943" s="64"/>
      <c r="I943" s="64"/>
      <c r="J943" s="64"/>
      <c r="K943" s="64"/>
      <c r="L943" s="64"/>
      <c r="M943" s="64"/>
      <c r="N943" s="194"/>
      <c r="O943" s="157"/>
      <c r="P943" s="92"/>
      <c r="Q943" s="145"/>
      <c r="R943" s="92"/>
      <c r="S943" s="145"/>
      <c r="T943" s="92"/>
      <c r="U943" s="145"/>
      <c r="V943" s="92"/>
      <c r="W943" s="145"/>
      <c r="X943" s="92"/>
      <c r="Y943" s="145"/>
      <c r="Z943" s="92"/>
      <c r="AA943" s="145"/>
      <c r="AB943" s="92"/>
      <c r="AC943" s="145"/>
      <c r="AD943" s="92"/>
      <c r="AE943" s="145"/>
      <c r="AF943" s="142" t="str">
        <f t="shared" si="48"/>
        <v/>
      </c>
      <c r="AG943" s="190" t="b">
        <f t="shared" si="47"/>
        <v>0</v>
      </c>
      <c r="AH943" s="145"/>
      <c r="AI943" s="153" t="s">
        <v>6</v>
      </c>
      <c r="AJ943" s="153">
        <f t="shared" si="46"/>
        <v>0</v>
      </c>
      <c r="AK943" s="154" t="s">
        <v>60</v>
      </c>
    </row>
    <row r="944" spans="1:37" ht="30" customHeight="1">
      <c r="A944" s="64"/>
      <c r="B944" s="64"/>
      <c r="C944" s="64"/>
      <c r="D944" s="64"/>
      <c r="E944" s="64"/>
      <c r="F944" s="64"/>
      <c r="G944" s="64"/>
      <c r="H944" s="64"/>
      <c r="I944" s="64"/>
      <c r="J944" s="64"/>
      <c r="K944" s="64"/>
      <c r="L944" s="64"/>
      <c r="M944" s="64"/>
      <c r="N944" s="194"/>
      <c r="O944" s="157"/>
      <c r="P944" s="92"/>
      <c r="Q944" s="145"/>
      <c r="R944" s="92"/>
      <c r="S944" s="145"/>
      <c r="T944" s="92"/>
      <c r="U944" s="145"/>
      <c r="V944" s="92"/>
      <c r="W944" s="145"/>
      <c r="X944" s="92"/>
      <c r="Y944" s="145"/>
      <c r="Z944" s="92"/>
      <c r="AA944" s="145"/>
      <c r="AB944" s="92"/>
      <c r="AC944" s="145"/>
      <c r="AD944" s="92"/>
      <c r="AE944" s="145"/>
      <c r="AF944" s="142" t="str">
        <f t="shared" si="48"/>
        <v/>
      </c>
      <c r="AG944" s="190" t="b">
        <f t="shared" si="47"/>
        <v>0</v>
      </c>
      <c r="AH944" s="145"/>
      <c r="AI944" s="153" t="s">
        <v>6</v>
      </c>
      <c r="AJ944" s="153">
        <f t="shared" si="46"/>
        <v>0</v>
      </c>
      <c r="AK944" s="154" t="s">
        <v>60</v>
      </c>
    </row>
    <row r="945" spans="1:37" ht="30" customHeight="1">
      <c r="A945" s="64"/>
      <c r="B945" s="64"/>
      <c r="C945" s="64"/>
      <c r="D945" s="64"/>
      <c r="E945" s="64"/>
      <c r="F945" s="64"/>
      <c r="G945" s="64"/>
      <c r="H945" s="64"/>
      <c r="I945" s="64"/>
      <c r="J945" s="64"/>
      <c r="K945" s="64"/>
      <c r="L945" s="64"/>
      <c r="M945" s="64"/>
      <c r="N945" s="194"/>
      <c r="O945" s="157"/>
      <c r="P945" s="92"/>
      <c r="Q945" s="145"/>
      <c r="R945" s="92"/>
      <c r="S945" s="145"/>
      <c r="T945" s="92"/>
      <c r="U945" s="145"/>
      <c r="V945" s="92"/>
      <c r="W945" s="145"/>
      <c r="X945" s="92"/>
      <c r="Y945" s="145"/>
      <c r="Z945" s="92"/>
      <c r="AA945" s="145"/>
      <c r="AB945" s="92"/>
      <c r="AC945" s="145"/>
      <c r="AD945" s="92"/>
      <c r="AE945" s="145"/>
      <c r="AF945" s="142" t="str">
        <f t="shared" si="48"/>
        <v/>
      </c>
      <c r="AG945" s="190" t="b">
        <f t="shared" si="47"/>
        <v>0</v>
      </c>
      <c r="AH945" s="145"/>
      <c r="AI945" s="153" t="s">
        <v>6</v>
      </c>
      <c r="AJ945" s="153">
        <f t="shared" si="46"/>
        <v>0</v>
      </c>
      <c r="AK945" s="154" t="s">
        <v>60</v>
      </c>
    </row>
    <row r="946" spans="1:37" ht="30" customHeight="1">
      <c r="A946" s="64"/>
      <c r="B946" s="64"/>
      <c r="C946" s="64"/>
      <c r="D946" s="64"/>
      <c r="E946" s="64"/>
      <c r="F946" s="64"/>
      <c r="G946" s="64"/>
      <c r="H946" s="64"/>
      <c r="I946" s="64"/>
      <c r="J946" s="64"/>
      <c r="K946" s="64"/>
      <c r="L946" s="64"/>
      <c r="M946" s="64"/>
      <c r="N946" s="194"/>
      <c r="O946" s="157"/>
      <c r="P946" s="92"/>
      <c r="Q946" s="145"/>
      <c r="R946" s="92"/>
      <c r="S946" s="145"/>
      <c r="T946" s="92"/>
      <c r="U946" s="145"/>
      <c r="V946" s="92"/>
      <c r="W946" s="145"/>
      <c r="X946" s="92"/>
      <c r="Y946" s="145"/>
      <c r="Z946" s="92"/>
      <c r="AA946" s="145"/>
      <c r="AB946" s="92"/>
      <c r="AC946" s="145"/>
      <c r="AD946" s="92"/>
      <c r="AE946" s="145"/>
      <c r="AF946" s="142" t="str">
        <f t="shared" si="48"/>
        <v/>
      </c>
      <c r="AG946" s="190" t="b">
        <f t="shared" si="47"/>
        <v>0</v>
      </c>
      <c r="AH946" s="145"/>
      <c r="AI946" s="153" t="s">
        <v>6</v>
      </c>
      <c r="AJ946" s="153">
        <f t="shared" si="46"/>
        <v>0</v>
      </c>
      <c r="AK946" s="154" t="s">
        <v>60</v>
      </c>
    </row>
    <row r="947" spans="1:37" ht="30" customHeight="1">
      <c r="A947" s="64"/>
      <c r="B947" s="64"/>
      <c r="C947" s="64"/>
      <c r="D947" s="64"/>
      <c r="E947" s="64"/>
      <c r="F947" s="64"/>
      <c r="G947" s="64"/>
      <c r="H947" s="64"/>
      <c r="I947" s="64"/>
      <c r="J947" s="64"/>
      <c r="K947" s="64"/>
      <c r="L947" s="64"/>
      <c r="M947" s="64"/>
      <c r="N947" s="194"/>
      <c r="O947" s="157"/>
      <c r="P947" s="92"/>
      <c r="Q947" s="145"/>
      <c r="R947" s="92"/>
      <c r="S947" s="145"/>
      <c r="T947" s="92"/>
      <c r="U947" s="145"/>
      <c r="V947" s="92"/>
      <c r="W947" s="145"/>
      <c r="X947" s="92"/>
      <c r="Y947" s="145"/>
      <c r="Z947" s="92"/>
      <c r="AA947" s="145"/>
      <c r="AB947" s="92"/>
      <c r="AC947" s="145"/>
      <c r="AD947" s="92"/>
      <c r="AE947" s="145"/>
      <c r="AF947" s="142" t="str">
        <f t="shared" si="48"/>
        <v/>
      </c>
      <c r="AG947" s="190" t="b">
        <f t="shared" si="47"/>
        <v>0</v>
      </c>
      <c r="AH947" s="145"/>
      <c r="AI947" s="153" t="s">
        <v>6</v>
      </c>
      <c r="AJ947" s="153">
        <f t="shared" si="46"/>
        <v>0</v>
      </c>
      <c r="AK947" s="154" t="s">
        <v>60</v>
      </c>
    </row>
    <row r="948" spans="1:37" ht="30" customHeight="1">
      <c r="A948" s="64"/>
      <c r="B948" s="64"/>
      <c r="C948" s="64"/>
      <c r="D948" s="64"/>
      <c r="E948" s="64"/>
      <c r="F948" s="64"/>
      <c r="G948" s="64"/>
      <c r="H948" s="64"/>
      <c r="I948" s="64"/>
      <c r="J948" s="64"/>
      <c r="K948" s="64"/>
      <c r="L948" s="64"/>
      <c r="M948" s="64"/>
      <c r="N948" s="194"/>
      <c r="O948" s="157"/>
      <c r="P948" s="92"/>
      <c r="Q948" s="145"/>
      <c r="R948" s="92"/>
      <c r="S948" s="145"/>
      <c r="T948" s="92"/>
      <c r="U948" s="145"/>
      <c r="V948" s="92"/>
      <c r="W948" s="145"/>
      <c r="X948" s="92"/>
      <c r="Y948" s="145"/>
      <c r="Z948" s="92"/>
      <c r="AA948" s="145"/>
      <c r="AB948" s="92"/>
      <c r="AC948" s="145"/>
      <c r="AD948" s="92"/>
      <c r="AE948" s="145"/>
      <c r="AF948" s="142" t="str">
        <f t="shared" si="48"/>
        <v/>
      </c>
      <c r="AG948" s="190" t="b">
        <f t="shared" si="47"/>
        <v>0</v>
      </c>
      <c r="AH948" s="145"/>
      <c r="AI948" s="153" t="s">
        <v>6</v>
      </c>
      <c r="AJ948" s="153">
        <f t="shared" si="46"/>
        <v>0</v>
      </c>
      <c r="AK948" s="154" t="s">
        <v>60</v>
      </c>
    </row>
    <row r="949" spans="1:37" ht="30" customHeight="1">
      <c r="A949" s="64"/>
      <c r="B949" s="64"/>
      <c r="C949" s="64"/>
      <c r="D949" s="64"/>
      <c r="E949" s="64"/>
      <c r="F949" s="64"/>
      <c r="G949" s="64"/>
      <c r="H949" s="64"/>
      <c r="I949" s="64"/>
      <c r="J949" s="64"/>
      <c r="K949" s="64"/>
      <c r="L949" s="64"/>
      <c r="M949" s="64"/>
      <c r="N949" s="194"/>
      <c r="O949" s="157"/>
      <c r="P949" s="92"/>
      <c r="Q949" s="145"/>
      <c r="R949" s="92"/>
      <c r="S949" s="145"/>
      <c r="T949" s="92"/>
      <c r="U949" s="145"/>
      <c r="V949" s="92"/>
      <c r="W949" s="145"/>
      <c r="X949" s="92"/>
      <c r="Y949" s="145"/>
      <c r="Z949" s="92"/>
      <c r="AA949" s="145"/>
      <c r="AB949" s="92"/>
      <c r="AC949" s="145"/>
      <c r="AD949" s="92"/>
      <c r="AE949" s="145"/>
      <c r="AF949" s="142" t="str">
        <f t="shared" si="48"/>
        <v/>
      </c>
      <c r="AG949" s="190" t="b">
        <f t="shared" si="47"/>
        <v>0</v>
      </c>
      <c r="AH949" s="145"/>
      <c r="AI949" s="153" t="s">
        <v>6</v>
      </c>
      <c r="AJ949" s="153">
        <f t="shared" si="46"/>
        <v>0</v>
      </c>
      <c r="AK949" s="154" t="s">
        <v>60</v>
      </c>
    </row>
    <row r="950" spans="1:37" ht="30" customHeight="1">
      <c r="A950" s="64"/>
      <c r="B950" s="64"/>
      <c r="C950" s="64"/>
      <c r="D950" s="64"/>
      <c r="E950" s="64"/>
      <c r="F950" s="64"/>
      <c r="G950" s="64"/>
      <c r="H950" s="64"/>
      <c r="I950" s="64"/>
      <c r="J950" s="64"/>
      <c r="K950" s="64"/>
      <c r="L950" s="64"/>
      <c r="M950" s="64"/>
      <c r="N950" s="194"/>
      <c r="O950" s="157"/>
      <c r="P950" s="92"/>
      <c r="Q950" s="145"/>
      <c r="R950" s="92"/>
      <c r="S950" s="145"/>
      <c r="T950" s="92"/>
      <c r="U950" s="145"/>
      <c r="V950" s="92"/>
      <c r="W950" s="145"/>
      <c r="X950" s="92"/>
      <c r="Y950" s="145"/>
      <c r="Z950" s="92"/>
      <c r="AA950" s="145"/>
      <c r="AB950" s="92"/>
      <c r="AC950" s="145"/>
      <c r="AD950" s="92"/>
      <c r="AE950" s="145"/>
      <c r="AF950" s="142" t="str">
        <f t="shared" si="48"/>
        <v/>
      </c>
      <c r="AG950" s="190" t="b">
        <f t="shared" si="47"/>
        <v>0</v>
      </c>
      <c r="AH950" s="145"/>
      <c r="AI950" s="153" t="s">
        <v>6</v>
      </c>
      <c r="AJ950" s="153">
        <f t="shared" si="46"/>
        <v>0</v>
      </c>
      <c r="AK950" s="154" t="s">
        <v>60</v>
      </c>
    </row>
    <row r="951" spans="1:37" ht="30" customHeight="1">
      <c r="A951" s="64"/>
      <c r="B951" s="64"/>
      <c r="C951" s="64"/>
      <c r="D951" s="64"/>
      <c r="E951" s="64"/>
      <c r="F951" s="64"/>
      <c r="G951" s="64"/>
      <c r="H951" s="64"/>
      <c r="I951" s="64"/>
      <c r="J951" s="64"/>
      <c r="K951" s="64"/>
      <c r="L951" s="64"/>
      <c r="M951" s="64"/>
      <c r="N951" s="194"/>
      <c r="O951" s="157"/>
      <c r="P951" s="92"/>
      <c r="Q951" s="145"/>
      <c r="R951" s="92"/>
      <c r="S951" s="145"/>
      <c r="T951" s="92"/>
      <c r="U951" s="145"/>
      <c r="V951" s="92"/>
      <c r="W951" s="145"/>
      <c r="X951" s="92"/>
      <c r="Y951" s="145"/>
      <c r="Z951" s="92"/>
      <c r="AA951" s="145"/>
      <c r="AB951" s="92"/>
      <c r="AC951" s="145"/>
      <c r="AD951" s="92"/>
      <c r="AE951" s="145"/>
      <c r="AF951" s="142" t="str">
        <f t="shared" si="48"/>
        <v/>
      </c>
      <c r="AG951" s="190" t="b">
        <f t="shared" si="47"/>
        <v>0</v>
      </c>
      <c r="AH951" s="145"/>
      <c r="AI951" s="153" t="s">
        <v>6</v>
      </c>
      <c r="AJ951" s="153">
        <f t="shared" si="46"/>
        <v>0</v>
      </c>
      <c r="AK951" s="154" t="s">
        <v>60</v>
      </c>
    </row>
    <row r="952" spans="1:37" ht="30" customHeight="1">
      <c r="A952" s="64"/>
      <c r="B952" s="64"/>
      <c r="C952" s="64"/>
      <c r="D952" s="64"/>
      <c r="E952" s="64"/>
      <c r="F952" s="64"/>
      <c r="G952" s="64"/>
      <c r="H952" s="64"/>
      <c r="I952" s="64"/>
      <c r="J952" s="64"/>
      <c r="K952" s="64"/>
      <c r="L952" s="64"/>
      <c r="M952" s="64"/>
      <c r="N952" s="194"/>
      <c r="O952" s="157"/>
      <c r="P952" s="92"/>
      <c r="Q952" s="145"/>
      <c r="R952" s="92"/>
      <c r="S952" s="145"/>
      <c r="T952" s="92"/>
      <c r="U952" s="145"/>
      <c r="V952" s="92"/>
      <c r="W952" s="145"/>
      <c r="X952" s="92"/>
      <c r="Y952" s="145"/>
      <c r="Z952" s="92"/>
      <c r="AA952" s="145"/>
      <c r="AB952" s="92"/>
      <c r="AC952" s="145"/>
      <c r="AD952" s="92"/>
      <c r="AE952" s="145"/>
      <c r="AF952" s="142" t="str">
        <f t="shared" si="48"/>
        <v/>
      </c>
      <c r="AG952" s="190" t="b">
        <f t="shared" si="47"/>
        <v>0</v>
      </c>
      <c r="AH952" s="145"/>
      <c r="AI952" s="153" t="s">
        <v>6</v>
      </c>
      <c r="AJ952" s="153">
        <f t="shared" si="46"/>
        <v>0</v>
      </c>
      <c r="AK952" s="154" t="s">
        <v>60</v>
      </c>
    </row>
    <row r="953" spans="1:37" ht="30" customHeight="1">
      <c r="A953" s="64"/>
      <c r="B953" s="64"/>
      <c r="C953" s="64"/>
      <c r="D953" s="64"/>
      <c r="E953" s="64"/>
      <c r="F953" s="64"/>
      <c r="G953" s="64"/>
      <c r="H953" s="64"/>
      <c r="I953" s="64"/>
      <c r="J953" s="64"/>
      <c r="K953" s="64"/>
      <c r="L953" s="64"/>
      <c r="M953" s="64"/>
      <c r="N953" s="194"/>
      <c r="O953" s="157"/>
      <c r="P953" s="92"/>
      <c r="Q953" s="145"/>
      <c r="R953" s="92"/>
      <c r="S953" s="145"/>
      <c r="T953" s="92"/>
      <c r="U953" s="145"/>
      <c r="V953" s="92"/>
      <c r="W953" s="145"/>
      <c r="X953" s="92"/>
      <c r="Y953" s="145"/>
      <c r="Z953" s="92"/>
      <c r="AA953" s="145"/>
      <c r="AB953" s="92"/>
      <c r="AC953" s="145"/>
      <c r="AD953" s="92"/>
      <c r="AE953" s="145"/>
      <c r="AF953" s="142" t="str">
        <f t="shared" si="48"/>
        <v/>
      </c>
      <c r="AG953" s="190" t="b">
        <f t="shared" si="47"/>
        <v>0</v>
      </c>
      <c r="AH953" s="145"/>
      <c r="AI953" s="153" t="s">
        <v>6</v>
      </c>
      <c r="AJ953" s="153">
        <f t="shared" si="46"/>
        <v>0</v>
      </c>
      <c r="AK953" s="154" t="s">
        <v>60</v>
      </c>
    </row>
    <row r="954" spans="1:37" ht="30" customHeight="1">
      <c r="A954" s="64"/>
      <c r="B954" s="64"/>
      <c r="C954" s="64"/>
      <c r="D954" s="64"/>
      <c r="E954" s="64"/>
      <c r="F954" s="64"/>
      <c r="G954" s="64"/>
      <c r="H954" s="64"/>
      <c r="I954" s="64"/>
      <c r="J954" s="64"/>
      <c r="K954" s="64"/>
      <c r="L954" s="64"/>
      <c r="M954" s="64"/>
      <c r="N954" s="194"/>
      <c r="O954" s="157"/>
      <c r="P954" s="92"/>
      <c r="Q954" s="145"/>
      <c r="R954" s="92"/>
      <c r="S954" s="145"/>
      <c r="T954" s="92"/>
      <c r="U954" s="145"/>
      <c r="V954" s="92"/>
      <c r="W954" s="145"/>
      <c r="X954" s="92"/>
      <c r="Y954" s="145"/>
      <c r="Z954" s="92"/>
      <c r="AA954" s="145"/>
      <c r="AB954" s="92"/>
      <c r="AC954" s="145"/>
      <c r="AD954" s="92"/>
      <c r="AE954" s="145"/>
      <c r="AF954" s="142" t="str">
        <f t="shared" si="48"/>
        <v/>
      </c>
      <c r="AG954" s="190" t="b">
        <f t="shared" si="47"/>
        <v>0</v>
      </c>
      <c r="AH954" s="145"/>
      <c r="AI954" s="153" t="s">
        <v>6</v>
      </c>
      <c r="AJ954" s="153">
        <f t="shared" si="46"/>
        <v>0</v>
      </c>
      <c r="AK954" s="154" t="s">
        <v>60</v>
      </c>
    </row>
    <row r="955" spans="1:37" ht="30" customHeight="1">
      <c r="A955" s="64"/>
      <c r="B955" s="64"/>
      <c r="C955" s="64"/>
      <c r="D955" s="64"/>
      <c r="E955" s="64"/>
      <c r="F955" s="64"/>
      <c r="G955" s="64"/>
      <c r="H955" s="64"/>
      <c r="I955" s="64"/>
      <c r="J955" s="64"/>
      <c r="K955" s="64"/>
      <c r="L955" s="64"/>
      <c r="M955" s="64"/>
      <c r="N955" s="194"/>
      <c r="O955" s="157"/>
      <c r="P955" s="92"/>
      <c r="Q955" s="145"/>
      <c r="R955" s="92"/>
      <c r="S955" s="145"/>
      <c r="T955" s="92"/>
      <c r="U955" s="145"/>
      <c r="V955" s="92"/>
      <c r="W955" s="145"/>
      <c r="X955" s="92"/>
      <c r="Y955" s="145"/>
      <c r="Z955" s="92"/>
      <c r="AA955" s="145"/>
      <c r="AB955" s="92"/>
      <c r="AC955" s="145"/>
      <c r="AD955" s="92"/>
      <c r="AE955" s="145"/>
      <c r="AF955" s="142" t="str">
        <f t="shared" si="48"/>
        <v/>
      </c>
      <c r="AG955" s="190" t="b">
        <f t="shared" si="47"/>
        <v>0</v>
      </c>
      <c r="AH955" s="145"/>
      <c r="AI955" s="153" t="s">
        <v>6</v>
      </c>
      <c r="AJ955" s="153">
        <f t="shared" si="46"/>
        <v>0</v>
      </c>
      <c r="AK955" s="154" t="s">
        <v>60</v>
      </c>
    </row>
    <row r="956" spans="1:37" ht="30" customHeight="1">
      <c r="A956" s="64"/>
      <c r="B956" s="64"/>
      <c r="C956" s="64"/>
      <c r="D956" s="64"/>
      <c r="E956" s="64"/>
      <c r="F956" s="64"/>
      <c r="G956" s="64"/>
      <c r="H956" s="64"/>
      <c r="I956" s="64"/>
      <c r="J956" s="64"/>
      <c r="K956" s="64"/>
      <c r="L956" s="64"/>
      <c r="M956" s="64"/>
      <c r="N956" s="194"/>
      <c r="O956" s="157"/>
      <c r="P956" s="92"/>
      <c r="Q956" s="145"/>
      <c r="R956" s="92"/>
      <c r="S956" s="145"/>
      <c r="T956" s="92"/>
      <c r="U956" s="145"/>
      <c r="V956" s="92"/>
      <c r="W956" s="145"/>
      <c r="X956" s="92"/>
      <c r="Y956" s="145"/>
      <c r="Z956" s="92"/>
      <c r="AA956" s="145"/>
      <c r="AB956" s="92"/>
      <c r="AC956" s="145"/>
      <c r="AD956" s="92"/>
      <c r="AE956" s="145"/>
      <c r="AF956" s="142" t="str">
        <f t="shared" si="48"/>
        <v/>
      </c>
      <c r="AG956" s="190" t="b">
        <f t="shared" si="47"/>
        <v>0</v>
      </c>
      <c r="AH956" s="145"/>
      <c r="AI956" s="153" t="s">
        <v>6</v>
      </c>
      <c r="AJ956" s="153">
        <f t="shared" si="46"/>
        <v>0</v>
      </c>
      <c r="AK956" s="154" t="s">
        <v>60</v>
      </c>
    </row>
    <row r="957" spans="1:37" ht="30" customHeight="1">
      <c r="A957" s="64"/>
      <c r="B957" s="64"/>
      <c r="C957" s="64"/>
      <c r="D957" s="64"/>
      <c r="E957" s="64"/>
      <c r="F957" s="64"/>
      <c r="G957" s="64"/>
      <c r="H957" s="64"/>
      <c r="I957" s="64"/>
      <c r="J957" s="64"/>
      <c r="K957" s="64"/>
      <c r="L957" s="64"/>
      <c r="M957" s="64"/>
      <c r="N957" s="194"/>
      <c r="O957" s="157"/>
      <c r="P957" s="92"/>
      <c r="Q957" s="145"/>
      <c r="R957" s="92"/>
      <c r="S957" s="145"/>
      <c r="T957" s="92"/>
      <c r="U957" s="145"/>
      <c r="V957" s="92"/>
      <c r="W957" s="145"/>
      <c r="X957" s="92"/>
      <c r="Y957" s="145"/>
      <c r="Z957" s="92"/>
      <c r="AA957" s="145"/>
      <c r="AB957" s="92"/>
      <c r="AC957" s="145"/>
      <c r="AD957" s="92"/>
      <c r="AE957" s="145"/>
      <c r="AF957" s="142" t="str">
        <f t="shared" si="48"/>
        <v/>
      </c>
      <c r="AG957" s="190" t="b">
        <f t="shared" si="47"/>
        <v>0</v>
      </c>
      <c r="AH957" s="145"/>
      <c r="AI957" s="153" t="s">
        <v>6</v>
      </c>
      <c r="AJ957" s="153">
        <f t="shared" si="46"/>
        <v>0</v>
      </c>
      <c r="AK957" s="154" t="s">
        <v>60</v>
      </c>
    </row>
    <row r="958" spans="1:37" ht="30" customHeight="1">
      <c r="A958" s="64"/>
      <c r="B958" s="64"/>
      <c r="C958" s="64"/>
      <c r="D958" s="64"/>
      <c r="E958" s="64"/>
      <c r="F958" s="64"/>
      <c r="G958" s="64"/>
      <c r="H958" s="64"/>
      <c r="I958" s="64"/>
      <c r="J958" s="64"/>
      <c r="K958" s="64"/>
      <c r="L958" s="64"/>
      <c r="M958" s="64"/>
      <c r="N958" s="194"/>
      <c r="O958" s="157"/>
      <c r="P958" s="92"/>
      <c r="Q958" s="145"/>
      <c r="R958" s="92"/>
      <c r="S958" s="145"/>
      <c r="T958" s="92"/>
      <c r="U958" s="145"/>
      <c r="V958" s="92"/>
      <c r="W958" s="145"/>
      <c r="X958" s="92"/>
      <c r="Y958" s="145"/>
      <c r="Z958" s="92"/>
      <c r="AA958" s="145"/>
      <c r="AB958" s="92"/>
      <c r="AC958" s="145"/>
      <c r="AD958" s="92"/>
      <c r="AE958" s="145"/>
      <c r="AF958" s="142" t="str">
        <f t="shared" si="48"/>
        <v/>
      </c>
      <c r="AG958" s="190" t="b">
        <f t="shared" si="47"/>
        <v>0</v>
      </c>
      <c r="AH958" s="145"/>
      <c r="AI958" s="153" t="s">
        <v>6</v>
      </c>
      <c r="AJ958" s="153">
        <f t="shared" si="46"/>
        <v>0</v>
      </c>
      <c r="AK958" s="154" t="s">
        <v>60</v>
      </c>
    </row>
    <row r="959" spans="1:37" ht="30" customHeight="1">
      <c r="A959" s="64"/>
      <c r="B959" s="64"/>
      <c r="C959" s="64"/>
      <c r="D959" s="64"/>
      <c r="E959" s="64"/>
      <c r="F959" s="64"/>
      <c r="G959" s="64"/>
      <c r="H959" s="64"/>
      <c r="I959" s="64"/>
      <c r="J959" s="64"/>
      <c r="K959" s="64"/>
      <c r="L959" s="64"/>
      <c r="M959" s="64"/>
      <c r="N959" s="194"/>
      <c r="O959" s="157"/>
      <c r="P959" s="92"/>
      <c r="Q959" s="145"/>
      <c r="R959" s="92"/>
      <c r="S959" s="145"/>
      <c r="T959" s="92"/>
      <c r="U959" s="145"/>
      <c r="V959" s="92"/>
      <c r="W959" s="145"/>
      <c r="X959" s="92"/>
      <c r="Y959" s="145"/>
      <c r="Z959" s="92"/>
      <c r="AA959" s="145"/>
      <c r="AB959" s="92"/>
      <c r="AC959" s="145"/>
      <c r="AD959" s="92"/>
      <c r="AE959" s="145"/>
      <c r="AF959" s="142" t="str">
        <f t="shared" si="48"/>
        <v/>
      </c>
      <c r="AG959" s="190" t="b">
        <f t="shared" si="47"/>
        <v>0</v>
      </c>
      <c r="AH959" s="145"/>
      <c r="AI959" s="153" t="s">
        <v>6</v>
      </c>
      <c r="AJ959" s="153">
        <f t="shared" si="46"/>
        <v>0</v>
      </c>
      <c r="AK959" s="154" t="s">
        <v>60</v>
      </c>
    </row>
    <row r="960" spans="1:37" ht="30" customHeight="1">
      <c r="A960" s="64"/>
      <c r="B960" s="64"/>
      <c r="C960" s="64"/>
      <c r="D960" s="64"/>
      <c r="E960" s="64"/>
      <c r="F960" s="64"/>
      <c r="G960" s="64"/>
      <c r="H960" s="64"/>
      <c r="I960" s="64"/>
      <c r="J960" s="64"/>
      <c r="K960" s="64"/>
      <c r="L960" s="64"/>
      <c r="M960" s="64"/>
      <c r="N960" s="194"/>
      <c r="O960" s="157"/>
      <c r="P960" s="92"/>
      <c r="Q960" s="145"/>
      <c r="R960" s="92"/>
      <c r="S960" s="145"/>
      <c r="T960" s="92"/>
      <c r="U960" s="145"/>
      <c r="V960" s="92"/>
      <c r="W960" s="145"/>
      <c r="X960" s="92"/>
      <c r="Y960" s="145"/>
      <c r="Z960" s="92"/>
      <c r="AA960" s="145"/>
      <c r="AB960" s="92"/>
      <c r="AC960" s="145"/>
      <c r="AD960" s="92"/>
      <c r="AE960" s="145"/>
      <c r="AF960" s="142" t="str">
        <f t="shared" si="48"/>
        <v/>
      </c>
      <c r="AG960" s="190" t="b">
        <f t="shared" si="47"/>
        <v>0</v>
      </c>
      <c r="AH960" s="145"/>
      <c r="AI960" s="153" t="s">
        <v>6</v>
      </c>
      <c r="AJ960" s="153">
        <f t="shared" si="46"/>
        <v>0</v>
      </c>
      <c r="AK960" s="154" t="s">
        <v>60</v>
      </c>
    </row>
    <row r="961" spans="1:37" ht="30" customHeight="1">
      <c r="A961" s="64"/>
      <c r="B961" s="64"/>
      <c r="C961" s="64"/>
      <c r="D961" s="64"/>
      <c r="E961" s="64"/>
      <c r="F961" s="64"/>
      <c r="G961" s="64"/>
      <c r="H961" s="64"/>
      <c r="I961" s="64"/>
      <c r="J961" s="64"/>
      <c r="K961" s="64"/>
      <c r="L961" s="64"/>
      <c r="M961" s="64"/>
      <c r="N961" s="194"/>
      <c r="O961" s="157"/>
      <c r="P961" s="92"/>
      <c r="Q961" s="145"/>
      <c r="R961" s="92"/>
      <c r="S961" s="145"/>
      <c r="T961" s="92"/>
      <c r="U961" s="145"/>
      <c r="V961" s="92"/>
      <c r="W961" s="145"/>
      <c r="X961" s="92"/>
      <c r="Y961" s="145"/>
      <c r="Z961" s="92"/>
      <c r="AA961" s="145"/>
      <c r="AB961" s="92"/>
      <c r="AC961" s="145"/>
      <c r="AD961" s="92"/>
      <c r="AE961" s="145"/>
      <c r="AF961" s="142" t="str">
        <f t="shared" si="48"/>
        <v/>
      </c>
      <c r="AG961" s="190" t="b">
        <f t="shared" si="47"/>
        <v>0</v>
      </c>
      <c r="AH961" s="145"/>
      <c r="AI961" s="153" t="s">
        <v>6</v>
      </c>
      <c r="AJ961" s="153">
        <f t="shared" si="46"/>
        <v>0</v>
      </c>
      <c r="AK961" s="154" t="s">
        <v>60</v>
      </c>
    </row>
    <row r="962" spans="1:37" ht="30" customHeight="1">
      <c r="A962" s="64"/>
      <c r="B962" s="64"/>
      <c r="C962" s="64"/>
      <c r="D962" s="64"/>
      <c r="E962" s="64"/>
      <c r="F962" s="64"/>
      <c r="G962" s="64"/>
      <c r="H962" s="64"/>
      <c r="I962" s="64"/>
      <c r="J962" s="64"/>
      <c r="K962" s="64"/>
      <c r="L962" s="64"/>
      <c r="M962" s="64"/>
      <c r="N962" s="194"/>
      <c r="O962" s="157"/>
      <c r="P962" s="92"/>
      <c r="Q962" s="145"/>
      <c r="R962" s="92"/>
      <c r="S962" s="145"/>
      <c r="T962" s="92"/>
      <c r="U962" s="145"/>
      <c r="V962" s="92"/>
      <c r="W962" s="145"/>
      <c r="X962" s="92"/>
      <c r="Y962" s="145"/>
      <c r="Z962" s="92"/>
      <c r="AA962" s="145"/>
      <c r="AB962" s="92"/>
      <c r="AC962" s="145"/>
      <c r="AD962" s="92"/>
      <c r="AE962" s="145"/>
      <c r="AF962" s="142" t="str">
        <f t="shared" si="48"/>
        <v/>
      </c>
      <c r="AG962" s="190" t="b">
        <f t="shared" si="47"/>
        <v>0</v>
      </c>
      <c r="AH962" s="145"/>
      <c r="AI962" s="153" t="s">
        <v>6</v>
      </c>
      <c r="AJ962" s="153">
        <f t="shared" si="46"/>
        <v>0</v>
      </c>
      <c r="AK962" s="154" t="s">
        <v>60</v>
      </c>
    </row>
    <row r="963" spans="1:37" ht="30" customHeight="1">
      <c r="A963" s="64"/>
      <c r="B963" s="64"/>
      <c r="C963" s="64"/>
      <c r="D963" s="64"/>
      <c r="E963" s="64"/>
      <c r="F963" s="64"/>
      <c r="G963" s="64"/>
      <c r="H963" s="64"/>
      <c r="I963" s="64"/>
      <c r="J963" s="64"/>
      <c r="K963" s="64"/>
      <c r="L963" s="64"/>
      <c r="M963" s="64"/>
      <c r="N963" s="194"/>
      <c r="O963" s="157"/>
      <c r="P963" s="92"/>
      <c r="Q963" s="145"/>
      <c r="R963" s="92"/>
      <c r="S963" s="145"/>
      <c r="T963" s="92"/>
      <c r="U963" s="145"/>
      <c r="V963" s="92"/>
      <c r="W963" s="145"/>
      <c r="X963" s="92"/>
      <c r="Y963" s="145"/>
      <c r="Z963" s="92"/>
      <c r="AA963" s="145"/>
      <c r="AB963" s="92"/>
      <c r="AC963" s="145"/>
      <c r="AD963" s="92"/>
      <c r="AE963" s="145"/>
      <c r="AF963" s="142" t="str">
        <f t="shared" si="48"/>
        <v/>
      </c>
      <c r="AG963" s="190" t="b">
        <f t="shared" si="47"/>
        <v>0</v>
      </c>
      <c r="AH963" s="145"/>
      <c r="AI963" s="153" t="s">
        <v>6</v>
      </c>
      <c r="AJ963" s="153">
        <f t="shared" si="46"/>
        <v>0</v>
      </c>
      <c r="AK963" s="154" t="s">
        <v>60</v>
      </c>
    </row>
    <row r="964" spans="1:37" ht="30" customHeight="1">
      <c r="A964" s="64"/>
      <c r="B964" s="64"/>
      <c r="C964" s="64"/>
      <c r="D964" s="64"/>
      <c r="E964" s="64"/>
      <c r="F964" s="64"/>
      <c r="G964" s="64"/>
      <c r="H964" s="64"/>
      <c r="I964" s="64"/>
      <c r="J964" s="64"/>
      <c r="K964" s="64"/>
      <c r="L964" s="64"/>
      <c r="M964" s="64"/>
      <c r="N964" s="194"/>
      <c r="O964" s="157"/>
      <c r="P964" s="92"/>
      <c r="Q964" s="145"/>
      <c r="R964" s="92"/>
      <c r="S964" s="145"/>
      <c r="T964" s="92"/>
      <c r="U964" s="145"/>
      <c r="V964" s="92"/>
      <c r="W964" s="145"/>
      <c r="X964" s="92"/>
      <c r="Y964" s="145"/>
      <c r="Z964" s="92"/>
      <c r="AA964" s="145"/>
      <c r="AB964" s="92"/>
      <c r="AC964" s="145"/>
      <c r="AD964" s="92"/>
      <c r="AE964" s="145"/>
      <c r="AF964" s="142" t="str">
        <f t="shared" si="48"/>
        <v/>
      </c>
      <c r="AG964" s="190" t="b">
        <f t="shared" si="47"/>
        <v>0</v>
      </c>
      <c r="AH964" s="145"/>
      <c r="AI964" s="153" t="s">
        <v>6</v>
      </c>
      <c r="AJ964" s="153">
        <f t="shared" si="46"/>
        <v>0</v>
      </c>
      <c r="AK964" s="154" t="s">
        <v>60</v>
      </c>
    </row>
    <row r="965" spans="1:37" ht="30" customHeight="1">
      <c r="A965" s="64"/>
      <c r="B965" s="64"/>
      <c r="C965" s="64"/>
      <c r="D965" s="64"/>
      <c r="E965" s="64"/>
      <c r="F965" s="64"/>
      <c r="G965" s="64"/>
      <c r="H965" s="64"/>
      <c r="I965" s="64"/>
      <c r="J965" s="64"/>
      <c r="K965" s="64"/>
      <c r="L965" s="64"/>
      <c r="M965" s="64"/>
      <c r="N965" s="194"/>
      <c r="O965" s="157"/>
      <c r="P965" s="92"/>
      <c r="Q965" s="145"/>
      <c r="R965" s="92"/>
      <c r="S965" s="145"/>
      <c r="T965" s="92"/>
      <c r="U965" s="145"/>
      <c r="V965" s="92"/>
      <c r="W965" s="145"/>
      <c r="X965" s="92"/>
      <c r="Y965" s="145"/>
      <c r="Z965" s="92"/>
      <c r="AA965" s="145"/>
      <c r="AB965" s="92"/>
      <c r="AC965" s="145"/>
      <c r="AD965" s="92"/>
      <c r="AE965" s="145"/>
      <c r="AF965" s="142" t="str">
        <f t="shared" si="48"/>
        <v/>
      </c>
      <c r="AG965" s="190" t="b">
        <f t="shared" si="47"/>
        <v>0</v>
      </c>
      <c r="AH965" s="145"/>
      <c r="AI965" s="153" t="s">
        <v>6</v>
      </c>
      <c r="AJ965" s="153">
        <f t="shared" si="46"/>
        <v>0</v>
      </c>
      <c r="AK965" s="154" t="s">
        <v>60</v>
      </c>
    </row>
    <row r="966" spans="1:37" ht="30" customHeight="1">
      <c r="A966" s="64"/>
      <c r="B966" s="64"/>
      <c r="C966" s="64"/>
      <c r="D966" s="64"/>
      <c r="E966" s="64"/>
      <c r="F966" s="64"/>
      <c r="G966" s="64"/>
      <c r="H966" s="64"/>
      <c r="I966" s="64"/>
      <c r="J966" s="64"/>
      <c r="K966" s="64"/>
      <c r="L966" s="64"/>
      <c r="M966" s="64"/>
      <c r="N966" s="194"/>
      <c r="O966" s="157"/>
      <c r="P966" s="92"/>
      <c r="Q966" s="145"/>
      <c r="R966" s="92"/>
      <c r="S966" s="145"/>
      <c r="T966" s="92"/>
      <c r="U966" s="145"/>
      <c r="V966" s="92"/>
      <c r="W966" s="145"/>
      <c r="X966" s="92"/>
      <c r="Y966" s="145"/>
      <c r="Z966" s="92"/>
      <c r="AA966" s="145"/>
      <c r="AB966" s="92"/>
      <c r="AC966" s="145"/>
      <c r="AD966" s="92"/>
      <c r="AE966" s="145"/>
      <c r="AF966" s="142" t="str">
        <f t="shared" si="48"/>
        <v/>
      </c>
      <c r="AG966" s="190" t="b">
        <f t="shared" si="47"/>
        <v>0</v>
      </c>
      <c r="AH966" s="145"/>
      <c r="AI966" s="153" t="s">
        <v>6</v>
      </c>
      <c r="AJ966" s="153">
        <f t="shared" si="46"/>
        <v>0</v>
      </c>
      <c r="AK966" s="154" t="s">
        <v>60</v>
      </c>
    </row>
    <row r="967" spans="1:37" ht="30" customHeight="1">
      <c r="A967" s="64"/>
      <c r="B967" s="64"/>
      <c r="C967" s="64"/>
      <c r="D967" s="64"/>
      <c r="E967" s="64"/>
      <c r="F967" s="64"/>
      <c r="G967" s="64"/>
      <c r="H967" s="64"/>
      <c r="I967" s="64"/>
      <c r="J967" s="64"/>
      <c r="K967" s="64"/>
      <c r="L967" s="64"/>
      <c r="M967" s="64"/>
      <c r="N967" s="194"/>
      <c r="O967" s="157"/>
      <c r="P967" s="92"/>
      <c r="Q967" s="145"/>
      <c r="R967" s="92"/>
      <c r="S967" s="145"/>
      <c r="T967" s="92"/>
      <c r="U967" s="145"/>
      <c r="V967" s="92"/>
      <c r="W967" s="145"/>
      <c r="X967" s="92"/>
      <c r="Y967" s="145"/>
      <c r="Z967" s="92"/>
      <c r="AA967" s="145"/>
      <c r="AB967" s="92"/>
      <c r="AC967" s="145"/>
      <c r="AD967" s="92"/>
      <c r="AE967" s="145"/>
      <c r="AF967" s="142" t="str">
        <f t="shared" si="48"/>
        <v/>
      </c>
      <c r="AG967" s="190" t="b">
        <f t="shared" si="47"/>
        <v>0</v>
      </c>
      <c r="AH967" s="145"/>
      <c r="AI967" s="153" t="s">
        <v>6</v>
      </c>
      <c r="AJ967" s="153">
        <f t="shared" si="46"/>
        <v>0</v>
      </c>
      <c r="AK967" s="154" t="s">
        <v>60</v>
      </c>
    </row>
    <row r="968" spans="1:37" ht="30" customHeight="1">
      <c r="A968" s="64"/>
      <c r="B968" s="64"/>
      <c r="C968" s="64"/>
      <c r="D968" s="64"/>
      <c r="E968" s="64"/>
      <c r="F968" s="64"/>
      <c r="G968" s="64"/>
      <c r="H968" s="64"/>
      <c r="I968" s="64"/>
      <c r="J968" s="64"/>
      <c r="K968" s="64"/>
      <c r="L968" s="64"/>
      <c r="M968" s="64"/>
      <c r="N968" s="194"/>
      <c r="O968" s="157"/>
      <c r="P968" s="92"/>
      <c r="Q968" s="145"/>
      <c r="R968" s="92"/>
      <c r="S968" s="145"/>
      <c r="T968" s="92"/>
      <c r="U968" s="145"/>
      <c r="V968" s="92"/>
      <c r="W968" s="145"/>
      <c r="X968" s="92"/>
      <c r="Y968" s="145"/>
      <c r="Z968" s="92"/>
      <c r="AA968" s="145"/>
      <c r="AB968" s="92"/>
      <c r="AC968" s="145"/>
      <c r="AD968" s="92"/>
      <c r="AE968" s="145"/>
      <c r="AF968" s="142" t="str">
        <f t="shared" si="48"/>
        <v/>
      </c>
      <c r="AG968" s="190" t="b">
        <f t="shared" si="47"/>
        <v>0</v>
      </c>
      <c r="AH968" s="145"/>
      <c r="AI968" s="153" t="s">
        <v>6</v>
      </c>
      <c r="AJ968" s="153">
        <f t="shared" si="46"/>
        <v>0</v>
      </c>
      <c r="AK968" s="154" t="s">
        <v>60</v>
      </c>
    </row>
    <row r="969" spans="1:37" ht="30" customHeight="1">
      <c r="A969" s="64"/>
      <c r="B969" s="64"/>
      <c r="C969" s="64"/>
      <c r="D969" s="64"/>
      <c r="E969" s="64"/>
      <c r="F969" s="64"/>
      <c r="G969" s="64"/>
      <c r="H969" s="64"/>
      <c r="I969" s="64"/>
      <c r="J969" s="64"/>
      <c r="K969" s="64"/>
      <c r="L969" s="64"/>
      <c r="M969" s="64"/>
      <c r="N969" s="194"/>
      <c r="O969" s="157"/>
      <c r="P969" s="92"/>
      <c r="Q969" s="145"/>
      <c r="R969" s="92"/>
      <c r="S969" s="145"/>
      <c r="T969" s="92"/>
      <c r="U969" s="145"/>
      <c r="V969" s="92"/>
      <c r="W969" s="145"/>
      <c r="X969" s="92"/>
      <c r="Y969" s="145"/>
      <c r="Z969" s="92"/>
      <c r="AA969" s="145"/>
      <c r="AB969" s="92"/>
      <c r="AC969" s="145"/>
      <c r="AD969" s="92"/>
      <c r="AE969" s="145"/>
      <c r="AF969" s="142" t="str">
        <f t="shared" si="48"/>
        <v/>
      </c>
      <c r="AG969" s="190" t="b">
        <f t="shared" si="47"/>
        <v>0</v>
      </c>
      <c r="AH969" s="145"/>
      <c r="AI969" s="153" t="s">
        <v>6</v>
      </c>
      <c r="AJ969" s="153">
        <f t="shared" si="46"/>
        <v>0</v>
      </c>
      <c r="AK969" s="154" t="s">
        <v>60</v>
      </c>
    </row>
    <row r="970" spans="1:37" ht="30" customHeight="1">
      <c r="A970" s="64"/>
      <c r="B970" s="64"/>
      <c r="C970" s="64"/>
      <c r="D970" s="64"/>
      <c r="E970" s="64"/>
      <c r="F970" s="64"/>
      <c r="G970" s="64"/>
      <c r="H970" s="64"/>
      <c r="I970" s="64"/>
      <c r="J970" s="64"/>
      <c r="K970" s="64"/>
      <c r="L970" s="64"/>
      <c r="M970" s="64"/>
      <c r="N970" s="194"/>
      <c r="O970" s="157"/>
      <c r="P970" s="92"/>
      <c r="Q970" s="145"/>
      <c r="R970" s="92"/>
      <c r="S970" s="145"/>
      <c r="T970" s="92"/>
      <c r="U970" s="145"/>
      <c r="V970" s="92"/>
      <c r="W970" s="145"/>
      <c r="X970" s="92"/>
      <c r="Y970" s="145"/>
      <c r="Z970" s="92"/>
      <c r="AA970" s="145"/>
      <c r="AB970" s="92"/>
      <c r="AC970" s="145"/>
      <c r="AD970" s="92"/>
      <c r="AE970" s="145"/>
      <c r="AF970" s="142" t="str">
        <f t="shared" si="48"/>
        <v/>
      </c>
      <c r="AG970" s="190" t="b">
        <f t="shared" si="47"/>
        <v>0</v>
      </c>
      <c r="AH970" s="145"/>
      <c r="AI970" s="153" t="s">
        <v>6</v>
      </c>
      <c r="AJ970" s="153">
        <f t="shared" si="46"/>
        <v>0</v>
      </c>
      <c r="AK970" s="154" t="s">
        <v>60</v>
      </c>
    </row>
    <row r="971" spans="1:37" ht="30" customHeight="1">
      <c r="A971" s="64"/>
      <c r="B971" s="64"/>
      <c r="C971" s="64"/>
      <c r="D971" s="64"/>
      <c r="E971" s="64"/>
      <c r="F971" s="64"/>
      <c r="G971" s="64"/>
      <c r="H971" s="64"/>
      <c r="I971" s="64"/>
      <c r="J971" s="64"/>
      <c r="K971" s="64"/>
      <c r="L971" s="64"/>
      <c r="M971" s="64"/>
      <c r="N971" s="194"/>
      <c r="O971" s="157"/>
      <c r="P971" s="92"/>
      <c r="Q971" s="145"/>
      <c r="R971" s="92"/>
      <c r="S971" s="145"/>
      <c r="T971" s="92"/>
      <c r="U971" s="145"/>
      <c r="V971" s="92"/>
      <c r="W971" s="145"/>
      <c r="X971" s="92"/>
      <c r="Y971" s="145"/>
      <c r="Z971" s="92"/>
      <c r="AA971" s="145"/>
      <c r="AB971" s="92"/>
      <c r="AC971" s="145"/>
      <c r="AD971" s="92"/>
      <c r="AE971" s="145"/>
      <c r="AF971" s="142" t="str">
        <f t="shared" si="48"/>
        <v/>
      </c>
      <c r="AG971" s="190" t="b">
        <f t="shared" si="47"/>
        <v>0</v>
      </c>
      <c r="AH971" s="145"/>
      <c r="AI971" s="153" t="s">
        <v>6</v>
      </c>
      <c r="AJ971" s="153">
        <f t="shared" si="46"/>
        <v>0</v>
      </c>
      <c r="AK971" s="154" t="s">
        <v>60</v>
      </c>
    </row>
    <row r="972" spans="1:37" ht="30" customHeight="1">
      <c r="A972" s="64"/>
      <c r="B972" s="64"/>
      <c r="C972" s="64"/>
      <c r="D972" s="64"/>
      <c r="E972" s="64"/>
      <c r="F972" s="64"/>
      <c r="G972" s="64"/>
      <c r="H972" s="64"/>
      <c r="I972" s="64"/>
      <c r="J972" s="64"/>
      <c r="K972" s="64"/>
      <c r="L972" s="64"/>
      <c r="M972" s="64"/>
      <c r="N972" s="194"/>
      <c r="O972" s="157"/>
      <c r="P972" s="92"/>
      <c r="Q972" s="145"/>
      <c r="R972" s="92"/>
      <c r="S972" s="145"/>
      <c r="T972" s="92"/>
      <c r="U972" s="145"/>
      <c r="V972" s="92"/>
      <c r="W972" s="145"/>
      <c r="X972" s="92"/>
      <c r="Y972" s="145"/>
      <c r="Z972" s="92"/>
      <c r="AA972" s="145"/>
      <c r="AB972" s="92"/>
      <c r="AC972" s="145"/>
      <c r="AD972" s="92"/>
      <c r="AE972" s="145"/>
      <c r="AF972" s="142" t="str">
        <f t="shared" si="48"/>
        <v/>
      </c>
      <c r="AG972" s="190" t="b">
        <f t="shared" si="47"/>
        <v>0</v>
      </c>
      <c r="AH972" s="145"/>
      <c r="AI972" s="153" t="s">
        <v>6</v>
      </c>
      <c r="AJ972" s="153">
        <f t="shared" si="46"/>
        <v>0</v>
      </c>
      <c r="AK972" s="154" t="s">
        <v>60</v>
      </c>
    </row>
    <row r="973" spans="1:37" ht="30" customHeight="1">
      <c r="A973" s="64"/>
      <c r="B973" s="64"/>
      <c r="C973" s="64"/>
      <c r="D973" s="64"/>
      <c r="E973" s="64"/>
      <c r="F973" s="64"/>
      <c r="G973" s="64"/>
      <c r="H973" s="64"/>
      <c r="I973" s="64"/>
      <c r="J973" s="64"/>
      <c r="K973" s="64"/>
      <c r="L973" s="64"/>
      <c r="M973" s="64"/>
      <c r="N973" s="194"/>
      <c r="O973" s="157"/>
      <c r="P973" s="92"/>
      <c r="Q973" s="145"/>
      <c r="R973" s="92"/>
      <c r="S973" s="145"/>
      <c r="T973" s="92"/>
      <c r="U973" s="145"/>
      <c r="V973" s="92"/>
      <c r="W973" s="145"/>
      <c r="X973" s="92"/>
      <c r="Y973" s="145"/>
      <c r="Z973" s="92"/>
      <c r="AA973" s="145"/>
      <c r="AB973" s="92"/>
      <c r="AC973" s="145"/>
      <c r="AD973" s="92"/>
      <c r="AE973" s="145"/>
      <c r="AF973" s="142" t="str">
        <f t="shared" si="48"/>
        <v/>
      </c>
      <c r="AG973" s="190" t="b">
        <f t="shared" si="47"/>
        <v>0</v>
      </c>
      <c r="AH973" s="145"/>
      <c r="AI973" s="153" t="s">
        <v>6</v>
      </c>
      <c r="AJ973" s="153">
        <f t="shared" si="46"/>
        <v>0</v>
      </c>
      <c r="AK973" s="154" t="s">
        <v>60</v>
      </c>
    </row>
  </sheetData>
  <sortState xmlns:xlrd2="http://schemas.microsoft.com/office/spreadsheetml/2017/richdata2" ref="L2:L68">
    <sortCondition ref="L2:L68"/>
  </sortState>
  <conditionalFormatting sqref="A1:E1">
    <cfRule type="duplicateValues" dxfId="173" priority="178"/>
  </conditionalFormatting>
  <conditionalFormatting sqref="A1:E1">
    <cfRule type="duplicateValues" dxfId="172" priority="177"/>
  </conditionalFormatting>
  <conditionalFormatting sqref="O2:O45 AH247:AH973 Q91:Q973 S91:S973 U91:U973 U75:U82 S75:S82 Q75:Q82 O47:O973 W4:W973 AC4:AC973 AE4:AF973 AF2:AF932 AA4:AA973 Y4:Y973 AH3:AH245">
    <cfRule type="expression" dxfId="171" priority="137">
      <formula>O2=""</formula>
    </cfRule>
    <cfRule type="expression" dxfId="170" priority="138" stopIfTrue="1">
      <formula>NOT(OR(O2="C",O2="NC",O2="SF",O2="NA"))</formula>
    </cfRule>
  </conditionalFormatting>
  <conditionalFormatting sqref="Q6 Q8 Q10:Q11 Q13 Q15 Q17:Q18 Q25 Q27 Q30 Q33 Q35 Q39 Q41 Q47 Q73:Q74 Q20:Q21 Q86 Q2:Q4">
    <cfRule type="expression" dxfId="169" priority="135">
      <formula>Q2=""</formula>
    </cfRule>
    <cfRule type="expression" dxfId="168" priority="136" stopIfTrue="1">
      <formula>NOT(OR(Q2="C",Q2="NC",Q2="SF",Q2="NA"))</formula>
    </cfRule>
  </conditionalFormatting>
  <conditionalFormatting sqref="Q5 Q7 Q9 Q12 Q14 Q16 Q19 Q26 Q28:Q29 Q31:Q32 Q36 Q38 Q40 Q42 Q46 Q48:Q50">
    <cfRule type="expression" dxfId="167" priority="133">
      <formula>Q5=""</formula>
    </cfRule>
    <cfRule type="expression" dxfId="166" priority="134" stopIfTrue="1">
      <formula>NOT(OR(Q5="C",Q5="NC",Q5="SF",Q5="NA"))</formula>
    </cfRule>
  </conditionalFormatting>
  <conditionalFormatting sqref="S6 S8 S10:S11 S13 S15 S17:S18 S25 S27 S30 S33 S35 S39 S41 S47 S73:S74 S20:S21 S86 S2:S4">
    <cfRule type="expression" dxfId="165" priority="131">
      <formula>S2=""</formula>
    </cfRule>
    <cfRule type="expression" dxfId="164" priority="132" stopIfTrue="1">
      <formula>NOT(OR(S2="C",S2="NC",S2="SF",S2="NA"))</formula>
    </cfRule>
  </conditionalFormatting>
  <conditionalFormatting sqref="S5 S7 S9 S12 S14 S16 S19 S26 S28:S29 S31:S32 S36 S38 S40 S42 S46 S48:S50">
    <cfRule type="expression" dxfId="163" priority="129">
      <formula>S5=""</formula>
    </cfRule>
    <cfRule type="expression" dxfId="162" priority="130" stopIfTrue="1">
      <formula>NOT(OR(S5="C",S5="NC",S5="SF",S5="NA"))</formula>
    </cfRule>
  </conditionalFormatting>
  <conditionalFormatting sqref="U6 U8 U10:U11 U13 U15 U17:U18 U25 U27 U30 U33 U35 U39 U41 U47 U73:U74 U20:U21 U86 U2:U4">
    <cfRule type="expression" dxfId="161" priority="127">
      <formula>U2=""</formula>
    </cfRule>
    <cfRule type="expression" dxfId="160" priority="128" stopIfTrue="1">
      <formula>NOT(OR(U2="C",U2="NC",U2="SF",U2="NA"))</formula>
    </cfRule>
  </conditionalFormatting>
  <conditionalFormatting sqref="U5 U7 U9 U12 U14 U16 U19 U26 U28:U29 U31:U32 U36 U38 U40 U42 U46 U48:U50">
    <cfRule type="expression" dxfId="159" priority="125">
      <formula>U5=""</formula>
    </cfRule>
    <cfRule type="expression" dxfId="158" priority="126" stopIfTrue="1">
      <formula>NOT(OR(U5="C",U5="NC",U5="SF",U5="NA"))</formula>
    </cfRule>
  </conditionalFormatting>
  <conditionalFormatting sqref="W2:W3">
    <cfRule type="expression" dxfId="157" priority="123">
      <formula>W2=""</formula>
    </cfRule>
    <cfRule type="expression" dxfId="156" priority="124" stopIfTrue="1">
      <formula>NOT(OR(W2="C",W2="NC",W2="SF",W2="NA"))</formula>
    </cfRule>
  </conditionalFormatting>
  <conditionalFormatting sqref="AC2:AC3">
    <cfRule type="expression" dxfId="155" priority="119">
      <formula>AC2=""</formula>
    </cfRule>
    <cfRule type="expression" dxfId="154" priority="120" stopIfTrue="1">
      <formula>NOT(OR(AC2="C",AC2="NC",AC2="SF",AC2="NA"))</formula>
    </cfRule>
  </conditionalFormatting>
  <conditionalFormatting sqref="AE2:AE3">
    <cfRule type="expression" dxfId="153" priority="115">
      <formula>AE2=""</formula>
    </cfRule>
    <cfRule type="expression" dxfId="152" priority="116" stopIfTrue="1">
      <formula>NOT(OR(AE2="C",AE2="NC",AE2="SF",AE2="NA"))</formula>
    </cfRule>
  </conditionalFormatting>
  <conditionalFormatting sqref="AH2">
    <cfRule type="expression" dxfId="151" priority="107">
      <formula>AH2=""</formula>
    </cfRule>
    <cfRule type="expression" dxfId="150" priority="108" stopIfTrue="1">
      <formula>NOT(OR(AH2="C",AH2="NC",AH2="SF",AH2="NA"))</formula>
    </cfRule>
  </conditionalFormatting>
  <conditionalFormatting sqref="Q22:Q24">
    <cfRule type="expression" dxfId="149" priority="99">
      <formula>Q22=""</formula>
    </cfRule>
    <cfRule type="expression" dxfId="148" priority="100" stopIfTrue="1">
      <formula>NOT(OR(Q22="C",Q22="NC",Q22="SF",Q22="NA"))</formula>
    </cfRule>
  </conditionalFormatting>
  <conditionalFormatting sqref="S22:S24">
    <cfRule type="expression" dxfId="147" priority="97">
      <formula>S22=""</formula>
    </cfRule>
    <cfRule type="expression" dxfId="146" priority="98" stopIfTrue="1">
      <formula>NOT(OR(S22="C",S22="NC",S22="SF",S22="NA"))</formula>
    </cfRule>
  </conditionalFormatting>
  <conditionalFormatting sqref="U22:U24">
    <cfRule type="expression" dxfId="145" priority="95">
      <formula>U22=""</formula>
    </cfRule>
    <cfRule type="expression" dxfId="144" priority="96" stopIfTrue="1">
      <formula>NOT(OR(U22="C",U22="NC",U22="SF",U22="NA"))</formula>
    </cfRule>
  </conditionalFormatting>
  <conditionalFormatting sqref="U43:U45">
    <cfRule type="expression" dxfId="143" priority="85">
      <formula>U43=""</formula>
    </cfRule>
    <cfRule type="expression" dxfId="142" priority="86" stopIfTrue="1">
      <formula>NOT(OR(U43="C",U43="NC",U43="SF",U43="NA"))</formula>
    </cfRule>
  </conditionalFormatting>
  <conditionalFormatting sqref="S43:S45">
    <cfRule type="expression" dxfId="141" priority="87">
      <formula>S43=""</formula>
    </cfRule>
    <cfRule type="expression" dxfId="140" priority="88" stopIfTrue="1">
      <formula>NOT(OR(S43="C",S43="NC",S43="SF",S43="NA"))</formula>
    </cfRule>
  </conditionalFormatting>
  <conditionalFormatting sqref="Q43:Q45">
    <cfRule type="expression" dxfId="139" priority="89">
      <formula>Q43=""</formula>
    </cfRule>
    <cfRule type="expression" dxfId="138" priority="90" stopIfTrue="1">
      <formula>NOT(OR(Q43="C",Q43="NC",Q43="SF",Q43="NA"))</formula>
    </cfRule>
  </conditionalFormatting>
  <conditionalFormatting sqref="U37">
    <cfRule type="expression" dxfId="137" priority="75">
      <formula>U37=""</formula>
    </cfRule>
    <cfRule type="expression" dxfId="136" priority="76" stopIfTrue="1">
      <formula>NOT(OR(U37="C",U37="NC",U37="SF",U37="NA"))</formula>
    </cfRule>
  </conditionalFormatting>
  <conditionalFormatting sqref="S37">
    <cfRule type="expression" dxfId="135" priority="77">
      <formula>S37=""</formula>
    </cfRule>
    <cfRule type="expression" dxfId="134" priority="78" stopIfTrue="1">
      <formula>NOT(OR(S37="C",S37="NC",S37="SF",S37="NA"))</formula>
    </cfRule>
  </conditionalFormatting>
  <conditionalFormatting sqref="Q37">
    <cfRule type="expression" dxfId="133" priority="79">
      <formula>Q37=""</formula>
    </cfRule>
    <cfRule type="expression" dxfId="132" priority="80" stopIfTrue="1">
      <formula>NOT(OR(Q37="C",Q37="NC",Q37="SF",Q37="NA"))</formula>
    </cfRule>
  </conditionalFormatting>
  <conditionalFormatting sqref="U34">
    <cfRule type="expression" dxfId="131" priority="63">
      <formula>U34=""</formula>
    </cfRule>
    <cfRule type="expression" dxfId="130" priority="64" stopIfTrue="1">
      <formula>NOT(OR(U34="C",U34="NC",U34="SF",U34="NA"))</formula>
    </cfRule>
  </conditionalFormatting>
  <conditionalFormatting sqref="Q51:Q72">
    <cfRule type="expression" dxfId="129" priority="57">
      <formula>Q51=""</formula>
    </cfRule>
    <cfRule type="expression" dxfId="128" priority="58" stopIfTrue="1">
      <formula>NOT(OR(Q51="C",Q51="NC",Q51="SF",Q51="NA"))</formula>
    </cfRule>
  </conditionalFormatting>
  <conditionalFormatting sqref="S34">
    <cfRule type="expression" dxfId="127" priority="61">
      <formula>S34=""</formula>
    </cfRule>
    <cfRule type="expression" dxfId="126" priority="62" stopIfTrue="1">
      <formula>NOT(OR(S34="C",S34="NC",S34="SF",S34="NA"))</formula>
    </cfRule>
  </conditionalFormatting>
  <conditionalFormatting sqref="Q34">
    <cfRule type="expression" dxfId="125" priority="59">
      <formula>Q34=""</formula>
    </cfRule>
    <cfRule type="expression" dxfId="124" priority="60" stopIfTrue="1">
      <formula>NOT(OR(Q34="C",Q34="NC",Q34="SF",Q34="NA"))</formula>
    </cfRule>
  </conditionalFormatting>
  <conditionalFormatting sqref="S51:S72">
    <cfRule type="expression" dxfId="123" priority="55">
      <formula>S51=""</formula>
    </cfRule>
    <cfRule type="expression" dxfId="122" priority="56" stopIfTrue="1">
      <formula>NOT(OR(S51="C",S51="NC",S51="SF",S51="NA"))</formula>
    </cfRule>
  </conditionalFormatting>
  <conditionalFormatting sqref="U51:U72">
    <cfRule type="expression" dxfId="121" priority="53">
      <formula>U51=""</formula>
    </cfRule>
    <cfRule type="expression" dxfId="120" priority="54" stopIfTrue="1">
      <formula>NOT(OR(U51="C",U51="NC",U51="SF",U51="NA"))</formula>
    </cfRule>
  </conditionalFormatting>
  <conditionalFormatting sqref="U87:U90">
    <cfRule type="expression" dxfId="119" priority="33">
      <formula>U87=""</formula>
    </cfRule>
    <cfRule type="expression" dxfId="118" priority="34" stopIfTrue="1">
      <formula>NOT(OR(U87="C",U87="NC",U87="SF",U87="NA"))</formula>
    </cfRule>
  </conditionalFormatting>
  <conditionalFormatting sqref="S87:S90">
    <cfRule type="expression" dxfId="117" priority="35">
      <formula>S87=""</formula>
    </cfRule>
    <cfRule type="expression" dxfId="116" priority="36" stopIfTrue="1">
      <formula>NOT(OR(S87="C",S87="NC",S87="SF",S87="NA"))</formula>
    </cfRule>
  </conditionalFormatting>
  <conditionalFormatting sqref="Q87:Q90">
    <cfRule type="expression" dxfId="115" priority="37">
      <formula>Q87=""</formula>
    </cfRule>
    <cfRule type="expression" dxfId="114" priority="38" stopIfTrue="1">
      <formula>NOT(OR(Q87="C",Q87="NC",Q87="SF",Q87="NA"))</formula>
    </cfRule>
  </conditionalFormatting>
  <conditionalFormatting sqref="Q83:Q85">
    <cfRule type="expression" dxfId="113" priority="17">
      <formula>Q83=""</formula>
    </cfRule>
    <cfRule type="expression" dxfId="112" priority="18" stopIfTrue="1">
      <formula>NOT(OR(Q83="C",Q83="NC",Q83="SF",Q83="NA"))</formula>
    </cfRule>
  </conditionalFormatting>
  <conditionalFormatting sqref="S83:S85">
    <cfRule type="expression" dxfId="111" priority="15">
      <formula>S83=""</formula>
    </cfRule>
    <cfRule type="expression" dxfId="110" priority="16" stopIfTrue="1">
      <formula>NOT(OR(S83="C",S83="NC",S83="SF",S83="NA"))</formula>
    </cfRule>
  </conditionalFormatting>
  <conditionalFormatting sqref="U83:U85">
    <cfRule type="expression" dxfId="109" priority="13">
      <formula>U83=""</formula>
    </cfRule>
    <cfRule type="expression" dxfId="108" priority="14" stopIfTrue="1">
      <formula>NOT(OR(U83="C",U83="NC",U83="SF",U83="NA"))</formula>
    </cfRule>
  </conditionalFormatting>
  <conditionalFormatting sqref="Y2:Y3">
    <cfRule type="expression" dxfId="107" priority="5">
      <formula>Y2=""</formula>
    </cfRule>
    <cfRule type="expression" dxfId="106" priority="6" stopIfTrue="1">
      <formula>NOT(OR(Y2="C",Y2="NC",Y2="SF",Y2="NA"))</formula>
    </cfRule>
  </conditionalFormatting>
  <conditionalFormatting sqref="AA2:AA3">
    <cfRule type="expression" dxfId="105" priority="1">
      <formula>AA2=""</formula>
    </cfRule>
    <cfRule type="expression" dxfId="104" priority="2" stopIfTrue="1">
      <formula>NOT(OR(AA2="C",AA2="NC",AA2="SF",AA2="NA"))</formula>
    </cfRule>
  </conditionalFormatting>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59999389629810485"/>
    <pageSetUpPr fitToPage="1"/>
  </sheetPr>
  <dimension ref="A1:H14"/>
  <sheetViews>
    <sheetView zoomScale="55" zoomScaleNormal="55" zoomScaleSheetLayoutView="70" workbookViewId="0">
      <selection activeCell="G15" sqref="G15"/>
    </sheetView>
  </sheetViews>
  <sheetFormatPr defaultColWidth="9.140625" defaultRowHeight="21" customHeight="1"/>
  <cols>
    <col min="1" max="1" width="5.7109375" style="99" customWidth="1"/>
    <col min="2" max="7" width="30.7109375" style="99" customWidth="1"/>
    <col min="8" max="8" width="5.7109375" style="99" customWidth="1"/>
    <col min="9" max="16384" width="9.140625" style="99"/>
  </cols>
  <sheetData>
    <row r="1" spans="1:8" s="30" customFormat="1" ht="22.5">
      <c r="A1" s="439" t="s">
        <v>60</v>
      </c>
      <c r="B1" s="439"/>
      <c r="C1" s="439"/>
      <c r="D1" s="439"/>
      <c r="E1" s="439"/>
      <c r="F1" s="439"/>
      <c r="G1" s="439"/>
      <c r="H1" s="439"/>
    </row>
    <row r="2" spans="1:8" s="31" customFormat="1" ht="19.899999999999999" customHeight="1">
      <c r="A2" s="44"/>
      <c r="B2" s="44"/>
      <c r="C2" s="44"/>
      <c r="D2" s="44"/>
      <c r="E2" s="44"/>
      <c r="F2" s="44"/>
      <c r="G2" s="44"/>
      <c r="H2" s="45"/>
    </row>
    <row r="3" spans="1:8" s="29" customFormat="1" ht="22.5">
      <c r="A3" s="439" t="s">
        <v>1397</v>
      </c>
      <c r="B3" s="439"/>
      <c r="C3" s="439"/>
      <c r="D3" s="439"/>
      <c r="E3" s="439"/>
      <c r="F3" s="439"/>
      <c r="G3" s="439"/>
      <c r="H3" s="439"/>
    </row>
    <row r="4" spans="1:8" s="29" customFormat="1" ht="21" customHeight="1">
      <c r="A4" s="18"/>
      <c r="B4" s="18"/>
      <c r="C4" s="18"/>
      <c r="D4" s="18"/>
      <c r="E4" s="18"/>
      <c r="F4" s="18"/>
      <c r="G4" s="18"/>
      <c r="H4" s="18"/>
    </row>
    <row r="5" spans="1:8" ht="21" customHeight="1">
      <c r="B5" s="440" t="str">
        <f>'DADOS - FREGUESIA DO Ó'!B184</f>
        <v>TESTE</v>
      </c>
      <c r="C5" s="440"/>
      <c r="D5" s="440"/>
      <c r="E5" s="440"/>
      <c r="F5" s="440"/>
      <c r="G5" s="440"/>
    </row>
    <row r="6" spans="1:8" ht="21" customHeight="1">
      <c r="B6" s="441" t="s">
        <v>1398</v>
      </c>
      <c r="C6" s="441"/>
      <c r="D6" s="129" t="s">
        <v>56</v>
      </c>
      <c r="E6" s="130" t="s">
        <v>1399</v>
      </c>
      <c r="F6" s="129" t="s">
        <v>41</v>
      </c>
      <c r="G6" s="129" t="s">
        <v>42</v>
      </c>
    </row>
    <row r="7" spans="1:8" ht="21" customHeight="1">
      <c r="B7" s="437" t="s">
        <v>46</v>
      </c>
      <c r="C7" s="438"/>
      <c r="D7" s="101">
        <f t="shared" ref="D7:D12" si="0">F7+G7+E7</f>
        <v>0</v>
      </c>
      <c r="E7" s="102">
        <f>COUNTIFS(ESGOTO!N:N,'EQUIPES - ESGOTO'!B5,ESGOTO!O:O,"SF")</f>
        <v>0</v>
      </c>
      <c r="F7" s="101">
        <f>COUNTIFS(ESGOTO!N:N,'EQUIPES - ESGOTO'!B5,ESGOTO!O:O,"c")</f>
        <v>0</v>
      </c>
      <c r="G7" s="101">
        <f>COUNTIFS(ESGOTO!N:N,'EQUIPES - ESGOTO'!B5,ESGOTO!O:O,"NC")</f>
        <v>0</v>
      </c>
    </row>
    <row r="8" spans="1:8" ht="21" customHeight="1">
      <c r="B8" s="437" t="s">
        <v>47</v>
      </c>
      <c r="C8" s="438"/>
      <c r="D8" s="101">
        <f t="shared" si="0"/>
        <v>0</v>
      </c>
      <c r="E8" s="102">
        <f>COUNTIFS(ESGOTO!N:N,'EQUIPES - ESGOTO'!B5,ESGOTO!Q:Q,"SF")</f>
        <v>0</v>
      </c>
      <c r="F8" s="101">
        <f>COUNTIFS(ESGOTO!N:N,'EQUIPES - ESGOTO'!B5,ESGOTO!Q:Q,"c")</f>
        <v>0</v>
      </c>
      <c r="G8" s="101">
        <f>COUNTIFS(ESGOTO!N:N,'EQUIPES - ESGOTO'!B5,ESGOTO!Q:Q,"NC")</f>
        <v>0</v>
      </c>
    </row>
    <row r="9" spans="1:8" ht="21" customHeight="1">
      <c r="B9" s="437" t="s">
        <v>48</v>
      </c>
      <c r="C9" s="438"/>
      <c r="D9" s="101">
        <f t="shared" si="0"/>
        <v>0</v>
      </c>
      <c r="E9" s="102">
        <f>COUNTIFS(ESGOTO!N:N,'EQUIPES - ESGOTO'!B5,ESGOTO!S:S,"SF")</f>
        <v>0</v>
      </c>
      <c r="F9" s="101">
        <f>COUNTIFS(ESGOTO!N:N,'EQUIPES - ESGOTO'!B5,ESGOTO!S:S,"c")</f>
        <v>0</v>
      </c>
      <c r="G9" s="101">
        <f>COUNTIFS(ESGOTO!N:N,'EQUIPES - ESGOTO'!B5,ESGOTO!S:S,"NC")</f>
        <v>0</v>
      </c>
    </row>
    <row r="10" spans="1:8" ht="21" customHeight="1">
      <c r="B10" s="437" t="s">
        <v>49</v>
      </c>
      <c r="C10" s="438"/>
      <c r="D10" s="101">
        <f t="shared" si="0"/>
        <v>0</v>
      </c>
      <c r="E10" s="102">
        <f>COUNTIFS(ESGOTO!N:N,'EQUIPES - ESGOTO'!B5,ESGOTO!U:U,"SF")</f>
        <v>0</v>
      </c>
      <c r="F10" s="101">
        <f>COUNTIFS(ESGOTO!N:N,'EQUIPES - ESGOTO'!B5,ESGOTO!U:U,"c")</f>
        <v>0</v>
      </c>
      <c r="G10" s="101">
        <f>COUNTIFS(ESGOTO!N:N,'EQUIPES - ESGOTO'!B5,ESGOTO!U:U,"NC")</f>
        <v>0</v>
      </c>
    </row>
    <row r="11" spans="1:8" ht="21" customHeight="1">
      <c r="B11" s="437" t="s">
        <v>50</v>
      </c>
      <c r="C11" s="438"/>
      <c r="D11" s="101">
        <f t="shared" si="0"/>
        <v>0</v>
      </c>
      <c r="E11" s="102">
        <f>COUNTIFS(ESGOTO!N:N,'EQUIPES - ESGOTO'!B5,ESGOTO!W:W,"SF")</f>
        <v>0</v>
      </c>
      <c r="F11" s="101">
        <f>COUNTIFS(ESGOTO!N:N,'EQUIPES - ESGOTO'!B5,ESGOTO!W:W,"c")</f>
        <v>0</v>
      </c>
      <c r="G11" s="101">
        <f>COUNTIFS(ESGOTO!N:N,'EQUIPES - ESGOTO'!B5,ESGOTO!W:W,"NC")</f>
        <v>0</v>
      </c>
    </row>
    <row r="12" spans="1:8" ht="21" customHeight="1">
      <c r="B12" s="437" t="s">
        <v>63</v>
      </c>
      <c r="C12" s="438"/>
      <c r="D12" s="101">
        <f t="shared" si="0"/>
        <v>0</v>
      </c>
      <c r="E12" s="102">
        <f>COUNTIFS(ESGOTO!N:N,'EQUIPES - ESGOTO'!B5,ESGOTO!Y:Y,"SF")</f>
        <v>0</v>
      </c>
      <c r="F12" s="101">
        <f>COUNTIFS(ESGOTO!N:N,'EQUIPES - ESGOTO'!B5,ESGOTO!Y:Y,"c")</f>
        <v>0</v>
      </c>
      <c r="G12" s="101">
        <f>COUNTIFS(ESGOTO!N:N,'EQUIPES - ESGOTO'!B5,ESGOTO!Y:Y,"NC")</f>
        <v>0</v>
      </c>
    </row>
    <row r="13" spans="1:8" ht="21" customHeight="1">
      <c r="B13" s="437" t="s">
        <v>52</v>
      </c>
      <c r="C13" s="438"/>
      <c r="D13" s="101">
        <f t="shared" ref="D13:D14" si="1">F13+G13+E13</f>
        <v>0</v>
      </c>
      <c r="E13" s="102">
        <f>COUNTIFS(ESGOTO!N:N,'EQUIPES - ESGOTO'!B6,ESGOTO!AA:AA,"SF")</f>
        <v>0</v>
      </c>
      <c r="F13" s="101">
        <f>COUNTIFS(ESGOTO!N:N,'EQUIPES - ESGOTO'!B5,ESGOTO!AA:AA,"c")</f>
        <v>0</v>
      </c>
      <c r="G13" s="101">
        <f>COUNTIFS(ESGOTO!N:N,'EQUIPES - ESGOTO'!B5,ESGOTO!AA:AA,"NC")</f>
        <v>0</v>
      </c>
    </row>
    <row r="14" spans="1:8" ht="21" customHeight="1">
      <c r="B14" s="437" t="s">
        <v>53</v>
      </c>
      <c r="C14" s="438"/>
      <c r="D14" s="101">
        <f t="shared" si="1"/>
        <v>0</v>
      </c>
      <c r="E14" s="102">
        <f>COUNTIFS(ESGOTO!N:N,'EQUIPES - ESGOTO'!B7,ESGOTO!AC:AC,"SF")</f>
        <v>0</v>
      </c>
      <c r="F14" s="101">
        <f>COUNTIFS(ESGOTO!N:N,'EQUIPES - ESGOTO'!B5,ESGOTO!AC:AC,"c")</f>
        <v>0</v>
      </c>
      <c r="G14" s="101">
        <f>COUNTIFS(ESGOTO!N:N,'EQUIPES - ESGOTO'!B5,ESGOTO!AC:AC,"NC")</f>
        <v>0</v>
      </c>
    </row>
  </sheetData>
  <mergeCells count="12">
    <mergeCell ref="B12:C12"/>
    <mergeCell ref="B13:C13"/>
    <mergeCell ref="B14:C14"/>
    <mergeCell ref="B11:C11"/>
    <mergeCell ref="A1:H1"/>
    <mergeCell ref="A3:H3"/>
    <mergeCell ref="B5:G5"/>
    <mergeCell ref="B6:C6"/>
    <mergeCell ref="B7:C7"/>
    <mergeCell ref="B8:C8"/>
    <mergeCell ref="B9:C9"/>
    <mergeCell ref="B10:C10"/>
  </mergeCells>
  <pageMargins left="0.511811024" right="0.14000000000000001" top="0.78740157499999996" bottom="0.78740157499999996" header="0.31496062000000002" footer="0.31496062000000002"/>
  <pageSetup paperSize="9" scale="39"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59999389629810485"/>
    <pageSetUpPr fitToPage="1"/>
  </sheetPr>
  <dimension ref="A1:N328"/>
  <sheetViews>
    <sheetView zoomScale="70" zoomScaleNormal="70" zoomScaleSheetLayoutView="70" workbookViewId="0">
      <selection activeCell="B8" sqref="B8"/>
    </sheetView>
  </sheetViews>
  <sheetFormatPr defaultColWidth="30.7109375" defaultRowHeight="19.899999999999999" customHeight="1"/>
  <cols>
    <col min="1" max="7" width="37.7109375" style="18" customWidth="1"/>
    <col min="8" max="282" width="9.140625" style="18" customWidth="1"/>
    <col min="283" max="16384" width="30.7109375" style="18"/>
  </cols>
  <sheetData>
    <row r="1" spans="1:7" s="2" customFormat="1" ht="35.1" customHeight="1">
      <c r="A1" s="433" t="s">
        <v>158</v>
      </c>
      <c r="B1" s="433"/>
      <c r="C1" s="433"/>
      <c r="D1" s="433"/>
      <c r="E1" s="433"/>
      <c r="F1" s="433"/>
    </row>
    <row r="2" spans="1:7" s="26" customFormat="1" ht="30" customHeight="1" thickBot="1"/>
    <row r="3" spans="1:7" s="27" customFormat="1" ht="30" customHeight="1">
      <c r="B3" s="428" t="s">
        <v>159</v>
      </c>
      <c r="C3" s="429"/>
      <c r="D3" s="428" t="s">
        <v>56</v>
      </c>
      <c r="E3" s="429"/>
    </row>
    <row r="4" spans="1:7" s="27" customFormat="1" ht="30" customHeight="1" thickBot="1">
      <c r="B4" s="442">
        <f>COUNTIF(CAVALETE!A:A,"ONMF - DIV MANUT SERV OPE FREGUESIA")</f>
        <v>580</v>
      </c>
      <c r="C4" s="435"/>
      <c r="D4" s="442">
        <f>'DADOS - FREGUESIA DO Ó'!C28</f>
        <v>536</v>
      </c>
      <c r="E4" s="435"/>
    </row>
    <row r="5" spans="1:7" s="27" customFormat="1" ht="35.1" customHeight="1">
      <c r="B5" s="88" t="s">
        <v>160</v>
      </c>
      <c r="C5" s="89" t="s">
        <v>161</v>
      </c>
      <c r="D5" s="88" t="s">
        <v>162</v>
      </c>
      <c r="E5" s="89" t="s">
        <v>161</v>
      </c>
      <c r="F5" s="25"/>
      <c r="G5" s="27">
        <f>83/6</f>
        <v>13.833333333333334</v>
      </c>
    </row>
    <row r="6" spans="1:7" s="27" customFormat="1" ht="35.1" customHeight="1" thickBot="1">
      <c r="B6" s="87">
        <f>'DADOS - FREGUESIA DO Ó'!C28+'GRÁFICOS - CAVALETE'!D8</f>
        <v>580</v>
      </c>
      <c r="C6" s="46">
        <f>IFERROR(B6/B4,"-")</f>
        <v>1</v>
      </c>
      <c r="D6" s="87">
        <f>COUNTIFS(CAVALETE!O:O,"SF",CAVALETE!Q:Q,"SF",CAVALETE!S:S,"SF",CAVALETE!U:U,"SF",CAVALETE!W:W,"SF")</f>
        <v>38</v>
      </c>
      <c r="E6" s="46">
        <f>IFERROR(D6/B4,"0")</f>
        <v>6.5517241379310351E-2</v>
      </c>
      <c r="F6" s="25"/>
    </row>
    <row r="7" spans="1:7" s="27" customFormat="1" ht="35.1" customHeight="1">
      <c r="B7" s="88" t="s">
        <v>163</v>
      </c>
      <c r="C7" s="89" t="s">
        <v>161</v>
      </c>
      <c r="D7" s="88" t="s">
        <v>164</v>
      </c>
      <c r="E7" s="89" t="s">
        <v>161</v>
      </c>
      <c r="F7" s="25"/>
    </row>
    <row r="8" spans="1:7" s="27" customFormat="1" ht="35.1" customHeight="1" thickBot="1">
      <c r="B8" s="87">
        <f>B4-B6</f>
        <v>0</v>
      </c>
      <c r="C8" s="46">
        <f>IFERROR(B8/B4,"-")</f>
        <v>0</v>
      </c>
      <c r="D8" s="87">
        <f>COUNTIFS(CAVALETE!O:O,"NA",CAVALETE!Q:Q,"NA",CAVALETE!S:S,"NA",CAVALETE!U:U,"NA",CAVALETE!W:W,"NA")</f>
        <v>44</v>
      </c>
      <c r="E8" s="46">
        <f>IFERROR(D8/B4,"-")</f>
        <v>7.586206896551724E-2</v>
      </c>
      <c r="F8" s="25"/>
    </row>
    <row r="9" spans="1:7" s="27" customFormat="1" ht="20.100000000000001" customHeight="1">
      <c r="B9" s="24"/>
      <c r="C9" s="24"/>
      <c r="D9" s="25"/>
      <c r="E9" s="24"/>
      <c r="F9" s="25"/>
    </row>
    <row r="10" spans="1:7" s="27" customFormat="1" ht="20.100000000000001" customHeight="1">
      <c r="B10" s="24"/>
      <c r="C10" s="24"/>
      <c r="D10" s="25"/>
      <c r="E10" s="24"/>
      <c r="F10" s="25"/>
    </row>
    <row r="11" spans="1:7" s="27" customFormat="1" ht="35.1" customHeight="1">
      <c r="A11" s="433" t="s">
        <v>165</v>
      </c>
      <c r="B11" s="433"/>
      <c r="C11" s="433"/>
      <c r="D11" s="433"/>
      <c r="E11" s="433"/>
      <c r="F11" s="433"/>
      <c r="G11" s="433"/>
    </row>
    <row r="12" spans="1:7" s="27" customFormat="1" ht="20.100000000000001" customHeight="1">
      <c r="B12" s="24"/>
      <c r="C12" s="24"/>
      <c r="D12" s="25"/>
      <c r="E12" s="24"/>
      <c r="F12" s="25"/>
    </row>
    <row r="13" spans="1:7" s="27" customFormat="1" ht="20.100000000000001" customHeight="1">
      <c r="A13" s="24"/>
      <c r="F13" s="24"/>
    </row>
    <row r="14" spans="1:7" s="27" customFormat="1" ht="20.100000000000001" customHeight="1">
      <c r="A14" s="24"/>
      <c r="F14" s="24"/>
    </row>
    <row r="15" spans="1:7" s="1" customFormat="1" ht="20.100000000000001" customHeight="1">
      <c r="A15" s="38"/>
      <c r="B15" s="38"/>
      <c r="C15" s="38"/>
      <c r="D15" s="38"/>
      <c r="E15" s="38"/>
      <c r="F15" s="38"/>
    </row>
    <row r="16" spans="1:7" s="1" customFormat="1" ht="20.100000000000001" customHeight="1">
      <c r="A16" s="38"/>
      <c r="B16" s="38"/>
      <c r="C16" s="38"/>
      <c r="D16" s="38"/>
      <c r="E16" s="38"/>
      <c r="F16" s="38"/>
    </row>
    <row r="17" spans="1:6" s="1" customFormat="1" ht="20.100000000000001" customHeight="1">
      <c r="A17" s="38"/>
      <c r="B17" s="38"/>
      <c r="C17" s="38"/>
      <c r="D17" s="38"/>
      <c r="E17" s="38"/>
      <c r="F17" s="38"/>
    </row>
    <row r="18" spans="1:6" s="1" customFormat="1" ht="20.100000000000001" customHeight="1">
      <c r="A18" s="38"/>
      <c r="B18" s="38"/>
      <c r="C18" s="38"/>
      <c r="D18" s="38"/>
      <c r="E18" s="38"/>
      <c r="F18" s="38"/>
    </row>
    <row r="19" spans="1:6" s="1" customFormat="1" ht="20.100000000000001" customHeight="1">
      <c r="A19" s="38"/>
      <c r="B19" s="38"/>
      <c r="C19" s="38"/>
      <c r="D19" s="38"/>
      <c r="E19" s="38"/>
      <c r="F19" s="38"/>
    </row>
    <row r="20" spans="1:6" s="1" customFormat="1" ht="20.100000000000001" customHeight="1">
      <c r="A20" s="38"/>
      <c r="B20" s="38"/>
      <c r="C20" s="38"/>
      <c r="D20" s="38"/>
      <c r="E20" s="38"/>
      <c r="F20" s="38"/>
    </row>
    <row r="21" spans="1:6" s="1" customFormat="1" ht="20.100000000000001" customHeight="1">
      <c r="A21" s="38"/>
      <c r="B21" s="38"/>
      <c r="C21" s="38"/>
      <c r="D21" s="38"/>
      <c r="E21" s="38"/>
      <c r="F21" s="38"/>
    </row>
    <row r="22" spans="1:6" s="1" customFormat="1" ht="20.100000000000001" customHeight="1">
      <c r="A22" s="38"/>
      <c r="B22" s="38"/>
      <c r="C22" s="38"/>
      <c r="D22" s="38"/>
      <c r="E22" s="38"/>
      <c r="F22" s="38"/>
    </row>
    <row r="23" spans="1:6" s="1" customFormat="1" ht="20.100000000000001" customHeight="1">
      <c r="A23" s="38"/>
      <c r="B23" s="38"/>
      <c r="C23" s="38"/>
      <c r="D23" s="38"/>
      <c r="E23" s="38"/>
      <c r="F23" s="38"/>
    </row>
    <row r="24" spans="1:6" s="1" customFormat="1" ht="20.100000000000001" customHeight="1">
      <c r="A24" s="38"/>
      <c r="B24" s="38"/>
      <c r="C24" s="38"/>
      <c r="D24" s="38"/>
      <c r="E24" s="38"/>
      <c r="F24" s="38"/>
    </row>
    <row r="25" spans="1:6" s="1" customFormat="1" ht="20.100000000000001" customHeight="1">
      <c r="A25" s="38"/>
      <c r="B25" s="38"/>
      <c r="C25" s="38"/>
      <c r="D25" s="38"/>
      <c r="E25" s="38"/>
      <c r="F25" s="38"/>
    </row>
    <row r="26" spans="1:6" s="1" customFormat="1" ht="20.100000000000001" customHeight="1">
      <c r="A26" s="38"/>
      <c r="B26" s="38"/>
      <c r="C26" s="38"/>
      <c r="D26" s="38"/>
      <c r="E26" s="38"/>
      <c r="F26" s="38"/>
    </row>
    <row r="27" spans="1:6" s="1" customFormat="1" ht="20.100000000000001" customHeight="1">
      <c r="A27" s="38"/>
      <c r="B27" s="38"/>
      <c r="C27" s="38"/>
      <c r="D27" s="38"/>
      <c r="E27" s="38"/>
      <c r="F27" s="38"/>
    </row>
    <row r="28" spans="1:6" s="1" customFormat="1" ht="20.100000000000001" customHeight="1">
      <c r="A28" s="38"/>
      <c r="B28" s="38"/>
      <c r="C28" s="38"/>
      <c r="D28" s="38"/>
      <c r="E28" s="38"/>
      <c r="F28" s="38"/>
    </row>
    <row r="29" spans="1:6" s="1" customFormat="1" ht="20.100000000000001" customHeight="1">
      <c r="A29" s="38"/>
      <c r="B29" s="38"/>
      <c r="C29" s="38"/>
      <c r="D29" s="38"/>
      <c r="E29" s="38"/>
      <c r="F29" s="38"/>
    </row>
    <row r="30" spans="1:6" s="1" customFormat="1" ht="20.100000000000001" customHeight="1">
      <c r="A30" s="38"/>
      <c r="B30" s="38"/>
      <c r="C30" s="38"/>
      <c r="D30" s="38"/>
      <c r="E30" s="38"/>
      <c r="F30" s="38"/>
    </row>
    <row r="31" spans="1:6" s="1" customFormat="1" ht="20.100000000000001" customHeight="1">
      <c r="A31" s="38"/>
      <c r="B31" s="38"/>
      <c r="C31" s="38"/>
      <c r="D31" s="38"/>
      <c r="E31" s="38"/>
      <c r="F31" s="38"/>
    </row>
    <row r="32" spans="1:6" s="1" customFormat="1" ht="20.100000000000001" customHeight="1">
      <c r="A32" s="38"/>
      <c r="B32" s="38"/>
      <c r="C32" s="38"/>
      <c r="D32" s="38"/>
      <c r="E32" s="38"/>
      <c r="F32" s="38"/>
    </row>
    <row r="33" spans="1:7" s="1" customFormat="1" ht="20.100000000000001" customHeight="1">
      <c r="A33" s="38"/>
      <c r="B33" s="38"/>
      <c r="C33" s="38"/>
      <c r="D33" s="38"/>
      <c r="E33" s="38"/>
      <c r="F33" s="38"/>
    </row>
    <row r="34" spans="1:7" s="1" customFormat="1" ht="20.100000000000001" customHeight="1">
      <c r="A34" s="38"/>
      <c r="B34" s="38"/>
      <c r="C34" s="38"/>
      <c r="D34" s="38"/>
      <c r="E34" s="38"/>
      <c r="F34" s="38"/>
    </row>
    <row r="35" spans="1:7" s="1" customFormat="1" ht="20.100000000000001" customHeight="1">
      <c r="A35" s="38"/>
      <c r="B35" s="38"/>
      <c r="C35" s="38"/>
      <c r="D35" s="38"/>
      <c r="E35" s="38"/>
      <c r="F35" s="38"/>
    </row>
    <row r="36" spans="1:7" s="1" customFormat="1" ht="20.100000000000001" customHeight="1">
      <c r="A36" s="38"/>
      <c r="B36" s="38"/>
      <c r="C36" s="38"/>
      <c r="D36" s="38"/>
      <c r="E36" s="38"/>
      <c r="F36" s="38"/>
    </row>
    <row r="37" spans="1:7" s="1" customFormat="1" ht="20.100000000000001" customHeight="1">
      <c r="A37" s="38"/>
      <c r="B37" s="38"/>
      <c r="C37" s="38"/>
      <c r="D37" s="38"/>
      <c r="E37" s="38"/>
      <c r="F37" s="38"/>
    </row>
    <row r="38" spans="1:7" s="1" customFormat="1" ht="20.100000000000001" customHeight="1">
      <c r="A38" s="38"/>
      <c r="B38" s="38"/>
      <c r="C38" s="38"/>
      <c r="D38" s="38"/>
      <c r="E38" s="38"/>
      <c r="F38" s="38"/>
    </row>
    <row r="39" spans="1:7" s="1" customFormat="1" ht="20.100000000000001" customHeight="1">
      <c r="A39" s="38"/>
      <c r="B39" s="38"/>
      <c r="C39" s="38"/>
      <c r="D39" s="38"/>
      <c r="E39" s="38"/>
      <c r="F39" s="38"/>
    </row>
    <row r="40" spans="1:7" s="1" customFormat="1" ht="35.1" customHeight="1">
      <c r="A40" s="433" t="s">
        <v>166</v>
      </c>
      <c r="B40" s="433"/>
      <c r="C40" s="433"/>
      <c r="D40" s="433"/>
      <c r="E40" s="433"/>
      <c r="F40" s="433"/>
      <c r="G40" s="433"/>
    </row>
    <row r="41" spans="1:7" s="1" customFormat="1" ht="20.100000000000001" customHeight="1">
      <c r="A41" s="38"/>
      <c r="B41" s="38"/>
      <c r="C41" s="38"/>
      <c r="D41" s="38"/>
      <c r="E41" s="38"/>
      <c r="F41" s="38"/>
    </row>
    <row r="42" spans="1:7" s="1" customFormat="1" ht="20.100000000000001" customHeight="1">
      <c r="A42" s="38"/>
      <c r="B42" s="38"/>
      <c r="C42" s="38"/>
      <c r="D42" s="38"/>
      <c r="E42" s="38"/>
      <c r="F42" s="38"/>
    </row>
    <row r="43" spans="1:7" s="1" customFormat="1" ht="20.100000000000001" customHeight="1">
      <c r="A43" s="38"/>
      <c r="B43" s="38"/>
      <c r="C43" s="38"/>
      <c r="D43" s="38"/>
      <c r="E43" s="38"/>
      <c r="F43" s="38"/>
    </row>
    <row r="44" spans="1:7" s="1" customFormat="1" ht="20.100000000000001" customHeight="1">
      <c r="A44" s="38"/>
      <c r="B44" s="38"/>
      <c r="C44" s="38"/>
      <c r="D44" s="38"/>
      <c r="E44" s="38"/>
      <c r="F44" s="38"/>
    </row>
    <row r="45" spans="1:7" s="1" customFormat="1" ht="20.100000000000001" customHeight="1">
      <c r="A45" s="38"/>
      <c r="B45" s="38"/>
      <c r="C45" s="38"/>
      <c r="D45" s="38"/>
      <c r="E45" s="38"/>
      <c r="F45" s="38"/>
    </row>
    <row r="46" spans="1:7" s="1" customFormat="1" ht="20.100000000000001" customHeight="1">
      <c r="A46" s="38"/>
      <c r="B46" s="38"/>
      <c r="C46" s="38"/>
      <c r="D46" s="38"/>
      <c r="E46" s="38"/>
      <c r="F46" s="38"/>
    </row>
    <row r="47" spans="1:7" s="1" customFormat="1" ht="20.100000000000001" customHeight="1">
      <c r="A47" s="38"/>
      <c r="B47" s="38"/>
      <c r="C47" s="38"/>
      <c r="D47" s="38"/>
      <c r="E47" s="38"/>
      <c r="F47" s="38"/>
    </row>
    <row r="48" spans="1:7" s="1" customFormat="1" ht="20.100000000000001" customHeight="1">
      <c r="A48" s="38"/>
      <c r="B48" s="38"/>
      <c r="C48" s="38"/>
      <c r="D48" s="38"/>
      <c r="E48" s="38"/>
      <c r="F48" s="38"/>
    </row>
    <row r="49" spans="1:6" s="1" customFormat="1" ht="20.100000000000001" customHeight="1">
      <c r="A49" s="38"/>
      <c r="B49" s="38"/>
      <c r="C49" s="38"/>
      <c r="D49" s="38"/>
      <c r="E49" s="38"/>
      <c r="F49" s="38"/>
    </row>
    <row r="50" spans="1:6" s="1" customFormat="1" ht="20.100000000000001" customHeight="1">
      <c r="A50" s="38"/>
      <c r="B50" s="38"/>
      <c r="C50" s="38"/>
      <c r="D50" s="38"/>
      <c r="E50" s="38"/>
      <c r="F50" s="38"/>
    </row>
    <row r="51" spans="1:6" s="1" customFormat="1" ht="20.100000000000001" customHeight="1">
      <c r="A51" s="38"/>
      <c r="B51" s="38"/>
      <c r="C51" s="38"/>
      <c r="D51" s="38"/>
      <c r="E51" s="38"/>
      <c r="F51" s="38"/>
    </row>
    <row r="52" spans="1:6" s="1" customFormat="1" ht="20.100000000000001" customHeight="1">
      <c r="A52" s="38"/>
      <c r="B52" s="38"/>
      <c r="C52" s="38"/>
      <c r="D52" s="38"/>
      <c r="E52" s="38"/>
      <c r="F52" s="38"/>
    </row>
    <row r="53" spans="1:6" s="1" customFormat="1" ht="20.100000000000001" customHeight="1">
      <c r="A53" s="38"/>
      <c r="B53" s="38"/>
      <c r="C53" s="38"/>
      <c r="D53" s="38"/>
      <c r="E53" s="38"/>
      <c r="F53" s="38"/>
    </row>
    <row r="54" spans="1:6" s="1" customFormat="1" ht="20.100000000000001" customHeight="1">
      <c r="A54" s="38"/>
      <c r="B54" s="38"/>
      <c r="C54" s="38"/>
      <c r="D54" s="38"/>
      <c r="E54" s="38"/>
      <c r="F54" s="38"/>
    </row>
    <row r="55" spans="1:6" s="1" customFormat="1" ht="20.100000000000001" customHeight="1">
      <c r="A55" s="38"/>
      <c r="B55" s="38"/>
      <c r="C55" s="38"/>
      <c r="D55" s="38"/>
      <c r="E55" s="38"/>
      <c r="F55" s="38"/>
    </row>
    <row r="56" spans="1:6" s="1" customFormat="1" ht="20.100000000000001" customHeight="1">
      <c r="A56" s="38"/>
      <c r="B56" s="38"/>
      <c r="C56" s="38"/>
      <c r="D56" s="38"/>
      <c r="E56" s="38"/>
      <c r="F56" s="38"/>
    </row>
    <row r="57" spans="1:6" s="1" customFormat="1" ht="20.100000000000001" customHeight="1">
      <c r="A57" s="38"/>
      <c r="B57" s="38"/>
      <c r="C57" s="38"/>
      <c r="D57" s="38"/>
      <c r="E57" s="38"/>
      <c r="F57" s="38"/>
    </row>
    <row r="58" spans="1:6" s="1" customFormat="1" ht="20.100000000000001" customHeight="1">
      <c r="A58" s="38"/>
      <c r="B58" s="38"/>
      <c r="C58" s="38"/>
      <c r="D58" s="38"/>
      <c r="E58" s="38"/>
      <c r="F58" s="38"/>
    </row>
    <row r="59" spans="1:6" s="1" customFormat="1" ht="20.100000000000001" customHeight="1">
      <c r="A59" s="38"/>
      <c r="B59" s="38"/>
      <c r="C59" s="38"/>
      <c r="D59" s="38"/>
      <c r="E59" s="38"/>
      <c r="F59" s="38"/>
    </row>
    <row r="60" spans="1:6" s="1" customFormat="1" ht="19.5" customHeight="1">
      <c r="A60" s="38"/>
      <c r="B60" s="38"/>
      <c r="C60" s="38"/>
      <c r="D60" s="38"/>
      <c r="E60" s="38"/>
      <c r="F60" s="38"/>
    </row>
    <row r="61" spans="1:6" s="1" customFormat="1" ht="19.5" customHeight="1">
      <c r="A61" s="38"/>
      <c r="B61" s="38"/>
      <c r="C61" s="38"/>
      <c r="D61" s="38"/>
      <c r="E61" s="38"/>
      <c r="F61" s="38"/>
    </row>
    <row r="62" spans="1:6" s="1" customFormat="1" ht="19.5" customHeight="1">
      <c r="A62" s="38"/>
      <c r="B62" s="38"/>
      <c r="C62" s="38"/>
      <c r="D62" s="38"/>
      <c r="E62" s="38"/>
      <c r="F62" s="38"/>
    </row>
    <row r="63" spans="1:6" s="1" customFormat="1" ht="19.5" customHeight="1">
      <c r="A63" s="38"/>
      <c r="B63" s="38"/>
      <c r="C63" s="38"/>
      <c r="D63" s="38"/>
      <c r="E63" s="38"/>
      <c r="F63" s="38"/>
    </row>
    <row r="64" spans="1:6" s="1" customFormat="1" ht="19.5" customHeight="1">
      <c r="A64" s="38"/>
      <c r="B64" s="38"/>
      <c r="C64" s="38"/>
      <c r="D64" s="38"/>
      <c r="E64" s="38"/>
      <c r="F64" s="38"/>
    </row>
    <row r="65" spans="1:7" s="1" customFormat="1" ht="19.5" customHeight="1">
      <c r="A65" s="38"/>
      <c r="B65" s="38"/>
      <c r="C65" s="38"/>
      <c r="D65" s="38"/>
      <c r="E65" s="38"/>
      <c r="F65" s="38"/>
    </row>
    <row r="66" spans="1:7" s="1" customFormat="1" ht="19.5" customHeight="1">
      <c r="A66" s="38"/>
      <c r="B66" s="38"/>
      <c r="C66" s="38"/>
      <c r="D66" s="38"/>
      <c r="E66" s="38"/>
      <c r="F66" s="38"/>
    </row>
    <row r="67" spans="1:7" s="1" customFormat="1" ht="19.5" customHeight="1">
      <c r="A67" s="38"/>
      <c r="B67" s="38"/>
      <c r="C67" s="38"/>
      <c r="D67" s="38"/>
      <c r="E67" s="38"/>
      <c r="F67" s="38"/>
    </row>
    <row r="68" spans="1:7" s="1" customFormat="1" ht="19.5" customHeight="1">
      <c r="A68" s="38"/>
      <c r="B68" s="38"/>
      <c r="C68" s="38"/>
      <c r="D68" s="38"/>
      <c r="E68" s="38"/>
      <c r="F68" s="38"/>
    </row>
    <row r="69" spans="1:7" s="2" customFormat="1" ht="35.1" customHeight="1">
      <c r="A69" s="433" t="s">
        <v>167</v>
      </c>
      <c r="B69" s="433"/>
      <c r="C69" s="433"/>
      <c r="D69" s="433"/>
      <c r="E69" s="433"/>
      <c r="F69" s="433"/>
      <c r="G69" s="433"/>
    </row>
    <row r="70" spans="1:7" s="1" customFormat="1" ht="20.100000000000001" customHeight="1">
      <c r="A70" s="18"/>
      <c r="B70" s="18"/>
      <c r="C70" s="18"/>
      <c r="D70" s="18"/>
      <c r="E70" s="18"/>
      <c r="F70" s="18"/>
    </row>
    <row r="71" spans="1:7" s="1" customFormat="1" ht="20.100000000000001" customHeight="1">
      <c r="A71" s="18"/>
      <c r="B71" s="18"/>
      <c r="C71" s="18"/>
      <c r="D71" s="18"/>
      <c r="E71" s="18"/>
      <c r="F71" s="18"/>
    </row>
    <row r="72" spans="1:7" s="1" customFormat="1" ht="20.100000000000001" customHeight="1">
      <c r="A72" s="18"/>
      <c r="B72" s="18"/>
      <c r="C72" s="18"/>
      <c r="D72" s="18"/>
      <c r="E72" s="18"/>
      <c r="F72" s="18"/>
    </row>
    <row r="73" spans="1:7" s="1" customFormat="1" ht="20.100000000000001" customHeight="1">
      <c r="A73" s="18"/>
      <c r="B73" s="18"/>
      <c r="C73" s="18"/>
      <c r="D73" s="18"/>
      <c r="E73" s="18"/>
      <c r="F73" s="18"/>
    </row>
    <row r="74" spans="1:7" s="1" customFormat="1" ht="20.100000000000001" customHeight="1">
      <c r="A74" s="18"/>
      <c r="B74" s="18"/>
      <c r="C74" s="18"/>
      <c r="D74" s="18"/>
      <c r="E74" s="18"/>
      <c r="F74" s="18"/>
    </row>
    <row r="75" spans="1:7" s="1" customFormat="1" ht="20.100000000000001" customHeight="1">
      <c r="A75" s="18"/>
      <c r="B75" s="18"/>
      <c r="C75" s="18"/>
      <c r="D75" s="18"/>
      <c r="E75" s="18"/>
      <c r="F75" s="18"/>
    </row>
    <row r="76" spans="1:7" s="1" customFormat="1" ht="20.100000000000001" customHeight="1">
      <c r="A76" s="18"/>
      <c r="B76" s="18"/>
      <c r="C76" s="18"/>
      <c r="D76" s="18"/>
      <c r="E76" s="18"/>
      <c r="F76" s="18"/>
    </row>
    <row r="77" spans="1:7" s="1" customFormat="1" ht="20.100000000000001" customHeight="1">
      <c r="A77" s="18"/>
      <c r="B77" s="18"/>
      <c r="C77" s="18"/>
      <c r="D77" s="18"/>
      <c r="E77" s="18"/>
      <c r="F77" s="18"/>
    </row>
    <row r="78" spans="1:7" s="1" customFormat="1" ht="20.100000000000001" customHeight="1">
      <c r="A78" s="18"/>
      <c r="B78" s="18"/>
      <c r="C78" s="18"/>
      <c r="D78" s="18"/>
      <c r="E78" s="18"/>
      <c r="F78" s="18"/>
    </row>
    <row r="79" spans="1:7" s="1" customFormat="1" ht="20.100000000000001" customHeight="1">
      <c r="A79" s="18"/>
      <c r="B79" s="18"/>
      <c r="C79" s="18"/>
      <c r="D79" s="18"/>
      <c r="E79" s="18"/>
      <c r="F79" s="18"/>
    </row>
    <row r="80" spans="1:7" s="1" customFormat="1" ht="20.100000000000001" customHeight="1">
      <c r="A80" s="18"/>
      <c r="B80" s="18"/>
      <c r="C80" s="18"/>
      <c r="D80" s="18"/>
      <c r="E80" s="18"/>
      <c r="F80" s="18"/>
    </row>
    <row r="81" spans="1:6" s="1" customFormat="1" ht="20.100000000000001" customHeight="1">
      <c r="A81" s="18"/>
      <c r="B81" s="18"/>
      <c r="C81" s="18"/>
      <c r="D81" s="18"/>
      <c r="E81" s="18"/>
      <c r="F81" s="18"/>
    </row>
    <row r="82" spans="1:6" s="1" customFormat="1" ht="20.100000000000001" customHeight="1">
      <c r="A82" s="18"/>
      <c r="B82" s="18"/>
      <c r="C82" s="18"/>
      <c r="D82" s="18"/>
      <c r="E82" s="18"/>
      <c r="F82" s="18"/>
    </row>
    <row r="83" spans="1:6" s="1" customFormat="1" ht="20.100000000000001" customHeight="1">
      <c r="A83" s="18"/>
      <c r="B83" s="18"/>
      <c r="C83" s="18"/>
      <c r="D83" s="18"/>
      <c r="E83" s="18"/>
      <c r="F83" s="18"/>
    </row>
    <row r="84" spans="1:6" s="1" customFormat="1" ht="20.100000000000001" customHeight="1">
      <c r="A84" s="18"/>
      <c r="B84" s="18"/>
      <c r="C84" s="18"/>
      <c r="D84" s="18"/>
      <c r="E84" s="18"/>
      <c r="F84" s="18"/>
    </row>
    <row r="85" spans="1:6" s="1" customFormat="1" ht="20.100000000000001" customHeight="1">
      <c r="A85" s="18"/>
      <c r="B85" s="18"/>
      <c r="C85" s="18"/>
      <c r="D85" s="18"/>
      <c r="E85" s="18"/>
      <c r="F85" s="18"/>
    </row>
    <row r="86" spans="1:6" s="1" customFormat="1" ht="20.100000000000001" customHeight="1">
      <c r="A86" s="18"/>
      <c r="B86" s="18"/>
      <c r="C86" s="18"/>
      <c r="D86" s="18"/>
      <c r="E86" s="18"/>
      <c r="F86" s="18"/>
    </row>
    <row r="87" spans="1:6" s="1" customFormat="1" ht="20.100000000000001" customHeight="1">
      <c r="A87" s="18"/>
      <c r="B87" s="18"/>
      <c r="C87" s="18"/>
      <c r="D87" s="18"/>
      <c r="E87" s="18"/>
      <c r="F87" s="18"/>
    </row>
    <row r="88" spans="1:6" s="1" customFormat="1" ht="20.100000000000001" customHeight="1">
      <c r="A88" s="18"/>
      <c r="B88" s="18"/>
      <c r="C88" s="18"/>
      <c r="D88" s="18"/>
      <c r="E88" s="18"/>
      <c r="F88" s="18"/>
    </row>
    <row r="89" spans="1:6" s="1" customFormat="1" ht="20.100000000000001" customHeight="1">
      <c r="A89" s="18"/>
      <c r="B89" s="18"/>
      <c r="C89" s="18"/>
      <c r="D89" s="18"/>
      <c r="E89" s="18"/>
      <c r="F89" s="18"/>
    </row>
    <row r="90" spans="1:6" s="1" customFormat="1" ht="20.100000000000001" customHeight="1">
      <c r="A90" s="18"/>
      <c r="B90" s="18"/>
      <c r="C90" s="18"/>
      <c r="D90" s="18"/>
      <c r="E90" s="18"/>
      <c r="F90" s="18"/>
    </row>
    <row r="91" spans="1:6" s="1" customFormat="1" ht="20.100000000000001" customHeight="1">
      <c r="A91" s="18"/>
      <c r="B91" s="18"/>
      <c r="C91" s="18"/>
      <c r="D91" s="18"/>
      <c r="E91" s="18"/>
      <c r="F91" s="18"/>
    </row>
    <row r="92" spans="1:6" s="1" customFormat="1" ht="20.100000000000001" customHeight="1">
      <c r="A92" s="18"/>
      <c r="B92" s="18"/>
      <c r="C92" s="18"/>
      <c r="D92" s="18"/>
      <c r="E92" s="18"/>
      <c r="F92" s="18"/>
    </row>
    <row r="93" spans="1:6" s="1" customFormat="1" ht="20.100000000000001" customHeight="1">
      <c r="A93" s="18"/>
      <c r="B93" s="18"/>
      <c r="C93" s="18"/>
      <c r="D93" s="18"/>
      <c r="E93" s="18"/>
      <c r="F93" s="18"/>
    </row>
    <row r="94" spans="1:6" s="1" customFormat="1" ht="20.100000000000001" customHeight="1">
      <c r="A94" s="18"/>
      <c r="B94" s="18"/>
      <c r="C94" s="18"/>
      <c r="D94" s="18"/>
      <c r="E94" s="18"/>
      <c r="F94" s="18"/>
    </row>
    <row r="95" spans="1:6" s="1" customFormat="1" ht="20.100000000000001" customHeight="1">
      <c r="A95" s="18"/>
      <c r="B95" s="18"/>
      <c r="C95" s="18"/>
      <c r="D95" s="18"/>
      <c r="E95" s="18"/>
      <c r="F95" s="18"/>
    </row>
    <row r="96" spans="1:6" s="1" customFormat="1" ht="20.100000000000001" customHeight="1">
      <c r="A96" s="18"/>
      <c r="B96" s="18"/>
      <c r="C96" s="18"/>
      <c r="D96" s="18"/>
      <c r="E96" s="18"/>
      <c r="F96" s="18"/>
    </row>
    <row r="97" spans="1:14" s="1" customFormat="1" ht="20.100000000000001" customHeight="1">
      <c r="A97" s="18"/>
      <c r="B97" s="18"/>
      <c r="C97" s="18"/>
      <c r="D97" s="18"/>
      <c r="E97" s="18"/>
      <c r="F97" s="18"/>
    </row>
    <row r="98" spans="1:14" s="1" customFormat="1" ht="20.100000000000001" customHeight="1">
      <c r="A98" s="18"/>
      <c r="B98" s="18"/>
      <c r="C98" s="18"/>
      <c r="D98" s="18"/>
      <c r="E98" s="18"/>
      <c r="F98" s="18"/>
    </row>
    <row r="99" spans="1:14" s="1" customFormat="1" ht="20.100000000000001" customHeight="1">
      <c r="A99" s="18"/>
      <c r="B99" s="18"/>
      <c r="C99" s="18"/>
      <c r="D99" s="18"/>
      <c r="E99" s="18"/>
      <c r="F99" s="18"/>
    </row>
    <row r="100" spans="1:14" s="1" customFormat="1" ht="20.100000000000001" customHeight="1">
      <c r="A100" s="18"/>
      <c r="B100" s="18"/>
      <c r="C100" s="18"/>
      <c r="D100" s="18"/>
      <c r="E100" s="18"/>
      <c r="F100" s="18"/>
    </row>
    <row r="101" spans="1:14" s="1" customFormat="1" ht="20.100000000000001" customHeight="1">
      <c r="A101" s="18"/>
      <c r="B101" s="18"/>
      <c r="C101" s="18"/>
      <c r="D101" s="18"/>
      <c r="E101" s="18"/>
      <c r="F101" s="18"/>
    </row>
    <row r="102" spans="1:14" s="1" customFormat="1" ht="20.100000000000001" customHeight="1">
      <c r="A102" s="18"/>
      <c r="B102" s="18"/>
      <c r="C102" s="18"/>
      <c r="D102" s="18"/>
      <c r="E102" s="18"/>
      <c r="F102" s="18"/>
    </row>
    <row r="103" spans="1:14" s="23" customFormat="1" ht="35.1" customHeight="1">
      <c r="A103" s="433" t="s">
        <v>168</v>
      </c>
      <c r="B103" s="433"/>
      <c r="C103" s="433"/>
      <c r="D103" s="433"/>
      <c r="E103" s="433"/>
      <c r="F103" s="433"/>
      <c r="G103" s="433"/>
      <c r="H103" s="433"/>
      <c r="I103" s="433"/>
      <c r="J103" s="433"/>
      <c r="K103" s="433"/>
      <c r="L103" s="93"/>
      <c r="M103" s="93"/>
      <c r="N103" s="93"/>
    </row>
    <row r="104" spans="1:14" s="1" customFormat="1" ht="20.100000000000001" customHeight="1">
      <c r="A104" s="18"/>
      <c r="B104" s="18"/>
      <c r="C104" s="18"/>
      <c r="D104" s="18"/>
      <c r="E104" s="18"/>
      <c r="F104" s="18"/>
    </row>
    <row r="105" spans="1:14" s="1" customFormat="1" ht="20.100000000000001" customHeight="1">
      <c r="A105" s="18"/>
      <c r="B105" s="18"/>
      <c r="C105" s="18"/>
      <c r="D105" s="18"/>
      <c r="E105" s="18"/>
      <c r="F105" s="18"/>
    </row>
    <row r="106" spans="1:14" s="1" customFormat="1" ht="20.100000000000001" customHeight="1">
      <c r="A106" s="18"/>
      <c r="B106" s="18"/>
      <c r="C106" s="18"/>
      <c r="D106" s="18"/>
      <c r="E106" s="18"/>
      <c r="F106" s="18"/>
    </row>
    <row r="107" spans="1:14" s="1" customFormat="1" ht="20.100000000000001" customHeight="1">
      <c r="A107" s="18"/>
      <c r="B107" s="18"/>
      <c r="C107" s="18"/>
      <c r="D107" s="18"/>
      <c r="E107" s="18"/>
      <c r="F107" s="18"/>
    </row>
    <row r="108" spans="1:14" s="1" customFormat="1" ht="20.100000000000001" customHeight="1">
      <c r="A108" s="18"/>
      <c r="B108" s="18"/>
      <c r="C108" s="18"/>
      <c r="D108" s="18"/>
      <c r="E108" s="18"/>
      <c r="F108" s="18"/>
    </row>
    <row r="109" spans="1:14" s="1" customFormat="1" ht="20.100000000000001" customHeight="1">
      <c r="A109" s="18"/>
      <c r="B109" s="18"/>
      <c r="C109" s="18"/>
      <c r="D109" s="18"/>
      <c r="E109" s="18"/>
      <c r="F109" s="18"/>
    </row>
    <row r="110" spans="1:14" s="1" customFormat="1" ht="20.100000000000001" customHeight="1">
      <c r="A110" s="18"/>
      <c r="B110" s="18"/>
      <c r="C110" s="18"/>
      <c r="D110" s="18"/>
      <c r="E110" s="18"/>
      <c r="F110" s="18"/>
    </row>
    <row r="111" spans="1:14" s="1" customFormat="1" ht="20.100000000000001" customHeight="1">
      <c r="A111" s="18"/>
      <c r="B111" s="18"/>
      <c r="C111" s="18"/>
      <c r="D111" s="18"/>
      <c r="E111" s="18"/>
      <c r="F111" s="18"/>
    </row>
    <row r="112" spans="1:14" s="1" customFormat="1" ht="20.100000000000001" customHeight="1">
      <c r="A112" s="18"/>
      <c r="B112" s="18"/>
      <c r="C112" s="18"/>
      <c r="D112" s="18"/>
      <c r="E112" s="18"/>
      <c r="F112" s="18"/>
    </row>
    <row r="113" spans="1:6" s="1" customFormat="1" ht="20.100000000000001" customHeight="1">
      <c r="A113" s="18"/>
      <c r="B113" s="18"/>
      <c r="C113" s="18"/>
      <c r="D113" s="18"/>
      <c r="E113" s="18"/>
      <c r="F113" s="18"/>
    </row>
    <row r="114" spans="1:6" s="1" customFormat="1" ht="20.100000000000001" customHeight="1">
      <c r="A114" s="18"/>
      <c r="B114" s="18"/>
      <c r="C114" s="18"/>
      <c r="D114" s="18"/>
      <c r="E114" s="18"/>
      <c r="F114" s="18"/>
    </row>
    <row r="115" spans="1:6" s="1" customFormat="1" ht="20.100000000000001" customHeight="1">
      <c r="A115" s="18"/>
      <c r="B115" s="18"/>
      <c r="C115" s="18"/>
      <c r="D115" s="18"/>
      <c r="E115" s="18"/>
      <c r="F115" s="18"/>
    </row>
    <row r="116" spans="1:6" s="1" customFormat="1" ht="20.100000000000001" customHeight="1">
      <c r="A116" s="18"/>
      <c r="B116" s="18"/>
      <c r="C116" s="18"/>
      <c r="D116" s="18"/>
      <c r="E116" s="18"/>
      <c r="F116" s="18"/>
    </row>
    <row r="117" spans="1:6" s="1" customFormat="1" ht="20.100000000000001" customHeight="1">
      <c r="A117" s="18"/>
      <c r="B117" s="18"/>
      <c r="C117" s="18"/>
      <c r="D117" s="18"/>
      <c r="E117" s="18"/>
      <c r="F117" s="18"/>
    </row>
    <row r="118" spans="1:6" s="1" customFormat="1" ht="20.100000000000001" customHeight="1">
      <c r="A118" s="18"/>
      <c r="B118" s="18"/>
      <c r="C118" s="18"/>
      <c r="D118" s="18"/>
      <c r="E118" s="18"/>
      <c r="F118" s="18"/>
    </row>
    <row r="119" spans="1:6" s="1" customFormat="1" ht="20.100000000000001" customHeight="1">
      <c r="A119" s="18"/>
      <c r="B119" s="18"/>
      <c r="C119" s="18"/>
      <c r="D119" s="18"/>
      <c r="E119" s="18"/>
      <c r="F119" s="18"/>
    </row>
    <row r="120" spans="1:6" s="1" customFormat="1" ht="20.100000000000001" customHeight="1">
      <c r="A120" s="18"/>
      <c r="B120" s="18"/>
      <c r="C120" s="18"/>
      <c r="D120" s="18"/>
      <c r="E120" s="18"/>
      <c r="F120" s="18"/>
    </row>
    <row r="121" spans="1:6" s="1" customFormat="1" ht="20.100000000000001" customHeight="1">
      <c r="A121" s="18"/>
      <c r="B121" s="18"/>
      <c r="C121" s="18"/>
      <c r="D121" s="18"/>
      <c r="E121" s="18"/>
      <c r="F121" s="18"/>
    </row>
    <row r="122" spans="1:6" s="1" customFormat="1" ht="20.100000000000001" customHeight="1">
      <c r="A122" s="18"/>
      <c r="B122" s="18"/>
      <c r="C122" s="18"/>
      <c r="D122" s="18"/>
      <c r="E122" s="18"/>
      <c r="F122" s="18"/>
    </row>
    <row r="123" spans="1:6" s="1" customFormat="1" ht="20.100000000000001" customHeight="1">
      <c r="A123" s="18"/>
      <c r="B123" s="18"/>
      <c r="C123" s="18"/>
      <c r="D123" s="18"/>
      <c r="E123" s="18"/>
      <c r="F123" s="18"/>
    </row>
    <row r="124" spans="1:6" s="1" customFormat="1" ht="20.100000000000001" customHeight="1">
      <c r="A124" s="18"/>
      <c r="B124" s="18"/>
      <c r="C124" s="18"/>
      <c r="D124" s="18"/>
      <c r="E124" s="18"/>
      <c r="F124" s="18"/>
    </row>
    <row r="125" spans="1:6" s="1" customFormat="1" ht="20.100000000000001" customHeight="1">
      <c r="A125" s="18"/>
      <c r="B125" s="18"/>
      <c r="C125" s="18"/>
      <c r="D125" s="18"/>
      <c r="E125" s="18"/>
      <c r="F125" s="18"/>
    </row>
    <row r="126" spans="1:6" s="1" customFormat="1" ht="20.100000000000001" customHeight="1">
      <c r="A126" s="18"/>
      <c r="B126" s="18"/>
      <c r="C126" s="18"/>
      <c r="D126" s="18"/>
      <c r="E126" s="18"/>
      <c r="F126" s="18"/>
    </row>
    <row r="127" spans="1:6" s="1" customFormat="1" ht="20.100000000000001" customHeight="1">
      <c r="A127" s="18"/>
      <c r="B127" s="18"/>
      <c r="C127" s="18"/>
      <c r="D127" s="18"/>
      <c r="E127" s="18"/>
      <c r="F127" s="18"/>
    </row>
    <row r="128" spans="1:6" s="1" customFormat="1" ht="20.100000000000001" customHeight="1">
      <c r="A128" s="18"/>
      <c r="B128" s="18"/>
      <c r="C128" s="18"/>
      <c r="D128" s="18"/>
      <c r="E128" s="18"/>
      <c r="F128" s="18"/>
    </row>
    <row r="129" spans="1:6" s="1" customFormat="1" ht="20.100000000000001" customHeight="1">
      <c r="A129" s="18"/>
      <c r="B129" s="18"/>
      <c r="C129" s="18"/>
      <c r="D129" s="18"/>
      <c r="E129" s="18"/>
      <c r="F129" s="18"/>
    </row>
    <row r="130" spans="1:6" s="1" customFormat="1" ht="20.100000000000001" customHeight="1">
      <c r="A130" s="18"/>
      <c r="B130" s="18"/>
      <c r="C130" s="18"/>
      <c r="D130" s="18"/>
      <c r="E130" s="18"/>
      <c r="F130" s="18"/>
    </row>
    <row r="131" spans="1:6" s="1" customFormat="1" ht="20.100000000000001" customHeight="1">
      <c r="A131" s="18"/>
      <c r="B131" s="18"/>
      <c r="C131" s="18"/>
      <c r="D131" s="18"/>
      <c r="E131" s="18"/>
      <c r="F131" s="18"/>
    </row>
    <row r="132" spans="1:6" s="1" customFormat="1" ht="20.100000000000001" customHeight="1">
      <c r="A132" s="18"/>
      <c r="B132" s="18"/>
      <c r="C132" s="18"/>
      <c r="D132" s="18"/>
      <c r="E132" s="18"/>
      <c r="F132" s="18"/>
    </row>
    <row r="133" spans="1:6" s="1" customFormat="1" ht="20.100000000000001" customHeight="1">
      <c r="A133" s="18"/>
      <c r="B133" s="18"/>
      <c r="C133" s="18"/>
      <c r="D133" s="18"/>
      <c r="E133" s="18"/>
      <c r="F133" s="18"/>
    </row>
    <row r="134" spans="1:6" s="1" customFormat="1" ht="20.100000000000001" customHeight="1">
      <c r="A134" s="18"/>
      <c r="B134" s="18"/>
      <c r="C134" s="18"/>
      <c r="D134" s="18"/>
      <c r="E134" s="18"/>
      <c r="F134" s="18"/>
    </row>
    <row r="135" spans="1:6" s="1" customFormat="1" ht="20.100000000000001" customHeight="1">
      <c r="A135" s="18"/>
      <c r="B135" s="18"/>
      <c r="C135" s="18"/>
      <c r="D135" s="18"/>
      <c r="E135" s="18"/>
      <c r="F135" s="18"/>
    </row>
    <row r="136" spans="1:6" s="1" customFormat="1" ht="20.100000000000001" customHeight="1">
      <c r="A136" s="18"/>
      <c r="B136" s="18"/>
      <c r="C136" s="18"/>
      <c r="D136" s="18"/>
      <c r="E136" s="18"/>
      <c r="F136" s="18"/>
    </row>
    <row r="137" spans="1:6" s="1" customFormat="1" ht="20.100000000000001" customHeight="1">
      <c r="A137" s="18"/>
      <c r="B137" s="18"/>
      <c r="C137" s="18"/>
      <c r="D137" s="18"/>
      <c r="E137" s="18"/>
      <c r="F137" s="18"/>
    </row>
    <row r="138" spans="1:6" ht="20.100000000000001" customHeight="1"/>
    <row r="139" spans="1:6" ht="20.100000000000001" customHeight="1"/>
    <row r="140" spans="1:6" ht="20.100000000000001" customHeight="1"/>
    <row r="141" spans="1:6" ht="20.100000000000001" customHeight="1"/>
    <row r="142" spans="1:6" ht="20.100000000000001" customHeight="1"/>
    <row r="143" spans="1:6" ht="20.100000000000001" customHeight="1"/>
    <row r="144" spans="1:6" ht="20.100000000000001" customHeight="1"/>
    <row r="145" ht="20.100000000000001" customHeight="1"/>
    <row r="146" ht="20.100000000000001" customHeight="1"/>
    <row r="147" ht="20.100000000000001" customHeight="1"/>
    <row r="148" ht="20.100000000000001" customHeight="1"/>
    <row r="149" ht="20.100000000000001" customHeight="1"/>
    <row r="150" ht="20.100000000000001" customHeight="1"/>
    <row r="151" ht="20.100000000000001" customHeight="1"/>
    <row r="152" ht="20.100000000000001" customHeight="1"/>
    <row r="153" ht="20.100000000000001" customHeight="1"/>
    <row r="154" ht="20.100000000000001" customHeight="1"/>
    <row r="155" ht="20.100000000000001" customHeight="1"/>
    <row r="156" ht="20.100000000000001" customHeight="1"/>
    <row r="157" ht="20.100000000000001" customHeight="1"/>
    <row r="158" ht="20.100000000000001" customHeight="1"/>
    <row r="159" ht="20.100000000000001" customHeight="1"/>
    <row r="160" ht="20.100000000000001" customHeight="1"/>
    <row r="161" ht="20.100000000000001" customHeight="1"/>
    <row r="162" ht="20.100000000000001" customHeight="1"/>
    <row r="163" ht="20.100000000000001" customHeight="1"/>
    <row r="164" ht="20.100000000000001" customHeight="1"/>
    <row r="165" ht="20.100000000000001" customHeight="1"/>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row r="182" ht="20.100000000000001" customHeight="1"/>
    <row r="183" ht="20.100000000000001" customHeight="1"/>
    <row r="184" ht="20.100000000000001" customHeight="1"/>
    <row r="185" ht="20.100000000000001" customHeight="1"/>
    <row r="186" ht="20.100000000000001" customHeight="1"/>
    <row r="187" ht="20.100000000000001" customHeight="1"/>
    <row r="188" ht="20.100000000000001" customHeight="1"/>
    <row r="189" ht="20.100000000000001" customHeight="1"/>
    <row r="190" ht="20.100000000000001" customHeight="1"/>
    <row r="191" ht="20.100000000000001" customHeight="1"/>
    <row r="192" ht="20.100000000000001" customHeight="1"/>
    <row r="193" ht="20.100000000000001" customHeight="1"/>
    <row r="194" ht="20.100000000000001" customHeight="1"/>
    <row r="195" ht="20.100000000000001" customHeight="1"/>
    <row r="196" ht="20.100000000000001" customHeight="1"/>
    <row r="197" ht="20.100000000000001" customHeight="1"/>
    <row r="198" ht="20.100000000000001" customHeight="1"/>
    <row r="199" ht="20.100000000000001" customHeight="1"/>
    <row r="200" ht="20.100000000000001" customHeight="1"/>
    <row r="201" ht="20.100000000000001" customHeight="1"/>
    <row r="202" ht="20.100000000000001" customHeight="1"/>
    <row r="203" ht="20.100000000000001" customHeight="1"/>
    <row r="204" ht="20.100000000000001" customHeight="1"/>
    <row r="205" ht="20.100000000000001" customHeight="1"/>
    <row r="206" ht="20.100000000000001" customHeight="1"/>
    <row r="207" ht="20.100000000000001" customHeight="1"/>
    <row r="208" ht="20.100000000000001" customHeight="1"/>
    <row r="209" ht="20.100000000000001" customHeight="1"/>
    <row r="210" ht="20.100000000000001" customHeight="1"/>
    <row r="211" ht="20.100000000000001" customHeight="1"/>
    <row r="212" ht="20.100000000000001" customHeight="1"/>
    <row r="213" ht="20.100000000000001" customHeight="1"/>
    <row r="214" ht="20.100000000000001" customHeight="1"/>
    <row r="215" ht="20.100000000000001" customHeight="1"/>
    <row r="216" ht="20.100000000000001" customHeight="1"/>
    <row r="217" ht="20.100000000000001" customHeight="1"/>
    <row r="218" ht="20.100000000000001" customHeight="1"/>
    <row r="219" ht="20.100000000000001" customHeight="1"/>
    <row r="220" ht="20.100000000000001" customHeight="1"/>
    <row r="221" ht="20.100000000000001" customHeight="1"/>
    <row r="222" ht="20.100000000000001" customHeight="1"/>
    <row r="223" ht="20.100000000000001" customHeight="1"/>
    <row r="224" ht="20.100000000000001" customHeight="1"/>
    <row r="225" ht="20.100000000000001" customHeight="1"/>
    <row r="226" ht="20.100000000000001" customHeight="1"/>
    <row r="227" ht="20.100000000000001" customHeight="1"/>
    <row r="228" ht="20.100000000000001" customHeight="1"/>
    <row r="229" ht="20.100000000000001" customHeight="1"/>
    <row r="230" ht="20.100000000000001" customHeight="1"/>
    <row r="231" ht="20.100000000000001" customHeight="1"/>
    <row r="232" ht="20.100000000000001" customHeight="1"/>
    <row r="233" ht="20.100000000000001" customHeight="1"/>
    <row r="234" ht="20.100000000000001" customHeight="1"/>
    <row r="235" ht="20.100000000000001" customHeight="1"/>
    <row r="236" ht="20.100000000000001" customHeight="1"/>
    <row r="237" ht="20.100000000000001" customHeight="1"/>
    <row r="238" ht="20.100000000000001" customHeight="1"/>
    <row r="239" ht="20.100000000000001" customHeight="1"/>
    <row r="240" ht="20.100000000000001" customHeight="1"/>
    <row r="241" ht="20.100000000000001" customHeight="1"/>
    <row r="242" ht="20.100000000000001" customHeight="1"/>
    <row r="243" ht="20.100000000000001" customHeight="1"/>
    <row r="244" ht="20.100000000000001" customHeight="1"/>
    <row r="245" ht="20.100000000000001" customHeight="1"/>
    <row r="246" ht="20.100000000000001" customHeight="1"/>
    <row r="247" ht="20.100000000000001" customHeight="1"/>
    <row r="248" ht="20.100000000000001" customHeight="1"/>
    <row r="249" ht="20.100000000000001" customHeight="1"/>
    <row r="250" ht="20.100000000000001" customHeight="1"/>
    <row r="251" ht="20.100000000000001" customHeight="1"/>
    <row r="252" ht="20.100000000000001" customHeight="1"/>
    <row r="253" ht="20.100000000000001" customHeight="1"/>
    <row r="254" ht="20.100000000000001" customHeight="1"/>
    <row r="255" ht="20.100000000000001" customHeight="1"/>
    <row r="256" ht="20.100000000000001" customHeight="1"/>
    <row r="257" ht="20.100000000000001" customHeight="1"/>
    <row r="258" ht="20.100000000000001" customHeight="1"/>
    <row r="259" ht="20.100000000000001" customHeight="1"/>
    <row r="260" ht="20.100000000000001" customHeight="1"/>
    <row r="261" ht="20.100000000000001" customHeight="1"/>
    <row r="262" ht="20.100000000000001" customHeight="1"/>
    <row r="263" ht="20.100000000000001" customHeight="1"/>
    <row r="264" ht="20.100000000000001" customHeight="1"/>
    <row r="265" ht="20.100000000000001" customHeight="1"/>
    <row r="266" ht="20.100000000000001" customHeight="1"/>
    <row r="267" ht="20.100000000000001" customHeight="1"/>
    <row r="268" ht="20.100000000000001" customHeight="1"/>
    <row r="269" ht="20.100000000000001" customHeight="1"/>
    <row r="270" ht="20.100000000000001" customHeight="1"/>
    <row r="271" ht="20.100000000000001" customHeight="1"/>
    <row r="272" ht="20.100000000000001" customHeight="1"/>
    <row r="273" ht="20.100000000000001" customHeight="1"/>
    <row r="274" ht="20.100000000000001" customHeight="1"/>
    <row r="275" ht="20.100000000000001" customHeight="1"/>
    <row r="276" ht="20.100000000000001" customHeight="1"/>
    <row r="277" ht="20.100000000000001" customHeight="1"/>
    <row r="278" ht="20.100000000000001" customHeight="1"/>
    <row r="279" ht="20.100000000000001" customHeight="1"/>
    <row r="280" ht="20.100000000000001" customHeight="1"/>
    <row r="281" ht="20.100000000000001" customHeight="1"/>
    <row r="282" ht="20.100000000000001" customHeight="1"/>
    <row r="283" ht="20.100000000000001" customHeight="1"/>
    <row r="284" ht="20.100000000000001" customHeight="1"/>
    <row r="285" ht="20.100000000000001" customHeight="1"/>
    <row r="286" ht="20.100000000000001" customHeight="1"/>
    <row r="287" ht="20.100000000000001" customHeight="1"/>
    <row r="288" ht="20.100000000000001" customHeight="1"/>
    <row r="289" ht="20.100000000000001" customHeight="1"/>
    <row r="290" ht="20.100000000000001" customHeight="1"/>
    <row r="291" ht="20.100000000000001" customHeight="1"/>
    <row r="292" ht="20.100000000000001" customHeight="1"/>
    <row r="293" ht="20.100000000000001" customHeight="1"/>
    <row r="294" ht="20.100000000000001" customHeight="1"/>
    <row r="295" ht="20.100000000000001" customHeight="1"/>
    <row r="296" ht="20.100000000000001" customHeight="1"/>
    <row r="297" ht="20.100000000000001" customHeight="1"/>
    <row r="298" ht="20.100000000000001" customHeight="1"/>
    <row r="299" ht="20.100000000000001" customHeight="1"/>
    <row r="300" ht="20.100000000000001" customHeight="1"/>
    <row r="301" ht="20.100000000000001" customHeight="1"/>
    <row r="302" ht="20.100000000000001" customHeight="1"/>
    <row r="303" ht="20.100000000000001" customHeight="1"/>
    <row r="304" ht="20.100000000000001" customHeight="1"/>
    <row r="305" ht="20.100000000000001" customHeight="1"/>
    <row r="306" ht="20.100000000000001" customHeight="1"/>
    <row r="307" ht="20.100000000000001" customHeight="1"/>
    <row r="308" ht="20.100000000000001" customHeight="1"/>
    <row r="309" ht="20.100000000000001" customHeight="1"/>
    <row r="310" ht="20.100000000000001" customHeight="1"/>
    <row r="311" ht="20.100000000000001" customHeight="1"/>
    <row r="312" ht="20.100000000000001" customHeight="1"/>
    <row r="313" ht="20.100000000000001" customHeight="1"/>
    <row r="314" ht="20.100000000000001" customHeight="1"/>
    <row r="315" ht="20.100000000000001" customHeight="1"/>
    <row r="316" ht="20.100000000000001" customHeight="1"/>
    <row r="317" ht="20.100000000000001" customHeight="1"/>
    <row r="318" ht="20.100000000000001" customHeight="1"/>
    <row r="319" ht="20.100000000000001" customHeight="1"/>
    <row r="320" ht="20.100000000000001" customHeight="1"/>
    <row r="321" ht="20.100000000000001" customHeight="1"/>
    <row r="322" ht="20.100000000000001" customHeight="1"/>
    <row r="323" ht="20.100000000000001" customHeight="1"/>
    <row r="324" ht="20.100000000000001" customHeight="1"/>
    <row r="325" ht="20.100000000000001" customHeight="1"/>
    <row r="326" ht="20.100000000000001" customHeight="1"/>
    <row r="327" ht="20.100000000000001" customHeight="1"/>
    <row r="328" ht="20.100000000000001" customHeight="1"/>
  </sheetData>
  <sheetProtection formatCells="0" formatColumns="0" formatRows="0" insertColumns="0" insertRows="0" insertHyperlinks="0" deleteColumns="0" deleteRows="0" sort="0" autoFilter="0" pivotTables="0"/>
  <mergeCells count="9">
    <mergeCell ref="A11:G11"/>
    <mergeCell ref="A40:G40"/>
    <mergeCell ref="A69:G69"/>
    <mergeCell ref="A103:K103"/>
    <mergeCell ref="A1:F1"/>
    <mergeCell ref="D4:E4"/>
    <mergeCell ref="D3:E3"/>
    <mergeCell ref="B4:C4"/>
    <mergeCell ref="B3:C3"/>
  </mergeCells>
  <pageMargins left="0.511811024" right="0.14000000000000001" top="0.78740157499999996" bottom="0.78740157499999996" header="0.31496062000000002" footer="0.31496062000000002"/>
  <pageSetup paperSize="9" scale="42"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249977111117893"/>
  </sheetPr>
  <dimension ref="A1:AF1017"/>
  <sheetViews>
    <sheetView topLeftCell="O1" zoomScale="55" zoomScaleNormal="55" workbookViewId="0">
      <pane ySplit="1" topLeftCell="W227" activePane="bottomLeft" state="frozen"/>
      <selection pane="bottomLeft" activeCell="Y587" sqref="Y587"/>
    </sheetView>
  </sheetViews>
  <sheetFormatPr defaultColWidth="9.140625" defaultRowHeight="30" customHeight="1"/>
  <cols>
    <col min="1" max="1" width="61.7109375" style="234" bestFit="1" customWidth="1"/>
    <col min="2" max="2" width="20.7109375" style="234" bestFit="1" customWidth="1"/>
    <col min="3" max="3" width="45.85546875" style="234" customWidth="1"/>
    <col min="4" max="4" width="36" style="234" customWidth="1"/>
    <col min="5" max="5" width="23.5703125" style="234" bestFit="1" customWidth="1"/>
    <col min="6" max="6" width="50.7109375" style="234" customWidth="1"/>
    <col min="7" max="7" width="18.85546875" style="234" bestFit="1" customWidth="1"/>
    <col min="8" max="8" width="20.42578125" style="234" bestFit="1" customWidth="1"/>
    <col min="9" max="9" width="31.85546875" style="234" customWidth="1"/>
    <col min="10" max="10" width="38.85546875" style="234" customWidth="1"/>
    <col min="11" max="11" width="56.7109375" style="234" customWidth="1"/>
    <col min="12" max="12" width="24.85546875" style="234" bestFit="1" customWidth="1"/>
    <col min="13" max="13" width="23" style="234" bestFit="1" customWidth="1"/>
    <col min="14" max="14" width="44.5703125" style="234" customWidth="1"/>
    <col min="15" max="15" width="24.85546875" style="56" bestFit="1" customWidth="1"/>
    <col min="16" max="16" width="38" style="56" bestFit="1" customWidth="1"/>
    <col min="17" max="17" width="20.140625" style="56" bestFit="1" customWidth="1"/>
    <col min="18" max="18" width="34.7109375" style="56" bestFit="1" customWidth="1"/>
    <col min="19" max="19" width="30" style="56" bestFit="1" customWidth="1"/>
    <col min="20" max="20" width="26.42578125" style="234" bestFit="1" customWidth="1"/>
    <col min="21" max="21" width="22.42578125" style="56" bestFit="1" customWidth="1"/>
    <col min="22" max="22" width="26.42578125" style="234" bestFit="1" customWidth="1"/>
    <col min="23" max="23" width="29.42578125" style="56" bestFit="1" customWidth="1"/>
    <col min="24" max="24" width="125.5703125" style="56" customWidth="1"/>
    <col min="25" max="26" width="42.42578125" style="56" bestFit="1" customWidth="1"/>
    <col min="27" max="27" width="28" style="56" bestFit="1" customWidth="1"/>
    <col min="28" max="28" width="41.42578125" style="56" bestFit="1" customWidth="1"/>
    <col min="29" max="29" width="23.5703125" style="234" bestFit="1" customWidth="1"/>
    <col min="30" max="30" width="25.5703125" style="56" bestFit="1" customWidth="1"/>
    <col min="31" max="31" width="55.42578125" style="56" bestFit="1" customWidth="1"/>
    <col min="32" max="16384" width="9.140625" style="237"/>
  </cols>
  <sheetData>
    <row r="1" spans="1:31" s="53" customFormat="1" ht="30" customHeight="1">
      <c r="A1" s="207" t="s">
        <v>169</v>
      </c>
      <c r="B1" s="207" t="s">
        <v>170</v>
      </c>
      <c r="C1" s="207" t="s">
        <v>171</v>
      </c>
      <c r="D1" s="207" t="s">
        <v>172</v>
      </c>
      <c r="E1" s="207" t="s">
        <v>173</v>
      </c>
      <c r="F1" s="207" t="s">
        <v>174</v>
      </c>
      <c r="G1" s="207" t="s">
        <v>175</v>
      </c>
      <c r="H1" s="207" t="s">
        <v>176</v>
      </c>
      <c r="I1" s="207" t="s">
        <v>177</v>
      </c>
      <c r="J1" s="207" t="s">
        <v>178</v>
      </c>
      <c r="K1" s="207" t="s">
        <v>179</v>
      </c>
      <c r="L1" s="207" t="s">
        <v>180</v>
      </c>
      <c r="M1" s="207" t="s">
        <v>181</v>
      </c>
      <c r="N1" s="207" t="s">
        <v>1400</v>
      </c>
      <c r="O1" s="185" t="s">
        <v>46</v>
      </c>
      <c r="P1" s="185" t="s">
        <v>1891</v>
      </c>
      <c r="Q1" s="185" t="s">
        <v>65</v>
      </c>
      <c r="R1" s="185" t="s">
        <v>1892</v>
      </c>
      <c r="S1" s="185" t="s">
        <v>66</v>
      </c>
      <c r="T1" s="186" t="s">
        <v>1893</v>
      </c>
      <c r="U1" s="185" t="s">
        <v>67</v>
      </c>
      <c r="V1" s="186" t="s">
        <v>1894</v>
      </c>
      <c r="W1" s="185" t="s">
        <v>53</v>
      </c>
      <c r="X1" s="185" t="s">
        <v>1895</v>
      </c>
      <c r="Y1" s="189" t="s">
        <v>34</v>
      </c>
      <c r="Z1" s="358" t="s">
        <v>1404</v>
      </c>
      <c r="AA1" s="208" t="s">
        <v>193</v>
      </c>
      <c r="AB1" s="185" t="s">
        <v>38</v>
      </c>
      <c r="AC1" s="186" t="s">
        <v>1896</v>
      </c>
      <c r="AD1" s="185" t="s">
        <v>196</v>
      </c>
      <c r="AE1" s="185" t="s">
        <v>197</v>
      </c>
    </row>
    <row r="2" spans="1:31" s="53" customFormat="1" ht="30" customHeight="1">
      <c r="A2" s="215" t="s">
        <v>198</v>
      </c>
      <c r="B2" s="215">
        <v>2692089806</v>
      </c>
      <c r="C2" s="215" t="s">
        <v>128</v>
      </c>
      <c r="D2" s="215" t="s">
        <v>64</v>
      </c>
      <c r="E2" s="215" t="s">
        <v>5</v>
      </c>
      <c r="F2" s="215" t="s">
        <v>1897</v>
      </c>
      <c r="G2" s="215">
        <v>438</v>
      </c>
      <c r="H2" s="215" t="s">
        <v>379</v>
      </c>
      <c r="I2" s="215" t="s">
        <v>470</v>
      </c>
      <c r="J2" s="215" t="s">
        <v>1898</v>
      </c>
      <c r="K2" s="215"/>
      <c r="L2" s="216">
        <v>46027.38958333333</v>
      </c>
      <c r="M2" s="216">
        <v>46027.399305555555</v>
      </c>
      <c r="N2" s="215" t="s">
        <v>794</v>
      </c>
      <c r="O2" s="180" t="s">
        <v>205</v>
      </c>
      <c r="P2" s="181"/>
      <c r="Q2" s="164" t="s">
        <v>205</v>
      </c>
      <c r="R2" s="181"/>
      <c r="S2" s="164" t="s">
        <v>205</v>
      </c>
      <c r="T2" s="181"/>
      <c r="U2" s="164" t="s">
        <v>205</v>
      </c>
      <c r="V2" s="181"/>
      <c r="W2" s="164" t="s">
        <v>205</v>
      </c>
      <c r="X2" s="187"/>
      <c r="Y2" s="349" t="s">
        <v>205</v>
      </c>
      <c r="Z2" s="142" t="str">
        <f>IF(AND(O2="",Q2="",S2="",U2="",W2=""),"",IF(OR(AND(O2&lt;&gt;"NA",O2&lt;&gt;"C",O2&lt;&gt;"NC",O2&lt;&gt;"SF",O2&lt;&gt;""),AND(Q2&lt;&gt;"NA",Q2&lt;&gt;"C",Q2&lt;&gt;"NC",Q2&lt;&gt;"SF",Q2&lt;&gt;""),AND(S2&lt;&gt;"NA",S2&lt;&gt;"C",S2&lt;&gt;"NC",S2&lt;&gt;"SF",S2&lt;&gt;""),AND(U2&lt;&gt;"NA",U2&lt;&gt;"C",U2&lt;&gt;"NC",U2&lt;&gt;"SF",U2&lt;&gt;""),AND(W2&lt;&gt;"NA",W2&lt;&gt;"C",W2&lt;&gt;"NC",W2&lt;&gt;"SF",W2&lt;&gt;"")),"FALSO",IF(AND(O2="NA",Q2="NA",S2="NA",U2="NA",W2="NA"),"NA",IF(OR(O2="NC",Q2="NC",S2="NC",U2="NC",W2="NC",O2="SF",Q2="SF",S2="SF",U2="SF",W2="SF"),"NC",IF(OR(O2="C",Q2="C",S2="C",U2="C",W2="C"),"C","")))))</f>
        <v>C</v>
      </c>
      <c r="AA2" s="226" t="str">
        <f t="shared" ref="AA2:AA65" si="0">IF(AND(Y2="C",Z2="C"),"UTILIZOU O PDA CORRETAMENTE",IF(AND(Y2="C",Z2="NC"),"UTILIZOU O PDA CORRETAMENTE. NÃO HÁ FOTOS DE TODAS AS ETAPAS",IF(AND(Y2="NC",Z2="NC"),"NÃO UTILIZOU O PDA",IF(AND(Y2="NA",Z2="NA"),"NÃO AVALIADO POR FALHA DE SINCRONISMO"))))</f>
        <v>UTILIZOU O PDA CORRETAMENTE</v>
      </c>
      <c r="AB2" s="180" t="s">
        <v>205</v>
      </c>
      <c r="AC2" s="188" t="s">
        <v>6</v>
      </c>
      <c r="AD2" s="184" t="str">
        <f>E2</f>
        <v>SÃO PAULO</v>
      </c>
      <c r="AE2" s="183" t="s">
        <v>64</v>
      </c>
    </row>
    <row r="3" spans="1:31" s="55" customFormat="1" ht="30" customHeight="1">
      <c r="A3" s="215" t="s">
        <v>198</v>
      </c>
      <c r="B3" s="215">
        <v>2692085641</v>
      </c>
      <c r="C3" s="215" t="s">
        <v>128</v>
      </c>
      <c r="D3" s="215" t="s">
        <v>64</v>
      </c>
      <c r="E3" s="215" t="s">
        <v>5</v>
      </c>
      <c r="F3" s="215" t="s">
        <v>1899</v>
      </c>
      <c r="G3" s="215">
        <v>1</v>
      </c>
      <c r="H3" s="215" t="s">
        <v>318</v>
      </c>
      <c r="I3" s="215" t="s">
        <v>849</v>
      </c>
      <c r="J3" s="215" t="s">
        <v>1900</v>
      </c>
      <c r="K3" s="215" t="s">
        <v>200</v>
      </c>
      <c r="L3" s="216">
        <v>46027.458333333336</v>
      </c>
      <c r="M3" s="216">
        <v>46027.492361111108</v>
      </c>
      <c r="N3" s="215" t="s">
        <v>794</v>
      </c>
      <c r="O3" s="180" t="s">
        <v>205</v>
      </c>
      <c r="P3" s="142"/>
      <c r="Q3" s="164" t="s">
        <v>205</v>
      </c>
      <c r="R3" s="142"/>
      <c r="S3" s="164" t="s">
        <v>205</v>
      </c>
      <c r="T3" s="142"/>
      <c r="U3" s="143" t="s">
        <v>205</v>
      </c>
      <c r="V3" s="142"/>
      <c r="W3" s="143" t="s">
        <v>205</v>
      </c>
      <c r="X3" s="59"/>
      <c r="Y3" s="350" t="s">
        <v>205</v>
      </c>
      <c r="Z3" s="142" t="str">
        <f t="shared" ref="Z3:Z66" si="1">IF(AND(O3="",Q3="",S3="",U3="",W3=""),"",IF(OR(AND(O3&lt;&gt;"NA",O3&lt;&gt;"C",O3&lt;&gt;"NC",O3&lt;&gt;"SF",O3&lt;&gt;""),AND(Q3&lt;&gt;"NA",Q3&lt;&gt;"C",Q3&lt;&gt;"NC",Q3&lt;&gt;"SF",Q3&lt;&gt;""),AND(S3&lt;&gt;"NA",S3&lt;&gt;"C",S3&lt;&gt;"NC",S3&lt;&gt;"SF",S3&lt;&gt;""),AND(U3&lt;&gt;"NA",U3&lt;&gt;"C",U3&lt;&gt;"NC",U3&lt;&gt;"SF",U3&lt;&gt;""),AND(W3&lt;&gt;"NA",W3&lt;&gt;"C",W3&lt;&gt;"NC",W3&lt;&gt;"SF",W3&lt;&gt;"")),"FALSO",IF(AND(O3="NA",Q3="NA",S3="NA",U3="NA",W3="NA"),"NA",IF(OR(O3="NC",Q3="NC",S3="NC",U3="NC",W3="NC",O3="SF",Q3="SF",S3="SF",U3="SF",W3="SF"),"NC",IF(OR(O3="C",Q3="C",S3="C",U3="C",W3="C"),"C","")))))</f>
        <v>C</v>
      </c>
      <c r="AA3" s="226" t="str">
        <f t="shared" ref="AA3:AA66" si="2">IF(AND(Y3="C",Z3="C"),"UTILIZOU O PDA CORRETAMENTE",IF(AND(Y3="C",Z3="NC"),"UTILIZOU O PDA CORRETAMENTE. NÃO HÁ FOTOS DE TODAS AS ETAPAS",IF(AND(Y3="NC",Z3="NC"),"NÃO UTILIZOU O PDA",IF(AND(Y3="NA",Z3="NA"),"NÃO AVALIADO POR FALHA DE SINCRONISMO"))))</f>
        <v>UTILIZOU O PDA CORRETAMENTE</v>
      </c>
      <c r="AB3" s="163" t="s">
        <v>205</v>
      </c>
      <c r="AC3" s="94" t="s">
        <v>6</v>
      </c>
      <c r="AD3" s="150" t="str">
        <f t="shared" ref="AD3:AD66" si="3">E3</f>
        <v>SÃO PAULO</v>
      </c>
      <c r="AE3" s="58" t="s">
        <v>64</v>
      </c>
    </row>
    <row r="4" spans="1:31" s="55" customFormat="1" ht="30" customHeight="1">
      <c r="A4" s="215" t="s">
        <v>198</v>
      </c>
      <c r="B4" s="215">
        <v>2618179538</v>
      </c>
      <c r="C4" s="215" t="s">
        <v>132</v>
      </c>
      <c r="D4" s="215" t="s">
        <v>64</v>
      </c>
      <c r="E4" s="215" t="s">
        <v>5</v>
      </c>
      <c r="F4" s="215" t="s">
        <v>1901</v>
      </c>
      <c r="G4" s="215">
        <v>7</v>
      </c>
      <c r="H4" s="215"/>
      <c r="I4" s="215" t="s">
        <v>523</v>
      </c>
      <c r="J4" s="215" t="s">
        <v>1898</v>
      </c>
      <c r="K4" s="215"/>
      <c r="L4" s="216">
        <v>46027.604166666664</v>
      </c>
      <c r="M4" s="216">
        <v>46027.611805555556</v>
      </c>
      <c r="N4" s="215" t="s">
        <v>852</v>
      </c>
      <c r="O4" s="180" t="s">
        <v>205</v>
      </c>
      <c r="P4" s="142"/>
      <c r="Q4" s="164" t="s">
        <v>205</v>
      </c>
      <c r="R4" s="142"/>
      <c r="S4" s="164" t="s">
        <v>205</v>
      </c>
      <c r="T4" s="142"/>
      <c r="U4" s="143" t="s">
        <v>205</v>
      </c>
      <c r="V4" s="142"/>
      <c r="W4" s="143" t="s">
        <v>205</v>
      </c>
      <c r="X4" s="59"/>
      <c r="Y4" s="350" t="s">
        <v>205</v>
      </c>
      <c r="Z4" s="142" t="str">
        <f t="shared" si="1"/>
        <v>C</v>
      </c>
      <c r="AA4" s="226" t="str">
        <f t="shared" si="2"/>
        <v>UTILIZOU O PDA CORRETAMENTE</v>
      </c>
      <c r="AB4" s="157" t="s">
        <v>205</v>
      </c>
      <c r="AC4" s="197" t="s">
        <v>6</v>
      </c>
      <c r="AD4" s="150" t="str">
        <f t="shared" si="3"/>
        <v>SÃO PAULO</v>
      </c>
      <c r="AE4" s="58" t="s">
        <v>64</v>
      </c>
    </row>
    <row r="5" spans="1:31" s="55" customFormat="1" ht="30" customHeight="1">
      <c r="A5" s="215" t="s">
        <v>198</v>
      </c>
      <c r="B5" s="215">
        <v>2618165062</v>
      </c>
      <c r="C5" s="215" t="s">
        <v>129</v>
      </c>
      <c r="D5" s="215" t="s">
        <v>125</v>
      </c>
      <c r="E5" s="215" t="s">
        <v>5</v>
      </c>
      <c r="F5" s="215" t="s">
        <v>1902</v>
      </c>
      <c r="G5" s="215">
        <v>74</v>
      </c>
      <c r="H5" s="215" t="s">
        <v>363</v>
      </c>
      <c r="I5" s="215" t="s">
        <v>285</v>
      </c>
      <c r="J5" s="215" t="s">
        <v>1903</v>
      </c>
      <c r="K5" s="215"/>
      <c r="L5" s="216">
        <v>46027.540277777778</v>
      </c>
      <c r="M5" s="216">
        <v>46027.540277777778</v>
      </c>
      <c r="N5" s="215" t="s">
        <v>799</v>
      </c>
      <c r="O5" s="180" t="s">
        <v>205</v>
      </c>
      <c r="P5" s="142"/>
      <c r="Q5" s="143" t="s">
        <v>206</v>
      </c>
      <c r="R5" s="142"/>
      <c r="S5" s="164" t="s">
        <v>205</v>
      </c>
      <c r="T5" s="142"/>
      <c r="U5" s="143" t="s">
        <v>205</v>
      </c>
      <c r="V5" s="142"/>
      <c r="W5" s="143" t="s">
        <v>205</v>
      </c>
      <c r="X5" s="59"/>
      <c r="Y5" s="350" t="s">
        <v>205</v>
      </c>
      <c r="Z5" s="142" t="str">
        <f t="shared" si="1"/>
        <v>NC</v>
      </c>
      <c r="AA5" s="226" t="str">
        <f t="shared" si="2"/>
        <v>UTILIZOU O PDA CORRETAMENTE. NÃO HÁ FOTOS DE TODAS AS ETAPAS</v>
      </c>
      <c r="AB5" s="157" t="s">
        <v>205</v>
      </c>
      <c r="AC5" s="197" t="s">
        <v>6</v>
      </c>
      <c r="AD5" s="150" t="str">
        <f t="shared" si="3"/>
        <v>SÃO PAULO</v>
      </c>
      <c r="AE5" s="58" t="s">
        <v>64</v>
      </c>
    </row>
    <row r="6" spans="1:31" s="55" customFormat="1" ht="30" customHeight="1">
      <c r="A6" s="215" t="s">
        <v>198</v>
      </c>
      <c r="B6" s="215">
        <v>2692061043</v>
      </c>
      <c r="C6" s="215" t="s">
        <v>128</v>
      </c>
      <c r="D6" s="215" t="s">
        <v>64</v>
      </c>
      <c r="E6" s="215" t="s">
        <v>5</v>
      </c>
      <c r="F6" s="215" t="s">
        <v>1904</v>
      </c>
      <c r="G6" s="215">
        <v>67</v>
      </c>
      <c r="H6" s="215" t="s">
        <v>226</v>
      </c>
      <c r="I6" s="215" t="s">
        <v>1905</v>
      </c>
      <c r="J6" s="215" t="s">
        <v>1900</v>
      </c>
      <c r="K6" s="215" t="s">
        <v>1906</v>
      </c>
      <c r="L6" s="216">
        <v>46027.522916666669</v>
      </c>
      <c r="M6" s="216">
        <v>46027.524305555555</v>
      </c>
      <c r="N6" s="215" t="s">
        <v>799</v>
      </c>
      <c r="O6" s="180" t="s">
        <v>205</v>
      </c>
      <c r="P6" s="142"/>
      <c r="Q6" s="164" t="s">
        <v>205</v>
      </c>
      <c r="R6" s="142"/>
      <c r="S6" s="143" t="s">
        <v>206</v>
      </c>
      <c r="T6" s="142"/>
      <c r="U6" s="143" t="s">
        <v>205</v>
      </c>
      <c r="V6" s="142"/>
      <c r="W6" s="143" t="s">
        <v>206</v>
      </c>
      <c r="X6" s="56"/>
      <c r="Y6" s="350" t="s">
        <v>205</v>
      </c>
      <c r="Z6" s="142" t="str">
        <f t="shared" si="1"/>
        <v>NC</v>
      </c>
      <c r="AA6" s="226" t="str">
        <f t="shared" si="2"/>
        <v>UTILIZOU O PDA CORRETAMENTE. NÃO HÁ FOTOS DE TODAS AS ETAPAS</v>
      </c>
      <c r="AB6" s="9" t="s">
        <v>205</v>
      </c>
      <c r="AC6" s="197" t="s">
        <v>6</v>
      </c>
      <c r="AD6" s="150" t="str">
        <f t="shared" si="3"/>
        <v>SÃO PAULO</v>
      </c>
      <c r="AE6" s="58" t="s">
        <v>64</v>
      </c>
    </row>
    <row r="7" spans="1:31" s="55" customFormat="1" ht="30" customHeight="1">
      <c r="A7" s="215" t="s">
        <v>198</v>
      </c>
      <c r="B7" s="215">
        <v>2692087367</v>
      </c>
      <c r="C7" s="215" t="s">
        <v>131</v>
      </c>
      <c r="D7" s="215" t="s">
        <v>64</v>
      </c>
      <c r="E7" s="215" t="s">
        <v>5</v>
      </c>
      <c r="F7" s="215" t="s">
        <v>1907</v>
      </c>
      <c r="G7" s="215">
        <v>65</v>
      </c>
      <c r="H7" s="215" t="s">
        <v>481</v>
      </c>
      <c r="I7" s="215" t="s">
        <v>215</v>
      </c>
      <c r="J7" s="215" t="s">
        <v>1908</v>
      </c>
      <c r="K7" s="215"/>
      <c r="L7" s="216">
        <v>46027.447222222225</v>
      </c>
      <c r="M7" s="216">
        <v>46027.448611111111</v>
      </c>
      <c r="N7" s="215" t="s">
        <v>799</v>
      </c>
      <c r="O7" s="180" t="s">
        <v>205</v>
      </c>
      <c r="P7" s="142"/>
      <c r="Q7" s="143" t="s">
        <v>206</v>
      </c>
      <c r="R7" s="142"/>
      <c r="S7" s="164" t="s">
        <v>205</v>
      </c>
      <c r="T7" s="142"/>
      <c r="U7" s="143" t="s">
        <v>205</v>
      </c>
      <c r="V7" s="142"/>
      <c r="W7" s="143" t="s">
        <v>205</v>
      </c>
      <c r="X7" s="56"/>
      <c r="Y7" s="350" t="s">
        <v>205</v>
      </c>
      <c r="Z7" s="142" t="str">
        <f t="shared" si="1"/>
        <v>NC</v>
      </c>
      <c r="AA7" s="226" t="str">
        <f t="shared" si="2"/>
        <v>UTILIZOU O PDA CORRETAMENTE. NÃO HÁ FOTOS DE TODAS AS ETAPAS</v>
      </c>
      <c r="AB7" s="9" t="s">
        <v>205</v>
      </c>
      <c r="AC7" s="197" t="s">
        <v>6</v>
      </c>
      <c r="AD7" s="150" t="str">
        <f t="shared" si="3"/>
        <v>SÃO PAULO</v>
      </c>
      <c r="AE7" s="58" t="s">
        <v>64</v>
      </c>
    </row>
    <row r="8" spans="1:31" s="55" customFormat="1" ht="30" customHeight="1">
      <c r="A8" s="215" t="s">
        <v>198</v>
      </c>
      <c r="B8" s="215">
        <v>2692075875</v>
      </c>
      <c r="C8" s="215" t="s">
        <v>131</v>
      </c>
      <c r="D8" s="215" t="s">
        <v>64</v>
      </c>
      <c r="E8" s="215" t="s">
        <v>5</v>
      </c>
      <c r="F8" s="215" t="s">
        <v>441</v>
      </c>
      <c r="G8" s="215">
        <v>6014</v>
      </c>
      <c r="H8" s="215" t="s">
        <v>673</v>
      </c>
      <c r="I8" s="215" t="s">
        <v>442</v>
      </c>
      <c r="J8" s="215" t="s">
        <v>1898</v>
      </c>
      <c r="K8" s="215" t="s">
        <v>200</v>
      </c>
      <c r="L8" s="216">
        <v>46027.466666666667</v>
      </c>
      <c r="M8" s="216">
        <v>46027.476388888892</v>
      </c>
      <c r="N8" s="215" t="s">
        <v>900</v>
      </c>
      <c r="O8" s="180" t="s">
        <v>205</v>
      </c>
      <c r="P8" s="142"/>
      <c r="Q8" s="164" t="s">
        <v>205</v>
      </c>
      <c r="R8" s="142"/>
      <c r="S8" s="164" t="s">
        <v>205</v>
      </c>
      <c r="T8" s="142"/>
      <c r="U8" s="143" t="s">
        <v>205</v>
      </c>
      <c r="V8" s="142"/>
      <c r="W8" s="143" t="s">
        <v>205</v>
      </c>
      <c r="X8" s="56"/>
      <c r="Y8" s="350" t="s">
        <v>205</v>
      </c>
      <c r="Z8" s="142" t="str">
        <f t="shared" si="1"/>
        <v>C</v>
      </c>
      <c r="AA8" s="226" t="str">
        <f t="shared" si="2"/>
        <v>UTILIZOU O PDA CORRETAMENTE</v>
      </c>
      <c r="AB8" s="9" t="s">
        <v>205</v>
      </c>
      <c r="AC8" s="197" t="s">
        <v>6</v>
      </c>
      <c r="AD8" s="150" t="str">
        <f t="shared" si="3"/>
        <v>SÃO PAULO</v>
      </c>
      <c r="AE8" s="58" t="s">
        <v>64</v>
      </c>
    </row>
    <row r="9" spans="1:31" s="55" customFormat="1" ht="30" customHeight="1">
      <c r="A9" s="215" t="s">
        <v>198</v>
      </c>
      <c r="B9" s="215">
        <v>2617309333</v>
      </c>
      <c r="C9" s="215" t="s">
        <v>135</v>
      </c>
      <c r="D9" s="215" t="s">
        <v>125</v>
      </c>
      <c r="E9" s="215" t="s">
        <v>5</v>
      </c>
      <c r="F9" s="215" t="s">
        <v>231</v>
      </c>
      <c r="G9" s="215">
        <v>30</v>
      </c>
      <c r="H9" s="215"/>
      <c r="I9" s="215" t="s">
        <v>232</v>
      </c>
      <c r="J9" s="215" t="s">
        <v>1909</v>
      </c>
      <c r="K9" s="215" t="s">
        <v>1910</v>
      </c>
      <c r="L9" s="216">
        <v>46027.382638888892</v>
      </c>
      <c r="M9" s="216">
        <v>46027.441666666666</v>
      </c>
      <c r="N9" s="215" t="s">
        <v>235</v>
      </c>
      <c r="O9" s="180" t="s">
        <v>205</v>
      </c>
      <c r="P9" s="142"/>
      <c r="Q9" s="164" t="s">
        <v>205</v>
      </c>
      <c r="R9" s="142"/>
      <c r="S9" s="164" t="s">
        <v>205</v>
      </c>
      <c r="T9" s="142"/>
      <c r="U9" s="143" t="s">
        <v>205</v>
      </c>
      <c r="V9" s="142"/>
      <c r="W9" s="143" t="s">
        <v>205</v>
      </c>
      <c r="X9" s="56"/>
      <c r="Y9" s="350" t="s">
        <v>205</v>
      </c>
      <c r="Z9" s="142" t="str">
        <f t="shared" si="1"/>
        <v>C</v>
      </c>
      <c r="AA9" s="226" t="str">
        <f t="shared" si="2"/>
        <v>UTILIZOU O PDA CORRETAMENTE</v>
      </c>
      <c r="AB9" s="9" t="s">
        <v>205</v>
      </c>
      <c r="AC9" s="197" t="s">
        <v>6</v>
      </c>
      <c r="AD9" s="150" t="str">
        <f t="shared" si="3"/>
        <v>SÃO PAULO</v>
      </c>
      <c r="AE9" s="58" t="s">
        <v>64</v>
      </c>
    </row>
    <row r="10" spans="1:31" s="55" customFormat="1" ht="30" customHeight="1">
      <c r="A10" s="215" t="s">
        <v>198</v>
      </c>
      <c r="B10" s="215">
        <v>264600754</v>
      </c>
      <c r="C10" s="215" t="s">
        <v>135</v>
      </c>
      <c r="D10" s="215" t="s">
        <v>125</v>
      </c>
      <c r="E10" s="215" t="s">
        <v>5</v>
      </c>
      <c r="F10" s="215" t="s">
        <v>1911</v>
      </c>
      <c r="G10" s="215">
        <v>293</v>
      </c>
      <c r="H10" s="215" t="s">
        <v>200</v>
      </c>
      <c r="I10" s="215" t="s">
        <v>1706</v>
      </c>
      <c r="J10" s="215" t="s">
        <v>1909</v>
      </c>
      <c r="K10" s="215" t="s">
        <v>527</v>
      </c>
      <c r="L10" s="216">
        <v>46027.47152777778</v>
      </c>
      <c r="M10" s="216">
        <v>46027.491666666669</v>
      </c>
      <c r="N10" s="215" t="s">
        <v>235</v>
      </c>
      <c r="O10" s="180" t="s">
        <v>205</v>
      </c>
      <c r="P10" s="142"/>
      <c r="Q10" s="164" t="s">
        <v>205</v>
      </c>
      <c r="R10" s="142"/>
      <c r="S10" s="164" t="s">
        <v>205</v>
      </c>
      <c r="T10" s="142"/>
      <c r="U10" s="143" t="s">
        <v>205</v>
      </c>
      <c r="V10" s="142"/>
      <c r="W10" s="143" t="s">
        <v>205</v>
      </c>
      <c r="X10" s="59"/>
      <c r="Y10" s="350" t="s">
        <v>205</v>
      </c>
      <c r="Z10" s="142" t="str">
        <f t="shared" si="1"/>
        <v>C</v>
      </c>
      <c r="AA10" s="226" t="str">
        <f t="shared" si="2"/>
        <v>UTILIZOU O PDA CORRETAMENTE</v>
      </c>
      <c r="AB10" s="9" t="s">
        <v>205</v>
      </c>
      <c r="AC10" s="197" t="s">
        <v>6</v>
      </c>
      <c r="AD10" s="150" t="str">
        <f t="shared" si="3"/>
        <v>SÃO PAULO</v>
      </c>
      <c r="AE10" s="58" t="s">
        <v>64</v>
      </c>
    </row>
    <row r="11" spans="1:31" s="55" customFormat="1" ht="30" customHeight="1">
      <c r="A11" s="215" t="s">
        <v>198</v>
      </c>
      <c r="B11" s="215">
        <v>2612929979</v>
      </c>
      <c r="C11" s="215" t="s">
        <v>135</v>
      </c>
      <c r="D11" s="215" t="s">
        <v>125</v>
      </c>
      <c r="E11" s="215" t="s">
        <v>5</v>
      </c>
      <c r="F11" s="215" t="s">
        <v>1368</v>
      </c>
      <c r="G11" s="215">
        <v>598</v>
      </c>
      <c r="H11" s="215"/>
      <c r="I11" s="215" t="s">
        <v>1369</v>
      </c>
      <c r="J11" s="215" t="s">
        <v>1909</v>
      </c>
      <c r="K11" s="215" t="s">
        <v>527</v>
      </c>
      <c r="L11" s="216">
        <v>46027.507638888892</v>
      </c>
      <c r="M11" s="216">
        <v>46027.525000000001</v>
      </c>
      <c r="N11" s="215" t="s">
        <v>235</v>
      </c>
      <c r="O11" s="180" t="s">
        <v>205</v>
      </c>
      <c r="P11" s="142"/>
      <c r="Q11" s="164" t="s">
        <v>205</v>
      </c>
      <c r="R11" s="142"/>
      <c r="S11" s="164" t="s">
        <v>205</v>
      </c>
      <c r="T11" s="142"/>
      <c r="U11" s="143" t="s">
        <v>205</v>
      </c>
      <c r="V11" s="142"/>
      <c r="W11" s="143" t="s">
        <v>205</v>
      </c>
      <c r="X11" s="59"/>
      <c r="Y11" s="350" t="s">
        <v>205</v>
      </c>
      <c r="Z11" s="142" t="str">
        <f t="shared" si="1"/>
        <v>C</v>
      </c>
      <c r="AA11" s="226" t="str">
        <f t="shared" si="2"/>
        <v>UTILIZOU O PDA CORRETAMENTE</v>
      </c>
      <c r="AB11" s="9" t="s">
        <v>205</v>
      </c>
      <c r="AC11" s="197" t="s">
        <v>6</v>
      </c>
      <c r="AD11" s="150" t="str">
        <f t="shared" si="3"/>
        <v>SÃO PAULO</v>
      </c>
      <c r="AE11" s="58" t="s">
        <v>64</v>
      </c>
    </row>
    <row r="12" spans="1:31" s="55" customFormat="1" ht="30" customHeight="1">
      <c r="A12" s="215" t="s">
        <v>198</v>
      </c>
      <c r="B12" s="215">
        <v>2618301880</v>
      </c>
      <c r="C12" s="215" t="s">
        <v>131</v>
      </c>
      <c r="D12" s="215" t="s">
        <v>64</v>
      </c>
      <c r="E12" s="215" t="s">
        <v>5</v>
      </c>
      <c r="F12" s="215" t="s">
        <v>1912</v>
      </c>
      <c r="G12" s="215">
        <v>33</v>
      </c>
      <c r="H12" s="215" t="s">
        <v>200</v>
      </c>
      <c r="I12" s="215" t="s">
        <v>260</v>
      </c>
      <c r="J12" s="215" t="s">
        <v>1898</v>
      </c>
      <c r="K12" s="215" t="s">
        <v>1913</v>
      </c>
      <c r="L12" s="216">
        <v>46027.48541666667</v>
      </c>
      <c r="M12" s="216">
        <v>46027.490972222222</v>
      </c>
      <c r="N12" s="215" t="s">
        <v>254</v>
      </c>
      <c r="O12" s="180" t="s">
        <v>205</v>
      </c>
      <c r="P12" s="142"/>
      <c r="Q12" s="164" t="s">
        <v>205</v>
      </c>
      <c r="R12" s="142"/>
      <c r="S12" s="164" t="s">
        <v>205</v>
      </c>
      <c r="T12" s="142"/>
      <c r="U12" s="143" t="s">
        <v>205</v>
      </c>
      <c r="V12" s="142"/>
      <c r="W12" s="143" t="s">
        <v>205</v>
      </c>
      <c r="X12" s="59"/>
      <c r="Y12" s="350" t="s">
        <v>205</v>
      </c>
      <c r="Z12" s="142" t="str">
        <f t="shared" si="1"/>
        <v>C</v>
      </c>
      <c r="AA12" s="226" t="str">
        <f t="shared" si="2"/>
        <v>UTILIZOU O PDA CORRETAMENTE</v>
      </c>
      <c r="AB12" s="9" t="s">
        <v>205</v>
      </c>
      <c r="AC12" s="197" t="s">
        <v>6</v>
      </c>
      <c r="AD12" s="150" t="str">
        <f t="shared" si="3"/>
        <v>SÃO PAULO</v>
      </c>
      <c r="AE12" s="58" t="s">
        <v>64</v>
      </c>
    </row>
    <row r="13" spans="1:31" s="55" customFormat="1" ht="30" customHeight="1">
      <c r="A13" s="215" t="s">
        <v>198</v>
      </c>
      <c r="B13" s="215">
        <v>2692128456</v>
      </c>
      <c r="C13" s="215" t="s">
        <v>128</v>
      </c>
      <c r="D13" s="215" t="s">
        <v>64</v>
      </c>
      <c r="E13" s="215" t="s">
        <v>5</v>
      </c>
      <c r="F13" s="215" t="s">
        <v>1914</v>
      </c>
      <c r="G13" s="215">
        <v>268</v>
      </c>
      <c r="H13" s="215" t="s">
        <v>214</v>
      </c>
      <c r="I13" s="215" t="s">
        <v>1313</v>
      </c>
      <c r="J13" s="215" t="s">
        <v>1900</v>
      </c>
      <c r="K13" s="215"/>
      <c r="L13" s="216">
        <v>46027.510416666664</v>
      </c>
      <c r="M13" s="216">
        <v>46027.511805555558</v>
      </c>
      <c r="N13" s="215" t="s">
        <v>900</v>
      </c>
      <c r="O13" s="180" t="s">
        <v>205</v>
      </c>
      <c r="P13" s="142"/>
      <c r="Q13" s="164" t="s">
        <v>205</v>
      </c>
      <c r="R13" s="142"/>
      <c r="S13" s="164" t="s">
        <v>205</v>
      </c>
      <c r="T13" s="142"/>
      <c r="U13" s="143" t="s">
        <v>205</v>
      </c>
      <c r="V13" s="142"/>
      <c r="W13" s="143" t="s">
        <v>205</v>
      </c>
      <c r="X13" s="59"/>
      <c r="Y13" s="350" t="s">
        <v>205</v>
      </c>
      <c r="Z13" s="142" t="str">
        <f t="shared" si="1"/>
        <v>C</v>
      </c>
      <c r="AA13" s="226" t="str">
        <f t="shared" si="2"/>
        <v>UTILIZOU O PDA CORRETAMENTE</v>
      </c>
      <c r="AB13" s="9" t="s">
        <v>205</v>
      </c>
      <c r="AC13" s="197" t="s">
        <v>6</v>
      </c>
      <c r="AD13" s="150" t="str">
        <f t="shared" si="3"/>
        <v>SÃO PAULO</v>
      </c>
      <c r="AE13" s="58" t="s">
        <v>64</v>
      </c>
    </row>
    <row r="14" spans="1:31" s="55" customFormat="1" ht="30" customHeight="1">
      <c r="A14" s="215" t="s">
        <v>198</v>
      </c>
      <c r="B14" s="215">
        <v>2692012408</v>
      </c>
      <c r="C14" s="215" t="s">
        <v>131</v>
      </c>
      <c r="D14" s="215" t="s">
        <v>64</v>
      </c>
      <c r="E14" s="215" t="s">
        <v>5</v>
      </c>
      <c r="F14" s="215" t="s">
        <v>1915</v>
      </c>
      <c r="G14" s="215">
        <v>18</v>
      </c>
      <c r="H14" s="215"/>
      <c r="I14" s="215" t="s">
        <v>562</v>
      </c>
      <c r="J14" s="215" t="s">
        <v>1908</v>
      </c>
      <c r="K14" s="215" t="s">
        <v>1916</v>
      </c>
      <c r="L14" s="216">
        <v>46027.340277777781</v>
      </c>
      <c r="M14" s="216">
        <v>46027.34375</v>
      </c>
      <c r="N14" s="215" t="s">
        <v>212</v>
      </c>
      <c r="O14" s="156" t="s">
        <v>62</v>
      </c>
      <c r="P14" s="142"/>
      <c r="Q14" s="143" t="s">
        <v>62</v>
      </c>
      <c r="R14" s="142"/>
      <c r="S14" s="143" t="s">
        <v>62</v>
      </c>
      <c r="T14" s="142"/>
      <c r="U14" s="143" t="s">
        <v>62</v>
      </c>
      <c r="V14" s="142"/>
      <c r="W14" s="143" t="s">
        <v>62</v>
      </c>
      <c r="X14" s="59" t="s">
        <v>1917</v>
      </c>
      <c r="Y14" s="350" t="s">
        <v>62</v>
      </c>
      <c r="Z14" s="142" t="str">
        <f t="shared" si="1"/>
        <v>NA</v>
      </c>
      <c r="AA14" s="226" t="str">
        <f t="shared" si="2"/>
        <v>NÃO AVALIADO POR FALHA DE SINCRONISMO</v>
      </c>
      <c r="AB14" s="9"/>
      <c r="AC14" s="197" t="s">
        <v>6</v>
      </c>
      <c r="AD14" s="150" t="str">
        <f t="shared" si="3"/>
        <v>SÃO PAULO</v>
      </c>
      <c r="AE14" s="58" t="s">
        <v>64</v>
      </c>
    </row>
    <row r="15" spans="1:31" s="55" customFormat="1" ht="30" customHeight="1">
      <c r="A15" s="215" t="s">
        <v>198</v>
      </c>
      <c r="B15" s="215">
        <v>2692134387</v>
      </c>
      <c r="C15" s="215" t="s">
        <v>128</v>
      </c>
      <c r="D15" s="215" t="s">
        <v>64</v>
      </c>
      <c r="E15" s="215" t="s">
        <v>5</v>
      </c>
      <c r="F15" s="215" t="s">
        <v>1385</v>
      </c>
      <c r="G15" s="215">
        <v>58</v>
      </c>
      <c r="H15" s="215" t="s">
        <v>387</v>
      </c>
      <c r="I15" s="215" t="s">
        <v>227</v>
      </c>
      <c r="J15" s="215" t="s">
        <v>1900</v>
      </c>
      <c r="K15" s="215" t="s">
        <v>1918</v>
      </c>
      <c r="L15" s="216">
        <v>46027.568749999999</v>
      </c>
      <c r="M15" s="216">
        <v>46027.571527777778</v>
      </c>
      <c r="N15" s="215" t="s">
        <v>1919</v>
      </c>
      <c r="O15" s="180" t="s">
        <v>205</v>
      </c>
      <c r="P15" s="142"/>
      <c r="Q15" s="164" t="s">
        <v>205</v>
      </c>
      <c r="R15" s="142"/>
      <c r="S15" s="164" t="s">
        <v>205</v>
      </c>
      <c r="T15" s="142"/>
      <c r="U15" s="143" t="s">
        <v>205</v>
      </c>
      <c r="V15" s="142"/>
      <c r="W15" s="143" t="s">
        <v>205</v>
      </c>
      <c r="X15" s="56"/>
      <c r="Y15" s="350" t="s">
        <v>205</v>
      </c>
      <c r="Z15" s="142" t="str">
        <f t="shared" si="1"/>
        <v>C</v>
      </c>
      <c r="AA15" s="226" t="str">
        <f t="shared" si="2"/>
        <v>UTILIZOU O PDA CORRETAMENTE</v>
      </c>
      <c r="AB15" s="9" t="s">
        <v>205</v>
      </c>
      <c r="AC15" s="197" t="s">
        <v>6</v>
      </c>
      <c r="AD15" s="150" t="str">
        <f t="shared" si="3"/>
        <v>SÃO PAULO</v>
      </c>
      <c r="AE15" s="58" t="s">
        <v>64</v>
      </c>
    </row>
    <row r="16" spans="1:31" s="55" customFormat="1" ht="30" customHeight="1">
      <c r="A16" s="215" t="s">
        <v>198</v>
      </c>
      <c r="B16" s="215">
        <v>2692144430</v>
      </c>
      <c r="C16" s="215" t="s">
        <v>128</v>
      </c>
      <c r="D16" s="215" t="s">
        <v>64</v>
      </c>
      <c r="E16" s="215" t="s">
        <v>5</v>
      </c>
      <c r="F16" s="215" t="s">
        <v>1920</v>
      </c>
      <c r="G16" s="215">
        <v>104</v>
      </c>
      <c r="H16" s="215" t="s">
        <v>417</v>
      </c>
      <c r="I16" s="215" t="s">
        <v>607</v>
      </c>
      <c r="J16" s="215" t="s">
        <v>1900</v>
      </c>
      <c r="K16" s="215"/>
      <c r="L16" s="216">
        <v>46027.647222222222</v>
      </c>
      <c r="M16" s="216">
        <v>46027.654861111114</v>
      </c>
      <c r="N16" s="215" t="s">
        <v>1919</v>
      </c>
      <c r="O16" s="180" t="s">
        <v>205</v>
      </c>
      <c r="P16" s="142"/>
      <c r="Q16" s="164" t="s">
        <v>205</v>
      </c>
      <c r="R16" s="142"/>
      <c r="S16" s="164" t="s">
        <v>205</v>
      </c>
      <c r="T16" s="142"/>
      <c r="U16" s="143" t="s">
        <v>205</v>
      </c>
      <c r="V16" s="142"/>
      <c r="W16" s="143" t="s">
        <v>205</v>
      </c>
      <c r="X16" s="56"/>
      <c r="Y16" s="350" t="s">
        <v>205</v>
      </c>
      <c r="Z16" s="142" t="str">
        <f t="shared" si="1"/>
        <v>C</v>
      </c>
      <c r="AA16" s="226" t="str">
        <f t="shared" si="2"/>
        <v>UTILIZOU O PDA CORRETAMENTE</v>
      </c>
      <c r="AB16" s="9" t="s">
        <v>205</v>
      </c>
      <c r="AC16" s="197" t="s">
        <v>6</v>
      </c>
      <c r="AD16" s="150" t="str">
        <f t="shared" si="3"/>
        <v>SÃO PAULO</v>
      </c>
      <c r="AE16" s="58" t="s">
        <v>64</v>
      </c>
    </row>
    <row r="17" spans="1:31" s="55" customFormat="1" ht="30" customHeight="1">
      <c r="A17" s="215" t="s">
        <v>198</v>
      </c>
      <c r="B17" s="215">
        <v>2692102170</v>
      </c>
      <c r="C17" s="215" t="s">
        <v>134</v>
      </c>
      <c r="D17" s="215" t="s">
        <v>125</v>
      </c>
      <c r="E17" s="215" t="s">
        <v>5</v>
      </c>
      <c r="F17" s="215" t="s">
        <v>1921</v>
      </c>
      <c r="G17" s="215">
        <v>134</v>
      </c>
      <c r="H17" s="215" t="s">
        <v>1233</v>
      </c>
      <c r="I17" s="215" t="s">
        <v>529</v>
      </c>
      <c r="J17" s="215" t="s">
        <v>1900</v>
      </c>
      <c r="K17" s="215" t="s">
        <v>1922</v>
      </c>
      <c r="L17" s="216">
        <v>46027.445138888892</v>
      </c>
      <c r="M17" s="216">
        <v>46027.445833333331</v>
      </c>
      <c r="N17" s="215" t="s">
        <v>794</v>
      </c>
      <c r="O17" s="156" t="s">
        <v>206</v>
      </c>
      <c r="P17" s="142"/>
      <c r="Q17" s="143" t="s">
        <v>206</v>
      </c>
      <c r="R17" s="142"/>
      <c r="S17" s="143" t="s">
        <v>206</v>
      </c>
      <c r="T17" s="142"/>
      <c r="U17" s="143" t="s">
        <v>206</v>
      </c>
      <c r="V17" s="142"/>
      <c r="W17" s="143" t="s">
        <v>206</v>
      </c>
      <c r="X17" s="59"/>
      <c r="Y17" s="350" t="s">
        <v>239</v>
      </c>
      <c r="Z17" s="142" t="str">
        <f t="shared" si="1"/>
        <v>NC</v>
      </c>
      <c r="AA17" s="226" t="str">
        <f t="shared" si="2"/>
        <v>NÃO UTILIZOU O PDA</v>
      </c>
      <c r="AB17" s="9" t="s">
        <v>205</v>
      </c>
      <c r="AC17" s="197" t="s">
        <v>6</v>
      </c>
      <c r="AD17" s="150" t="str">
        <f t="shared" si="3"/>
        <v>SÃO PAULO</v>
      </c>
      <c r="AE17" s="58" t="s">
        <v>64</v>
      </c>
    </row>
    <row r="18" spans="1:31" s="55" customFormat="1" ht="30" customHeight="1">
      <c r="A18" s="215" t="s">
        <v>198</v>
      </c>
      <c r="B18" s="215">
        <v>2692148498</v>
      </c>
      <c r="C18" s="215" t="s">
        <v>128</v>
      </c>
      <c r="D18" s="215" t="s">
        <v>64</v>
      </c>
      <c r="E18" s="215" t="s">
        <v>5</v>
      </c>
      <c r="F18" s="215" t="s">
        <v>1368</v>
      </c>
      <c r="G18" s="215">
        <v>603</v>
      </c>
      <c r="H18" s="215"/>
      <c r="I18" s="215" t="s">
        <v>1369</v>
      </c>
      <c r="J18" s="215" t="s">
        <v>1898</v>
      </c>
      <c r="K18" s="215"/>
      <c r="L18" s="216">
        <v>46027.65347222222</v>
      </c>
      <c r="M18" s="216">
        <v>46027.654166666667</v>
      </c>
      <c r="N18" s="215" t="s">
        <v>254</v>
      </c>
      <c r="O18" s="156" t="s">
        <v>206</v>
      </c>
      <c r="P18" s="142"/>
      <c r="Q18" s="143" t="s">
        <v>206</v>
      </c>
      <c r="R18" s="142"/>
      <c r="S18" s="143" t="s">
        <v>206</v>
      </c>
      <c r="T18" s="142"/>
      <c r="U18" s="143" t="s">
        <v>206</v>
      </c>
      <c r="V18" s="142"/>
      <c r="W18" s="143" t="s">
        <v>206</v>
      </c>
      <c r="X18" s="56"/>
      <c r="Y18" s="350" t="s">
        <v>239</v>
      </c>
      <c r="Z18" s="142" t="str">
        <f t="shared" si="1"/>
        <v>NC</v>
      </c>
      <c r="AA18" s="226" t="str">
        <f t="shared" si="2"/>
        <v>NÃO UTILIZOU O PDA</v>
      </c>
      <c r="AB18" s="9" t="s">
        <v>205</v>
      </c>
      <c r="AC18" s="197" t="s">
        <v>6</v>
      </c>
      <c r="AD18" s="150" t="str">
        <f t="shared" si="3"/>
        <v>SÃO PAULO</v>
      </c>
      <c r="AE18" s="58" t="s">
        <v>64</v>
      </c>
    </row>
    <row r="19" spans="1:31" s="55" customFormat="1" ht="30" customHeight="1">
      <c r="A19" s="215" t="s">
        <v>198</v>
      </c>
      <c r="B19" s="215">
        <v>2618310093</v>
      </c>
      <c r="C19" s="215" t="s">
        <v>127</v>
      </c>
      <c r="D19" s="215" t="s">
        <v>64</v>
      </c>
      <c r="E19" s="215" t="s">
        <v>5</v>
      </c>
      <c r="F19" s="215" t="s">
        <v>1923</v>
      </c>
      <c r="G19" s="215">
        <v>410</v>
      </c>
      <c r="H19" s="215" t="s">
        <v>318</v>
      </c>
      <c r="I19" s="215" t="s">
        <v>1320</v>
      </c>
      <c r="J19" s="215" t="s">
        <v>1900</v>
      </c>
      <c r="K19" s="215" t="s">
        <v>1924</v>
      </c>
      <c r="L19" s="216">
        <v>46058.366666666669</v>
      </c>
      <c r="M19" s="216">
        <v>46058.367361111108</v>
      </c>
      <c r="N19" s="215" t="s">
        <v>900</v>
      </c>
      <c r="O19" s="180" t="s">
        <v>205</v>
      </c>
      <c r="P19" s="142"/>
      <c r="Q19" s="164" t="s">
        <v>205</v>
      </c>
      <c r="R19" s="142"/>
      <c r="S19" s="164" t="s">
        <v>205</v>
      </c>
      <c r="T19" s="142"/>
      <c r="U19" s="143" t="s">
        <v>205</v>
      </c>
      <c r="V19" s="142"/>
      <c r="W19" s="143" t="s">
        <v>205</v>
      </c>
      <c r="X19" s="56"/>
      <c r="Y19" s="350" t="s">
        <v>205</v>
      </c>
      <c r="Z19" s="142" t="str">
        <f t="shared" si="1"/>
        <v>C</v>
      </c>
      <c r="AA19" s="226" t="str">
        <f t="shared" si="2"/>
        <v>UTILIZOU O PDA CORRETAMENTE</v>
      </c>
      <c r="AB19" s="9" t="s">
        <v>205</v>
      </c>
      <c r="AC19" s="197" t="s">
        <v>6</v>
      </c>
      <c r="AD19" s="150" t="str">
        <f t="shared" si="3"/>
        <v>SÃO PAULO</v>
      </c>
      <c r="AE19" s="58" t="s">
        <v>64</v>
      </c>
    </row>
    <row r="20" spans="1:31" s="55" customFormat="1" ht="30" customHeight="1">
      <c r="A20" s="215" t="s">
        <v>198</v>
      </c>
      <c r="B20" s="215">
        <v>2692159324</v>
      </c>
      <c r="C20" s="215" t="s">
        <v>128</v>
      </c>
      <c r="D20" s="215" t="s">
        <v>64</v>
      </c>
      <c r="E20" s="215" t="s">
        <v>5</v>
      </c>
      <c r="F20" s="215" t="s">
        <v>1925</v>
      </c>
      <c r="G20" s="215">
        <v>74</v>
      </c>
      <c r="H20" s="215"/>
      <c r="I20" s="215" t="s">
        <v>1016</v>
      </c>
      <c r="J20" s="215" t="s">
        <v>1898</v>
      </c>
      <c r="K20" s="215"/>
      <c r="L20" s="216">
        <v>46058.379861111112</v>
      </c>
      <c r="M20" s="216">
        <v>46058.39166666667</v>
      </c>
      <c r="N20" s="215" t="s">
        <v>794</v>
      </c>
      <c r="O20" s="180" t="s">
        <v>205</v>
      </c>
      <c r="P20" s="142"/>
      <c r="Q20" s="164" t="s">
        <v>205</v>
      </c>
      <c r="R20" s="142"/>
      <c r="S20" s="164" t="s">
        <v>205</v>
      </c>
      <c r="T20" s="142"/>
      <c r="U20" s="143" t="s">
        <v>205</v>
      </c>
      <c r="V20" s="142"/>
      <c r="W20" s="143" t="s">
        <v>205</v>
      </c>
      <c r="X20" s="56"/>
      <c r="Y20" s="350" t="s">
        <v>205</v>
      </c>
      <c r="Z20" s="142" t="str">
        <f t="shared" si="1"/>
        <v>C</v>
      </c>
      <c r="AA20" s="226" t="str">
        <f t="shared" si="2"/>
        <v>UTILIZOU O PDA CORRETAMENTE</v>
      </c>
      <c r="AB20" s="9" t="s">
        <v>205</v>
      </c>
      <c r="AC20" s="197" t="s">
        <v>6</v>
      </c>
      <c r="AD20" s="150" t="str">
        <f t="shared" si="3"/>
        <v>SÃO PAULO</v>
      </c>
      <c r="AE20" s="58" t="s">
        <v>64</v>
      </c>
    </row>
    <row r="21" spans="1:31" s="55" customFormat="1" ht="30" customHeight="1">
      <c r="A21" s="215" t="s">
        <v>198</v>
      </c>
      <c r="B21" s="215">
        <v>2692154304</v>
      </c>
      <c r="C21" s="215" t="s">
        <v>131</v>
      </c>
      <c r="D21" s="215" t="s">
        <v>64</v>
      </c>
      <c r="E21" s="215" t="s">
        <v>5</v>
      </c>
      <c r="F21" s="215" t="s">
        <v>1926</v>
      </c>
      <c r="G21" s="215">
        <v>270</v>
      </c>
      <c r="H21" s="215" t="s">
        <v>200</v>
      </c>
      <c r="I21" s="215" t="s">
        <v>849</v>
      </c>
      <c r="J21" s="215" t="s">
        <v>1898</v>
      </c>
      <c r="K21" s="215" t="s">
        <v>200</v>
      </c>
      <c r="L21" s="216">
        <v>46058.400694444441</v>
      </c>
      <c r="M21" s="216">
        <v>46058.434027777781</v>
      </c>
      <c r="N21" s="215" t="s">
        <v>794</v>
      </c>
      <c r="O21" s="180" t="s">
        <v>205</v>
      </c>
      <c r="P21" s="142"/>
      <c r="Q21" s="164" t="s">
        <v>205</v>
      </c>
      <c r="R21" s="142"/>
      <c r="S21" s="164" t="s">
        <v>205</v>
      </c>
      <c r="T21" s="142"/>
      <c r="U21" s="143" t="s">
        <v>205</v>
      </c>
      <c r="V21" s="142"/>
      <c r="W21" s="143" t="s">
        <v>205</v>
      </c>
      <c r="X21" s="56"/>
      <c r="Y21" s="350" t="s">
        <v>205</v>
      </c>
      <c r="Z21" s="142" t="str">
        <f t="shared" si="1"/>
        <v>C</v>
      </c>
      <c r="AA21" s="226" t="str">
        <f t="shared" si="2"/>
        <v>UTILIZOU O PDA CORRETAMENTE</v>
      </c>
      <c r="AB21" s="9" t="s">
        <v>205</v>
      </c>
      <c r="AC21" s="197" t="s">
        <v>6</v>
      </c>
      <c r="AD21" s="150" t="str">
        <f t="shared" si="3"/>
        <v>SÃO PAULO</v>
      </c>
      <c r="AE21" s="58" t="s">
        <v>64</v>
      </c>
    </row>
    <row r="22" spans="1:31" s="55" customFormat="1" ht="30" customHeight="1">
      <c r="A22" s="215" t="s">
        <v>198</v>
      </c>
      <c r="B22" s="215">
        <v>2618309467</v>
      </c>
      <c r="C22" s="215" t="s">
        <v>128</v>
      </c>
      <c r="D22" s="215" t="s">
        <v>64</v>
      </c>
      <c r="E22" s="215" t="s">
        <v>5</v>
      </c>
      <c r="F22" s="215" t="s">
        <v>292</v>
      </c>
      <c r="G22" s="215">
        <v>1249</v>
      </c>
      <c r="H22" s="215" t="s">
        <v>226</v>
      </c>
      <c r="I22" s="215" t="s">
        <v>293</v>
      </c>
      <c r="J22" s="215" t="s">
        <v>1898</v>
      </c>
      <c r="K22" s="215" t="s">
        <v>200</v>
      </c>
      <c r="L22" s="216">
        <v>46058.411111111112</v>
      </c>
      <c r="M22" s="216">
        <v>46058.421527777777</v>
      </c>
      <c r="N22" s="215" t="s">
        <v>852</v>
      </c>
      <c r="O22" s="180" t="s">
        <v>205</v>
      </c>
      <c r="P22" s="142"/>
      <c r="Q22" s="164" t="s">
        <v>205</v>
      </c>
      <c r="R22" s="142"/>
      <c r="S22" s="164" t="s">
        <v>205</v>
      </c>
      <c r="T22" s="142"/>
      <c r="U22" s="143" t="s">
        <v>205</v>
      </c>
      <c r="V22" s="142"/>
      <c r="W22" s="143" t="s">
        <v>205</v>
      </c>
      <c r="X22" s="56"/>
      <c r="Y22" s="350" t="s">
        <v>205</v>
      </c>
      <c r="Z22" s="142" t="str">
        <f t="shared" si="1"/>
        <v>C</v>
      </c>
      <c r="AA22" s="226" t="str">
        <f t="shared" si="2"/>
        <v>UTILIZOU O PDA CORRETAMENTE</v>
      </c>
      <c r="AB22" s="9" t="s">
        <v>205</v>
      </c>
      <c r="AC22" s="197" t="s">
        <v>6</v>
      </c>
      <c r="AD22" s="150" t="str">
        <f t="shared" si="3"/>
        <v>SÃO PAULO</v>
      </c>
      <c r="AE22" s="58" t="s">
        <v>64</v>
      </c>
    </row>
    <row r="23" spans="1:31" s="55" customFormat="1" ht="30" customHeight="1">
      <c r="A23" s="215" t="s">
        <v>198</v>
      </c>
      <c r="B23" s="215">
        <v>2618068037</v>
      </c>
      <c r="C23" s="215" t="s">
        <v>135</v>
      </c>
      <c r="D23" s="215" t="s">
        <v>125</v>
      </c>
      <c r="E23" s="215" t="s">
        <v>5</v>
      </c>
      <c r="F23" s="215" t="s">
        <v>327</v>
      </c>
      <c r="G23" s="215">
        <v>393</v>
      </c>
      <c r="H23" s="215" t="s">
        <v>1233</v>
      </c>
      <c r="I23" s="215" t="s">
        <v>328</v>
      </c>
      <c r="J23" s="215" t="s">
        <v>1909</v>
      </c>
      <c r="K23" s="215" t="s">
        <v>1927</v>
      </c>
      <c r="L23" s="216">
        <v>46117.672222222223</v>
      </c>
      <c r="M23" s="216">
        <v>46117.67291666667</v>
      </c>
      <c r="N23" s="215" t="s">
        <v>254</v>
      </c>
      <c r="O23" s="180" t="s">
        <v>205</v>
      </c>
      <c r="P23" s="142"/>
      <c r="Q23" s="164" t="s">
        <v>205</v>
      </c>
      <c r="R23" s="142"/>
      <c r="S23" s="164" t="s">
        <v>205</v>
      </c>
      <c r="T23" s="142"/>
      <c r="U23" s="143" t="s">
        <v>205</v>
      </c>
      <c r="V23" s="142"/>
      <c r="W23" s="143" t="s">
        <v>205</v>
      </c>
      <c r="X23" s="56"/>
      <c r="Y23" s="350" t="s">
        <v>205</v>
      </c>
      <c r="Z23" s="142" t="str">
        <f t="shared" si="1"/>
        <v>C</v>
      </c>
      <c r="AA23" s="226" t="str">
        <f t="shared" si="2"/>
        <v>UTILIZOU O PDA CORRETAMENTE</v>
      </c>
      <c r="AB23" s="9" t="s">
        <v>205</v>
      </c>
      <c r="AC23" s="197" t="s">
        <v>6</v>
      </c>
      <c r="AD23" s="150" t="str">
        <f t="shared" si="3"/>
        <v>SÃO PAULO</v>
      </c>
      <c r="AE23" s="58" t="s">
        <v>64</v>
      </c>
    </row>
    <row r="24" spans="1:31" s="55" customFormat="1" ht="30" customHeight="1">
      <c r="A24" s="215" t="s">
        <v>198</v>
      </c>
      <c r="B24" s="215">
        <v>2692136702</v>
      </c>
      <c r="C24" s="215" t="s">
        <v>132</v>
      </c>
      <c r="D24" s="215" t="s">
        <v>64</v>
      </c>
      <c r="E24" s="215" t="s">
        <v>5</v>
      </c>
      <c r="F24" s="215" t="s">
        <v>1928</v>
      </c>
      <c r="G24" s="215">
        <v>155</v>
      </c>
      <c r="H24" s="215" t="s">
        <v>481</v>
      </c>
      <c r="I24" s="215" t="s">
        <v>1929</v>
      </c>
      <c r="J24" s="215" t="s">
        <v>1898</v>
      </c>
      <c r="K24" s="215" t="s">
        <v>200</v>
      </c>
      <c r="L24" s="216">
        <v>46058.406944444447</v>
      </c>
      <c r="M24" s="216">
        <v>46058.40902777778</v>
      </c>
      <c r="N24" s="215" t="s">
        <v>900</v>
      </c>
      <c r="O24" s="180" t="s">
        <v>205</v>
      </c>
      <c r="P24" s="142"/>
      <c r="Q24" s="143" t="s">
        <v>206</v>
      </c>
      <c r="R24" s="142"/>
      <c r="S24" s="164" t="s">
        <v>205</v>
      </c>
      <c r="T24" s="142"/>
      <c r="U24" s="143" t="s">
        <v>205</v>
      </c>
      <c r="V24" s="142"/>
      <c r="W24" s="143" t="s">
        <v>205</v>
      </c>
      <c r="X24" s="56"/>
      <c r="Y24" s="350" t="s">
        <v>205</v>
      </c>
      <c r="Z24" s="142" t="str">
        <f t="shared" si="1"/>
        <v>NC</v>
      </c>
      <c r="AA24" s="226" t="str">
        <f t="shared" si="2"/>
        <v>UTILIZOU O PDA CORRETAMENTE. NÃO HÁ FOTOS DE TODAS AS ETAPAS</v>
      </c>
      <c r="AB24" s="9" t="s">
        <v>205</v>
      </c>
      <c r="AC24" s="197" t="s">
        <v>6</v>
      </c>
      <c r="AD24" s="150" t="str">
        <f t="shared" si="3"/>
        <v>SÃO PAULO</v>
      </c>
      <c r="AE24" s="58" t="s">
        <v>64</v>
      </c>
    </row>
    <row r="25" spans="1:31" s="55" customFormat="1" ht="30" customHeight="1">
      <c r="A25" s="215" t="s">
        <v>198</v>
      </c>
      <c r="B25" s="215">
        <v>2617459921</v>
      </c>
      <c r="C25" s="215" t="s">
        <v>135</v>
      </c>
      <c r="D25" s="215" t="s">
        <v>125</v>
      </c>
      <c r="E25" s="215" t="s">
        <v>5</v>
      </c>
      <c r="F25" s="215" t="s">
        <v>1930</v>
      </c>
      <c r="G25" s="215">
        <v>23</v>
      </c>
      <c r="H25" s="215"/>
      <c r="I25" s="215" t="s">
        <v>1931</v>
      </c>
      <c r="J25" s="215" t="s">
        <v>1909</v>
      </c>
      <c r="K25" s="215"/>
      <c r="L25" s="216">
        <v>46058.478472222225</v>
      </c>
      <c r="M25" s="216">
        <v>46058.50277777778</v>
      </c>
      <c r="N25" s="215" t="s">
        <v>254</v>
      </c>
      <c r="O25" s="180" t="s">
        <v>205</v>
      </c>
      <c r="P25" s="142"/>
      <c r="Q25" s="164" t="s">
        <v>205</v>
      </c>
      <c r="R25" s="142"/>
      <c r="S25" s="164" t="s">
        <v>205</v>
      </c>
      <c r="T25" s="142"/>
      <c r="U25" s="143" t="s">
        <v>205</v>
      </c>
      <c r="V25" s="142"/>
      <c r="W25" s="143" t="s">
        <v>205</v>
      </c>
      <c r="X25" s="56"/>
      <c r="Y25" s="350" t="s">
        <v>205</v>
      </c>
      <c r="Z25" s="142" t="str">
        <f t="shared" si="1"/>
        <v>C</v>
      </c>
      <c r="AA25" s="226" t="str">
        <f t="shared" si="2"/>
        <v>UTILIZOU O PDA CORRETAMENTE</v>
      </c>
      <c r="AB25" s="9" t="s">
        <v>205</v>
      </c>
      <c r="AC25" s="197" t="s">
        <v>6</v>
      </c>
      <c r="AD25" s="150" t="str">
        <f t="shared" si="3"/>
        <v>SÃO PAULO</v>
      </c>
      <c r="AE25" s="58" t="s">
        <v>64</v>
      </c>
    </row>
    <row r="26" spans="1:31" s="55" customFormat="1" ht="30" customHeight="1">
      <c r="A26" s="215" t="s">
        <v>198</v>
      </c>
      <c r="B26" s="215">
        <v>2692187638</v>
      </c>
      <c r="C26" s="215" t="s">
        <v>128</v>
      </c>
      <c r="D26" s="215" t="s">
        <v>64</v>
      </c>
      <c r="E26" s="215" t="s">
        <v>5</v>
      </c>
      <c r="F26" s="215" t="s">
        <v>1932</v>
      </c>
      <c r="G26" s="215">
        <v>112</v>
      </c>
      <c r="H26" s="215" t="s">
        <v>226</v>
      </c>
      <c r="I26" s="215" t="s">
        <v>320</v>
      </c>
      <c r="J26" s="215" t="s">
        <v>1898</v>
      </c>
      <c r="K26" s="215"/>
      <c r="L26" s="216">
        <v>46058.637499999997</v>
      </c>
      <c r="M26" s="216">
        <v>46058.652777777781</v>
      </c>
      <c r="N26" s="215" t="s">
        <v>852</v>
      </c>
      <c r="O26" s="180" t="s">
        <v>205</v>
      </c>
      <c r="P26" s="142"/>
      <c r="Q26" s="164" t="s">
        <v>205</v>
      </c>
      <c r="R26" s="142"/>
      <c r="S26" s="164" t="s">
        <v>205</v>
      </c>
      <c r="T26" s="142"/>
      <c r="U26" s="143" t="s">
        <v>205</v>
      </c>
      <c r="V26" s="142"/>
      <c r="W26" s="143" t="s">
        <v>205</v>
      </c>
      <c r="X26" s="56"/>
      <c r="Y26" s="350" t="s">
        <v>205</v>
      </c>
      <c r="Z26" s="142" t="str">
        <f t="shared" si="1"/>
        <v>C</v>
      </c>
      <c r="AA26" s="226" t="str">
        <f t="shared" si="2"/>
        <v>UTILIZOU O PDA CORRETAMENTE</v>
      </c>
      <c r="AB26" s="9" t="s">
        <v>205</v>
      </c>
      <c r="AC26" s="197" t="s">
        <v>6</v>
      </c>
      <c r="AD26" s="150" t="str">
        <f t="shared" si="3"/>
        <v>SÃO PAULO</v>
      </c>
      <c r="AE26" s="58" t="s">
        <v>64</v>
      </c>
    </row>
    <row r="27" spans="1:31" s="55" customFormat="1" ht="30" customHeight="1">
      <c r="A27" s="215" t="s">
        <v>198</v>
      </c>
      <c r="B27" s="215">
        <v>2692152107</v>
      </c>
      <c r="C27" s="215" t="s">
        <v>130</v>
      </c>
      <c r="D27" s="215" t="s">
        <v>125</v>
      </c>
      <c r="E27" s="215" t="s">
        <v>5</v>
      </c>
      <c r="F27" s="215" t="s">
        <v>1933</v>
      </c>
      <c r="G27" s="215">
        <v>127</v>
      </c>
      <c r="H27" s="215" t="s">
        <v>226</v>
      </c>
      <c r="I27" s="215" t="s">
        <v>296</v>
      </c>
      <c r="J27" s="215" t="s">
        <v>1934</v>
      </c>
      <c r="K27" s="215" t="s">
        <v>200</v>
      </c>
      <c r="L27" s="216">
        <v>46058.459027777775</v>
      </c>
      <c r="M27" s="216">
        <v>46058.466666666667</v>
      </c>
      <c r="N27" s="215" t="s">
        <v>900</v>
      </c>
      <c r="O27" s="180" t="s">
        <v>205</v>
      </c>
      <c r="P27" s="142"/>
      <c r="Q27" s="164" t="s">
        <v>205</v>
      </c>
      <c r="R27" s="142"/>
      <c r="S27" s="164" t="s">
        <v>205</v>
      </c>
      <c r="T27" s="142"/>
      <c r="U27" s="143" t="s">
        <v>205</v>
      </c>
      <c r="V27" s="142"/>
      <c r="W27" s="143" t="s">
        <v>205</v>
      </c>
      <c r="X27" s="56"/>
      <c r="Y27" s="350" t="s">
        <v>205</v>
      </c>
      <c r="Z27" s="142" t="str">
        <f t="shared" si="1"/>
        <v>C</v>
      </c>
      <c r="AA27" s="226" t="str">
        <f t="shared" si="2"/>
        <v>UTILIZOU O PDA CORRETAMENTE</v>
      </c>
      <c r="AB27" s="9" t="s">
        <v>205</v>
      </c>
      <c r="AC27" s="197" t="s">
        <v>6</v>
      </c>
      <c r="AD27" s="150" t="str">
        <f t="shared" si="3"/>
        <v>SÃO PAULO</v>
      </c>
      <c r="AE27" s="58" t="s">
        <v>64</v>
      </c>
    </row>
    <row r="28" spans="1:31" s="55" customFormat="1" ht="30" customHeight="1">
      <c r="A28" s="215" t="s">
        <v>198</v>
      </c>
      <c r="B28" s="215">
        <v>2692228036</v>
      </c>
      <c r="C28" s="215" t="s">
        <v>131</v>
      </c>
      <c r="D28" s="215" t="s">
        <v>64</v>
      </c>
      <c r="E28" s="215" t="s">
        <v>5</v>
      </c>
      <c r="F28" s="215" t="s">
        <v>1935</v>
      </c>
      <c r="G28" s="215">
        <v>30</v>
      </c>
      <c r="H28" s="215"/>
      <c r="I28" s="215" t="s">
        <v>577</v>
      </c>
      <c r="J28" s="215" t="s">
        <v>1908</v>
      </c>
      <c r="K28" s="215"/>
      <c r="L28" s="216">
        <v>46086.453472222223</v>
      </c>
      <c r="M28" s="216">
        <v>46086.474305555559</v>
      </c>
      <c r="N28" s="215" t="s">
        <v>1919</v>
      </c>
      <c r="O28" s="180" t="s">
        <v>205</v>
      </c>
      <c r="P28" s="142"/>
      <c r="Q28" s="164" t="s">
        <v>205</v>
      </c>
      <c r="R28" s="142"/>
      <c r="S28" s="164" t="s">
        <v>205</v>
      </c>
      <c r="T28" s="142"/>
      <c r="U28" s="143" t="s">
        <v>205</v>
      </c>
      <c r="V28" s="142"/>
      <c r="W28" s="143" t="s">
        <v>205</v>
      </c>
      <c r="X28" s="56"/>
      <c r="Y28" s="350" t="s">
        <v>205</v>
      </c>
      <c r="Z28" s="142" t="str">
        <f t="shared" si="1"/>
        <v>C</v>
      </c>
      <c r="AA28" s="226" t="str">
        <f t="shared" si="2"/>
        <v>UTILIZOU O PDA CORRETAMENTE</v>
      </c>
      <c r="AB28" s="9" t="s">
        <v>205</v>
      </c>
      <c r="AC28" s="197" t="s">
        <v>6</v>
      </c>
      <c r="AD28" s="150" t="str">
        <f t="shared" si="3"/>
        <v>SÃO PAULO</v>
      </c>
      <c r="AE28" s="58" t="s">
        <v>64</v>
      </c>
    </row>
    <row r="29" spans="1:31" s="55" customFormat="1" ht="30" customHeight="1">
      <c r="A29" s="215" t="s">
        <v>198</v>
      </c>
      <c r="B29" s="215">
        <v>2692221579</v>
      </c>
      <c r="C29" s="215" t="s">
        <v>128</v>
      </c>
      <c r="D29" s="215" t="s">
        <v>64</v>
      </c>
      <c r="E29" s="215" t="s">
        <v>5</v>
      </c>
      <c r="F29" s="215" t="s">
        <v>1936</v>
      </c>
      <c r="G29" s="215">
        <v>316</v>
      </c>
      <c r="H29" s="215" t="s">
        <v>200</v>
      </c>
      <c r="I29" s="215" t="s">
        <v>280</v>
      </c>
      <c r="J29" s="215" t="s">
        <v>1900</v>
      </c>
      <c r="K29" s="215" t="s">
        <v>1937</v>
      </c>
      <c r="L29" s="216">
        <v>46086.432638888888</v>
      </c>
      <c r="M29" s="216">
        <v>46086.439583333333</v>
      </c>
      <c r="N29" s="215" t="s">
        <v>900</v>
      </c>
      <c r="O29" s="156" t="s">
        <v>206</v>
      </c>
      <c r="P29" s="56"/>
      <c r="Q29" s="143" t="s">
        <v>206</v>
      </c>
      <c r="R29" s="56"/>
      <c r="S29" s="143" t="s">
        <v>206</v>
      </c>
      <c r="T29" s="56"/>
      <c r="U29" s="143" t="s">
        <v>206</v>
      </c>
      <c r="V29" s="56"/>
      <c r="W29" s="143" t="s">
        <v>206</v>
      </c>
      <c r="X29" s="56"/>
      <c r="Y29" s="350" t="s">
        <v>239</v>
      </c>
      <c r="Z29" s="142" t="str">
        <f t="shared" si="1"/>
        <v>NC</v>
      </c>
      <c r="AA29" s="226" t="str">
        <f t="shared" si="2"/>
        <v>NÃO UTILIZOU O PDA</v>
      </c>
      <c r="AB29" s="9" t="s">
        <v>205</v>
      </c>
      <c r="AC29" s="197" t="s">
        <v>6</v>
      </c>
      <c r="AD29" s="150" t="str">
        <f t="shared" si="3"/>
        <v>SÃO PAULO</v>
      </c>
      <c r="AE29" s="58" t="s">
        <v>64</v>
      </c>
    </row>
    <row r="30" spans="1:31" s="55" customFormat="1" ht="30" customHeight="1">
      <c r="A30" s="215" t="s">
        <v>198</v>
      </c>
      <c r="B30" s="215">
        <v>2692217273</v>
      </c>
      <c r="C30" s="215" t="s">
        <v>131</v>
      </c>
      <c r="D30" s="215" t="s">
        <v>64</v>
      </c>
      <c r="E30" s="215" t="s">
        <v>5</v>
      </c>
      <c r="F30" s="215" t="s">
        <v>1938</v>
      </c>
      <c r="G30" s="215">
        <v>95</v>
      </c>
      <c r="H30" s="215" t="s">
        <v>409</v>
      </c>
      <c r="I30" s="215" t="s">
        <v>849</v>
      </c>
      <c r="J30" s="215" t="s">
        <v>1898</v>
      </c>
      <c r="K30" s="215"/>
      <c r="L30" s="216">
        <v>46086.379166666666</v>
      </c>
      <c r="M30" s="216">
        <v>46086.40347222222</v>
      </c>
      <c r="N30" s="215" t="s">
        <v>900</v>
      </c>
      <c r="O30" s="180" t="s">
        <v>205</v>
      </c>
      <c r="P30" s="56"/>
      <c r="Q30" s="164" t="s">
        <v>205</v>
      </c>
      <c r="R30" s="56"/>
      <c r="S30" s="143" t="s">
        <v>206</v>
      </c>
      <c r="T30" s="56"/>
      <c r="U30" s="143" t="s">
        <v>206</v>
      </c>
      <c r="V30" s="56"/>
      <c r="W30" s="143" t="s">
        <v>205</v>
      </c>
      <c r="X30" s="56"/>
      <c r="Y30" s="350" t="s">
        <v>205</v>
      </c>
      <c r="Z30" s="142" t="str">
        <f t="shared" si="1"/>
        <v>NC</v>
      </c>
      <c r="AA30" s="226" t="str">
        <f t="shared" si="2"/>
        <v>UTILIZOU O PDA CORRETAMENTE. NÃO HÁ FOTOS DE TODAS AS ETAPAS</v>
      </c>
      <c r="AB30" s="9" t="s">
        <v>205</v>
      </c>
      <c r="AC30" s="197" t="s">
        <v>6</v>
      </c>
      <c r="AD30" s="150" t="str">
        <f t="shared" si="3"/>
        <v>SÃO PAULO</v>
      </c>
      <c r="AE30" s="58" t="s">
        <v>64</v>
      </c>
    </row>
    <row r="31" spans="1:31" s="55" customFormat="1" ht="30" customHeight="1">
      <c r="A31" s="215" t="s">
        <v>198</v>
      </c>
      <c r="B31" s="215">
        <v>2692218230</v>
      </c>
      <c r="C31" s="215" t="s">
        <v>132</v>
      </c>
      <c r="D31" s="215" t="s">
        <v>64</v>
      </c>
      <c r="E31" s="215" t="s">
        <v>5</v>
      </c>
      <c r="F31" s="215" t="s">
        <v>1939</v>
      </c>
      <c r="G31" s="215">
        <v>482</v>
      </c>
      <c r="H31" s="215" t="s">
        <v>1940</v>
      </c>
      <c r="I31" s="215" t="s">
        <v>1941</v>
      </c>
      <c r="J31" s="215" t="s">
        <v>1898</v>
      </c>
      <c r="K31" s="215"/>
      <c r="L31" s="216">
        <v>46086.387499999997</v>
      </c>
      <c r="M31" s="216">
        <v>46086.393055555556</v>
      </c>
      <c r="N31" s="215" t="s">
        <v>852</v>
      </c>
      <c r="O31" s="180" t="s">
        <v>205</v>
      </c>
      <c r="P31" s="56"/>
      <c r="Q31" s="164" t="s">
        <v>205</v>
      </c>
      <c r="R31" s="56"/>
      <c r="S31" s="164" t="s">
        <v>205</v>
      </c>
      <c r="T31" s="56"/>
      <c r="U31" s="143" t="s">
        <v>205</v>
      </c>
      <c r="V31" s="56"/>
      <c r="W31" s="143" t="s">
        <v>205</v>
      </c>
      <c r="X31" s="56"/>
      <c r="Y31" s="350" t="s">
        <v>205</v>
      </c>
      <c r="Z31" s="142" t="str">
        <f t="shared" si="1"/>
        <v>C</v>
      </c>
      <c r="AA31" s="226" t="str">
        <f t="shared" si="2"/>
        <v>UTILIZOU O PDA CORRETAMENTE</v>
      </c>
      <c r="AB31" s="9" t="s">
        <v>205</v>
      </c>
      <c r="AC31" s="197" t="s">
        <v>6</v>
      </c>
      <c r="AD31" s="150" t="str">
        <f t="shared" si="3"/>
        <v>SÃO PAULO</v>
      </c>
      <c r="AE31" s="58" t="s">
        <v>64</v>
      </c>
    </row>
    <row r="32" spans="1:31" s="55" customFormat="1" ht="30" customHeight="1">
      <c r="A32" s="215" t="s">
        <v>198</v>
      </c>
      <c r="B32" s="215">
        <v>2692222748</v>
      </c>
      <c r="C32" s="215" t="s">
        <v>128</v>
      </c>
      <c r="D32" s="215" t="s">
        <v>64</v>
      </c>
      <c r="E32" s="215" t="s">
        <v>5</v>
      </c>
      <c r="F32" s="215" t="s">
        <v>1942</v>
      </c>
      <c r="G32" s="215">
        <v>1356</v>
      </c>
      <c r="H32" s="215"/>
      <c r="I32" s="215" t="s">
        <v>277</v>
      </c>
      <c r="J32" s="215" t="s">
        <v>1898</v>
      </c>
      <c r="K32" s="215"/>
      <c r="L32" s="216">
        <v>46086.363888888889</v>
      </c>
      <c r="M32" s="216">
        <v>46086.37222222222</v>
      </c>
      <c r="N32" s="215" t="s">
        <v>852</v>
      </c>
      <c r="O32" s="180" t="s">
        <v>205</v>
      </c>
      <c r="P32" s="56"/>
      <c r="Q32" s="164" t="s">
        <v>205</v>
      </c>
      <c r="R32" s="56"/>
      <c r="S32" s="164" t="s">
        <v>205</v>
      </c>
      <c r="T32" s="56"/>
      <c r="U32" s="143" t="s">
        <v>205</v>
      </c>
      <c r="V32" s="56"/>
      <c r="W32" s="143" t="s">
        <v>205</v>
      </c>
      <c r="X32" s="56"/>
      <c r="Y32" s="350" t="s">
        <v>205</v>
      </c>
      <c r="Z32" s="142" t="str">
        <f t="shared" si="1"/>
        <v>C</v>
      </c>
      <c r="AA32" s="226" t="str">
        <f t="shared" si="2"/>
        <v>UTILIZOU O PDA CORRETAMENTE</v>
      </c>
      <c r="AB32" s="9" t="s">
        <v>205</v>
      </c>
      <c r="AC32" s="197" t="s">
        <v>6</v>
      </c>
      <c r="AD32" s="150" t="str">
        <f t="shared" si="3"/>
        <v>SÃO PAULO</v>
      </c>
      <c r="AE32" s="58" t="s">
        <v>64</v>
      </c>
    </row>
    <row r="33" spans="1:31" s="55" customFormat="1" ht="30" customHeight="1">
      <c r="A33" s="215" t="s">
        <v>198</v>
      </c>
      <c r="B33" s="215">
        <v>2692235384</v>
      </c>
      <c r="C33" s="215" t="s">
        <v>132</v>
      </c>
      <c r="D33" s="215" t="s">
        <v>64</v>
      </c>
      <c r="E33" s="215" t="s">
        <v>5</v>
      </c>
      <c r="F33" s="215" t="s">
        <v>1943</v>
      </c>
      <c r="G33" s="215">
        <v>24</v>
      </c>
      <c r="H33" s="215" t="s">
        <v>417</v>
      </c>
      <c r="I33" s="215" t="s">
        <v>215</v>
      </c>
      <c r="J33" s="215" t="s">
        <v>1898</v>
      </c>
      <c r="K33" s="215" t="s">
        <v>200</v>
      </c>
      <c r="L33" s="216">
        <v>46086.606944444444</v>
      </c>
      <c r="M33" s="216">
        <v>46086.611805555556</v>
      </c>
      <c r="N33" s="215" t="s">
        <v>1919</v>
      </c>
      <c r="O33" s="180" t="s">
        <v>205</v>
      </c>
      <c r="P33" s="56"/>
      <c r="Q33" s="164" t="s">
        <v>205</v>
      </c>
      <c r="R33" s="56"/>
      <c r="S33" s="143" t="s">
        <v>206</v>
      </c>
      <c r="T33" s="56"/>
      <c r="U33" s="143" t="s">
        <v>205</v>
      </c>
      <c r="V33" s="56"/>
      <c r="W33" s="143" t="s">
        <v>205</v>
      </c>
      <c r="X33" s="56"/>
      <c r="Y33" s="350" t="s">
        <v>205</v>
      </c>
      <c r="Z33" s="142" t="str">
        <f t="shared" si="1"/>
        <v>NC</v>
      </c>
      <c r="AA33" s="226" t="str">
        <f t="shared" si="2"/>
        <v>UTILIZOU O PDA CORRETAMENTE. NÃO HÁ FOTOS DE TODAS AS ETAPAS</v>
      </c>
      <c r="AB33" s="9" t="s">
        <v>205</v>
      </c>
      <c r="AC33" s="197" t="s">
        <v>6</v>
      </c>
      <c r="AD33" s="150" t="str">
        <f t="shared" si="3"/>
        <v>SÃO PAULO</v>
      </c>
      <c r="AE33" s="58" t="s">
        <v>64</v>
      </c>
    </row>
    <row r="34" spans="1:31" s="55" customFormat="1" ht="30" customHeight="1">
      <c r="A34" s="215" t="s">
        <v>198</v>
      </c>
      <c r="B34" s="215">
        <v>2692232102</v>
      </c>
      <c r="C34" s="215" t="s">
        <v>128</v>
      </c>
      <c r="D34" s="215" t="s">
        <v>64</v>
      </c>
      <c r="E34" s="215" t="s">
        <v>5</v>
      </c>
      <c r="F34" s="215" t="s">
        <v>1944</v>
      </c>
      <c r="G34" s="215">
        <v>89</v>
      </c>
      <c r="H34" s="215" t="s">
        <v>481</v>
      </c>
      <c r="I34" s="215" t="s">
        <v>789</v>
      </c>
      <c r="J34" s="215" t="s">
        <v>1898</v>
      </c>
      <c r="K34" s="215"/>
      <c r="L34" s="216">
        <v>46086.589583333334</v>
      </c>
      <c r="M34" s="216">
        <v>46086.592361111114</v>
      </c>
      <c r="N34" s="215" t="s">
        <v>852</v>
      </c>
      <c r="O34" s="180" t="s">
        <v>205</v>
      </c>
      <c r="P34" s="56"/>
      <c r="Q34" s="164" t="s">
        <v>205</v>
      </c>
      <c r="R34" s="56"/>
      <c r="S34" s="164" t="s">
        <v>205</v>
      </c>
      <c r="T34" s="56"/>
      <c r="U34" s="143" t="s">
        <v>205</v>
      </c>
      <c r="V34" s="56"/>
      <c r="W34" s="143" t="s">
        <v>205</v>
      </c>
      <c r="X34" s="56"/>
      <c r="Y34" s="350" t="s">
        <v>205</v>
      </c>
      <c r="Z34" s="142" t="str">
        <f t="shared" si="1"/>
        <v>C</v>
      </c>
      <c r="AA34" s="226" t="str">
        <f t="shared" si="2"/>
        <v>UTILIZOU O PDA CORRETAMENTE</v>
      </c>
      <c r="AB34" s="9" t="s">
        <v>205</v>
      </c>
      <c r="AC34" s="197" t="s">
        <v>6</v>
      </c>
      <c r="AD34" s="150" t="str">
        <f t="shared" si="3"/>
        <v>SÃO PAULO</v>
      </c>
      <c r="AE34" s="58" t="s">
        <v>64</v>
      </c>
    </row>
    <row r="35" spans="1:31" s="55" customFormat="1" ht="30" customHeight="1">
      <c r="A35" s="215" t="s">
        <v>198</v>
      </c>
      <c r="B35" s="215">
        <v>2692207894</v>
      </c>
      <c r="C35" s="215" t="s">
        <v>131</v>
      </c>
      <c r="D35" s="215" t="s">
        <v>64</v>
      </c>
      <c r="E35" s="215" t="s">
        <v>5</v>
      </c>
      <c r="F35" s="215" t="s">
        <v>400</v>
      </c>
      <c r="G35" s="215">
        <v>69</v>
      </c>
      <c r="H35" s="215" t="s">
        <v>401</v>
      </c>
      <c r="I35" s="215" t="s">
        <v>402</v>
      </c>
      <c r="J35" s="215" t="s">
        <v>1908</v>
      </c>
      <c r="K35" s="215" t="s">
        <v>1945</v>
      </c>
      <c r="L35" s="216">
        <v>46086.253472222219</v>
      </c>
      <c r="M35" s="216">
        <v>46086.254166666666</v>
      </c>
      <c r="N35" s="215" t="s">
        <v>221</v>
      </c>
      <c r="O35" s="156" t="s">
        <v>206</v>
      </c>
      <c r="P35" s="56"/>
      <c r="Q35" s="143" t="s">
        <v>206</v>
      </c>
      <c r="R35" s="56"/>
      <c r="S35" s="143" t="s">
        <v>206</v>
      </c>
      <c r="T35" s="56"/>
      <c r="U35" s="143" t="s">
        <v>206</v>
      </c>
      <c r="V35" s="56"/>
      <c r="W35" s="143" t="s">
        <v>206</v>
      </c>
      <c r="X35" s="56"/>
      <c r="Y35" s="350" t="s">
        <v>239</v>
      </c>
      <c r="Z35" s="142" t="str">
        <f t="shared" si="1"/>
        <v>NC</v>
      </c>
      <c r="AA35" s="226" t="str">
        <f t="shared" si="2"/>
        <v>NÃO UTILIZOU O PDA</v>
      </c>
      <c r="AB35" s="9" t="s">
        <v>205</v>
      </c>
      <c r="AC35" s="197" t="s">
        <v>6</v>
      </c>
      <c r="AD35" s="150" t="str">
        <f t="shared" si="3"/>
        <v>SÃO PAULO</v>
      </c>
      <c r="AE35" s="58" t="s">
        <v>64</v>
      </c>
    </row>
    <row r="36" spans="1:31" s="55" customFormat="1" ht="30" customHeight="1">
      <c r="A36" s="215" t="s">
        <v>198</v>
      </c>
      <c r="B36" s="215">
        <v>2618417017</v>
      </c>
      <c r="C36" s="215" t="s">
        <v>128</v>
      </c>
      <c r="D36" s="215" t="s">
        <v>64</v>
      </c>
      <c r="E36" s="215" t="s">
        <v>5</v>
      </c>
      <c r="F36" s="215" t="s">
        <v>598</v>
      </c>
      <c r="G36" s="215">
        <v>4883</v>
      </c>
      <c r="H36" s="215" t="s">
        <v>200</v>
      </c>
      <c r="I36" s="215" t="s">
        <v>1288</v>
      </c>
      <c r="J36" s="215" t="s">
        <v>1908</v>
      </c>
      <c r="K36" s="215" t="s">
        <v>1946</v>
      </c>
      <c r="L36" s="216">
        <v>46117.333333333336</v>
      </c>
      <c r="M36" s="216">
        <v>46117.336805555555</v>
      </c>
      <c r="N36" s="215" t="s">
        <v>1947</v>
      </c>
      <c r="O36" s="180" t="s">
        <v>205</v>
      </c>
      <c r="P36" s="56"/>
      <c r="Q36" s="164" t="s">
        <v>205</v>
      </c>
      <c r="R36" s="56"/>
      <c r="S36" s="164" t="s">
        <v>205</v>
      </c>
      <c r="T36" s="56"/>
      <c r="U36" s="143" t="s">
        <v>205</v>
      </c>
      <c r="V36" s="56"/>
      <c r="W36" s="143" t="s">
        <v>206</v>
      </c>
      <c r="X36" s="56"/>
      <c r="Y36" s="350" t="s">
        <v>205</v>
      </c>
      <c r="Z36" s="142" t="str">
        <f t="shared" si="1"/>
        <v>NC</v>
      </c>
      <c r="AA36" s="226" t="str">
        <f t="shared" si="2"/>
        <v>UTILIZOU O PDA CORRETAMENTE. NÃO HÁ FOTOS DE TODAS AS ETAPAS</v>
      </c>
      <c r="AB36" s="9" t="s">
        <v>205</v>
      </c>
      <c r="AC36" s="197" t="s">
        <v>6</v>
      </c>
      <c r="AD36" s="150" t="str">
        <f t="shared" si="3"/>
        <v>SÃO PAULO</v>
      </c>
      <c r="AE36" s="58" t="s">
        <v>64</v>
      </c>
    </row>
    <row r="37" spans="1:31" s="55" customFormat="1" ht="30" customHeight="1">
      <c r="A37" s="215" t="s">
        <v>198</v>
      </c>
      <c r="B37" s="215">
        <v>2692235819</v>
      </c>
      <c r="C37" s="215" t="s">
        <v>128</v>
      </c>
      <c r="D37" s="215" t="s">
        <v>64</v>
      </c>
      <c r="E37" s="215" t="s">
        <v>5</v>
      </c>
      <c r="F37" s="215" t="s">
        <v>1948</v>
      </c>
      <c r="G37" s="215">
        <v>24</v>
      </c>
      <c r="H37" s="215" t="s">
        <v>200</v>
      </c>
      <c r="I37" s="215" t="s">
        <v>1575</v>
      </c>
      <c r="J37" s="215" t="s">
        <v>1898</v>
      </c>
      <c r="K37" s="215" t="s">
        <v>200</v>
      </c>
      <c r="L37" s="216">
        <v>46117.428472222222</v>
      </c>
      <c r="M37" s="216">
        <v>46117.432638888888</v>
      </c>
      <c r="N37" s="215" t="s">
        <v>799</v>
      </c>
      <c r="O37" s="180" t="s">
        <v>205</v>
      </c>
      <c r="P37" s="56"/>
      <c r="Q37" s="164" t="s">
        <v>205</v>
      </c>
      <c r="R37" s="56"/>
      <c r="S37" s="164" t="s">
        <v>205</v>
      </c>
      <c r="T37" s="56"/>
      <c r="U37" s="143" t="s">
        <v>205</v>
      </c>
      <c r="V37" s="56"/>
      <c r="W37" s="143" t="s">
        <v>205</v>
      </c>
      <c r="X37" s="56"/>
      <c r="Y37" s="350" t="s">
        <v>205</v>
      </c>
      <c r="Z37" s="142" t="str">
        <f t="shared" si="1"/>
        <v>C</v>
      </c>
      <c r="AA37" s="226" t="str">
        <f t="shared" si="2"/>
        <v>UTILIZOU O PDA CORRETAMENTE</v>
      </c>
      <c r="AB37" s="9" t="s">
        <v>205</v>
      </c>
      <c r="AC37" s="197" t="s">
        <v>6</v>
      </c>
      <c r="AD37" s="150" t="str">
        <f t="shared" si="3"/>
        <v>SÃO PAULO</v>
      </c>
      <c r="AE37" s="58" t="s">
        <v>64</v>
      </c>
    </row>
    <row r="38" spans="1:31" s="55" customFormat="1" ht="30" customHeight="1">
      <c r="A38" s="215" t="s">
        <v>198</v>
      </c>
      <c r="B38" s="215">
        <v>2618427079</v>
      </c>
      <c r="C38" s="215" t="s">
        <v>128</v>
      </c>
      <c r="D38" s="215" t="s">
        <v>64</v>
      </c>
      <c r="E38" s="215" t="s">
        <v>5</v>
      </c>
      <c r="F38" s="215" t="s">
        <v>1385</v>
      </c>
      <c r="G38" s="215">
        <v>140</v>
      </c>
      <c r="H38" s="215" t="s">
        <v>226</v>
      </c>
      <c r="I38" s="215" t="s">
        <v>227</v>
      </c>
      <c r="J38" s="215" t="s">
        <v>1908</v>
      </c>
      <c r="K38" s="215"/>
      <c r="L38" s="216">
        <v>46117.470833333333</v>
      </c>
      <c r="M38" s="216">
        <v>46117.484722222223</v>
      </c>
      <c r="N38" s="215" t="s">
        <v>1919</v>
      </c>
      <c r="O38" s="180" t="s">
        <v>205</v>
      </c>
      <c r="P38" s="56"/>
      <c r="Q38" s="164" t="s">
        <v>205</v>
      </c>
      <c r="R38" s="56"/>
      <c r="S38" s="164" t="s">
        <v>205</v>
      </c>
      <c r="T38" s="56"/>
      <c r="U38" s="143" t="s">
        <v>205</v>
      </c>
      <c r="V38" s="56"/>
      <c r="W38" s="143" t="s">
        <v>205</v>
      </c>
      <c r="X38" s="56"/>
      <c r="Y38" s="350" t="s">
        <v>205</v>
      </c>
      <c r="Z38" s="142" t="str">
        <f t="shared" si="1"/>
        <v>C</v>
      </c>
      <c r="AA38" s="226" t="str">
        <f t="shared" si="2"/>
        <v>UTILIZOU O PDA CORRETAMENTE</v>
      </c>
      <c r="AB38" s="9" t="s">
        <v>205</v>
      </c>
      <c r="AC38" s="197" t="s">
        <v>6</v>
      </c>
      <c r="AD38" s="150" t="str">
        <f t="shared" si="3"/>
        <v>SÃO PAULO</v>
      </c>
      <c r="AE38" s="58" t="s">
        <v>64</v>
      </c>
    </row>
    <row r="39" spans="1:31" s="55" customFormat="1" ht="30" customHeight="1">
      <c r="A39" s="215" t="s">
        <v>198</v>
      </c>
      <c r="B39" s="215">
        <v>2692267358</v>
      </c>
      <c r="C39" s="215" t="s">
        <v>132</v>
      </c>
      <c r="D39" s="215" t="s">
        <v>64</v>
      </c>
      <c r="E39" s="215" t="s">
        <v>5</v>
      </c>
      <c r="F39" s="215" t="s">
        <v>1949</v>
      </c>
      <c r="G39" s="215">
        <v>26</v>
      </c>
      <c r="H39" s="215" t="s">
        <v>318</v>
      </c>
      <c r="I39" s="215" t="s">
        <v>308</v>
      </c>
      <c r="J39" s="215" t="s">
        <v>1898</v>
      </c>
      <c r="K39" s="215" t="s">
        <v>200</v>
      </c>
      <c r="L39" s="216">
        <v>46117.458333333336</v>
      </c>
      <c r="M39" s="216">
        <v>46117.46597222222</v>
      </c>
      <c r="N39" s="215" t="s">
        <v>1950</v>
      </c>
      <c r="O39" s="180" t="s">
        <v>205</v>
      </c>
      <c r="P39" s="56"/>
      <c r="Q39" s="164" t="s">
        <v>205</v>
      </c>
      <c r="R39" s="56"/>
      <c r="S39" s="164" t="s">
        <v>205</v>
      </c>
      <c r="T39" s="56"/>
      <c r="U39" s="143" t="s">
        <v>205</v>
      </c>
      <c r="V39" s="56"/>
      <c r="W39" s="143" t="s">
        <v>205</v>
      </c>
      <c r="X39" s="56"/>
      <c r="Y39" s="350" t="s">
        <v>205</v>
      </c>
      <c r="Z39" s="142" t="str">
        <f t="shared" si="1"/>
        <v>C</v>
      </c>
      <c r="AA39" s="226" t="str">
        <f t="shared" si="2"/>
        <v>UTILIZOU O PDA CORRETAMENTE</v>
      </c>
      <c r="AB39" s="9" t="s">
        <v>205</v>
      </c>
      <c r="AC39" s="197" t="s">
        <v>6</v>
      </c>
      <c r="AD39" s="150" t="str">
        <f t="shared" si="3"/>
        <v>SÃO PAULO</v>
      </c>
      <c r="AE39" s="58" t="s">
        <v>64</v>
      </c>
    </row>
    <row r="40" spans="1:31" s="55" customFormat="1" ht="30" customHeight="1">
      <c r="A40" s="215" t="s">
        <v>198</v>
      </c>
      <c r="B40" s="215">
        <v>2614680337</v>
      </c>
      <c r="C40" s="215" t="s">
        <v>135</v>
      </c>
      <c r="D40" s="215" t="s">
        <v>125</v>
      </c>
      <c r="E40" s="215" t="s">
        <v>5</v>
      </c>
      <c r="F40" s="215" t="s">
        <v>1951</v>
      </c>
      <c r="G40" s="215">
        <v>437</v>
      </c>
      <c r="H40" s="215"/>
      <c r="I40" s="215" t="s">
        <v>201</v>
      </c>
      <c r="J40" s="215" t="s">
        <v>1909</v>
      </c>
      <c r="K40" s="215" t="s">
        <v>1952</v>
      </c>
      <c r="L40" s="216">
        <v>46117.45208333333</v>
      </c>
      <c r="M40" s="216">
        <v>46117.498611111114</v>
      </c>
      <c r="N40" s="215" t="s">
        <v>357</v>
      </c>
      <c r="O40" s="180" t="s">
        <v>205</v>
      </c>
      <c r="P40" s="56"/>
      <c r="Q40" s="164" t="s">
        <v>205</v>
      </c>
      <c r="R40" s="56"/>
      <c r="S40" s="143" t="s">
        <v>206</v>
      </c>
      <c r="T40" s="56"/>
      <c r="U40" s="143" t="s">
        <v>205</v>
      </c>
      <c r="V40" s="56"/>
      <c r="W40" s="143" t="s">
        <v>206</v>
      </c>
      <c r="X40" s="56"/>
      <c r="Y40" s="350" t="s">
        <v>205</v>
      </c>
      <c r="Z40" s="142" t="str">
        <f t="shared" si="1"/>
        <v>NC</v>
      </c>
      <c r="AA40" s="226" t="str">
        <f t="shared" si="2"/>
        <v>UTILIZOU O PDA CORRETAMENTE. NÃO HÁ FOTOS DE TODAS AS ETAPAS</v>
      </c>
      <c r="AB40" s="9" t="s">
        <v>205</v>
      </c>
      <c r="AC40" s="197" t="s">
        <v>6</v>
      </c>
      <c r="AD40" s="150" t="str">
        <f t="shared" si="3"/>
        <v>SÃO PAULO</v>
      </c>
      <c r="AE40" s="58" t="s">
        <v>64</v>
      </c>
    </row>
    <row r="41" spans="1:31" s="55" customFormat="1" ht="30" customHeight="1">
      <c r="A41" s="215" t="s">
        <v>198</v>
      </c>
      <c r="B41" s="215">
        <v>2618061024</v>
      </c>
      <c r="C41" s="215" t="s">
        <v>135</v>
      </c>
      <c r="D41" s="215" t="s">
        <v>125</v>
      </c>
      <c r="E41" s="215" t="s">
        <v>5</v>
      </c>
      <c r="F41" s="215" t="s">
        <v>1953</v>
      </c>
      <c r="G41" s="215">
        <v>324</v>
      </c>
      <c r="H41" s="215" t="s">
        <v>200</v>
      </c>
      <c r="I41" s="215" t="s">
        <v>260</v>
      </c>
      <c r="J41" s="215" t="s">
        <v>1909</v>
      </c>
      <c r="K41" s="215" t="s">
        <v>200</v>
      </c>
      <c r="L41" s="216">
        <v>46117.386805555558</v>
      </c>
      <c r="M41" s="216">
        <v>46117.42083333333</v>
      </c>
      <c r="N41" s="215" t="s">
        <v>357</v>
      </c>
      <c r="O41" s="180" t="s">
        <v>205</v>
      </c>
      <c r="P41" s="56"/>
      <c r="Q41" s="164" t="s">
        <v>205</v>
      </c>
      <c r="R41" s="56"/>
      <c r="S41" s="164" t="s">
        <v>205</v>
      </c>
      <c r="T41" s="56"/>
      <c r="U41" s="143" t="s">
        <v>205</v>
      </c>
      <c r="V41" s="56"/>
      <c r="W41" s="143" t="s">
        <v>205</v>
      </c>
      <c r="X41" s="56"/>
      <c r="Y41" s="350" t="s">
        <v>205</v>
      </c>
      <c r="Z41" s="142" t="str">
        <f t="shared" si="1"/>
        <v>C</v>
      </c>
      <c r="AA41" s="226" t="str">
        <f t="shared" si="2"/>
        <v>UTILIZOU O PDA CORRETAMENTE</v>
      </c>
      <c r="AB41" s="9" t="s">
        <v>205</v>
      </c>
      <c r="AC41" s="197" t="s">
        <v>6</v>
      </c>
      <c r="AD41" s="150" t="str">
        <f t="shared" si="3"/>
        <v>SÃO PAULO</v>
      </c>
      <c r="AE41" s="58" t="s">
        <v>64</v>
      </c>
    </row>
    <row r="42" spans="1:31" s="55" customFormat="1" ht="30" customHeight="1">
      <c r="A42" s="215" t="s">
        <v>198</v>
      </c>
      <c r="B42" s="215">
        <v>2692236866</v>
      </c>
      <c r="C42" s="215" t="s">
        <v>128</v>
      </c>
      <c r="D42" s="215" t="s">
        <v>64</v>
      </c>
      <c r="E42" s="215" t="s">
        <v>5</v>
      </c>
      <c r="F42" s="215" t="s">
        <v>1954</v>
      </c>
      <c r="G42" s="215">
        <v>2</v>
      </c>
      <c r="H42" s="215" t="s">
        <v>214</v>
      </c>
      <c r="I42" s="215" t="s">
        <v>215</v>
      </c>
      <c r="J42" s="215" t="s">
        <v>1955</v>
      </c>
      <c r="K42" s="215"/>
      <c r="L42" s="216">
        <v>46117.373611111114</v>
      </c>
      <c r="M42" s="216">
        <v>46117.376388888886</v>
      </c>
      <c r="N42" s="215" t="s">
        <v>341</v>
      </c>
      <c r="O42" s="180" t="s">
        <v>205</v>
      </c>
      <c r="P42" s="56"/>
      <c r="Q42" s="164" t="s">
        <v>205</v>
      </c>
      <c r="R42" s="56"/>
      <c r="S42" s="143" t="s">
        <v>206</v>
      </c>
      <c r="T42" s="56"/>
      <c r="U42" s="143" t="s">
        <v>206</v>
      </c>
      <c r="V42" s="56"/>
      <c r="W42" s="143" t="s">
        <v>205</v>
      </c>
      <c r="X42" s="56"/>
      <c r="Y42" s="350" t="s">
        <v>205</v>
      </c>
      <c r="Z42" s="142" t="str">
        <f t="shared" si="1"/>
        <v>NC</v>
      </c>
      <c r="AA42" s="226" t="str">
        <f t="shared" si="2"/>
        <v>UTILIZOU O PDA CORRETAMENTE. NÃO HÁ FOTOS DE TODAS AS ETAPAS</v>
      </c>
      <c r="AB42" s="9" t="s">
        <v>205</v>
      </c>
      <c r="AC42" s="197" t="s">
        <v>6</v>
      </c>
      <c r="AD42" s="150" t="str">
        <f t="shared" si="3"/>
        <v>SÃO PAULO</v>
      </c>
      <c r="AE42" s="58" t="s">
        <v>64</v>
      </c>
    </row>
    <row r="43" spans="1:31" s="55" customFormat="1" ht="30" customHeight="1">
      <c r="A43" s="215" t="s">
        <v>198</v>
      </c>
      <c r="B43" s="215">
        <v>2618430333</v>
      </c>
      <c r="C43" s="215" t="s">
        <v>128</v>
      </c>
      <c r="D43" s="215" t="s">
        <v>64</v>
      </c>
      <c r="E43" s="215" t="s">
        <v>5</v>
      </c>
      <c r="F43" s="215" t="s">
        <v>464</v>
      </c>
      <c r="G43" s="215">
        <v>75</v>
      </c>
      <c r="H43" s="215" t="s">
        <v>226</v>
      </c>
      <c r="I43" s="215" t="s">
        <v>465</v>
      </c>
      <c r="J43" s="215" t="s">
        <v>1898</v>
      </c>
      <c r="K43" s="215" t="s">
        <v>200</v>
      </c>
      <c r="L43" s="216">
        <v>46117.656944444447</v>
      </c>
      <c r="M43" s="216">
        <v>46117.661111111112</v>
      </c>
      <c r="N43" s="215" t="s">
        <v>1956</v>
      </c>
      <c r="O43" s="180" t="s">
        <v>205</v>
      </c>
      <c r="P43" s="56"/>
      <c r="Q43" s="143" t="s">
        <v>206</v>
      </c>
      <c r="R43" s="56"/>
      <c r="S43" s="164" t="s">
        <v>205</v>
      </c>
      <c r="T43" s="56"/>
      <c r="U43" s="143" t="s">
        <v>205</v>
      </c>
      <c r="V43" s="56"/>
      <c r="W43" s="143" t="s">
        <v>205</v>
      </c>
      <c r="X43" s="56"/>
      <c r="Y43" s="350" t="s">
        <v>205</v>
      </c>
      <c r="Z43" s="142" t="str">
        <f t="shared" si="1"/>
        <v>NC</v>
      </c>
      <c r="AA43" s="226" t="str">
        <f t="shared" si="2"/>
        <v>UTILIZOU O PDA CORRETAMENTE. NÃO HÁ FOTOS DE TODAS AS ETAPAS</v>
      </c>
      <c r="AB43" s="9" t="s">
        <v>205</v>
      </c>
      <c r="AC43" s="197" t="s">
        <v>6</v>
      </c>
      <c r="AD43" s="150" t="str">
        <f t="shared" si="3"/>
        <v>SÃO PAULO</v>
      </c>
      <c r="AE43" s="58" t="s">
        <v>64</v>
      </c>
    </row>
    <row r="44" spans="1:31" s="55" customFormat="1" ht="30" customHeight="1">
      <c r="A44" s="215" t="s">
        <v>198</v>
      </c>
      <c r="B44" s="215">
        <v>2692268081</v>
      </c>
      <c r="C44" s="215" t="s">
        <v>132</v>
      </c>
      <c r="D44" s="215" t="s">
        <v>64</v>
      </c>
      <c r="E44" s="215" t="s">
        <v>5</v>
      </c>
      <c r="F44" s="215" t="s">
        <v>1957</v>
      </c>
      <c r="G44" s="215">
        <v>137</v>
      </c>
      <c r="H44" s="215" t="s">
        <v>226</v>
      </c>
      <c r="I44" s="215" t="s">
        <v>375</v>
      </c>
      <c r="J44" s="215" t="s">
        <v>1898</v>
      </c>
      <c r="K44" s="215"/>
      <c r="L44" s="216">
        <v>46117.65</v>
      </c>
      <c r="M44" s="216">
        <v>46117.654861111114</v>
      </c>
      <c r="N44" s="215" t="s">
        <v>1956</v>
      </c>
      <c r="O44" s="180" t="s">
        <v>205</v>
      </c>
      <c r="P44" s="56"/>
      <c r="Q44" s="143" t="s">
        <v>206</v>
      </c>
      <c r="R44" s="56"/>
      <c r="S44" s="164" t="s">
        <v>205</v>
      </c>
      <c r="T44" s="56"/>
      <c r="U44" s="143" t="s">
        <v>205</v>
      </c>
      <c r="V44" s="56"/>
      <c r="W44" s="143" t="s">
        <v>205</v>
      </c>
      <c r="X44" s="56"/>
      <c r="Y44" s="350" t="s">
        <v>205</v>
      </c>
      <c r="Z44" s="142" t="str">
        <f t="shared" si="1"/>
        <v>NC</v>
      </c>
      <c r="AA44" s="226" t="str">
        <f t="shared" si="2"/>
        <v>UTILIZOU O PDA CORRETAMENTE. NÃO HÁ FOTOS DE TODAS AS ETAPAS</v>
      </c>
      <c r="AB44" s="9" t="s">
        <v>205</v>
      </c>
      <c r="AC44" s="197" t="s">
        <v>6</v>
      </c>
      <c r="AD44" s="150" t="str">
        <f t="shared" si="3"/>
        <v>SÃO PAULO</v>
      </c>
      <c r="AE44" s="58" t="s">
        <v>64</v>
      </c>
    </row>
    <row r="45" spans="1:31" s="55" customFormat="1" ht="30" customHeight="1">
      <c r="A45" s="215" t="s">
        <v>198</v>
      </c>
      <c r="B45" s="215">
        <v>2618060929</v>
      </c>
      <c r="C45" s="215" t="s">
        <v>135</v>
      </c>
      <c r="D45" s="215" t="s">
        <v>125</v>
      </c>
      <c r="E45" s="215" t="s">
        <v>5</v>
      </c>
      <c r="F45" s="215" t="s">
        <v>327</v>
      </c>
      <c r="G45" s="215">
        <v>393</v>
      </c>
      <c r="H45" s="215" t="s">
        <v>318</v>
      </c>
      <c r="I45" s="215" t="s">
        <v>328</v>
      </c>
      <c r="J45" s="215" t="s">
        <v>1909</v>
      </c>
      <c r="K45" s="215" t="s">
        <v>1927</v>
      </c>
      <c r="L45" s="216">
        <v>46117.681250000001</v>
      </c>
      <c r="M45" s="216">
        <v>46117.681944444441</v>
      </c>
      <c r="N45" s="215" t="s">
        <v>254</v>
      </c>
      <c r="O45" s="180" t="s">
        <v>205</v>
      </c>
      <c r="P45" s="56"/>
      <c r="Q45" s="164" t="s">
        <v>205</v>
      </c>
      <c r="R45" s="56"/>
      <c r="S45" s="164" t="s">
        <v>205</v>
      </c>
      <c r="T45" s="56"/>
      <c r="U45" s="143" t="s">
        <v>205</v>
      </c>
      <c r="V45" s="56"/>
      <c r="W45" s="143" t="s">
        <v>205</v>
      </c>
      <c r="X45" s="56"/>
      <c r="Y45" s="350" t="s">
        <v>205</v>
      </c>
      <c r="Z45" s="142" t="str">
        <f t="shared" si="1"/>
        <v>C</v>
      </c>
      <c r="AA45" s="226" t="str">
        <f t="shared" si="2"/>
        <v>UTILIZOU O PDA CORRETAMENTE</v>
      </c>
      <c r="AB45" s="9" t="s">
        <v>205</v>
      </c>
      <c r="AC45" s="197" t="s">
        <v>6</v>
      </c>
      <c r="AD45" s="150" t="str">
        <f t="shared" si="3"/>
        <v>SÃO PAULO</v>
      </c>
      <c r="AE45" s="58" t="s">
        <v>64</v>
      </c>
    </row>
    <row r="46" spans="1:31" s="55" customFormat="1" ht="30" customHeight="1">
      <c r="A46" s="215" t="s">
        <v>198</v>
      </c>
      <c r="B46" s="215">
        <v>2618065231</v>
      </c>
      <c r="C46" s="215" t="s">
        <v>135</v>
      </c>
      <c r="D46" s="215" t="s">
        <v>125</v>
      </c>
      <c r="E46" s="215" t="s">
        <v>5</v>
      </c>
      <c r="F46" s="215" t="s">
        <v>327</v>
      </c>
      <c r="G46" s="215">
        <v>393</v>
      </c>
      <c r="H46" s="215" t="s">
        <v>1235</v>
      </c>
      <c r="I46" s="215" t="s">
        <v>328</v>
      </c>
      <c r="J46" s="215" t="s">
        <v>1909</v>
      </c>
      <c r="K46" s="215" t="s">
        <v>1927</v>
      </c>
      <c r="L46" s="216">
        <v>46117.679861111108</v>
      </c>
      <c r="M46" s="216">
        <v>46117.680555555555</v>
      </c>
      <c r="N46" s="215" t="s">
        <v>254</v>
      </c>
      <c r="O46" s="180" t="s">
        <v>205</v>
      </c>
      <c r="P46" s="56"/>
      <c r="Q46" s="164" t="s">
        <v>205</v>
      </c>
      <c r="R46" s="56"/>
      <c r="S46" s="164" t="s">
        <v>205</v>
      </c>
      <c r="T46" s="56"/>
      <c r="U46" s="143" t="s">
        <v>205</v>
      </c>
      <c r="V46" s="56"/>
      <c r="W46" s="143" t="s">
        <v>205</v>
      </c>
      <c r="X46" s="59"/>
      <c r="Y46" s="350" t="s">
        <v>205</v>
      </c>
      <c r="Z46" s="142" t="str">
        <f t="shared" si="1"/>
        <v>C</v>
      </c>
      <c r="AA46" s="226" t="str">
        <f t="shared" si="2"/>
        <v>UTILIZOU O PDA CORRETAMENTE</v>
      </c>
      <c r="AB46" s="9" t="s">
        <v>205</v>
      </c>
      <c r="AC46" s="197" t="s">
        <v>6</v>
      </c>
      <c r="AD46" s="150" t="str">
        <f t="shared" si="3"/>
        <v>SÃO PAULO</v>
      </c>
      <c r="AE46" s="58" t="s">
        <v>64</v>
      </c>
    </row>
    <row r="47" spans="1:31" s="55" customFormat="1" ht="30" customHeight="1">
      <c r="A47" s="215" t="s">
        <v>198</v>
      </c>
      <c r="B47" s="215">
        <v>2618067560</v>
      </c>
      <c r="C47" s="215" t="s">
        <v>135</v>
      </c>
      <c r="D47" s="215" t="s">
        <v>125</v>
      </c>
      <c r="E47" s="215" t="s">
        <v>5</v>
      </c>
      <c r="F47" s="215" t="s">
        <v>327</v>
      </c>
      <c r="G47" s="215">
        <v>393</v>
      </c>
      <c r="H47" s="215" t="s">
        <v>1236</v>
      </c>
      <c r="I47" s="215" t="s">
        <v>328</v>
      </c>
      <c r="J47" s="215" t="s">
        <v>1909</v>
      </c>
      <c r="K47" s="215" t="s">
        <v>1927</v>
      </c>
      <c r="L47" s="216">
        <v>46117.67083333333</v>
      </c>
      <c r="M47" s="216">
        <v>46117.672222222223</v>
      </c>
      <c r="N47" s="215" t="s">
        <v>254</v>
      </c>
      <c r="O47" s="180" t="s">
        <v>205</v>
      </c>
      <c r="P47" s="56"/>
      <c r="Q47" s="164" t="s">
        <v>205</v>
      </c>
      <c r="R47" s="56"/>
      <c r="S47" s="164" t="s">
        <v>205</v>
      </c>
      <c r="T47" s="56"/>
      <c r="U47" s="143" t="s">
        <v>205</v>
      </c>
      <c r="V47" s="56"/>
      <c r="W47" s="143" t="s">
        <v>205</v>
      </c>
      <c r="X47" s="59"/>
      <c r="Y47" s="350" t="s">
        <v>205</v>
      </c>
      <c r="Z47" s="142" t="str">
        <f t="shared" si="1"/>
        <v>C</v>
      </c>
      <c r="AA47" s="226" t="str">
        <f t="shared" si="2"/>
        <v>UTILIZOU O PDA CORRETAMENTE</v>
      </c>
      <c r="AB47" s="9" t="s">
        <v>205</v>
      </c>
      <c r="AC47" s="197" t="s">
        <v>6</v>
      </c>
      <c r="AD47" s="150" t="str">
        <f t="shared" si="3"/>
        <v>SÃO PAULO</v>
      </c>
      <c r="AE47" s="58" t="s">
        <v>64</v>
      </c>
    </row>
    <row r="48" spans="1:31" s="55" customFormat="1" ht="30" customHeight="1">
      <c r="A48" s="215" t="s">
        <v>198</v>
      </c>
      <c r="B48" s="215">
        <v>2618061074</v>
      </c>
      <c r="C48" s="215" t="s">
        <v>135</v>
      </c>
      <c r="D48" s="215" t="s">
        <v>125</v>
      </c>
      <c r="E48" s="215" t="s">
        <v>5</v>
      </c>
      <c r="F48" s="215" t="s">
        <v>327</v>
      </c>
      <c r="G48" s="215">
        <v>393</v>
      </c>
      <c r="H48" s="215" t="s">
        <v>481</v>
      </c>
      <c r="I48" s="215" t="s">
        <v>328</v>
      </c>
      <c r="J48" s="215" t="s">
        <v>1909</v>
      </c>
      <c r="K48" s="215" t="s">
        <v>1927</v>
      </c>
      <c r="L48" s="216">
        <v>46117.682638888888</v>
      </c>
      <c r="M48" s="216">
        <v>46117.683333333334</v>
      </c>
      <c r="N48" s="215" t="s">
        <v>254</v>
      </c>
      <c r="O48" s="180" t="s">
        <v>205</v>
      </c>
      <c r="P48" s="56"/>
      <c r="Q48" s="164" t="s">
        <v>205</v>
      </c>
      <c r="R48" s="56"/>
      <c r="S48" s="164" t="s">
        <v>205</v>
      </c>
      <c r="T48" s="56"/>
      <c r="U48" s="143" t="s">
        <v>205</v>
      </c>
      <c r="V48" s="56"/>
      <c r="W48" s="143" t="s">
        <v>205</v>
      </c>
      <c r="X48" s="56"/>
      <c r="Y48" s="350" t="s">
        <v>205</v>
      </c>
      <c r="Z48" s="142" t="str">
        <f t="shared" si="1"/>
        <v>C</v>
      </c>
      <c r="AA48" s="226" t="str">
        <f t="shared" si="2"/>
        <v>UTILIZOU O PDA CORRETAMENTE</v>
      </c>
      <c r="AB48" s="9" t="s">
        <v>205</v>
      </c>
      <c r="AC48" s="197" t="s">
        <v>6</v>
      </c>
      <c r="AD48" s="150" t="str">
        <f t="shared" si="3"/>
        <v>SÃO PAULO</v>
      </c>
      <c r="AE48" s="58" t="s">
        <v>64</v>
      </c>
    </row>
    <row r="49" spans="1:31" s="55" customFormat="1" ht="30" customHeight="1">
      <c r="A49" s="215" t="s">
        <v>198</v>
      </c>
      <c r="B49" s="215">
        <v>2618064786</v>
      </c>
      <c r="C49" s="215" t="s">
        <v>135</v>
      </c>
      <c r="D49" s="215" t="s">
        <v>125</v>
      </c>
      <c r="E49" s="215" t="s">
        <v>5</v>
      </c>
      <c r="F49" s="215" t="s">
        <v>327</v>
      </c>
      <c r="G49" s="215">
        <v>393</v>
      </c>
      <c r="H49" s="215" t="s">
        <v>652</v>
      </c>
      <c r="I49" s="215" t="s">
        <v>328</v>
      </c>
      <c r="J49" s="215" t="s">
        <v>1909</v>
      </c>
      <c r="K49" s="215" t="s">
        <v>1927</v>
      </c>
      <c r="L49" s="216">
        <v>46117.677777777775</v>
      </c>
      <c r="M49" s="216">
        <v>46117.679166666669</v>
      </c>
      <c r="N49" s="215" t="s">
        <v>254</v>
      </c>
      <c r="O49" s="180" t="s">
        <v>205</v>
      </c>
      <c r="P49" s="56"/>
      <c r="Q49" s="164" t="s">
        <v>205</v>
      </c>
      <c r="R49" s="56"/>
      <c r="S49" s="164" t="s">
        <v>205</v>
      </c>
      <c r="T49" s="56"/>
      <c r="U49" s="143" t="s">
        <v>205</v>
      </c>
      <c r="V49" s="56"/>
      <c r="W49" s="143" t="s">
        <v>205</v>
      </c>
      <c r="X49" s="56"/>
      <c r="Y49" s="350" t="s">
        <v>205</v>
      </c>
      <c r="Z49" s="142" t="str">
        <f t="shared" si="1"/>
        <v>C</v>
      </c>
      <c r="AA49" s="226" t="str">
        <f t="shared" si="2"/>
        <v>UTILIZOU O PDA CORRETAMENTE</v>
      </c>
      <c r="AB49" s="9" t="s">
        <v>205</v>
      </c>
      <c r="AC49" s="197" t="s">
        <v>6</v>
      </c>
      <c r="AD49" s="150" t="str">
        <f t="shared" si="3"/>
        <v>SÃO PAULO</v>
      </c>
      <c r="AE49" s="58" t="s">
        <v>64</v>
      </c>
    </row>
    <row r="50" spans="1:31" s="55" customFormat="1" ht="30" customHeight="1">
      <c r="A50" s="215" t="s">
        <v>198</v>
      </c>
      <c r="B50" s="215">
        <v>2618066494</v>
      </c>
      <c r="C50" s="215" t="s">
        <v>135</v>
      </c>
      <c r="D50" s="215" t="s">
        <v>125</v>
      </c>
      <c r="E50" s="215" t="s">
        <v>5</v>
      </c>
      <c r="F50" s="215" t="s">
        <v>327</v>
      </c>
      <c r="G50" s="215">
        <v>393</v>
      </c>
      <c r="H50" s="215" t="s">
        <v>1240</v>
      </c>
      <c r="I50" s="215" t="s">
        <v>328</v>
      </c>
      <c r="J50" s="215" t="s">
        <v>1909</v>
      </c>
      <c r="K50" s="215"/>
      <c r="L50" s="216">
        <v>46117.666666666664</v>
      </c>
      <c r="M50" s="216">
        <v>46117.667361111111</v>
      </c>
      <c r="N50" s="215" t="s">
        <v>254</v>
      </c>
      <c r="O50" s="180" t="s">
        <v>205</v>
      </c>
      <c r="P50" s="56"/>
      <c r="Q50" s="164" t="s">
        <v>205</v>
      </c>
      <c r="R50" s="56"/>
      <c r="S50" s="164" t="s">
        <v>205</v>
      </c>
      <c r="T50" s="56"/>
      <c r="U50" s="143" t="s">
        <v>205</v>
      </c>
      <c r="V50" s="56"/>
      <c r="W50" s="143" t="s">
        <v>205</v>
      </c>
      <c r="X50" s="56"/>
      <c r="Y50" s="350" t="s">
        <v>205</v>
      </c>
      <c r="Z50" s="142" t="str">
        <f t="shared" si="1"/>
        <v>C</v>
      </c>
      <c r="AA50" s="226" t="str">
        <f t="shared" si="2"/>
        <v>UTILIZOU O PDA CORRETAMENTE</v>
      </c>
      <c r="AB50" s="9" t="s">
        <v>205</v>
      </c>
      <c r="AC50" s="197" t="s">
        <v>6</v>
      </c>
      <c r="AD50" s="150" t="str">
        <f t="shared" si="3"/>
        <v>SÃO PAULO</v>
      </c>
      <c r="AE50" s="58" t="s">
        <v>64</v>
      </c>
    </row>
    <row r="51" spans="1:31" s="55" customFormat="1" ht="30" customHeight="1">
      <c r="A51" s="215" t="s">
        <v>198</v>
      </c>
      <c r="B51" s="215">
        <v>2618063264</v>
      </c>
      <c r="C51" s="215" t="s">
        <v>135</v>
      </c>
      <c r="D51" s="215" t="s">
        <v>125</v>
      </c>
      <c r="E51" s="215" t="s">
        <v>5</v>
      </c>
      <c r="F51" s="215" t="s">
        <v>327</v>
      </c>
      <c r="G51" s="215">
        <v>393</v>
      </c>
      <c r="H51" s="215" t="s">
        <v>363</v>
      </c>
      <c r="I51" s="215" t="s">
        <v>328</v>
      </c>
      <c r="J51" s="215" t="s">
        <v>1909</v>
      </c>
      <c r="K51" s="215" t="s">
        <v>200</v>
      </c>
      <c r="L51" s="216">
        <v>46117.683333333334</v>
      </c>
      <c r="M51" s="216">
        <v>46117.684027777781</v>
      </c>
      <c r="N51" s="215" t="s">
        <v>254</v>
      </c>
      <c r="O51" s="180" t="s">
        <v>205</v>
      </c>
      <c r="P51" s="56"/>
      <c r="Q51" s="164" t="s">
        <v>205</v>
      </c>
      <c r="R51" s="56"/>
      <c r="S51" s="164" t="s">
        <v>205</v>
      </c>
      <c r="T51" s="56"/>
      <c r="U51" s="143" t="s">
        <v>205</v>
      </c>
      <c r="V51" s="56"/>
      <c r="W51" s="143" t="s">
        <v>205</v>
      </c>
      <c r="X51" s="56"/>
      <c r="Y51" s="350" t="s">
        <v>205</v>
      </c>
      <c r="Z51" s="142" t="str">
        <f t="shared" si="1"/>
        <v>C</v>
      </c>
      <c r="AA51" s="226" t="str">
        <f t="shared" si="2"/>
        <v>UTILIZOU O PDA CORRETAMENTE</v>
      </c>
      <c r="AB51" s="9" t="s">
        <v>205</v>
      </c>
      <c r="AC51" s="197" t="s">
        <v>6</v>
      </c>
      <c r="AD51" s="150" t="str">
        <f t="shared" si="3"/>
        <v>SÃO PAULO</v>
      </c>
      <c r="AE51" s="58" t="s">
        <v>64</v>
      </c>
    </row>
    <row r="52" spans="1:31" s="55" customFormat="1" ht="30" customHeight="1">
      <c r="A52" s="215" t="s">
        <v>198</v>
      </c>
      <c r="B52" s="215">
        <v>2618063744</v>
      </c>
      <c r="C52" s="215" t="s">
        <v>135</v>
      </c>
      <c r="D52" s="215" t="s">
        <v>125</v>
      </c>
      <c r="E52" s="215" t="s">
        <v>5</v>
      </c>
      <c r="F52" s="215" t="s">
        <v>327</v>
      </c>
      <c r="G52" s="215">
        <v>393</v>
      </c>
      <c r="H52" s="215" t="s">
        <v>708</v>
      </c>
      <c r="I52" s="215" t="s">
        <v>328</v>
      </c>
      <c r="J52" s="215" t="s">
        <v>1909</v>
      </c>
      <c r="K52" s="215" t="s">
        <v>1927</v>
      </c>
      <c r="L52" s="216">
        <v>46117.676388888889</v>
      </c>
      <c r="M52" s="216">
        <v>46117.677083333336</v>
      </c>
      <c r="N52" s="215" t="s">
        <v>254</v>
      </c>
      <c r="O52" s="180" t="s">
        <v>205</v>
      </c>
      <c r="P52" s="56"/>
      <c r="Q52" s="164" t="s">
        <v>205</v>
      </c>
      <c r="R52" s="56"/>
      <c r="S52" s="164" t="s">
        <v>205</v>
      </c>
      <c r="T52" s="56"/>
      <c r="U52" s="143" t="s">
        <v>205</v>
      </c>
      <c r="V52" s="56"/>
      <c r="W52" s="143" t="s">
        <v>205</v>
      </c>
      <c r="X52" s="56"/>
      <c r="Y52" s="350" t="s">
        <v>205</v>
      </c>
      <c r="Z52" s="142" t="str">
        <f t="shared" si="1"/>
        <v>C</v>
      </c>
      <c r="AA52" s="226" t="str">
        <f t="shared" si="2"/>
        <v>UTILIZOU O PDA CORRETAMENTE</v>
      </c>
      <c r="AB52" s="9" t="s">
        <v>205</v>
      </c>
      <c r="AC52" s="197" t="s">
        <v>6</v>
      </c>
      <c r="AD52" s="150" t="str">
        <f t="shared" si="3"/>
        <v>SÃO PAULO</v>
      </c>
      <c r="AE52" s="58" t="s">
        <v>64</v>
      </c>
    </row>
    <row r="53" spans="1:31" s="55" customFormat="1" ht="30" customHeight="1">
      <c r="A53" s="215" t="s">
        <v>198</v>
      </c>
      <c r="B53" s="215">
        <v>2618069232</v>
      </c>
      <c r="C53" s="215" t="s">
        <v>135</v>
      </c>
      <c r="D53" s="215" t="s">
        <v>125</v>
      </c>
      <c r="E53" s="215" t="s">
        <v>5</v>
      </c>
      <c r="F53" s="215" t="s">
        <v>327</v>
      </c>
      <c r="G53" s="215">
        <v>393</v>
      </c>
      <c r="H53" s="215" t="s">
        <v>273</v>
      </c>
      <c r="I53" s="215" t="s">
        <v>328</v>
      </c>
      <c r="J53" s="215" t="s">
        <v>1909</v>
      </c>
      <c r="K53" s="215" t="s">
        <v>1927</v>
      </c>
      <c r="L53" s="216">
        <v>46117.658333333333</v>
      </c>
      <c r="M53" s="216">
        <v>46117.666666666664</v>
      </c>
      <c r="N53" s="215" t="s">
        <v>254</v>
      </c>
      <c r="O53" s="180" t="s">
        <v>205</v>
      </c>
      <c r="P53" s="56"/>
      <c r="Q53" s="164" t="s">
        <v>205</v>
      </c>
      <c r="R53" s="56"/>
      <c r="S53" s="164" t="s">
        <v>205</v>
      </c>
      <c r="T53" s="56"/>
      <c r="U53" s="143" t="s">
        <v>205</v>
      </c>
      <c r="V53" s="56"/>
      <c r="W53" s="143" t="s">
        <v>205</v>
      </c>
      <c r="X53" s="56"/>
      <c r="Y53" s="350" t="s">
        <v>205</v>
      </c>
      <c r="Z53" s="142" t="str">
        <f t="shared" si="1"/>
        <v>C</v>
      </c>
      <c r="AA53" s="226" t="str">
        <f t="shared" si="2"/>
        <v>UTILIZOU O PDA CORRETAMENTE</v>
      </c>
      <c r="AB53" s="9" t="s">
        <v>205</v>
      </c>
      <c r="AC53" s="197" t="s">
        <v>6</v>
      </c>
      <c r="AD53" s="150" t="str">
        <f t="shared" si="3"/>
        <v>SÃO PAULO</v>
      </c>
      <c r="AE53" s="58" t="s">
        <v>64</v>
      </c>
    </row>
    <row r="54" spans="1:31" s="55" customFormat="1" ht="30" customHeight="1">
      <c r="A54" s="215" t="s">
        <v>198</v>
      </c>
      <c r="B54" s="215">
        <v>2692271257</v>
      </c>
      <c r="C54" s="215" t="s">
        <v>128</v>
      </c>
      <c r="D54" s="215" t="s">
        <v>64</v>
      </c>
      <c r="E54" s="215" t="s">
        <v>5</v>
      </c>
      <c r="F54" s="215" t="s">
        <v>1958</v>
      </c>
      <c r="G54" s="215">
        <v>85</v>
      </c>
      <c r="H54" s="215"/>
      <c r="I54" s="215" t="s">
        <v>1959</v>
      </c>
      <c r="J54" s="215" t="s">
        <v>1908</v>
      </c>
      <c r="K54" s="215"/>
      <c r="L54" s="216">
        <v>46117.602083333331</v>
      </c>
      <c r="M54" s="216">
        <v>46117.618055555555</v>
      </c>
      <c r="N54" s="215" t="s">
        <v>1919</v>
      </c>
      <c r="O54" s="180" t="s">
        <v>205</v>
      </c>
      <c r="P54" s="56"/>
      <c r="Q54" s="164" t="s">
        <v>205</v>
      </c>
      <c r="R54" s="56"/>
      <c r="S54" s="164" t="s">
        <v>205</v>
      </c>
      <c r="T54" s="56"/>
      <c r="U54" s="143" t="s">
        <v>205</v>
      </c>
      <c r="V54" s="56"/>
      <c r="W54" s="143" t="s">
        <v>205</v>
      </c>
      <c r="X54" s="56"/>
      <c r="Y54" s="350" t="s">
        <v>205</v>
      </c>
      <c r="Z54" s="142" t="str">
        <f t="shared" si="1"/>
        <v>C</v>
      </c>
      <c r="AA54" s="226" t="str">
        <f t="shared" si="2"/>
        <v>UTILIZOU O PDA CORRETAMENTE</v>
      </c>
      <c r="AB54" s="9" t="s">
        <v>205</v>
      </c>
      <c r="AC54" s="197" t="s">
        <v>6</v>
      </c>
      <c r="AD54" s="150" t="str">
        <f t="shared" si="3"/>
        <v>SÃO PAULO</v>
      </c>
      <c r="AE54" s="58" t="s">
        <v>64</v>
      </c>
    </row>
    <row r="55" spans="1:31" s="55" customFormat="1" ht="30" customHeight="1">
      <c r="A55" s="215" t="s">
        <v>198</v>
      </c>
      <c r="B55" s="215">
        <v>2692272791</v>
      </c>
      <c r="C55" s="215" t="s">
        <v>128</v>
      </c>
      <c r="D55" s="215" t="s">
        <v>64</v>
      </c>
      <c r="E55" s="215" t="s">
        <v>5</v>
      </c>
      <c r="F55" s="215" t="s">
        <v>1960</v>
      </c>
      <c r="G55" s="215">
        <v>338</v>
      </c>
      <c r="H55" s="215" t="s">
        <v>226</v>
      </c>
      <c r="I55" s="215" t="s">
        <v>552</v>
      </c>
      <c r="J55" s="215" t="s">
        <v>1898</v>
      </c>
      <c r="K55" s="215" t="s">
        <v>200</v>
      </c>
      <c r="L55" s="216">
        <v>46117.602083333331</v>
      </c>
      <c r="M55" s="216">
        <v>46117.604166666664</v>
      </c>
      <c r="N55" s="215" t="s">
        <v>852</v>
      </c>
      <c r="O55" s="180" t="s">
        <v>205</v>
      </c>
      <c r="P55" s="56"/>
      <c r="Q55" s="164" t="s">
        <v>205</v>
      </c>
      <c r="R55" s="56"/>
      <c r="S55" s="164" t="s">
        <v>205</v>
      </c>
      <c r="T55" s="56"/>
      <c r="U55" s="143" t="s">
        <v>205</v>
      </c>
      <c r="V55" s="56"/>
      <c r="W55" s="143" t="s">
        <v>205</v>
      </c>
      <c r="X55" s="56"/>
      <c r="Y55" s="350" t="s">
        <v>205</v>
      </c>
      <c r="Z55" s="142" t="str">
        <f t="shared" si="1"/>
        <v>C</v>
      </c>
      <c r="AA55" s="226" t="str">
        <f t="shared" si="2"/>
        <v>UTILIZOU O PDA CORRETAMENTE</v>
      </c>
      <c r="AB55" s="9" t="s">
        <v>205</v>
      </c>
      <c r="AC55" s="197" t="s">
        <v>6</v>
      </c>
      <c r="AD55" s="150" t="str">
        <f t="shared" si="3"/>
        <v>SÃO PAULO</v>
      </c>
      <c r="AE55" s="58" t="s">
        <v>64</v>
      </c>
    </row>
    <row r="56" spans="1:31" s="55" customFormat="1" ht="30" customHeight="1">
      <c r="A56" s="215" t="s">
        <v>198</v>
      </c>
      <c r="B56" s="215">
        <v>2618435451</v>
      </c>
      <c r="C56" s="215" t="s">
        <v>129</v>
      </c>
      <c r="D56" s="215" t="s">
        <v>125</v>
      </c>
      <c r="E56" s="215" t="s">
        <v>5</v>
      </c>
      <c r="F56" s="215" t="s">
        <v>1057</v>
      </c>
      <c r="G56" s="215">
        <v>234</v>
      </c>
      <c r="H56" s="215" t="s">
        <v>226</v>
      </c>
      <c r="I56" s="215" t="s">
        <v>397</v>
      </c>
      <c r="J56" s="215" t="s">
        <v>1903</v>
      </c>
      <c r="K56" s="215"/>
      <c r="L56" s="216">
        <v>46117.558333333334</v>
      </c>
      <c r="M56" s="216">
        <v>46117.5625</v>
      </c>
      <c r="N56" s="215" t="s">
        <v>590</v>
      </c>
      <c r="O56" s="180" t="s">
        <v>205</v>
      </c>
      <c r="P56" s="56"/>
      <c r="Q56" s="164" t="s">
        <v>205</v>
      </c>
      <c r="R56" s="56"/>
      <c r="S56" s="164" t="s">
        <v>205</v>
      </c>
      <c r="T56" s="56"/>
      <c r="U56" s="143" t="s">
        <v>205</v>
      </c>
      <c r="V56" s="56"/>
      <c r="W56" s="143" t="s">
        <v>205</v>
      </c>
      <c r="X56" s="56"/>
      <c r="Y56" s="350" t="s">
        <v>205</v>
      </c>
      <c r="Z56" s="142" t="str">
        <f t="shared" si="1"/>
        <v>C</v>
      </c>
      <c r="AA56" s="226" t="str">
        <f t="shared" si="2"/>
        <v>UTILIZOU O PDA CORRETAMENTE</v>
      </c>
      <c r="AB56" s="9" t="s">
        <v>205</v>
      </c>
      <c r="AC56" s="197" t="s">
        <v>6</v>
      </c>
      <c r="AD56" s="150" t="str">
        <f t="shared" si="3"/>
        <v>SÃO PAULO</v>
      </c>
      <c r="AE56" s="58" t="s">
        <v>64</v>
      </c>
    </row>
    <row r="57" spans="1:31" s="55" customFormat="1" ht="30" customHeight="1">
      <c r="A57" s="215" t="s">
        <v>198</v>
      </c>
      <c r="B57" s="215">
        <v>2692279429</v>
      </c>
      <c r="C57" s="215" t="s">
        <v>128</v>
      </c>
      <c r="D57" s="215" t="s">
        <v>64</v>
      </c>
      <c r="E57" s="215" t="s">
        <v>5</v>
      </c>
      <c r="F57" s="215" t="s">
        <v>1781</v>
      </c>
      <c r="G57" s="215">
        <v>218</v>
      </c>
      <c r="H57" s="215" t="s">
        <v>1961</v>
      </c>
      <c r="I57" s="215" t="s">
        <v>277</v>
      </c>
      <c r="J57" s="215" t="s">
        <v>1898</v>
      </c>
      <c r="K57" s="215" t="s">
        <v>200</v>
      </c>
      <c r="L57" s="216">
        <v>46117.453472222223</v>
      </c>
      <c r="M57" s="216">
        <v>46117.487500000003</v>
      </c>
      <c r="N57" s="215" t="s">
        <v>852</v>
      </c>
      <c r="O57" s="180" t="s">
        <v>205</v>
      </c>
      <c r="P57" s="56"/>
      <c r="Q57" s="164" t="s">
        <v>205</v>
      </c>
      <c r="R57" s="56"/>
      <c r="S57" s="164" t="s">
        <v>205</v>
      </c>
      <c r="T57" s="56"/>
      <c r="U57" s="143" t="s">
        <v>205</v>
      </c>
      <c r="V57" s="56"/>
      <c r="W57" s="143" t="s">
        <v>205</v>
      </c>
      <c r="X57" s="56"/>
      <c r="Y57" s="350" t="s">
        <v>205</v>
      </c>
      <c r="Z57" s="142" t="str">
        <f t="shared" si="1"/>
        <v>C</v>
      </c>
      <c r="AA57" s="226" t="str">
        <f t="shared" si="2"/>
        <v>UTILIZOU O PDA CORRETAMENTE</v>
      </c>
      <c r="AB57" s="9" t="s">
        <v>205</v>
      </c>
      <c r="AC57" s="197" t="s">
        <v>6</v>
      </c>
      <c r="AD57" s="150" t="str">
        <f t="shared" si="3"/>
        <v>SÃO PAULO</v>
      </c>
      <c r="AE57" s="58" t="s">
        <v>64</v>
      </c>
    </row>
    <row r="58" spans="1:31" s="55" customFormat="1" ht="30" customHeight="1">
      <c r="A58" s="215" t="s">
        <v>198</v>
      </c>
      <c r="B58" s="215">
        <v>2618441404</v>
      </c>
      <c r="C58" s="215" t="s">
        <v>129</v>
      </c>
      <c r="D58" s="215" t="s">
        <v>125</v>
      </c>
      <c r="E58" s="215" t="s">
        <v>5</v>
      </c>
      <c r="F58" s="215" t="s">
        <v>1697</v>
      </c>
      <c r="G58" s="215">
        <v>140</v>
      </c>
      <c r="H58" s="215" t="s">
        <v>226</v>
      </c>
      <c r="I58" s="215" t="s">
        <v>1698</v>
      </c>
      <c r="J58" s="215" t="s">
        <v>1903</v>
      </c>
      <c r="K58" s="215"/>
      <c r="L58" s="216">
        <v>46117.663888888892</v>
      </c>
      <c r="M58" s="216">
        <v>46117.663888888892</v>
      </c>
      <c r="N58" s="215" t="s">
        <v>1947</v>
      </c>
      <c r="O58" s="180" t="s">
        <v>205</v>
      </c>
      <c r="P58" s="56"/>
      <c r="Q58" s="164" t="s">
        <v>205</v>
      </c>
      <c r="R58" s="56"/>
      <c r="S58" s="164" t="s">
        <v>205</v>
      </c>
      <c r="T58" s="56"/>
      <c r="U58" s="143" t="s">
        <v>205</v>
      </c>
      <c r="V58" s="56"/>
      <c r="W58" s="143" t="s">
        <v>205</v>
      </c>
      <c r="X58" s="56"/>
      <c r="Y58" s="350" t="s">
        <v>205</v>
      </c>
      <c r="Z58" s="142" t="str">
        <f t="shared" si="1"/>
        <v>C</v>
      </c>
      <c r="AA58" s="226" t="str">
        <f t="shared" si="2"/>
        <v>UTILIZOU O PDA CORRETAMENTE</v>
      </c>
      <c r="AB58" s="9" t="s">
        <v>205</v>
      </c>
      <c r="AC58" s="197" t="s">
        <v>6</v>
      </c>
      <c r="AD58" s="150" t="str">
        <f t="shared" si="3"/>
        <v>SÃO PAULO</v>
      </c>
      <c r="AE58" s="58" t="s">
        <v>64</v>
      </c>
    </row>
    <row r="59" spans="1:31" s="55" customFormat="1" ht="30" customHeight="1">
      <c r="A59" s="215" t="s">
        <v>198</v>
      </c>
      <c r="B59" s="215">
        <v>2692284136</v>
      </c>
      <c r="C59" s="215" t="s">
        <v>128</v>
      </c>
      <c r="D59" s="215" t="s">
        <v>64</v>
      </c>
      <c r="E59" s="215" t="s">
        <v>5</v>
      </c>
      <c r="F59" s="215" t="s">
        <v>1962</v>
      </c>
      <c r="G59" s="215">
        <v>87</v>
      </c>
      <c r="H59" s="215" t="s">
        <v>200</v>
      </c>
      <c r="I59" s="215" t="s">
        <v>343</v>
      </c>
      <c r="J59" s="215" t="s">
        <v>1908</v>
      </c>
      <c r="K59" s="215"/>
      <c r="L59" s="216">
        <v>46117.679166666669</v>
      </c>
      <c r="M59" s="216">
        <v>46117.7</v>
      </c>
      <c r="N59" s="215" t="s">
        <v>1919</v>
      </c>
      <c r="O59" s="180" t="s">
        <v>205</v>
      </c>
      <c r="P59" s="56"/>
      <c r="Q59" s="164" t="s">
        <v>205</v>
      </c>
      <c r="R59" s="56"/>
      <c r="S59" s="164" t="s">
        <v>205</v>
      </c>
      <c r="T59" s="56"/>
      <c r="U59" s="143" t="s">
        <v>205</v>
      </c>
      <c r="V59" s="56"/>
      <c r="W59" s="143" t="s">
        <v>205</v>
      </c>
      <c r="X59" s="56"/>
      <c r="Y59" s="350" t="s">
        <v>205</v>
      </c>
      <c r="Z59" s="142" t="str">
        <f t="shared" si="1"/>
        <v>C</v>
      </c>
      <c r="AA59" s="226" t="str">
        <f t="shared" si="2"/>
        <v>UTILIZOU O PDA CORRETAMENTE</v>
      </c>
      <c r="AB59" s="9" t="s">
        <v>205</v>
      </c>
      <c r="AC59" s="197" t="s">
        <v>6</v>
      </c>
      <c r="AD59" s="150" t="str">
        <f t="shared" si="3"/>
        <v>SÃO PAULO</v>
      </c>
      <c r="AE59" s="58" t="s">
        <v>64</v>
      </c>
    </row>
    <row r="60" spans="1:31" s="55" customFormat="1" ht="30" customHeight="1">
      <c r="A60" s="215" t="s">
        <v>198</v>
      </c>
      <c r="B60" s="215">
        <v>2692285209</v>
      </c>
      <c r="C60" s="215" t="s">
        <v>131</v>
      </c>
      <c r="D60" s="215" t="s">
        <v>64</v>
      </c>
      <c r="E60" s="215" t="s">
        <v>5</v>
      </c>
      <c r="F60" s="215" t="s">
        <v>1963</v>
      </c>
      <c r="G60" s="215">
        <v>17</v>
      </c>
      <c r="H60" s="215"/>
      <c r="I60" s="215" t="s">
        <v>343</v>
      </c>
      <c r="J60" s="215" t="s">
        <v>1908</v>
      </c>
      <c r="K60" s="215"/>
      <c r="L60" s="216">
        <v>46117.655555555553</v>
      </c>
      <c r="M60" s="216">
        <v>46117.673611111109</v>
      </c>
      <c r="N60" s="215" t="s">
        <v>1919</v>
      </c>
      <c r="O60" s="180" t="s">
        <v>205</v>
      </c>
      <c r="P60" s="56"/>
      <c r="Q60" s="164" t="s">
        <v>205</v>
      </c>
      <c r="R60" s="56"/>
      <c r="S60" s="164" t="s">
        <v>205</v>
      </c>
      <c r="T60" s="56"/>
      <c r="U60" s="143" t="s">
        <v>205</v>
      </c>
      <c r="V60" s="56"/>
      <c r="W60" s="143" t="s">
        <v>205</v>
      </c>
      <c r="X60" s="56"/>
      <c r="Y60" s="350" t="s">
        <v>205</v>
      </c>
      <c r="Z60" s="142" t="str">
        <f t="shared" si="1"/>
        <v>C</v>
      </c>
      <c r="AA60" s="226" t="str">
        <f t="shared" si="2"/>
        <v>UTILIZOU O PDA CORRETAMENTE</v>
      </c>
      <c r="AB60" s="9" t="s">
        <v>205</v>
      </c>
      <c r="AC60" s="197" t="s">
        <v>6</v>
      </c>
      <c r="AD60" s="150" t="str">
        <f t="shared" si="3"/>
        <v>SÃO PAULO</v>
      </c>
      <c r="AE60" s="58" t="s">
        <v>64</v>
      </c>
    </row>
    <row r="61" spans="1:31" s="55" customFormat="1" ht="30" customHeight="1">
      <c r="A61" s="215" t="s">
        <v>198</v>
      </c>
      <c r="B61" s="215">
        <v>2618446241</v>
      </c>
      <c r="C61" s="215" t="s">
        <v>128</v>
      </c>
      <c r="D61" s="215" t="s">
        <v>64</v>
      </c>
      <c r="E61" s="215" t="s">
        <v>5</v>
      </c>
      <c r="F61" s="215" t="s">
        <v>199</v>
      </c>
      <c r="G61" s="215">
        <v>33</v>
      </c>
      <c r="H61" s="215" t="s">
        <v>226</v>
      </c>
      <c r="I61" s="215" t="s">
        <v>201</v>
      </c>
      <c r="J61" s="215" t="s">
        <v>1898</v>
      </c>
      <c r="K61" s="215" t="s">
        <v>200</v>
      </c>
      <c r="L61" s="216">
        <v>46117.663888888892</v>
      </c>
      <c r="M61" s="216">
        <v>46117.673611111109</v>
      </c>
      <c r="N61" s="215" t="s">
        <v>852</v>
      </c>
      <c r="O61" s="180" t="s">
        <v>205</v>
      </c>
      <c r="P61" s="56"/>
      <c r="Q61" s="164" t="s">
        <v>205</v>
      </c>
      <c r="R61" s="56"/>
      <c r="S61" s="164" t="s">
        <v>205</v>
      </c>
      <c r="T61" s="56"/>
      <c r="U61" s="143" t="s">
        <v>205</v>
      </c>
      <c r="V61" s="56"/>
      <c r="W61" s="143" t="s">
        <v>205</v>
      </c>
      <c r="X61" s="56"/>
      <c r="Y61" s="350" t="s">
        <v>205</v>
      </c>
      <c r="Z61" s="142" t="str">
        <f t="shared" si="1"/>
        <v>C</v>
      </c>
      <c r="AA61" s="226" t="str">
        <f t="shared" si="2"/>
        <v>UTILIZOU O PDA CORRETAMENTE</v>
      </c>
      <c r="AB61" s="9" t="s">
        <v>205</v>
      </c>
      <c r="AC61" s="197" t="s">
        <v>6</v>
      </c>
      <c r="AD61" s="150" t="str">
        <f t="shared" si="3"/>
        <v>SÃO PAULO</v>
      </c>
      <c r="AE61" s="58" t="s">
        <v>64</v>
      </c>
    </row>
    <row r="62" spans="1:31" s="55" customFormat="1" ht="30" customHeight="1">
      <c r="A62" s="215" t="s">
        <v>198</v>
      </c>
      <c r="B62" s="215">
        <v>2692289687</v>
      </c>
      <c r="C62" s="215" t="s">
        <v>131</v>
      </c>
      <c r="D62" s="215" t="s">
        <v>64</v>
      </c>
      <c r="E62" s="215" t="s">
        <v>5</v>
      </c>
      <c r="F62" s="215" t="s">
        <v>1964</v>
      </c>
      <c r="G62" s="215">
        <v>155</v>
      </c>
      <c r="H62" s="215"/>
      <c r="I62" s="215" t="s">
        <v>732</v>
      </c>
      <c r="J62" s="215" t="s">
        <v>1898</v>
      </c>
      <c r="K62" s="215"/>
      <c r="L62" s="216">
        <v>46117.673611111109</v>
      </c>
      <c r="M62" s="216">
        <v>46117.673611111109</v>
      </c>
      <c r="N62" s="215" t="s">
        <v>1947</v>
      </c>
      <c r="O62" s="180" t="s">
        <v>205</v>
      </c>
      <c r="P62" s="56"/>
      <c r="Q62" s="164" t="s">
        <v>205</v>
      </c>
      <c r="R62" s="56"/>
      <c r="S62" s="164" t="s">
        <v>205</v>
      </c>
      <c r="T62" s="56"/>
      <c r="U62" s="143" t="s">
        <v>205</v>
      </c>
      <c r="V62" s="56"/>
      <c r="W62" s="143" t="s">
        <v>205</v>
      </c>
      <c r="X62" s="56"/>
      <c r="Y62" s="350" t="s">
        <v>205</v>
      </c>
      <c r="Z62" s="142" t="str">
        <f t="shared" si="1"/>
        <v>C</v>
      </c>
      <c r="AA62" s="226" t="str">
        <f t="shared" si="2"/>
        <v>UTILIZOU O PDA CORRETAMENTE</v>
      </c>
      <c r="AB62" s="9" t="s">
        <v>205</v>
      </c>
      <c r="AC62" s="197" t="s">
        <v>6</v>
      </c>
      <c r="AD62" s="150" t="str">
        <f t="shared" si="3"/>
        <v>SÃO PAULO</v>
      </c>
      <c r="AE62" s="58" t="s">
        <v>64</v>
      </c>
    </row>
    <row r="63" spans="1:31" s="55" customFormat="1" ht="30" customHeight="1">
      <c r="A63" s="215" t="s">
        <v>198</v>
      </c>
      <c r="B63" s="215">
        <v>2692291672</v>
      </c>
      <c r="C63" s="215" t="s">
        <v>128</v>
      </c>
      <c r="D63" s="215" t="s">
        <v>64</v>
      </c>
      <c r="E63" s="215" t="s">
        <v>5</v>
      </c>
      <c r="F63" s="215" t="s">
        <v>940</v>
      </c>
      <c r="G63" s="215">
        <v>4424</v>
      </c>
      <c r="H63" s="215" t="s">
        <v>387</v>
      </c>
      <c r="I63" s="215" t="s">
        <v>289</v>
      </c>
      <c r="J63" s="215" t="s">
        <v>1898</v>
      </c>
      <c r="K63" s="215" t="s">
        <v>200</v>
      </c>
      <c r="L63" s="216">
        <v>46117.605555555558</v>
      </c>
      <c r="M63" s="216">
        <v>46117.615972222222</v>
      </c>
      <c r="N63" s="215" t="s">
        <v>1950</v>
      </c>
      <c r="O63" s="180" t="s">
        <v>205</v>
      </c>
      <c r="P63" s="56"/>
      <c r="Q63" s="164" t="s">
        <v>205</v>
      </c>
      <c r="R63" s="56"/>
      <c r="S63" s="164" t="s">
        <v>205</v>
      </c>
      <c r="T63" s="56"/>
      <c r="U63" s="143" t="s">
        <v>205</v>
      </c>
      <c r="V63" s="56"/>
      <c r="W63" s="143" t="s">
        <v>205</v>
      </c>
      <c r="X63" s="56"/>
      <c r="Y63" s="350" t="s">
        <v>205</v>
      </c>
      <c r="Z63" s="142" t="str">
        <f t="shared" si="1"/>
        <v>C</v>
      </c>
      <c r="AA63" s="226" t="str">
        <f t="shared" si="2"/>
        <v>UTILIZOU O PDA CORRETAMENTE</v>
      </c>
      <c r="AB63" s="9" t="s">
        <v>205</v>
      </c>
      <c r="AC63" s="197" t="s">
        <v>6</v>
      </c>
      <c r="AD63" s="150" t="str">
        <f t="shared" si="3"/>
        <v>SÃO PAULO</v>
      </c>
      <c r="AE63" s="58" t="s">
        <v>64</v>
      </c>
    </row>
    <row r="64" spans="1:31" s="55" customFormat="1" ht="30" customHeight="1">
      <c r="A64" s="215" t="s">
        <v>198</v>
      </c>
      <c r="B64" s="215">
        <v>2692296223</v>
      </c>
      <c r="C64" s="215" t="s">
        <v>128</v>
      </c>
      <c r="D64" s="215" t="s">
        <v>64</v>
      </c>
      <c r="E64" s="215" t="s">
        <v>5</v>
      </c>
      <c r="F64" s="215" t="s">
        <v>1965</v>
      </c>
      <c r="G64" s="215">
        <v>185</v>
      </c>
      <c r="H64" s="215"/>
      <c r="I64" s="215" t="s">
        <v>215</v>
      </c>
      <c r="J64" s="215" t="s">
        <v>1900</v>
      </c>
      <c r="K64" s="215"/>
      <c r="L64" s="216">
        <v>46117.652083333334</v>
      </c>
      <c r="M64" s="216">
        <v>46117.655555555553</v>
      </c>
      <c r="N64" s="215" t="s">
        <v>590</v>
      </c>
      <c r="O64" s="180" t="s">
        <v>205</v>
      </c>
      <c r="P64" s="56"/>
      <c r="Q64" s="143" t="s">
        <v>206</v>
      </c>
      <c r="R64" s="56"/>
      <c r="S64" s="164" t="s">
        <v>205</v>
      </c>
      <c r="T64" s="56"/>
      <c r="U64" s="143" t="s">
        <v>205</v>
      </c>
      <c r="V64" s="56"/>
      <c r="W64" s="143" t="s">
        <v>205</v>
      </c>
      <c r="X64" s="56"/>
      <c r="Y64" s="350" t="s">
        <v>205</v>
      </c>
      <c r="Z64" s="142" t="str">
        <f t="shared" si="1"/>
        <v>NC</v>
      </c>
      <c r="AA64" s="226" t="str">
        <f t="shared" si="2"/>
        <v>UTILIZOU O PDA CORRETAMENTE. NÃO HÁ FOTOS DE TODAS AS ETAPAS</v>
      </c>
      <c r="AB64" s="9" t="s">
        <v>205</v>
      </c>
      <c r="AC64" s="197" t="s">
        <v>6</v>
      </c>
      <c r="AD64" s="150" t="str">
        <f t="shared" si="3"/>
        <v>SÃO PAULO</v>
      </c>
      <c r="AE64" s="58" t="s">
        <v>64</v>
      </c>
    </row>
    <row r="65" spans="1:31" s="55" customFormat="1" ht="30" customHeight="1">
      <c r="A65" s="215" t="s">
        <v>198</v>
      </c>
      <c r="B65" s="215">
        <v>2692276173</v>
      </c>
      <c r="C65" s="215" t="s">
        <v>134</v>
      </c>
      <c r="D65" s="215" t="s">
        <v>125</v>
      </c>
      <c r="E65" s="215" t="s">
        <v>5</v>
      </c>
      <c r="F65" s="215" t="s">
        <v>1966</v>
      </c>
      <c r="G65" s="215">
        <v>292</v>
      </c>
      <c r="H65" s="215" t="s">
        <v>214</v>
      </c>
      <c r="I65" s="215" t="s">
        <v>620</v>
      </c>
      <c r="J65" s="215" t="s">
        <v>1900</v>
      </c>
      <c r="K65" s="215" t="s">
        <v>200</v>
      </c>
      <c r="L65" s="216">
        <v>46117.597916666666</v>
      </c>
      <c r="M65" s="216">
        <v>46117.599305555559</v>
      </c>
      <c r="N65" s="215" t="s">
        <v>590</v>
      </c>
      <c r="O65" s="180" t="s">
        <v>205</v>
      </c>
      <c r="P65" s="56"/>
      <c r="Q65" s="143" t="s">
        <v>206</v>
      </c>
      <c r="R65" s="56"/>
      <c r="S65" s="164" t="s">
        <v>205</v>
      </c>
      <c r="T65" s="56"/>
      <c r="U65" s="143" t="s">
        <v>205</v>
      </c>
      <c r="V65" s="56"/>
      <c r="W65" s="143" t="s">
        <v>205</v>
      </c>
      <c r="X65" s="56"/>
      <c r="Y65" s="350" t="s">
        <v>205</v>
      </c>
      <c r="Z65" s="142" t="str">
        <f t="shared" si="1"/>
        <v>NC</v>
      </c>
      <c r="AA65" s="226" t="str">
        <f t="shared" si="2"/>
        <v>UTILIZOU O PDA CORRETAMENTE. NÃO HÁ FOTOS DE TODAS AS ETAPAS</v>
      </c>
      <c r="AB65" s="9" t="s">
        <v>205</v>
      </c>
      <c r="AC65" s="197" t="s">
        <v>6</v>
      </c>
      <c r="AD65" s="150" t="str">
        <f t="shared" si="3"/>
        <v>SÃO PAULO</v>
      </c>
      <c r="AE65" s="58" t="s">
        <v>64</v>
      </c>
    </row>
    <row r="66" spans="1:31" s="55" customFormat="1" ht="30" customHeight="1">
      <c r="A66" s="215" t="s">
        <v>198</v>
      </c>
      <c r="B66" s="215">
        <v>2692323424</v>
      </c>
      <c r="C66" s="215" t="s">
        <v>128</v>
      </c>
      <c r="D66" s="215" t="s">
        <v>64</v>
      </c>
      <c r="E66" s="215" t="s">
        <v>5</v>
      </c>
      <c r="F66" s="215" t="s">
        <v>263</v>
      </c>
      <c r="G66" s="215">
        <v>283</v>
      </c>
      <c r="H66" s="215" t="s">
        <v>226</v>
      </c>
      <c r="I66" s="215" t="s">
        <v>264</v>
      </c>
      <c r="J66" s="215" t="s">
        <v>1898</v>
      </c>
      <c r="K66" s="215"/>
      <c r="L66" s="216">
        <v>46117.657638888886</v>
      </c>
      <c r="M66" s="216">
        <v>46117.661111111112</v>
      </c>
      <c r="N66" s="215" t="s">
        <v>799</v>
      </c>
      <c r="O66" s="180" t="s">
        <v>205</v>
      </c>
      <c r="P66" s="56"/>
      <c r="Q66" s="164" t="s">
        <v>205</v>
      </c>
      <c r="R66" s="56"/>
      <c r="S66" s="164" t="s">
        <v>205</v>
      </c>
      <c r="T66" s="56"/>
      <c r="U66" s="143" t="s">
        <v>205</v>
      </c>
      <c r="V66" s="56"/>
      <c r="W66" s="143" t="s">
        <v>205</v>
      </c>
      <c r="X66" s="56"/>
      <c r="Y66" s="350" t="s">
        <v>205</v>
      </c>
      <c r="Z66" s="142" t="str">
        <f t="shared" si="1"/>
        <v>C</v>
      </c>
      <c r="AA66" s="226" t="str">
        <f t="shared" si="2"/>
        <v>UTILIZOU O PDA CORRETAMENTE</v>
      </c>
      <c r="AB66" s="9" t="s">
        <v>205</v>
      </c>
      <c r="AC66" s="197" t="s">
        <v>6</v>
      </c>
      <c r="AD66" s="150" t="str">
        <f t="shared" si="3"/>
        <v>SÃO PAULO</v>
      </c>
      <c r="AE66" s="58" t="s">
        <v>64</v>
      </c>
    </row>
    <row r="67" spans="1:31" s="55" customFormat="1" ht="30" customHeight="1">
      <c r="A67" s="215" t="s">
        <v>198</v>
      </c>
      <c r="B67" s="215">
        <v>2618437484</v>
      </c>
      <c r="C67" s="215" t="s">
        <v>130</v>
      </c>
      <c r="D67" s="215" t="s">
        <v>125</v>
      </c>
      <c r="E67" s="215" t="s">
        <v>5</v>
      </c>
      <c r="F67" s="215" t="s">
        <v>1957</v>
      </c>
      <c r="G67" s="215">
        <v>137</v>
      </c>
      <c r="H67" s="215" t="s">
        <v>226</v>
      </c>
      <c r="I67" s="215" t="s">
        <v>375</v>
      </c>
      <c r="J67" s="215" t="s">
        <v>1934</v>
      </c>
      <c r="K67" s="215" t="s">
        <v>200</v>
      </c>
      <c r="L67" s="216">
        <v>46117.609027777777</v>
      </c>
      <c r="M67" s="216">
        <v>46117.613194444442</v>
      </c>
      <c r="N67" s="215" t="s">
        <v>900</v>
      </c>
      <c r="O67" s="180" t="s">
        <v>205</v>
      </c>
      <c r="P67" s="56"/>
      <c r="Q67" s="164" t="s">
        <v>205</v>
      </c>
      <c r="R67" s="56"/>
      <c r="S67" s="164" t="s">
        <v>205</v>
      </c>
      <c r="T67" s="56"/>
      <c r="U67" s="143" t="s">
        <v>205</v>
      </c>
      <c r="V67" s="56"/>
      <c r="W67" s="143" t="s">
        <v>205</v>
      </c>
      <c r="X67" s="56"/>
      <c r="Y67" s="350" t="s">
        <v>205</v>
      </c>
      <c r="Z67" s="142" t="str">
        <f t="shared" ref="Z67:Z130" si="4">IF(AND(O67="",Q67="",S67="",U67="",W67=""),"",IF(OR(AND(O67&lt;&gt;"NA",O67&lt;&gt;"C",O67&lt;&gt;"NC",O67&lt;&gt;"SF",O67&lt;&gt;""),AND(Q67&lt;&gt;"NA",Q67&lt;&gt;"C",Q67&lt;&gt;"NC",Q67&lt;&gt;"SF",Q67&lt;&gt;""),AND(S67&lt;&gt;"NA",S67&lt;&gt;"C",S67&lt;&gt;"NC",S67&lt;&gt;"SF",S67&lt;&gt;""),AND(U67&lt;&gt;"NA",U67&lt;&gt;"C",U67&lt;&gt;"NC",U67&lt;&gt;"SF",U67&lt;&gt;""),AND(W67&lt;&gt;"NA",W67&lt;&gt;"C",W67&lt;&gt;"NC",W67&lt;&gt;"SF",W67&lt;&gt;"")),"FALSO",IF(AND(O67="NA",Q67="NA",S67="NA",U67="NA",W67="NA"),"NA",IF(OR(O67="NC",Q67="NC",S67="NC",U67="NC",W67="NC",O67="SF",Q67="SF",S67="SF",U67="SF",W67="SF"),"NC",IF(OR(O67="C",Q67="C",S67="C",U67="C",W67="C"),"C","")))))</f>
        <v>C</v>
      </c>
      <c r="AA67" s="226" t="str">
        <f t="shared" ref="AA67:AA130" si="5">IF(AND(Y67="C",Z67="C"),"UTILIZOU O PDA CORRETAMENTE",IF(AND(Y67="C",Z67="NC"),"UTILIZOU O PDA CORRETAMENTE. NÃO HÁ FOTOS DE TODAS AS ETAPAS",IF(AND(Y67="NC",Z67="NC"),"NÃO UTILIZOU O PDA",IF(AND(Y67="NA",Z67="NA"),"NÃO AVALIADO POR FALHA DE SINCRONISMO"))))</f>
        <v>UTILIZOU O PDA CORRETAMENTE</v>
      </c>
      <c r="AB67" s="9" t="s">
        <v>205</v>
      </c>
      <c r="AC67" s="197" t="s">
        <v>6</v>
      </c>
      <c r="AD67" s="150" t="str">
        <f t="shared" ref="AD67:AD130" si="6">E67</f>
        <v>SÃO PAULO</v>
      </c>
      <c r="AE67" s="58" t="s">
        <v>64</v>
      </c>
    </row>
    <row r="68" spans="1:31" s="55" customFormat="1" ht="30" customHeight="1">
      <c r="A68" s="215" t="s">
        <v>198</v>
      </c>
      <c r="B68" s="215">
        <v>2618486594</v>
      </c>
      <c r="C68" s="215" t="s">
        <v>131</v>
      </c>
      <c r="D68" s="215" t="s">
        <v>64</v>
      </c>
      <c r="E68" s="215" t="s">
        <v>5</v>
      </c>
      <c r="F68" s="215" t="s">
        <v>1967</v>
      </c>
      <c r="G68" s="215">
        <v>56</v>
      </c>
      <c r="H68" s="215" t="s">
        <v>318</v>
      </c>
      <c r="I68" s="215" t="s">
        <v>1968</v>
      </c>
      <c r="J68" s="215" t="s">
        <v>1908</v>
      </c>
      <c r="K68" s="215" t="s">
        <v>1969</v>
      </c>
      <c r="L68" s="216">
        <v>46117.643055555556</v>
      </c>
      <c r="M68" s="216">
        <v>46117.645833333336</v>
      </c>
      <c r="N68" s="215" t="s">
        <v>900</v>
      </c>
      <c r="O68" s="180" t="s">
        <v>205</v>
      </c>
      <c r="P68" s="56"/>
      <c r="Q68" s="164" t="s">
        <v>205</v>
      </c>
      <c r="R68" s="56"/>
      <c r="S68" s="164" t="s">
        <v>205</v>
      </c>
      <c r="T68" s="56"/>
      <c r="U68" s="143" t="s">
        <v>205</v>
      </c>
      <c r="V68" s="56"/>
      <c r="W68" s="143" t="s">
        <v>205</v>
      </c>
      <c r="X68" s="56"/>
      <c r="Y68" s="350" t="s">
        <v>205</v>
      </c>
      <c r="Z68" s="142" t="str">
        <f t="shared" si="4"/>
        <v>C</v>
      </c>
      <c r="AA68" s="226" t="str">
        <f t="shared" si="5"/>
        <v>UTILIZOU O PDA CORRETAMENTE</v>
      </c>
      <c r="AB68" s="9" t="s">
        <v>205</v>
      </c>
      <c r="AC68" s="197" t="s">
        <v>6</v>
      </c>
      <c r="AD68" s="150" t="str">
        <f t="shared" si="6"/>
        <v>SÃO PAULO</v>
      </c>
      <c r="AE68" s="58" t="s">
        <v>64</v>
      </c>
    </row>
    <row r="69" spans="1:31" s="55" customFormat="1" ht="30" customHeight="1">
      <c r="A69" s="215" t="s">
        <v>198</v>
      </c>
      <c r="B69" s="215">
        <v>2692265556</v>
      </c>
      <c r="C69" s="215" t="s">
        <v>134</v>
      </c>
      <c r="D69" s="215" t="s">
        <v>125</v>
      </c>
      <c r="E69" s="215" t="s">
        <v>5</v>
      </c>
      <c r="F69" s="215" t="s">
        <v>1954</v>
      </c>
      <c r="G69" s="215">
        <v>2</v>
      </c>
      <c r="H69" s="215" t="s">
        <v>417</v>
      </c>
      <c r="I69" s="215" t="s">
        <v>215</v>
      </c>
      <c r="J69" s="215" t="s">
        <v>1900</v>
      </c>
      <c r="K69" s="215" t="s">
        <v>200</v>
      </c>
      <c r="L69" s="216">
        <v>46117.606944444444</v>
      </c>
      <c r="M69" s="216">
        <v>46117.609027777777</v>
      </c>
      <c r="N69" s="215" t="s">
        <v>590</v>
      </c>
      <c r="O69" s="180" t="s">
        <v>205</v>
      </c>
      <c r="P69" s="56"/>
      <c r="Q69" s="164" t="s">
        <v>205</v>
      </c>
      <c r="R69" s="56"/>
      <c r="S69" s="164" t="s">
        <v>205</v>
      </c>
      <c r="T69" s="56"/>
      <c r="U69" s="143" t="s">
        <v>205</v>
      </c>
      <c r="V69" s="56"/>
      <c r="W69" s="143" t="s">
        <v>205</v>
      </c>
      <c r="X69" s="56"/>
      <c r="Y69" s="350" t="s">
        <v>205</v>
      </c>
      <c r="Z69" s="142" t="str">
        <f t="shared" si="4"/>
        <v>C</v>
      </c>
      <c r="AA69" s="226" t="str">
        <f t="shared" si="5"/>
        <v>UTILIZOU O PDA CORRETAMENTE</v>
      </c>
      <c r="AB69" s="9" t="s">
        <v>205</v>
      </c>
      <c r="AC69" s="197" t="s">
        <v>6</v>
      </c>
      <c r="AD69" s="150" t="str">
        <f t="shared" si="6"/>
        <v>SÃO PAULO</v>
      </c>
      <c r="AE69" s="58" t="s">
        <v>64</v>
      </c>
    </row>
    <row r="70" spans="1:31" s="55" customFormat="1" ht="30" customHeight="1">
      <c r="A70" s="215" t="s">
        <v>198</v>
      </c>
      <c r="B70" s="215">
        <v>2692284353</v>
      </c>
      <c r="C70" s="215" t="s">
        <v>134</v>
      </c>
      <c r="D70" s="215" t="s">
        <v>125</v>
      </c>
      <c r="E70" s="215" t="s">
        <v>5</v>
      </c>
      <c r="F70" s="215" t="s">
        <v>749</v>
      </c>
      <c r="G70" s="215">
        <v>151</v>
      </c>
      <c r="H70" s="215"/>
      <c r="I70" s="215" t="s">
        <v>215</v>
      </c>
      <c r="J70" s="215" t="s">
        <v>1900</v>
      </c>
      <c r="K70" s="215"/>
      <c r="L70" s="216">
        <v>46117.620833333334</v>
      </c>
      <c r="M70" s="216">
        <v>46117.630555555559</v>
      </c>
      <c r="N70" s="215" t="s">
        <v>590</v>
      </c>
      <c r="O70" s="180" t="s">
        <v>205</v>
      </c>
      <c r="P70" s="56"/>
      <c r="Q70" s="164" t="s">
        <v>205</v>
      </c>
      <c r="R70" s="56"/>
      <c r="S70" s="164" t="s">
        <v>205</v>
      </c>
      <c r="T70" s="56"/>
      <c r="U70" s="143" t="s">
        <v>205</v>
      </c>
      <c r="V70" s="56"/>
      <c r="W70" s="143" t="s">
        <v>205</v>
      </c>
      <c r="X70" s="56"/>
      <c r="Y70" s="350" t="s">
        <v>205</v>
      </c>
      <c r="Z70" s="142" t="str">
        <f t="shared" si="4"/>
        <v>C</v>
      </c>
      <c r="AA70" s="226" t="str">
        <f t="shared" si="5"/>
        <v>UTILIZOU O PDA CORRETAMENTE</v>
      </c>
      <c r="AB70" s="9" t="s">
        <v>205</v>
      </c>
      <c r="AC70" s="197" t="s">
        <v>6</v>
      </c>
      <c r="AD70" s="150" t="str">
        <f t="shared" si="6"/>
        <v>SÃO PAULO</v>
      </c>
      <c r="AE70" s="58" t="s">
        <v>64</v>
      </c>
    </row>
    <row r="71" spans="1:31" s="55" customFormat="1" ht="30" customHeight="1">
      <c r="A71" s="215" t="s">
        <v>198</v>
      </c>
      <c r="B71" s="215">
        <v>2692283367</v>
      </c>
      <c r="C71" s="215" t="s">
        <v>127</v>
      </c>
      <c r="D71" s="215" t="s">
        <v>64</v>
      </c>
      <c r="E71" s="215" t="s">
        <v>5</v>
      </c>
      <c r="F71" s="215" t="s">
        <v>1970</v>
      </c>
      <c r="G71" s="215">
        <v>204</v>
      </c>
      <c r="H71" s="215" t="s">
        <v>318</v>
      </c>
      <c r="I71" s="215" t="s">
        <v>1971</v>
      </c>
      <c r="J71" s="215" t="s">
        <v>1898</v>
      </c>
      <c r="K71" s="215" t="s">
        <v>1972</v>
      </c>
      <c r="L71" s="216">
        <v>46117.59652777778</v>
      </c>
      <c r="M71" s="216">
        <v>46117.598611111112</v>
      </c>
      <c r="N71" s="215" t="s">
        <v>248</v>
      </c>
      <c r="O71" s="156" t="s">
        <v>206</v>
      </c>
      <c r="P71" s="56"/>
      <c r="Q71" s="143" t="s">
        <v>206</v>
      </c>
      <c r="R71" s="56"/>
      <c r="S71" s="143" t="s">
        <v>206</v>
      </c>
      <c r="T71" s="56"/>
      <c r="U71" s="143" t="s">
        <v>206</v>
      </c>
      <c r="V71" s="56"/>
      <c r="W71" s="143" t="s">
        <v>206</v>
      </c>
      <c r="X71" s="56"/>
      <c r="Y71" s="350" t="s">
        <v>239</v>
      </c>
      <c r="Z71" s="142" t="str">
        <f t="shared" si="4"/>
        <v>NC</v>
      </c>
      <c r="AA71" s="226" t="str">
        <f t="shared" si="5"/>
        <v>NÃO UTILIZOU O PDA</v>
      </c>
      <c r="AB71" s="9" t="s">
        <v>205</v>
      </c>
      <c r="AC71" s="197" t="s">
        <v>6</v>
      </c>
      <c r="AD71" s="150" t="str">
        <f t="shared" si="6"/>
        <v>SÃO PAULO</v>
      </c>
      <c r="AE71" s="58" t="s">
        <v>64</v>
      </c>
    </row>
    <row r="72" spans="1:31" s="55" customFormat="1" ht="30" customHeight="1">
      <c r="A72" s="215" t="s">
        <v>198</v>
      </c>
      <c r="B72" s="215">
        <v>2692288050</v>
      </c>
      <c r="C72" s="215" t="s">
        <v>127</v>
      </c>
      <c r="D72" s="215" t="s">
        <v>64</v>
      </c>
      <c r="E72" s="215" t="s">
        <v>5</v>
      </c>
      <c r="F72" s="215" t="s">
        <v>1973</v>
      </c>
      <c r="G72" s="215">
        <v>264</v>
      </c>
      <c r="H72" s="215"/>
      <c r="I72" s="215" t="s">
        <v>1974</v>
      </c>
      <c r="J72" s="215" t="s">
        <v>1898</v>
      </c>
      <c r="K72" s="215" t="s">
        <v>1975</v>
      </c>
      <c r="L72" s="216">
        <v>46117.706944444442</v>
      </c>
      <c r="M72" s="216">
        <v>46117.708333333336</v>
      </c>
      <c r="N72" s="215" t="s">
        <v>248</v>
      </c>
      <c r="O72" s="156" t="s">
        <v>206</v>
      </c>
      <c r="P72" s="56"/>
      <c r="Q72" s="143" t="s">
        <v>206</v>
      </c>
      <c r="R72" s="56"/>
      <c r="S72" s="143" t="s">
        <v>206</v>
      </c>
      <c r="T72" s="56"/>
      <c r="U72" s="143" t="s">
        <v>206</v>
      </c>
      <c r="V72" s="56"/>
      <c r="W72" s="143" t="s">
        <v>206</v>
      </c>
      <c r="X72" s="56"/>
      <c r="Y72" s="350" t="s">
        <v>239</v>
      </c>
      <c r="Z72" s="142" t="str">
        <f t="shared" si="4"/>
        <v>NC</v>
      </c>
      <c r="AA72" s="226" t="str">
        <f t="shared" si="5"/>
        <v>NÃO UTILIZOU O PDA</v>
      </c>
      <c r="AB72" s="9" t="s">
        <v>205</v>
      </c>
      <c r="AC72" s="197" t="s">
        <v>6</v>
      </c>
      <c r="AD72" s="150" t="str">
        <f t="shared" si="6"/>
        <v>SÃO PAULO</v>
      </c>
      <c r="AE72" s="58" t="s">
        <v>64</v>
      </c>
    </row>
    <row r="73" spans="1:31" s="55" customFormat="1" ht="30" customHeight="1">
      <c r="A73" s="215" t="s">
        <v>198</v>
      </c>
      <c r="B73" s="215">
        <v>2618502603</v>
      </c>
      <c r="C73" s="215" t="s">
        <v>128</v>
      </c>
      <c r="D73" s="215" t="s">
        <v>64</v>
      </c>
      <c r="E73" s="215" t="s">
        <v>5</v>
      </c>
      <c r="F73" s="215" t="s">
        <v>1976</v>
      </c>
      <c r="G73" s="215">
        <v>81</v>
      </c>
      <c r="H73" s="215" t="s">
        <v>200</v>
      </c>
      <c r="I73" s="215" t="s">
        <v>1706</v>
      </c>
      <c r="J73" s="215" t="s">
        <v>1898</v>
      </c>
      <c r="K73" s="215" t="s">
        <v>200</v>
      </c>
      <c r="L73" s="216">
        <v>46147.53125</v>
      </c>
      <c r="M73" s="216">
        <v>46147.540972222225</v>
      </c>
      <c r="N73" s="215" t="s">
        <v>1950</v>
      </c>
      <c r="O73" s="180" t="s">
        <v>205</v>
      </c>
      <c r="P73" s="56"/>
      <c r="Q73" s="164" t="s">
        <v>205</v>
      </c>
      <c r="R73" s="56"/>
      <c r="S73" s="164" t="s">
        <v>205</v>
      </c>
      <c r="T73" s="56"/>
      <c r="U73" s="143" t="s">
        <v>205</v>
      </c>
      <c r="V73" s="56"/>
      <c r="W73" s="143" t="s">
        <v>205</v>
      </c>
      <c r="X73" s="56"/>
      <c r="Y73" s="350" t="s">
        <v>205</v>
      </c>
      <c r="Z73" s="142" t="str">
        <f t="shared" si="4"/>
        <v>C</v>
      </c>
      <c r="AA73" s="226" t="str">
        <f t="shared" si="5"/>
        <v>UTILIZOU O PDA CORRETAMENTE</v>
      </c>
      <c r="AB73" s="9" t="s">
        <v>205</v>
      </c>
      <c r="AC73" s="197" t="s">
        <v>6</v>
      </c>
      <c r="AD73" s="150" t="str">
        <f t="shared" si="6"/>
        <v>SÃO PAULO</v>
      </c>
      <c r="AE73" s="58" t="s">
        <v>64</v>
      </c>
    </row>
    <row r="74" spans="1:31" s="55" customFormat="1" ht="30" customHeight="1">
      <c r="A74" s="215" t="s">
        <v>198</v>
      </c>
      <c r="B74" s="215">
        <v>2692355079</v>
      </c>
      <c r="C74" s="215" t="s">
        <v>128</v>
      </c>
      <c r="D74" s="215" t="s">
        <v>64</v>
      </c>
      <c r="E74" s="215" t="s">
        <v>5</v>
      </c>
      <c r="F74" s="215" t="s">
        <v>1977</v>
      </c>
      <c r="G74" s="215">
        <v>91</v>
      </c>
      <c r="H74" s="215" t="s">
        <v>318</v>
      </c>
      <c r="I74" s="215" t="s">
        <v>223</v>
      </c>
      <c r="J74" s="215" t="s">
        <v>1898</v>
      </c>
      <c r="K74" s="215" t="s">
        <v>200</v>
      </c>
      <c r="L74" s="216">
        <v>46147.445138888892</v>
      </c>
      <c r="M74" s="216">
        <v>46147.48333333333</v>
      </c>
      <c r="N74" s="215" t="s">
        <v>1950</v>
      </c>
      <c r="O74" s="180" t="s">
        <v>205</v>
      </c>
      <c r="P74" s="56"/>
      <c r="Q74" s="164" t="s">
        <v>205</v>
      </c>
      <c r="R74" s="56"/>
      <c r="S74" s="164" t="s">
        <v>205</v>
      </c>
      <c r="T74" s="56"/>
      <c r="U74" s="143" t="s">
        <v>205</v>
      </c>
      <c r="V74" s="56"/>
      <c r="W74" s="143" t="s">
        <v>205</v>
      </c>
      <c r="X74" s="56"/>
      <c r="Y74" s="350" t="s">
        <v>205</v>
      </c>
      <c r="Z74" s="142" t="str">
        <f t="shared" si="4"/>
        <v>C</v>
      </c>
      <c r="AA74" s="226" t="str">
        <f t="shared" si="5"/>
        <v>UTILIZOU O PDA CORRETAMENTE</v>
      </c>
      <c r="AB74" s="9" t="s">
        <v>205</v>
      </c>
      <c r="AC74" s="197" t="s">
        <v>6</v>
      </c>
      <c r="AD74" s="150" t="str">
        <f t="shared" si="6"/>
        <v>SÃO PAULO</v>
      </c>
      <c r="AE74" s="58" t="s">
        <v>64</v>
      </c>
    </row>
    <row r="75" spans="1:31" s="55" customFormat="1" ht="30" customHeight="1">
      <c r="A75" s="215" t="s">
        <v>198</v>
      </c>
      <c r="B75" s="215">
        <v>2618532032</v>
      </c>
      <c r="C75" s="215" t="s">
        <v>131</v>
      </c>
      <c r="D75" s="215" t="s">
        <v>64</v>
      </c>
      <c r="E75" s="215" t="s">
        <v>5</v>
      </c>
      <c r="F75" s="215" t="s">
        <v>1978</v>
      </c>
      <c r="G75" s="215">
        <v>173</v>
      </c>
      <c r="H75" s="215"/>
      <c r="I75" s="215" t="s">
        <v>1974</v>
      </c>
      <c r="J75" s="215" t="s">
        <v>1898</v>
      </c>
      <c r="K75" s="215"/>
      <c r="L75" s="216">
        <v>46147.38958333333</v>
      </c>
      <c r="M75" s="216">
        <v>46147.4</v>
      </c>
      <c r="N75" s="215" t="s">
        <v>852</v>
      </c>
      <c r="O75" s="180" t="s">
        <v>205</v>
      </c>
      <c r="P75" s="56"/>
      <c r="Q75" s="164" t="s">
        <v>205</v>
      </c>
      <c r="R75" s="56"/>
      <c r="S75" s="164" t="s">
        <v>205</v>
      </c>
      <c r="T75" s="56"/>
      <c r="U75" s="143" t="s">
        <v>205</v>
      </c>
      <c r="V75" s="56"/>
      <c r="W75" s="143" t="s">
        <v>205</v>
      </c>
      <c r="X75" s="56"/>
      <c r="Y75" s="350" t="s">
        <v>205</v>
      </c>
      <c r="Z75" s="142" t="str">
        <f t="shared" si="4"/>
        <v>C</v>
      </c>
      <c r="AA75" s="226" t="str">
        <f t="shared" si="5"/>
        <v>UTILIZOU O PDA CORRETAMENTE</v>
      </c>
      <c r="AB75" s="9" t="s">
        <v>205</v>
      </c>
      <c r="AC75" s="197" t="s">
        <v>6</v>
      </c>
      <c r="AD75" s="150" t="str">
        <f t="shared" si="6"/>
        <v>SÃO PAULO</v>
      </c>
      <c r="AE75" s="58" t="s">
        <v>64</v>
      </c>
    </row>
    <row r="76" spans="1:31" s="55" customFormat="1" ht="30" customHeight="1">
      <c r="A76" s="215" t="s">
        <v>198</v>
      </c>
      <c r="B76" s="215">
        <v>2618492573</v>
      </c>
      <c r="C76" s="215" t="s">
        <v>128</v>
      </c>
      <c r="D76" s="215" t="s">
        <v>64</v>
      </c>
      <c r="E76" s="215" t="s">
        <v>5</v>
      </c>
      <c r="F76" s="215" t="s">
        <v>440</v>
      </c>
      <c r="G76" s="215">
        <v>601</v>
      </c>
      <c r="H76" s="215" t="s">
        <v>200</v>
      </c>
      <c r="I76" s="215" t="s">
        <v>274</v>
      </c>
      <c r="J76" s="215" t="s">
        <v>1898</v>
      </c>
      <c r="K76" s="215" t="s">
        <v>200</v>
      </c>
      <c r="L76" s="216">
        <v>46147.622916666667</v>
      </c>
      <c r="M76" s="216">
        <v>46147.630555555559</v>
      </c>
      <c r="N76" s="215" t="s">
        <v>852</v>
      </c>
      <c r="O76" s="180" t="s">
        <v>205</v>
      </c>
      <c r="P76" s="56"/>
      <c r="Q76" s="164" t="s">
        <v>205</v>
      </c>
      <c r="R76" s="56"/>
      <c r="S76" s="164" t="s">
        <v>205</v>
      </c>
      <c r="T76" s="56"/>
      <c r="U76" s="143" t="s">
        <v>205</v>
      </c>
      <c r="V76" s="56"/>
      <c r="W76" s="143" t="s">
        <v>205</v>
      </c>
      <c r="X76" s="56"/>
      <c r="Y76" s="350" t="s">
        <v>205</v>
      </c>
      <c r="Z76" s="142" t="str">
        <f t="shared" si="4"/>
        <v>C</v>
      </c>
      <c r="AA76" s="226" t="str">
        <f t="shared" si="5"/>
        <v>UTILIZOU O PDA CORRETAMENTE</v>
      </c>
      <c r="AB76" s="9" t="s">
        <v>205</v>
      </c>
      <c r="AC76" s="197" t="s">
        <v>6</v>
      </c>
      <c r="AD76" s="150" t="str">
        <f t="shared" si="6"/>
        <v>SÃO PAULO</v>
      </c>
      <c r="AE76" s="58" t="s">
        <v>64</v>
      </c>
    </row>
    <row r="77" spans="1:31" s="55" customFormat="1" ht="30" customHeight="1">
      <c r="A77" s="215" t="s">
        <v>198</v>
      </c>
      <c r="B77" s="215">
        <v>2618486301</v>
      </c>
      <c r="C77" s="215" t="s">
        <v>128</v>
      </c>
      <c r="D77" s="215" t="s">
        <v>64</v>
      </c>
      <c r="E77" s="215" t="s">
        <v>5</v>
      </c>
      <c r="F77" s="215" t="s">
        <v>458</v>
      </c>
      <c r="G77" s="215">
        <v>640</v>
      </c>
      <c r="H77" s="215"/>
      <c r="I77" s="215" t="s">
        <v>274</v>
      </c>
      <c r="J77" s="215" t="s">
        <v>1898</v>
      </c>
      <c r="K77" s="215"/>
      <c r="L77" s="216">
        <v>46147.470833333333</v>
      </c>
      <c r="M77" s="216">
        <v>46147.475694444445</v>
      </c>
      <c r="N77" s="215" t="s">
        <v>852</v>
      </c>
      <c r="O77" s="180" t="s">
        <v>205</v>
      </c>
      <c r="P77" s="56"/>
      <c r="Q77" s="164" t="s">
        <v>205</v>
      </c>
      <c r="R77" s="56"/>
      <c r="S77" s="164" t="s">
        <v>205</v>
      </c>
      <c r="T77" s="56"/>
      <c r="U77" s="143" t="s">
        <v>205</v>
      </c>
      <c r="V77" s="56"/>
      <c r="W77" s="143" t="s">
        <v>205</v>
      </c>
      <c r="X77" s="56"/>
      <c r="Y77" s="350" t="s">
        <v>205</v>
      </c>
      <c r="Z77" s="142" t="str">
        <f t="shared" si="4"/>
        <v>C</v>
      </c>
      <c r="AA77" s="226" t="str">
        <f t="shared" si="5"/>
        <v>UTILIZOU O PDA CORRETAMENTE</v>
      </c>
      <c r="AB77" s="9" t="s">
        <v>205</v>
      </c>
      <c r="AC77" s="197" t="s">
        <v>6</v>
      </c>
      <c r="AD77" s="150" t="str">
        <f t="shared" si="6"/>
        <v>SÃO PAULO</v>
      </c>
      <c r="AE77" s="58" t="s">
        <v>64</v>
      </c>
    </row>
    <row r="78" spans="1:31" s="55" customFormat="1" ht="30" customHeight="1">
      <c r="A78" s="215" t="s">
        <v>198</v>
      </c>
      <c r="B78" s="215">
        <v>2692376837</v>
      </c>
      <c r="C78" s="215" t="s">
        <v>131</v>
      </c>
      <c r="D78" s="215" t="s">
        <v>64</v>
      </c>
      <c r="E78" s="215" t="s">
        <v>5</v>
      </c>
      <c r="F78" s="215" t="s">
        <v>1253</v>
      </c>
      <c r="G78" s="215">
        <v>309</v>
      </c>
      <c r="H78" s="215" t="s">
        <v>226</v>
      </c>
      <c r="I78" s="215" t="s">
        <v>427</v>
      </c>
      <c r="J78" s="215" t="s">
        <v>1898</v>
      </c>
      <c r="K78" s="215"/>
      <c r="L78" s="216">
        <v>46147.656944444447</v>
      </c>
      <c r="M78" s="216">
        <v>46147.661111111112</v>
      </c>
      <c r="N78" s="215" t="s">
        <v>1956</v>
      </c>
      <c r="O78" s="180" t="s">
        <v>205</v>
      </c>
      <c r="P78" s="56"/>
      <c r="Q78" s="164" t="s">
        <v>205</v>
      </c>
      <c r="R78" s="56"/>
      <c r="S78" s="164" t="s">
        <v>205</v>
      </c>
      <c r="T78" s="56"/>
      <c r="U78" s="143" t="s">
        <v>205</v>
      </c>
      <c r="V78" s="56"/>
      <c r="W78" s="143" t="s">
        <v>205</v>
      </c>
      <c r="X78" s="56"/>
      <c r="Y78" s="350" t="s">
        <v>205</v>
      </c>
      <c r="Z78" s="142" t="str">
        <f t="shared" si="4"/>
        <v>C</v>
      </c>
      <c r="AA78" s="226" t="str">
        <f t="shared" si="5"/>
        <v>UTILIZOU O PDA CORRETAMENTE</v>
      </c>
      <c r="AB78" s="9" t="s">
        <v>205</v>
      </c>
      <c r="AC78" s="197" t="s">
        <v>6</v>
      </c>
      <c r="AD78" s="150" t="str">
        <f t="shared" si="6"/>
        <v>SÃO PAULO</v>
      </c>
      <c r="AE78" s="58" t="s">
        <v>64</v>
      </c>
    </row>
    <row r="79" spans="1:31" s="55" customFormat="1" ht="30" customHeight="1">
      <c r="A79" s="215" t="s">
        <v>198</v>
      </c>
      <c r="B79" s="215">
        <v>2692348645</v>
      </c>
      <c r="C79" s="215" t="s">
        <v>128</v>
      </c>
      <c r="D79" s="215" t="s">
        <v>64</v>
      </c>
      <c r="E79" s="215" t="s">
        <v>5</v>
      </c>
      <c r="F79" s="215" t="s">
        <v>1979</v>
      </c>
      <c r="G79" s="215">
        <v>247</v>
      </c>
      <c r="H79" s="215" t="s">
        <v>318</v>
      </c>
      <c r="I79" s="215" t="s">
        <v>914</v>
      </c>
      <c r="J79" s="215" t="s">
        <v>1908</v>
      </c>
      <c r="K79" s="215" t="s">
        <v>200</v>
      </c>
      <c r="L79" s="216">
        <v>46147.675694444442</v>
      </c>
      <c r="M79" s="216">
        <v>46147.678472222222</v>
      </c>
      <c r="N79" s="215" t="s">
        <v>1956</v>
      </c>
      <c r="O79" s="180" t="s">
        <v>205</v>
      </c>
      <c r="P79" s="56"/>
      <c r="Q79" s="164" t="s">
        <v>205</v>
      </c>
      <c r="R79" s="56"/>
      <c r="S79" s="164" t="s">
        <v>205</v>
      </c>
      <c r="T79" s="56"/>
      <c r="U79" s="143" t="s">
        <v>205</v>
      </c>
      <c r="V79" s="56"/>
      <c r="W79" s="143" t="s">
        <v>205</v>
      </c>
      <c r="X79" s="56"/>
      <c r="Y79" s="350" t="s">
        <v>205</v>
      </c>
      <c r="Z79" s="142" t="str">
        <f t="shared" si="4"/>
        <v>C</v>
      </c>
      <c r="AA79" s="226" t="str">
        <f t="shared" si="5"/>
        <v>UTILIZOU O PDA CORRETAMENTE</v>
      </c>
      <c r="AB79" s="9" t="s">
        <v>205</v>
      </c>
      <c r="AC79" s="197" t="s">
        <v>6</v>
      </c>
      <c r="AD79" s="150" t="str">
        <f t="shared" si="6"/>
        <v>SÃO PAULO</v>
      </c>
      <c r="AE79" s="58" t="s">
        <v>64</v>
      </c>
    </row>
    <row r="80" spans="1:31" s="55" customFormat="1" ht="30" customHeight="1">
      <c r="A80" s="215" t="s">
        <v>198</v>
      </c>
      <c r="B80" s="215">
        <v>2692309224</v>
      </c>
      <c r="C80" s="215" t="s">
        <v>128</v>
      </c>
      <c r="D80" s="215" t="s">
        <v>64</v>
      </c>
      <c r="E80" s="215" t="s">
        <v>5</v>
      </c>
      <c r="F80" s="215" t="s">
        <v>1980</v>
      </c>
      <c r="G80" s="215">
        <v>13</v>
      </c>
      <c r="H80" s="215"/>
      <c r="I80" s="215" t="s">
        <v>1981</v>
      </c>
      <c r="J80" s="215" t="s">
        <v>1908</v>
      </c>
      <c r="K80" s="215" t="s">
        <v>1982</v>
      </c>
      <c r="L80" s="216">
        <v>46147.414583333331</v>
      </c>
      <c r="M80" s="216">
        <v>46147.415277777778</v>
      </c>
      <c r="N80" s="215" t="s">
        <v>1956</v>
      </c>
      <c r="O80" s="180" t="s">
        <v>205</v>
      </c>
      <c r="P80" s="56"/>
      <c r="Q80" s="164" t="s">
        <v>205</v>
      </c>
      <c r="R80" s="56"/>
      <c r="S80" s="164" t="s">
        <v>205</v>
      </c>
      <c r="T80" s="56"/>
      <c r="U80" s="143" t="s">
        <v>205</v>
      </c>
      <c r="V80" s="56"/>
      <c r="W80" s="143" t="s">
        <v>205</v>
      </c>
      <c r="X80" s="56"/>
      <c r="Y80" s="350" t="s">
        <v>205</v>
      </c>
      <c r="Z80" s="142" t="str">
        <f t="shared" si="4"/>
        <v>C</v>
      </c>
      <c r="AA80" s="226" t="str">
        <f t="shared" si="5"/>
        <v>UTILIZOU O PDA CORRETAMENTE</v>
      </c>
      <c r="AB80" s="9" t="s">
        <v>205</v>
      </c>
      <c r="AC80" s="197" t="s">
        <v>6</v>
      </c>
      <c r="AD80" s="150" t="str">
        <f t="shared" si="6"/>
        <v>SÃO PAULO</v>
      </c>
      <c r="AE80" s="58" t="s">
        <v>64</v>
      </c>
    </row>
    <row r="81" spans="1:31" s="55" customFormat="1" ht="30" customHeight="1">
      <c r="A81" s="215" t="s">
        <v>198</v>
      </c>
      <c r="B81" s="215">
        <v>2692319114</v>
      </c>
      <c r="C81" s="215" t="s">
        <v>131</v>
      </c>
      <c r="D81" s="215" t="s">
        <v>64</v>
      </c>
      <c r="E81" s="215" t="s">
        <v>5</v>
      </c>
      <c r="F81" s="215" t="s">
        <v>1983</v>
      </c>
      <c r="G81" s="215">
        <v>41</v>
      </c>
      <c r="H81" s="215" t="s">
        <v>200</v>
      </c>
      <c r="I81" s="215" t="s">
        <v>283</v>
      </c>
      <c r="J81" s="215" t="s">
        <v>1908</v>
      </c>
      <c r="K81" s="215" t="s">
        <v>200</v>
      </c>
      <c r="L81" s="216">
        <v>46147.381944444445</v>
      </c>
      <c r="M81" s="216">
        <v>46147.4</v>
      </c>
      <c r="N81" s="215" t="s">
        <v>1956</v>
      </c>
      <c r="O81" s="180" t="s">
        <v>205</v>
      </c>
      <c r="P81" s="56"/>
      <c r="Q81" s="164" t="s">
        <v>205</v>
      </c>
      <c r="R81" s="56"/>
      <c r="S81" s="164" t="s">
        <v>205</v>
      </c>
      <c r="T81" s="56"/>
      <c r="U81" s="143" t="s">
        <v>205</v>
      </c>
      <c r="V81" s="56"/>
      <c r="W81" s="143" t="s">
        <v>205</v>
      </c>
      <c r="X81" s="56"/>
      <c r="Y81" s="350" t="s">
        <v>205</v>
      </c>
      <c r="Z81" s="142" t="str">
        <f t="shared" si="4"/>
        <v>C</v>
      </c>
      <c r="AA81" s="226" t="str">
        <f t="shared" si="5"/>
        <v>UTILIZOU O PDA CORRETAMENTE</v>
      </c>
      <c r="AB81" s="9" t="s">
        <v>205</v>
      </c>
      <c r="AC81" s="197" t="s">
        <v>6</v>
      </c>
      <c r="AD81" s="150" t="str">
        <f t="shared" si="6"/>
        <v>SÃO PAULO</v>
      </c>
      <c r="AE81" s="58" t="s">
        <v>64</v>
      </c>
    </row>
    <row r="82" spans="1:31" s="55" customFormat="1" ht="30" customHeight="1">
      <c r="A82" s="215" t="s">
        <v>198</v>
      </c>
      <c r="B82" s="215">
        <v>2692331296</v>
      </c>
      <c r="C82" s="215" t="s">
        <v>128</v>
      </c>
      <c r="D82" s="215" t="s">
        <v>64</v>
      </c>
      <c r="E82" s="215" t="s">
        <v>5</v>
      </c>
      <c r="F82" s="215" t="s">
        <v>1140</v>
      </c>
      <c r="G82" s="215">
        <v>57</v>
      </c>
      <c r="H82" s="215"/>
      <c r="I82" s="215" t="s">
        <v>1049</v>
      </c>
      <c r="J82" s="215" t="s">
        <v>1898</v>
      </c>
      <c r="K82" s="215"/>
      <c r="L82" s="216">
        <v>46147.493055555555</v>
      </c>
      <c r="M82" s="216">
        <v>46147.49722222222</v>
      </c>
      <c r="N82" s="215" t="s">
        <v>900</v>
      </c>
      <c r="O82" s="180" t="s">
        <v>205</v>
      </c>
      <c r="P82" s="56"/>
      <c r="Q82" s="164" t="s">
        <v>205</v>
      </c>
      <c r="R82" s="56"/>
      <c r="S82" s="164" t="s">
        <v>205</v>
      </c>
      <c r="T82" s="56"/>
      <c r="U82" s="143" t="s">
        <v>205</v>
      </c>
      <c r="V82" s="56"/>
      <c r="W82" s="143" t="s">
        <v>205</v>
      </c>
      <c r="X82" s="56"/>
      <c r="Y82" s="350" t="s">
        <v>205</v>
      </c>
      <c r="Z82" s="142" t="str">
        <f t="shared" si="4"/>
        <v>C</v>
      </c>
      <c r="AA82" s="226" t="str">
        <f t="shared" si="5"/>
        <v>UTILIZOU O PDA CORRETAMENTE</v>
      </c>
      <c r="AB82" s="9" t="s">
        <v>205</v>
      </c>
      <c r="AC82" s="197" t="s">
        <v>6</v>
      </c>
      <c r="AD82" s="150" t="str">
        <f t="shared" si="6"/>
        <v>SÃO PAULO</v>
      </c>
      <c r="AE82" s="58" t="s">
        <v>64</v>
      </c>
    </row>
    <row r="83" spans="1:31" s="55" customFormat="1" ht="30" customHeight="1">
      <c r="A83" s="215" t="s">
        <v>198</v>
      </c>
      <c r="B83" s="215">
        <v>2618424133</v>
      </c>
      <c r="C83" s="215" t="s">
        <v>135</v>
      </c>
      <c r="D83" s="215" t="s">
        <v>125</v>
      </c>
      <c r="E83" s="215" t="s">
        <v>5</v>
      </c>
      <c r="F83" s="215" t="s">
        <v>362</v>
      </c>
      <c r="G83" s="215">
        <v>208</v>
      </c>
      <c r="H83" s="215" t="s">
        <v>318</v>
      </c>
      <c r="I83" s="215" t="s">
        <v>366</v>
      </c>
      <c r="J83" s="215" t="s">
        <v>1909</v>
      </c>
      <c r="K83" s="215" t="s">
        <v>200</v>
      </c>
      <c r="L83" s="216">
        <v>46147.682638888888</v>
      </c>
      <c r="M83" s="216">
        <v>46147.683333333334</v>
      </c>
      <c r="N83" s="215" t="s">
        <v>221</v>
      </c>
      <c r="O83" s="156" t="s">
        <v>206</v>
      </c>
      <c r="P83" s="56"/>
      <c r="Q83" s="164" t="s">
        <v>205</v>
      </c>
      <c r="R83" s="56"/>
      <c r="S83" s="164" t="s">
        <v>205</v>
      </c>
      <c r="T83" s="56"/>
      <c r="U83" s="143" t="s">
        <v>205</v>
      </c>
      <c r="V83" s="56"/>
      <c r="W83" s="143" t="s">
        <v>205</v>
      </c>
      <c r="X83" s="56"/>
      <c r="Y83" s="350" t="s">
        <v>205</v>
      </c>
      <c r="Z83" s="142" t="str">
        <f t="shared" si="4"/>
        <v>NC</v>
      </c>
      <c r="AA83" s="226" t="str">
        <f t="shared" si="5"/>
        <v>UTILIZOU O PDA CORRETAMENTE. NÃO HÁ FOTOS DE TODAS AS ETAPAS</v>
      </c>
      <c r="AB83" s="9" t="s">
        <v>205</v>
      </c>
      <c r="AC83" s="197" t="s">
        <v>6</v>
      </c>
      <c r="AD83" s="150" t="str">
        <f t="shared" si="6"/>
        <v>SÃO PAULO</v>
      </c>
      <c r="AE83" s="58" t="s">
        <v>64</v>
      </c>
    </row>
    <row r="84" spans="1:31" s="55" customFormat="1" ht="30" customHeight="1">
      <c r="A84" s="215" t="s">
        <v>198</v>
      </c>
      <c r="B84" s="215">
        <v>2618424257</v>
      </c>
      <c r="C84" s="215" t="s">
        <v>135</v>
      </c>
      <c r="D84" s="215" t="s">
        <v>125</v>
      </c>
      <c r="E84" s="215" t="s">
        <v>5</v>
      </c>
      <c r="F84" s="215" t="s">
        <v>362</v>
      </c>
      <c r="G84" s="215">
        <v>208</v>
      </c>
      <c r="H84" s="215" t="s">
        <v>481</v>
      </c>
      <c r="I84" s="215" t="s">
        <v>366</v>
      </c>
      <c r="J84" s="215" t="s">
        <v>1909</v>
      </c>
      <c r="K84" s="215"/>
      <c r="L84" s="216">
        <v>46147.683333333334</v>
      </c>
      <c r="M84" s="216">
        <v>46147.686805555553</v>
      </c>
      <c r="N84" s="215" t="s">
        <v>221</v>
      </c>
      <c r="O84" s="156" t="s">
        <v>206</v>
      </c>
      <c r="P84" s="56"/>
      <c r="Q84" s="164" t="s">
        <v>205</v>
      </c>
      <c r="R84" s="56"/>
      <c r="S84" s="164" t="s">
        <v>205</v>
      </c>
      <c r="T84" s="56"/>
      <c r="U84" s="143" t="s">
        <v>205</v>
      </c>
      <c r="V84" s="56"/>
      <c r="W84" s="143" t="s">
        <v>205</v>
      </c>
      <c r="X84" s="56"/>
      <c r="Y84" s="350" t="s">
        <v>205</v>
      </c>
      <c r="Z84" s="142" t="str">
        <f t="shared" si="4"/>
        <v>NC</v>
      </c>
      <c r="AA84" s="226" t="str">
        <f t="shared" si="5"/>
        <v>UTILIZOU O PDA CORRETAMENTE. NÃO HÁ FOTOS DE TODAS AS ETAPAS</v>
      </c>
      <c r="AB84" s="9" t="s">
        <v>205</v>
      </c>
      <c r="AC84" s="197" t="s">
        <v>6</v>
      </c>
      <c r="AD84" s="150" t="str">
        <f t="shared" si="6"/>
        <v>SÃO PAULO</v>
      </c>
      <c r="AE84" s="58" t="s">
        <v>64</v>
      </c>
    </row>
    <row r="85" spans="1:31" s="55" customFormat="1" ht="30" customHeight="1">
      <c r="A85" s="215" t="s">
        <v>198</v>
      </c>
      <c r="B85" s="215">
        <v>2692207894</v>
      </c>
      <c r="C85" s="215" t="s">
        <v>128</v>
      </c>
      <c r="D85" s="215" t="s">
        <v>64</v>
      </c>
      <c r="E85" s="215" t="s">
        <v>5</v>
      </c>
      <c r="F85" s="215" t="s">
        <v>400</v>
      </c>
      <c r="G85" s="215">
        <v>69</v>
      </c>
      <c r="H85" s="215" t="s">
        <v>401</v>
      </c>
      <c r="I85" s="215" t="s">
        <v>402</v>
      </c>
      <c r="J85" s="215" t="s">
        <v>1898</v>
      </c>
      <c r="K85" s="215" t="s">
        <v>200</v>
      </c>
      <c r="L85" s="216">
        <v>46086.65347222222</v>
      </c>
      <c r="M85" s="216">
        <v>46086.654861111114</v>
      </c>
      <c r="N85" s="215" t="s">
        <v>221</v>
      </c>
      <c r="O85" s="180" t="s">
        <v>205</v>
      </c>
      <c r="P85" s="56"/>
      <c r="Q85" s="143" t="s">
        <v>206</v>
      </c>
      <c r="R85" s="56"/>
      <c r="S85" s="164" t="s">
        <v>205</v>
      </c>
      <c r="T85" s="56"/>
      <c r="U85" s="143" t="s">
        <v>205</v>
      </c>
      <c r="V85" s="56"/>
      <c r="W85" s="143" t="s">
        <v>205</v>
      </c>
      <c r="X85" s="56"/>
      <c r="Y85" s="350" t="s">
        <v>205</v>
      </c>
      <c r="Z85" s="142" t="str">
        <f t="shared" si="4"/>
        <v>NC</v>
      </c>
      <c r="AA85" s="226" t="str">
        <f t="shared" si="5"/>
        <v>UTILIZOU O PDA CORRETAMENTE. NÃO HÁ FOTOS DE TODAS AS ETAPAS</v>
      </c>
      <c r="AB85" s="9" t="s">
        <v>205</v>
      </c>
      <c r="AC85" s="197" t="s">
        <v>6</v>
      </c>
      <c r="AD85" s="150" t="str">
        <f t="shared" si="6"/>
        <v>SÃO PAULO</v>
      </c>
      <c r="AE85" s="58" t="s">
        <v>64</v>
      </c>
    </row>
    <row r="86" spans="1:31" s="55" customFormat="1" ht="30" customHeight="1">
      <c r="A86" s="215" t="s">
        <v>198</v>
      </c>
      <c r="B86" s="215">
        <v>2618602397</v>
      </c>
      <c r="C86" s="215" t="s">
        <v>128</v>
      </c>
      <c r="D86" s="215" t="s">
        <v>64</v>
      </c>
      <c r="E86" s="215" t="s">
        <v>5</v>
      </c>
      <c r="F86" s="215" t="s">
        <v>1984</v>
      </c>
      <c r="G86" s="215">
        <v>566</v>
      </c>
      <c r="H86" s="215" t="s">
        <v>318</v>
      </c>
      <c r="I86" s="215" t="s">
        <v>546</v>
      </c>
      <c r="J86" s="215" t="s">
        <v>1900</v>
      </c>
      <c r="K86" s="215" t="s">
        <v>1985</v>
      </c>
      <c r="L86" s="216">
        <v>46147.478472222225</v>
      </c>
      <c r="M86" s="216">
        <v>46147.486805555556</v>
      </c>
      <c r="N86" s="215" t="s">
        <v>590</v>
      </c>
      <c r="O86" s="180" t="s">
        <v>205</v>
      </c>
      <c r="P86" s="56"/>
      <c r="Q86" s="164" t="s">
        <v>205</v>
      </c>
      <c r="R86" s="56"/>
      <c r="S86" s="164" t="s">
        <v>205</v>
      </c>
      <c r="T86" s="56"/>
      <c r="U86" s="143" t="s">
        <v>205</v>
      </c>
      <c r="V86" s="56"/>
      <c r="W86" s="143" t="s">
        <v>205</v>
      </c>
      <c r="X86" s="56"/>
      <c r="Y86" s="350" t="s">
        <v>205</v>
      </c>
      <c r="Z86" s="142" t="str">
        <f t="shared" si="4"/>
        <v>C</v>
      </c>
      <c r="AA86" s="226" t="str">
        <f t="shared" si="5"/>
        <v>UTILIZOU O PDA CORRETAMENTE</v>
      </c>
      <c r="AB86" s="9" t="s">
        <v>205</v>
      </c>
      <c r="AC86" s="197" t="s">
        <v>6</v>
      </c>
      <c r="AD86" s="150" t="str">
        <f t="shared" si="6"/>
        <v>SÃO PAULO</v>
      </c>
      <c r="AE86" s="58" t="s">
        <v>64</v>
      </c>
    </row>
    <row r="87" spans="1:31" s="55" customFormat="1" ht="30" customHeight="1">
      <c r="A87" s="215" t="s">
        <v>198</v>
      </c>
      <c r="B87" s="215">
        <v>2618606171</v>
      </c>
      <c r="C87" s="215" t="s">
        <v>128</v>
      </c>
      <c r="D87" s="215" t="s">
        <v>64</v>
      </c>
      <c r="E87" s="215" t="s">
        <v>5</v>
      </c>
      <c r="F87" s="215" t="s">
        <v>1389</v>
      </c>
      <c r="G87" s="215">
        <v>219</v>
      </c>
      <c r="H87" s="215" t="s">
        <v>318</v>
      </c>
      <c r="I87" s="215" t="s">
        <v>246</v>
      </c>
      <c r="J87" s="215" t="s">
        <v>1900</v>
      </c>
      <c r="K87" s="215"/>
      <c r="L87" s="216">
        <v>46147.627083333333</v>
      </c>
      <c r="M87" s="216">
        <v>46147.652083333334</v>
      </c>
      <c r="N87" s="215" t="s">
        <v>1956</v>
      </c>
      <c r="O87" s="180" t="s">
        <v>205</v>
      </c>
      <c r="P87" s="56"/>
      <c r="Q87" s="164" t="s">
        <v>205</v>
      </c>
      <c r="R87" s="56"/>
      <c r="S87" s="164" t="s">
        <v>205</v>
      </c>
      <c r="T87" s="56"/>
      <c r="U87" s="143" t="s">
        <v>205</v>
      </c>
      <c r="V87" s="56"/>
      <c r="W87" s="143" t="s">
        <v>205</v>
      </c>
      <c r="X87" s="56"/>
      <c r="Y87" s="350" t="s">
        <v>205</v>
      </c>
      <c r="Z87" s="142" t="str">
        <f t="shared" si="4"/>
        <v>C</v>
      </c>
      <c r="AA87" s="226" t="str">
        <f t="shared" si="5"/>
        <v>UTILIZOU O PDA CORRETAMENTE</v>
      </c>
      <c r="AB87" s="9" t="s">
        <v>205</v>
      </c>
      <c r="AC87" s="197" t="s">
        <v>6</v>
      </c>
      <c r="AD87" s="150" t="str">
        <f t="shared" si="6"/>
        <v>SÃO PAULO</v>
      </c>
      <c r="AE87" s="58" t="s">
        <v>64</v>
      </c>
    </row>
    <row r="88" spans="1:31" s="55" customFormat="1" ht="30" customHeight="1">
      <c r="A88" s="215" t="s">
        <v>198</v>
      </c>
      <c r="B88" s="215">
        <v>2618606646</v>
      </c>
      <c r="C88" s="215" t="s">
        <v>128</v>
      </c>
      <c r="D88" s="215" t="s">
        <v>64</v>
      </c>
      <c r="E88" s="215" t="s">
        <v>5</v>
      </c>
      <c r="F88" s="215" t="s">
        <v>1986</v>
      </c>
      <c r="G88" s="215">
        <v>615</v>
      </c>
      <c r="H88" s="215" t="s">
        <v>226</v>
      </c>
      <c r="I88" s="215" t="s">
        <v>274</v>
      </c>
      <c r="J88" s="215" t="s">
        <v>1898</v>
      </c>
      <c r="K88" s="215"/>
      <c r="L88" s="216">
        <v>46147.6</v>
      </c>
      <c r="M88" s="216">
        <v>46147.606249999997</v>
      </c>
      <c r="N88" s="215" t="s">
        <v>852</v>
      </c>
      <c r="O88" s="180" t="s">
        <v>205</v>
      </c>
      <c r="P88" s="56"/>
      <c r="Q88" s="164" t="s">
        <v>205</v>
      </c>
      <c r="R88" s="56"/>
      <c r="S88" s="164" t="s">
        <v>205</v>
      </c>
      <c r="T88" s="56"/>
      <c r="U88" s="143" t="s">
        <v>205</v>
      </c>
      <c r="V88" s="56"/>
      <c r="W88" s="143" t="s">
        <v>205</v>
      </c>
      <c r="X88" s="56"/>
      <c r="Y88" s="350" t="s">
        <v>205</v>
      </c>
      <c r="Z88" s="142" t="str">
        <f t="shared" si="4"/>
        <v>C</v>
      </c>
      <c r="AA88" s="226" t="str">
        <f t="shared" si="5"/>
        <v>UTILIZOU O PDA CORRETAMENTE</v>
      </c>
      <c r="AB88" s="9" t="s">
        <v>205</v>
      </c>
      <c r="AC88" s="197" t="s">
        <v>6</v>
      </c>
      <c r="AD88" s="150" t="str">
        <f t="shared" si="6"/>
        <v>SÃO PAULO</v>
      </c>
      <c r="AE88" s="58" t="s">
        <v>64</v>
      </c>
    </row>
    <row r="89" spans="1:31" s="55" customFormat="1" ht="30" customHeight="1">
      <c r="A89" s="215" t="s">
        <v>198</v>
      </c>
      <c r="B89" s="215">
        <v>2618607222</v>
      </c>
      <c r="C89" s="215" t="s">
        <v>128</v>
      </c>
      <c r="D89" s="215" t="s">
        <v>64</v>
      </c>
      <c r="E89" s="215" t="s">
        <v>5</v>
      </c>
      <c r="F89" s="215" t="s">
        <v>1987</v>
      </c>
      <c r="G89" s="215">
        <v>19</v>
      </c>
      <c r="H89" s="215" t="s">
        <v>387</v>
      </c>
      <c r="I89" s="215" t="s">
        <v>280</v>
      </c>
      <c r="J89" s="215" t="s">
        <v>1898</v>
      </c>
      <c r="K89" s="215" t="s">
        <v>200</v>
      </c>
      <c r="L89" s="216">
        <v>46147.463888888888</v>
      </c>
      <c r="M89" s="216">
        <v>46147.468055555553</v>
      </c>
      <c r="N89" s="215" t="s">
        <v>1956</v>
      </c>
      <c r="O89" s="180" t="s">
        <v>205</v>
      </c>
      <c r="P89" s="56"/>
      <c r="Q89" s="164" t="s">
        <v>205</v>
      </c>
      <c r="R89" s="56"/>
      <c r="S89" s="164" t="s">
        <v>205</v>
      </c>
      <c r="T89" s="56"/>
      <c r="U89" s="143" t="s">
        <v>205</v>
      </c>
      <c r="V89" s="56"/>
      <c r="W89" s="143" t="s">
        <v>205</v>
      </c>
      <c r="X89" s="56"/>
      <c r="Y89" s="350" t="s">
        <v>205</v>
      </c>
      <c r="Z89" s="142" t="str">
        <f t="shared" si="4"/>
        <v>C</v>
      </c>
      <c r="AA89" s="226" t="str">
        <f t="shared" si="5"/>
        <v>UTILIZOU O PDA CORRETAMENTE</v>
      </c>
      <c r="AB89" s="9" t="s">
        <v>205</v>
      </c>
      <c r="AC89" s="197" t="s">
        <v>6</v>
      </c>
      <c r="AD89" s="150" t="str">
        <f t="shared" si="6"/>
        <v>SÃO PAULO</v>
      </c>
      <c r="AE89" s="58" t="s">
        <v>64</v>
      </c>
    </row>
    <row r="90" spans="1:31" s="55" customFormat="1" ht="30" customHeight="1">
      <c r="A90" s="215" t="s">
        <v>198</v>
      </c>
      <c r="B90" s="215">
        <v>2618607949</v>
      </c>
      <c r="C90" s="215" t="s">
        <v>128</v>
      </c>
      <c r="D90" s="215" t="s">
        <v>64</v>
      </c>
      <c r="E90" s="215" t="s">
        <v>5</v>
      </c>
      <c r="F90" s="215" t="s">
        <v>1988</v>
      </c>
      <c r="G90" s="215">
        <v>5</v>
      </c>
      <c r="H90" s="215" t="s">
        <v>387</v>
      </c>
      <c r="I90" s="215" t="s">
        <v>1877</v>
      </c>
      <c r="J90" s="215" t="s">
        <v>1898</v>
      </c>
      <c r="K90" s="215" t="s">
        <v>1989</v>
      </c>
      <c r="L90" s="216">
        <v>46147.688888888886</v>
      </c>
      <c r="M90" s="216">
        <v>46147.696527777778</v>
      </c>
      <c r="N90" s="215" t="s">
        <v>1950</v>
      </c>
      <c r="O90" s="180" t="s">
        <v>205</v>
      </c>
      <c r="P90" s="56"/>
      <c r="Q90" s="164" t="s">
        <v>205</v>
      </c>
      <c r="R90" s="56"/>
      <c r="S90" s="164" t="s">
        <v>205</v>
      </c>
      <c r="T90" s="56"/>
      <c r="U90" s="143" t="s">
        <v>205</v>
      </c>
      <c r="V90" s="56"/>
      <c r="W90" s="143" t="s">
        <v>205</v>
      </c>
      <c r="X90" s="56"/>
      <c r="Y90" s="350" t="s">
        <v>205</v>
      </c>
      <c r="Z90" s="142" t="str">
        <f t="shared" si="4"/>
        <v>C</v>
      </c>
      <c r="AA90" s="226" t="str">
        <f t="shared" si="5"/>
        <v>UTILIZOU O PDA CORRETAMENTE</v>
      </c>
      <c r="AB90" s="9" t="s">
        <v>205</v>
      </c>
      <c r="AC90" s="197" t="s">
        <v>6</v>
      </c>
      <c r="AD90" s="150" t="str">
        <f t="shared" si="6"/>
        <v>SÃO PAULO</v>
      </c>
      <c r="AE90" s="58" t="s">
        <v>64</v>
      </c>
    </row>
    <row r="91" spans="1:31" s="55" customFormat="1" ht="30" customHeight="1">
      <c r="A91" s="215" t="s">
        <v>198</v>
      </c>
      <c r="B91" s="215">
        <v>2618608266</v>
      </c>
      <c r="C91" s="215" t="s">
        <v>129</v>
      </c>
      <c r="D91" s="215" t="s">
        <v>125</v>
      </c>
      <c r="E91" s="215" t="s">
        <v>5</v>
      </c>
      <c r="F91" s="215" t="s">
        <v>1921</v>
      </c>
      <c r="G91" s="215">
        <v>198</v>
      </c>
      <c r="H91" s="215" t="s">
        <v>318</v>
      </c>
      <c r="I91" s="215" t="s">
        <v>369</v>
      </c>
      <c r="J91" s="215" t="s">
        <v>1903</v>
      </c>
      <c r="K91" s="215" t="s">
        <v>200</v>
      </c>
      <c r="L91" s="216">
        <v>46147.649305555555</v>
      </c>
      <c r="M91" s="216">
        <v>46147.649305555555</v>
      </c>
      <c r="N91" s="215" t="s">
        <v>1947</v>
      </c>
      <c r="O91" s="180" t="s">
        <v>205</v>
      </c>
      <c r="P91" s="56"/>
      <c r="Q91" s="164" t="s">
        <v>205</v>
      </c>
      <c r="R91" s="56"/>
      <c r="S91" s="164" t="s">
        <v>205</v>
      </c>
      <c r="T91" s="56"/>
      <c r="U91" s="143" t="s">
        <v>205</v>
      </c>
      <c r="V91" s="56"/>
      <c r="W91" s="143" t="s">
        <v>205</v>
      </c>
      <c r="X91" s="56"/>
      <c r="Y91" s="350" t="s">
        <v>205</v>
      </c>
      <c r="Z91" s="142" t="str">
        <f t="shared" si="4"/>
        <v>C</v>
      </c>
      <c r="AA91" s="226" t="str">
        <f t="shared" si="5"/>
        <v>UTILIZOU O PDA CORRETAMENTE</v>
      </c>
      <c r="AB91" s="9" t="s">
        <v>205</v>
      </c>
      <c r="AC91" s="197" t="s">
        <v>6</v>
      </c>
      <c r="AD91" s="150" t="str">
        <f t="shared" si="6"/>
        <v>SÃO PAULO</v>
      </c>
      <c r="AE91" s="58" t="s">
        <v>64</v>
      </c>
    </row>
    <row r="92" spans="1:31" s="55" customFormat="1" ht="30" customHeight="1">
      <c r="A92" s="215" t="s">
        <v>198</v>
      </c>
      <c r="B92" s="215">
        <v>2618611229</v>
      </c>
      <c r="C92" s="215" t="s">
        <v>128</v>
      </c>
      <c r="D92" s="215" t="s">
        <v>64</v>
      </c>
      <c r="E92" s="215" t="s">
        <v>5</v>
      </c>
      <c r="F92" s="215" t="s">
        <v>1990</v>
      </c>
      <c r="G92" s="215">
        <v>95</v>
      </c>
      <c r="H92" s="215"/>
      <c r="I92" s="215" t="s">
        <v>271</v>
      </c>
      <c r="J92" s="215" t="s">
        <v>1898</v>
      </c>
      <c r="K92" s="215"/>
      <c r="L92" s="216">
        <v>46147.438888888886</v>
      </c>
      <c r="M92" s="216">
        <v>46147.445833333331</v>
      </c>
      <c r="N92" s="215" t="s">
        <v>1956</v>
      </c>
      <c r="O92" s="180" t="s">
        <v>205</v>
      </c>
      <c r="P92" s="56"/>
      <c r="Q92" s="164" t="s">
        <v>205</v>
      </c>
      <c r="R92" s="56"/>
      <c r="S92" s="164" t="s">
        <v>205</v>
      </c>
      <c r="T92" s="56"/>
      <c r="U92" s="143" t="s">
        <v>205</v>
      </c>
      <c r="V92" s="56"/>
      <c r="W92" s="143" t="s">
        <v>205</v>
      </c>
      <c r="X92" s="56"/>
      <c r="Y92" s="350" t="s">
        <v>205</v>
      </c>
      <c r="Z92" s="142" t="str">
        <f t="shared" si="4"/>
        <v>C</v>
      </c>
      <c r="AA92" s="226" t="str">
        <f t="shared" si="5"/>
        <v>UTILIZOU O PDA CORRETAMENTE</v>
      </c>
      <c r="AB92" s="9" t="s">
        <v>205</v>
      </c>
      <c r="AC92" s="197" t="s">
        <v>6</v>
      </c>
      <c r="AD92" s="150" t="str">
        <f t="shared" si="6"/>
        <v>SÃO PAULO</v>
      </c>
      <c r="AE92" s="58" t="s">
        <v>64</v>
      </c>
    </row>
    <row r="93" spans="1:31" s="55" customFormat="1" ht="30" customHeight="1">
      <c r="A93" s="215" t="s">
        <v>198</v>
      </c>
      <c r="B93" s="215">
        <v>2692323854</v>
      </c>
      <c r="C93" s="215" t="s">
        <v>130</v>
      </c>
      <c r="D93" s="215" t="s">
        <v>125</v>
      </c>
      <c r="E93" s="215" t="s">
        <v>5</v>
      </c>
      <c r="F93" s="215" t="s">
        <v>588</v>
      </c>
      <c r="G93" s="215">
        <v>508</v>
      </c>
      <c r="H93" s="215" t="s">
        <v>318</v>
      </c>
      <c r="I93" s="215" t="s">
        <v>215</v>
      </c>
      <c r="J93" s="215" t="s">
        <v>1934</v>
      </c>
      <c r="K93" s="215" t="s">
        <v>200</v>
      </c>
      <c r="L93" s="216">
        <v>46147.345833333333</v>
      </c>
      <c r="M93" s="216">
        <v>46147.348611111112</v>
      </c>
      <c r="N93" s="215" t="s">
        <v>590</v>
      </c>
      <c r="O93" s="180" t="s">
        <v>205</v>
      </c>
      <c r="P93" s="56"/>
      <c r="Q93" s="143" t="s">
        <v>206</v>
      </c>
      <c r="R93" s="56"/>
      <c r="S93" s="164" t="s">
        <v>205</v>
      </c>
      <c r="T93" s="56"/>
      <c r="U93" s="143" t="s">
        <v>205</v>
      </c>
      <c r="V93" s="56"/>
      <c r="W93" s="143" t="s">
        <v>205</v>
      </c>
      <c r="X93" s="56"/>
      <c r="Y93" s="350" t="s">
        <v>205</v>
      </c>
      <c r="Z93" s="142" t="str">
        <f t="shared" si="4"/>
        <v>NC</v>
      </c>
      <c r="AA93" s="226" t="str">
        <f t="shared" si="5"/>
        <v>UTILIZOU O PDA CORRETAMENTE. NÃO HÁ FOTOS DE TODAS AS ETAPAS</v>
      </c>
      <c r="AB93" s="9" t="s">
        <v>205</v>
      </c>
      <c r="AC93" s="197" t="s">
        <v>6</v>
      </c>
      <c r="AD93" s="150" t="str">
        <f t="shared" si="6"/>
        <v>SÃO PAULO</v>
      </c>
      <c r="AE93" s="58" t="s">
        <v>64</v>
      </c>
    </row>
    <row r="94" spans="1:31" s="55" customFormat="1" ht="30" customHeight="1">
      <c r="A94" s="215" t="s">
        <v>198</v>
      </c>
      <c r="B94" s="215">
        <v>2692409701</v>
      </c>
      <c r="C94" s="215" t="s">
        <v>131</v>
      </c>
      <c r="D94" s="215" t="s">
        <v>64</v>
      </c>
      <c r="E94" s="215" t="s">
        <v>5</v>
      </c>
      <c r="F94" s="215" t="s">
        <v>1991</v>
      </c>
      <c r="G94" s="215">
        <v>9</v>
      </c>
      <c r="H94" s="215" t="s">
        <v>318</v>
      </c>
      <c r="I94" s="215" t="s">
        <v>343</v>
      </c>
      <c r="J94" s="215" t="s">
        <v>1908</v>
      </c>
      <c r="K94" s="215"/>
      <c r="L94" s="216">
        <v>46147.636111111111</v>
      </c>
      <c r="M94" s="216">
        <v>46147.678472222222</v>
      </c>
      <c r="N94" s="215" t="s">
        <v>1919</v>
      </c>
      <c r="O94" s="180" t="s">
        <v>205</v>
      </c>
      <c r="P94" s="56"/>
      <c r="Q94" s="164" t="s">
        <v>205</v>
      </c>
      <c r="R94" s="56"/>
      <c r="S94" s="164" t="s">
        <v>205</v>
      </c>
      <c r="T94" s="56"/>
      <c r="U94" s="143" t="s">
        <v>205</v>
      </c>
      <c r="V94" s="56"/>
      <c r="W94" s="143" t="s">
        <v>205</v>
      </c>
      <c r="X94" s="56"/>
      <c r="Y94" s="350" t="s">
        <v>205</v>
      </c>
      <c r="Z94" s="142" t="str">
        <f t="shared" si="4"/>
        <v>C</v>
      </c>
      <c r="AA94" s="226" t="str">
        <f t="shared" si="5"/>
        <v>UTILIZOU O PDA CORRETAMENTE</v>
      </c>
      <c r="AB94" s="9" t="s">
        <v>205</v>
      </c>
      <c r="AC94" s="197" t="s">
        <v>6</v>
      </c>
      <c r="AD94" s="150" t="str">
        <f t="shared" si="6"/>
        <v>SÃO PAULO</v>
      </c>
      <c r="AE94" s="58" t="s">
        <v>64</v>
      </c>
    </row>
    <row r="95" spans="1:31" s="55" customFormat="1" ht="30" customHeight="1">
      <c r="A95" s="215" t="s">
        <v>198</v>
      </c>
      <c r="B95" s="215">
        <v>2618697424</v>
      </c>
      <c r="C95" s="215" t="s">
        <v>131</v>
      </c>
      <c r="D95" s="215" t="s">
        <v>64</v>
      </c>
      <c r="E95" s="215" t="s">
        <v>5</v>
      </c>
      <c r="F95" s="215" t="s">
        <v>1977</v>
      </c>
      <c r="G95" s="215">
        <v>91</v>
      </c>
      <c r="H95" s="215" t="s">
        <v>226</v>
      </c>
      <c r="I95" s="215" t="s">
        <v>223</v>
      </c>
      <c r="J95" s="215" t="s">
        <v>1898</v>
      </c>
      <c r="K95" s="215" t="s">
        <v>1992</v>
      </c>
      <c r="L95" s="216">
        <v>46147.587500000001</v>
      </c>
      <c r="M95" s="216">
        <v>46147.588888888888</v>
      </c>
      <c r="N95" s="215" t="s">
        <v>1950</v>
      </c>
      <c r="O95" s="180" t="s">
        <v>205</v>
      </c>
      <c r="P95" s="56"/>
      <c r="Q95" s="164" t="s">
        <v>205</v>
      </c>
      <c r="R95" s="56"/>
      <c r="S95" s="164" t="s">
        <v>205</v>
      </c>
      <c r="T95" s="56"/>
      <c r="U95" s="143" t="s">
        <v>205</v>
      </c>
      <c r="V95" s="56"/>
      <c r="W95" s="143" t="s">
        <v>205</v>
      </c>
      <c r="X95" s="56"/>
      <c r="Y95" s="350" t="s">
        <v>205</v>
      </c>
      <c r="Z95" s="142" t="str">
        <f t="shared" si="4"/>
        <v>C</v>
      </c>
      <c r="AA95" s="226" t="str">
        <f t="shared" si="5"/>
        <v>UTILIZOU O PDA CORRETAMENTE</v>
      </c>
      <c r="AB95" s="9" t="s">
        <v>205</v>
      </c>
      <c r="AC95" s="197" t="s">
        <v>6</v>
      </c>
      <c r="AD95" s="150" t="str">
        <f t="shared" si="6"/>
        <v>SÃO PAULO</v>
      </c>
      <c r="AE95" s="58" t="s">
        <v>64</v>
      </c>
    </row>
    <row r="96" spans="1:31" s="55" customFormat="1" ht="30" customHeight="1">
      <c r="A96" s="215" t="s">
        <v>198</v>
      </c>
      <c r="B96" s="215">
        <v>2692419160</v>
      </c>
      <c r="C96" s="215" t="s">
        <v>128</v>
      </c>
      <c r="D96" s="215" t="s">
        <v>64</v>
      </c>
      <c r="E96" s="215" t="s">
        <v>5</v>
      </c>
      <c r="F96" s="215" t="s">
        <v>569</v>
      </c>
      <c r="G96" s="215">
        <v>10</v>
      </c>
      <c r="H96" s="215" t="s">
        <v>387</v>
      </c>
      <c r="I96" s="215" t="s">
        <v>565</v>
      </c>
      <c r="J96" s="215" t="s">
        <v>1900</v>
      </c>
      <c r="K96" s="215" t="s">
        <v>200</v>
      </c>
      <c r="L96" s="216">
        <v>46147.704861111109</v>
      </c>
      <c r="M96" s="216">
        <v>46147.709722222222</v>
      </c>
      <c r="N96" s="215" t="s">
        <v>590</v>
      </c>
      <c r="O96" s="180" t="s">
        <v>205</v>
      </c>
      <c r="P96" s="56"/>
      <c r="Q96" s="164" t="s">
        <v>205</v>
      </c>
      <c r="R96" s="56"/>
      <c r="S96" s="164" t="s">
        <v>205</v>
      </c>
      <c r="T96" s="56"/>
      <c r="U96" s="143" t="s">
        <v>205</v>
      </c>
      <c r="V96" s="56"/>
      <c r="W96" s="143" t="s">
        <v>205</v>
      </c>
      <c r="X96" s="56"/>
      <c r="Y96" s="350" t="s">
        <v>205</v>
      </c>
      <c r="Z96" s="142" t="str">
        <f t="shared" si="4"/>
        <v>C</v>
      </c>
      <c r="AA96" s="226" t="str">
        <f t="shared" si="5"/>
        <v>UTILIZOU O PDA CORRETAMENTE</v>
      </c>
      <c r="AB96" s="9" t="s">
        <v>205</v>
      </c>
      <c r="AC96" s="197" t="s">
        <v>6</v>
      </c>
      <c r="AD96" s="150" t="str">
        <f t="shared" si="6"/>
        <v>SÃO PAULO</v>
      </c>
      <c r="AE96" s="58" t="s">
        <v>64</v>
      </c>
    </row>
    <row r="97" spans="1:31" s="55" customFormat="1" ht="30" customHeight="1">
      <c r="A97" s="215" t="s">
        <v>198</v>
      </c>
      <c r="B97" s="215">
        <v>2618697778</v>
      </c>
      <c r="C97" s="215" t="s">
        <v>131</v>
      </c>
      <c r="D97" s="215" t="s">
        <v>64</v>
      </c>
      <c r="E97" s="215" t="s">
        <v>5</v>
      </c>
      <c r="F97" s="215" t="s">
        <v>1977</v>
      </c>
      <c r="G97" s="215">
        <v>91</v>
      </c>
      <c r="H97" s="215" t="s">
        <v>481</v>
      </c>
      <c r="I97" s="215" t="s">
        <v>223</v>
      </c>
      <c r="J97" s="215" t="s">
        <v>1898</v>
      </c>
      <c r="K97" s="215" t="s">
        <v>1992</v>
      </c>
      <c r="L97" s="216">
        <v>46147.588888888888</v>
      </c>
      <c r="M97" s="216">
        <v>46147.590277777781</v>
      </c>
      <c r="N97" s="215" t="s">
        <v>1950</v>
      </c>
      <c r="O97" s="180" t="s">
        <v>205</v>
      </c>
      <c r="P97" s="56"/>
      <c r="Q97" s="164" t="s">
        <v>205</v>
      </c>
      <c r="R97" s="56"/>
      <c r="S97" s="164" t="s">
        <v>205</v>
      </c>
      <c r="T97" s="56"/>
      <c r="U97" s="143" t="s">
        <v>205</v>
      </c>
      <c r="V97" s="56"/>
      <c r="W97" s="143" t="s">
        <v>205</v>
      </c>
      <c r="X97" s="56"/>
      <c r="Y97" s="350" t="s">
        <v>205</v>
      </c>
      <c r="Z97" s="142" t="str">
        <f t="shared" si="4"/>
        <v>C</v>
      </c>
      <c r="AA97" s="226" t="str">
        <f t="shared" si="5"/>
        <v>UTILIZOU O PDA CORRETAMENTE</v>
      </c>
      <c r="AB97" s="9" t="s">
        <v>205</v>
      </c>
      <c r="AC97" s="197" t="s">
        <v>6</v>
      </c>
      <c r="AD97" s="150" t="str">
        <f t="shared" si="6"/>
        <v>SÃO PAULO</v>
      </c>
      <c r="AE97" s="58" t="s">
        <v>64</v>
      </c>
    </row>
    <row r="98" spans="1:31" s="55" customFormat="1" ht="30" customHeight="1">
      <c r="A98" s="215" t="s">
        <v>198</v>
      </c>
      <c r="B98" s="215">
        <v>2692435383</v>
      </c>
      <c r="C98" s="215" t="s">
        <v>131</v>
      </c>
      <c r="D98" s="215" t="s">
        <v>64</v>
      </c>
      <c r="E98" s="215" t="s">
        <v>5</v>
      </c>
      <c r="F98" s="215" t="s">
        <v>1993</v>
      </c>
      <c r="G98" s="215">
        <v>132</v>
      </c>
      <c r="H98" s="215" t="s">
        <v>200</v>
      </c>
      <c r="I98" s="215" t="s">
        <v>577</v>
      </c>
      <c r="J98" s="215" t="s">
        <v>1898</v>
      </c>
      <c r="K98" s="215" t="s">
        <v>200</v>
      </c>
      <c r="L98" s="216">
        <v>46147.609722222223</v>
      </c>
      <c r="M98" s="216">
        <v>46147.615277777775</v>
      </c>
      <c r="N98" s="215" t="s">
        <v>590</v>
      </c>
      <c r="O98" s="180" t="s">
        <v>205</v>
      </c>
      <c r="P98" s="56"/>
      <c r="Q98" s="164" t="s">
        <v>205</v>
      </c>
      <c r="R98" s="56"/>
      <c r="S98" s="164" t="s">
        <v>205</v>
      </c>
      <c r="T98" s="56"/>
      <c r="U98" s="143" t="s">
        <v>205</v>
      </c>
      <c r="V98" s="56"/>
      <c r="W98" s="143" t="s">
        <v>205</v>
      </c>
      <c r="X98" s="56"/>
      <c r="Y98" s="350" t="s">
        <v>205</v>
      </c>
      <c r="Z98" s="142" t="str">
        <f t="shared" si="4"/>
        <v>C</v>
      </c>
      <c r="AA98" s="226" t="str">
        <f t="shared" si="5"/>
        <v>UTILIZOU O PDA CORRETAMENTE</v>
      </c>
      <c r="AB98" s="9" t="s">
        <v>205</v>
      </c>
      <c r="AC98" s="197" t="s">
        <v>6</v>
      </c>
      <c r="AD98" s="150" t="str">
        <f t="shared" si="6"/>
        <v>SÃO PAULO</v>
      </c>
      <c r="AE98" s="58" t="s">
        <v>64</v>
      </c>
    </row>
    <row r="99" spans="1:31" s="55" customFormat="1" ht="30" customHeight="1">
      <c r="A99" s="215" t="s">
        <v>198</v>
      </c>
      <c r="B99" s="215">
        <v>2618703800</v>
      </c>
      <c r="C99" s="215" t="s">
        <v>128</v>
      </c>
      <c r="D99" s="215" t="s">
        <v>64</v>
      </c>
      <c r="E99" s="215" t="s">
        <v>5</v>
      </c>
      <c r="F99" s="215" t="s">
        <v>1994</v>
      </c>
      <c r="G99" s="215">
        <v>346</v>
      </c>
      <c r="H99" s="215" t="s">
        <v>481</v>
      </c>
      <c r="I99" s="215" t="s">
        <v>577</v>
      </c>
      <c r="J99" s="215" t="s">
        <v>1908</v>
      </c>
      <c r="K99" s="215" t="s">
        <v>1995</v>
      </c>
      <c r="L99" s="216">
        <v>46147.597916666666</v>
      </c>
      <c r="M99" s="216">
        <v>46147.607638888891</v>
      </c>
      <c r="N99" s="215" t="s">
        <v>590</v>
      </c>
      <c r="O99" s="180" t="s">
        <v>205</v>
      </c>
      <c r="P99" s="59"/>
      <c r="Q99" s="164" t="s">
        <v>205</v>
      </c>
      <c r="R99" s="59"/>
      <c r="S99" s="164" t="s">
        <v>205</v>
      </c>
      <c r="T99" s="59"/>
      <c r="U99" s="144" t="s">
        <v>205</v>
      </c>
      <c r="V99" s="59"/>
      <c r="W99" s="144" t="s">
        <v>205</v>
      </c>
      <c r="X99" s="59"/>
      <c r="Y99" s="351" t="s">
        <v>205</v>
      </c>
      <c r="Z99" s="142" t="str">
        <f t="shared" si="4"/>
        <v>C</v>
      </c>
      <c r="AA99" s="226" t="str">
        <f t="shared" si="5"/>
        <v>UTILIZOU O PDA CORRETAMENTE</v>
      </c>
      <c r="AB99" s="9" t="s">
        <v>205</v>
      </c>
      <c r="AC99" s="197" t="s">
        <v>6</v>
      </c>
      <c r="AD99" s="150" t="str">
        <f t="shared" si="6"/>
        <v>SÃO PAULO</v>
      </c>
      <c r="AE99" s="58" t="s">
        <v>64</v>
      </c>
    </row>
    <row r="100" spans="1:31" s="55" customFormat="1" ht="30" customHeight="1">
      <c r="A100" s="215" t="s">
        <v>198</v>
      </c>
      <c r="B100" s="215">
        <v>2618602697</v>
      </c>
      <c r="C100" s="215" t="s">
        <v>131</v>
      </c>
      <c r="D100" s="215" t="s">
        <v>64</v>
      </c>
      <c r="E100" s="215" t="s">
        <v>5</v>
      </c>
      <c r="F100" s="215" t="s">
        <v>411</v>
      </c>
      <c r="G100" s="215">
        <v>149</v>
      </c>
      <c r="H100" s="215"/>
      <c r="I100" s="215" t="s">
        <v>412</v>
      </c>
      <c r="J100" s="215" t="s">
        <v>1955</v>
      </c>
      <c r="K100" s="215" t="s">
        <v>1996</v>
      </c>
      <c r="L100" s="216">
        <v>46147.62777777778</v>
      </c>
      <c r="M100" s="216">
        <v>46147.629166666666</v>
      </c>
      <c r="N100" s="215" t="s">
        <v>357</v>
      </c>
      <c r="O100" s="180" t="s">
        <v>205</v>
      </c>
      <c r="P100" s="92"/>
      <c r="Q100" s="164" t="s">
        <v>205</v>
      </c>
      <c r="R100" s="92"/>
      <c r="S100" s="164" t="s">
        <v>205</v>
      </c>
      <c r="T100" s="92"/>
      <c r="U100" s="145" t="s">
        <v>205</v>
      </c>
      <c r="V100" s="92"/>
      <c r="W100" s="145" t="s">
        <v>205</v>
      </c>
      <c r="X100" s="92"/>
      <c r="Y100" s="352" t="s">
        <v>205</v>
      </c>
      <c r="Z100" s="142" t="str">
        <f t="shared" si="4"/>
        <v>C</v>
      </c>
      <c r="AA100" s="226" t="str">
        <f t="shared" si="5"/>
        <v>UTILIZOU O PDA CORRETAMENTE</v>
      </c>
      <c r="AB100" s="9" t="s">
        <v>205</v>
      </c>
      <c r="AC100" s="162" t="s">
        <v>6</v>
      </c>
      <c r="AD100" s="150" t="str">
        <f t="shared" si="6"/>
        <v>SÃO PAULO</v>
      </c>
      <c r="AE100" s="95" t="s">
        <v>64</v>
      </c>
    </row>
    <row r="101" spans="1:31" s="55" customFormat="1" ht="30" customHeight="1">
      <c r="A101" s="215" t="s">
        <v>198</v>
      </c>
      <c r="B101" s="215">
        <v>2618428554</v>
      </c>
      <c r="C101" s="215" t="s">
        <v>131</v>
      </c>
      <c r="D101" s="215" t="s">
        <v>64</v>
      </c>
      <c r="E101" s="215" t="s">
        <v>5</v>
      </c>
      <c r="F101" s="215" t="s">
        <v>396</v>
      </c>
      <c r="G101" s="215">
        <v>160</v>
      </c>
      <c r="H101" s="215" t="s">
        <v>226</v>
      </c>
      <c r="I101" s="215" t="s">
        <v>397</v>
      </c>
      <c r="J101" s="215" t="s">
        <v>1908</v>
      </c>
      <c r="K101" s="215" t="s">
        <v>200</v>
      </c>
      <c r="L101" s="216">
        <v>46147.258333333331</v>
      </c>
      <c r="M101" s="216">
        <v>46147.260416666664</v>
      </c>
      <c r="N101" s="215" t="s">
        <v>341</v>
      </c>
      <c r="O101" s="157" t="s">
        <v>206</v>
      </c>
      <c r="P101" s="92"/>
      <c r="Q101" s="145" t="s">
        <v>206</v>
      </c>
      <c r="R101" s="92"/>
      <c r="S101" s="145" t="s">
        <v>206</v>
      </c>
      <c r="T101" s="92"/>
      <c r="U101" s="145" t="s">
        <v>206</v>
      </c>
      <c r="V101" s="92"/>
      <c r="W101" s="145" t="s">
        <v>206</v>
      </c>
      <c r="X101" s="92"/>
      <c r="Y101" s="352" t="s">
        <v>239</v>
      </c>
      <c r="Z101" s="142" t="str">
        <f t="shared" si="4"/>
        <v>NC</v>
      </c>
      <c r="AA101" s="226" t="str">
        <f t="shared" si="5"/>
        <v>NÃO UTILIZOU O PDA</v>
      </c>
      <c r="AB101" s="9" t="s">
        <v>205</v>
      </c>
      <c r="AC101" s="162" t="s">
        <v>6</v>
      </c>
      <c r="AD101" s="150" t="str">
        <f t="shared" si="6"/>
        <v>SÃO PAULO</v>
      </c>
      <c r="AE101" s="95" t="s">
        <v>64</v>
      </c>
    </row>
    <row r="102" spans="1:31" s="55" customFormat="1" ht="30" customHeight="1">
      <c r="A102" s="215" t="s">
        <v>198</v>
      </c>
      <c r="B102" s="215">
        <v>2618771750</v>
      </c>
      <c r="C102" s="215" t="s">
        <v>128</v>
      </c>
      <c r="D102" s="215" t="s">
        <v>64</v>
      </c>
      <c r="E102" s="215" t="s">
        <v>5</v>
      </c>
      <c r="F102" s="215" t="s">
        <v>1997</v>
      </c>
      <c r="G102" s="215">
        <v>374</v>
      </c>
      <c r="H102" s="215"/>
      <c r="I102" s="215" t="s">
        <v>486</v>
      </c>
      <c r="J102" s="215" t="s">
        <v>1900</v>
      </c>
      <c r="K102" s="215"/>
      <c r="L102" s="216">
        <v>46178.416666666664</v>
      </c>
      <c r="M102" s="216">
        <v>46178.425000000003</v>
      </c>
      <c r="N102" s="215" t="s">
        <v>1919</v>
      </c>
      <c r="O102" s="180" t="s">
        <v>205</v>
      </c>
      <c r="P102" s="92"/>
      <c r="Q102" s="164" t="s">
        <v>205</v>
      </c>
      <c r="R102" s="92"/>
      <c r="S102" s="164" t="s">
        <v>205</v>
      </c>
      <c r="T102" s="92"/>
      <c r="U102" s="145" t="s">
        <v>205</v>
      </c>
      <c r="V102" s="92"/>
      <c r="W102" s="145" t="s">
        <v>205</v>
      </c>
      <c r="X102" s="92"/>
      <c r="Y102" s="352" t="s">
        <v>205</v>
      </c>
      <c r="Z102" s="142" t="str">
        <f t="shared" si="4"/>
        <v>C</v>
      </c>
      <c r="AA102" s="226" t="str">
        <f t="shared" si="5"/>
        <v>UTILIZOU O PDA CORRETAMENTE</v>
      </c>
      <c r="AB102" s="9" t="s">
        <v>205</v>
      </c>
      <c r="AC102" s="162" t="s">
        <v>6</v>
      </c>
      <c r="AD102" s="150" t="str">
        <f t="shared" si="6"/>
        <v>SÃO PAULO</v>
      </c>
      <c r="AE102" s="95" t="s">
        <v>64</v>
      </c>
    </row>
    <row r="103" spans="1:31" s="55" customFormat="1" ht="30" customHeight="1">
      <c r="A103" s="215" t="s">
        <v>198</v>
      </c>
      <c r="B103" s="215">
        <v>2618772212</v>
      </c>
      <c r="C103" s="215" t="s">
        <v>128</v>
      </c>
      <c r="D103" s="215" t="s">
        <v>64</v>
      </c>
      <c r="E103" s="215" t="s">
        <v>5</v>
      </c>
      <c r="F103" s="215" t="s">
        <v>1997</v>
      </c>
      <c r="G103" s="215">
        <v>187</v>
      </c>
      <c r="H103" s="215"/>
      <c r="I103" s="215" t="s">
        <v>486</v>
      </c>
      <c r="J103" s="215" t="s">
        <v>1900</v>
      </c>
      <c r="K103" s="215"/>
      <c r="L103" s="216">
        <v>46178.426388888889</v>
      </c>
      <c r="M103" s="216">
        <v>46178.433333333334</v>
      </c>
      <c r="N103" s="215" t="s">
        <v>1919</v>
      </c>
      <c r="O103" s="180" t="s">
        <v>205</v>
      </c>
      <c r="P103" s="92"/>
      <c r="Q103" s="164" t="s">
        <v>205</v>
      </c>
      <c r="R103" s="92"/>
      <c r="S103" s="164" t="s">
        <v>205</v>
      </c>
      <c r="T103" s="92"/>
      <c r="U103" s="145" t="s">
        <v>205</v>
      </c>
      <c r="V103" s="92"/>
      <c r="W103" s="145" t="s">
        <v>205</v>
      </c>
      <c r="X103" s="92"/>
      <c r="Y103" s="352" t="s">
        <v>205</v>
      </c>
      <c r="Z103" s="142" t="str">
        <f t="shared" si="4"/>
        <v>C</v>
      </c>
      <c r="AA103" s="226" t="str">
        <f t="shared" si="5"/>
        <v>UTILIZOU O PDA CORRETAMENTE</v>
      </c>
      <c r="AB103" s="9" t="s">
        <v>205</v>
      </c>
      <c r="AC103" s="162" t="s">
        <v>6</v>
      </c>
      <c r="AD103" s="150" t="str">
        <f t="shared" si="6"/>
        <v>SÃO PAULO</v>
      </c>
      <c r="AE103" s="95" t="s">
        <v>64</v>
      </c>
    </row>
    <row r="104" spans="1:31" s="55" customFormat="1" ht="30" customHeight="1">
      <c r="A104" s="215" t="s">
        <v>198</v>
      </c>
      <c r="B104" s="215">
        <v>2692445486</v>
      </c>
      <c r="C104" s="215" t="s">
        <v>128</v>
      </c>
      <c r="D104" s="215" t="s">
        <v>64</v>
      </c>
      <c r="E104" s="215" t="s">
        <v>5</v>
      </c>
      <c r="F104" s="215" t="s">
        <v>1998</v>
      </c>
      <c r="G104" s="215">
        <v>46</v>
      </c>
      <c r="H104" s="215"/>
      <c r="I104" s="215" t="s">
        <v>649</v>
      </c>
      <c r="J104" s="215" t="s">
        <v>1908</v>
      </c>
      <c r="K104" s="215"/>
      <c r="L104" s="216">
        <v>46178.497916666667</v>
      </c>
      <c r="M104" s="216">
        <v>46178.503472222219</v>
      </c>
      <c r="N104" s="215" t="s">
        <v>1919</v>
      </c>
      <c r="O104" s="180" t="s">
        <v>205</v>
      </c>
      <c r="P104" s="92"/>
      <c r="Q104" s="164" t="s">
        <v>205</v>
      </c>
      <c r="R104" s="92"/>
      <c r="S104" s="164" t="s">
        <v>205</v>
      </c>
      <c r="T104" s="92"/>
      <c r="U104" s="145" t="s">
        <v>205</v>
      </c>
      <c r="V104" s="92"/>
      <c r="W104" s="145" t="s">
        <v>205</v>
      </c>
      <c r="X104" s="92"/>
      <c r="Y104" s="352" t="s">
        <v>205</v>
      </c>
      <c r="Z104" s="142" t="str">
        <f t="shared" si="4"/>
        <v>C</v>
      </c>
      <c r="AA104" s="226" t="str">
        <f t="shared" si="5"/>
        <v>UTILIZOU O PDA CORRETAMENTE</v>
      </c>
      <c r="AB104" s="9" t="s">
        <v>205</v>
      </c>
      <c r="AC104" s="162" t="s">
        <v>6</v>
      </c>
      <c r="AD104" s="150" t="str">
        <f t="shared" si="6"/>
        <v>SÃO PAULO</v>
      </c>
      <c r="AE104" s="95" t="s">
        <v>64</v>
      </c>
    </row>
    <row r="105" spans="1:31" s="55" customFormat="1" ht="30" customHeight="1">
      <c r="A105" s="215" t="s">
        <v>198</v>
      </c>
      <c r="B105" s="215">
        <v>2692477588</v>
      </c>
      <c r="C105" s="215" t="s">
        <v>128</v>
      </c>
      <c r="D105" s="215" t="s">
        <v>64</v>
      </c>
      <c r="E105" s="215" t="s">
        <v>5</v>
      </c>
      <c r="F105" s="215" t="s">
        <v>1999</v>
      </c>
      <c r="G105" s="215">
        <v>562</v>
      </c>
      <c r="H105" s="215" t="s">
        <v>200</v>
      </c>
      <c r="I105" s="215" t="s">
        <v>223</v>
      </c>
      <c r="J105" s="215" t="s">
        <v>1898</v>
      </c>
      <c r="K105" s="215" t="s">
        <v>200</v>
      </c>
      <c r="L105" s="216">
        <v>46178.648611111108</v>
      </c>
      <c r="M105" s="216">
        <v>46178.659722222219</v>
      </c>
      <c r="N105" s="215" t="s">
        <v>1950</v>
      </c>
      <c r="O105" s="180" t="s">
        <v>205</v>
      </c>
      <c r="P105" s="92"/>
      <c r="Q105" s="164" t="s">
        <v>205</v>
      </c>
      <c r="R105" s="92"/>
      <c r="S105" s="164" t="s">
        <v>205</v>
      </c>
      <c r="T105" s="92"/>
      <c r="U105" s="145" t="s">
        <v>205</v>
      </c>
      <c r="V105" s="92"/>
      <c r="W105" s="145" t="s">
        <v>205</v>
      </c>
      <c r="X105" s="92"/>
      <c r="Y105" s="352" t="s">
        <v>205</v>
      </c>
      <c r="Z105" s="142" t="str">
        <f t="shared" si="4"/>
        <v>C</v>
      </c>
      <c r="AA105" s="226" t="str">
        <f t="shared" si="5"/>
        <v>UTILIZOU O PDA CORRETAMENTE</v>
      </c>
      <c r="AB105" s="9" t="s">
        <v>205</v>
      </c>
      <c r="AC105" s="162" t="s">
        <v>6</v>
      </c>
      <c r="AD105" s="150" t="str">
        <f t="shared" si="6"/>
        <v>SÃO PAULO</v>
      </c>
      <c r="AE105" s="95" t="s">
        <v>64</v>
      </c>
    </row>
    <row r="106" spans="1:31" s="55" customFormat="1" ht="30" customHeight="1">
      <c r="A106" s="215" t="s">
        <v>198</v>
      </c>
      <c r="B106" s="215">
        <v>2692472059</v>
      </c>
      <c r="C106" s="215" t="s">
        <v>128</v>
      </c>
      <c r="D106" s="215" t="s">
        <v>64</v>
      </c>
      <c r="E106" s="215" t="s">
        <v>5</v>
      </c>
      <c r="F106" s="215" t="s">
        <v>2000</v>
      </c>
      <c r="G106" s="215">
        <v>216</v>
      </c>
      <c r="H106" s="215" t="s">
        <v>318</v>
      </c>
      <c r="I106" s="215" t="s">
        <v>215</v>
      </c>
      <c r="J106" s="215" t="s">
        <v>1908</v>
      </c>
      <c r="K106" s="215"/>
      <c r="L106" s="216">
        <v>46178.42291666667</v>
      </c>
      <c r="M106" s="216">
        <v>46178.431944444441</v>
      </c>
      <c r="N106" s="215" t="s">
        <v>590</v>
      </c>
      <c r="O106" s="180" t="s">
        <v>205</v>
      </c>
      <c r="P106" s="92"/>
      <c r="Q106" s="164" t="s">
        <v>205</v>
      </c>
      <c r="R106" s="92"/>
      <c r="S106" s="164" t="s">
        <v>205</v>
      </c>
      <c r="T106" s="92"/>
      <c r="U106" s="145" t="s">
        <v>205</v>
      </c>
      <c r="V106" s="92"/>
      <c r="W106" s="145" t="s">
        <v>205</v>
      </c>
      <c r="X106" s="92"/>
      <c r="Y106" s="352" t="s">
        <v>205</v>
      </c>
      <c r="Z106" s="142" t="str">
        <f t="shared" si="4"/>
        <v>C</v>
      </c>
      <c r="AA106" s="226" t="str">
        <f t="shared" si="5"/>
        <v>UTILIZOU O PDA CORRETAMENTE</v>
      </c>
      <c r="AB106" s="9" t="s">
        <v>205</v>
      </c>
      <c r="AC106" s="162" t="s">
        <v>6</v>
      </c>
      <c r="AD106" s="150" t="str">
        <f t="shared" si="6"/>
        <v>SÃO PAULO</v>
      </c>
      <c r="AE106" s="95" t="s">
        <v>64</v>
      </c>
    </row>
    <row r="107" spans="1:31" s="55" customFormat="1" ht="30" customHeight="1">
      <c r="A107" s="215" t="s">
        <v>198</v>
      </c>
      <c r="B107" s="215">
        <v>2692488503</v>
      </c>
      <c r="C107" s="215" t="s">
        <v>128</v>
      </c>
      <c r="D107" s="215" t="s">
        <v>64</v>
      </c>
      <c r="E107" s="215" t="s">
        <v>5</v>
      </c>
      <c r="F107" s="215" t="s">
        <v>2001</v>
      </c>
      <c r="G107" s="215">
        <v>89</v>
      </c>
      <c r="H107" s="215" t="s">
        <v>200</v>
      </c>
      <c r="I107" s="215" t="s">
        <v>577</v>
      </c>
      <c r="J107" s="215" t="s">
        <v>1908</v>
      </c>
      <c r="K107" s="215" t="s">
        <v>200</v>
      </c>
      <c r="L107" s="216">
        <v>46178.461805555555</v>
      </c>
      <c r="M107" s="216">
        <v>46178.47152777778</v>
      </c>
      <c r="N107" s="215" t="s">
        <v>590</v>
      </c>
      <c r="O107" s="180" t="s">
        <v>205</v>
      </c>
      <c r="P107" s="92"/>
      <c r="Q107" s="164" t="s">
        <v>205</v>
      </c>
      <c r="R107" s="92"/>
      <c r="S107" s="164" t="s">
        <v>205</v>
      </c>
      <c r="T107" s="92"/>
      <c r="U107" s="145" t="s">
        <v>205</v>
      </c>
      <c r="V107" s="92"/>
      <c r="W107" s="145" t="s">
        <v>205</v>
      </c>
      <c r="X107" s="92"/>
      <c r="Y107" s="352" t="s">
        <v>205</v>
      </c>
      <c r="Z107" s="142" t="str">
        <f t="shared" si="4"/>
        <v>C</v>
      </c>
      <c r="AA107" s="226" t="str">
        <f t="shared" si="5"/>
        <v>UTILIZOU O PDA CORRETAMENTE</v>
      </c>
      <c r="AB107" s="9" t="s">
        <v>205</v>
      </c>
      <c r="AC107" s="162" t="s">
        <v>6</v>
      </c>
      <c r="AD107" s="150" t="str">
        <f t="shared" si="6"/>
        <v>SÃO PAULO</v>
      </c>
      <c r="AE107" s="95" t="s">
        <v>64</v>
      </c>
    </row>
    <row r="108" spans="1:31" s="55" customFormat="1" ht="30" customHeight="1">
      <c r="A108" s="215" t="s">
        <v>198</v>
      </c>
      <c r="B108" s="215">
        <v>2692429045</v>
      </c>
      <c r="C108" s="215" t="s">
        <v>128</v>
      </c>
      <c r="D108" s="215" t="s">
        <v>64</v>
      </c>
      <c r="E108" s="215" t="s">
        <v>5</v>
      </c>
      <c r="F108" s="215" t="s">
        <v>2002</v>
      </c>
      <c r="G108" s="215">
        <v>1095</v>
      </c>
      <c r="H108" s="215"/>
      <c r="I108" s="215" t="s">
        <v>1519</v>
      </c>
      <c r="J108" s="215" t="s">
        <v>1898</v>
      </c>
      <c r="K108" s="215"/>
      <c r="L108" s="216">
        <v>46178.395833333336</v>
      </c>
      <c r="M108" s="216">
        <v>46178.400000000001</v>
      </c>
      <c r="N108" s="215" t="s">
        <v>852</v>
      </c>
      <c r="O108" s="180" t="s">
        <v>205</v>
      </c>
      <c r="P108" s="92"/>
      <c r="Q108" s="164" t="s">
        <v>205</v>
      </c>
      <c r="R108" s="92"/>
      <c r="S108" s="164" t="s">
        <v>205</v>
      </c>
      <c r="T108" s="92"/>
      <c r="U108" s="145" t="s">
        <v>205</v>
      </c>
      <c r="V108" s="92"/>
      <c r="W108" s="145" t="s">
        <v>205</v>
      </c>
      <c r="X108" s="92"/>
      <c r="Y108" s="352" t="s">
        <v>205</v>
      </c>
      <c r="Z108" s="142" t="str">
        <f t="shared" si="4"/>
        <v>C</v>
      </c>
      <c r="AA108" s="226" t="str">
        <f t="shared" si="5"/>
        <v>UTILIZOU O PDA CORRETAMENTE</v>
      </c>
      <c r="AB108" s="9" t="s">
        <v>205</v>
      </c>
      <c r="AC108" s="162" t="s">
        <v>6</v>
      </c>
      <c r="AD108" s="150" t="str">
        <f t="shared" si="6"/>
        <v>SÃO PAULO</v>
      </c>
      <c r="AE108" s="95" t="s">
        <v>64</v>
      </c>
    </row>
    <row r="109" spans="1:31" s="55" customFormat="1" ht="30" customHeight="1">
      <c r="A109" s="215" t="s">
        <v>198</v>
      </c>
      <c r="B109" s="215">
        <v>2692483959</v>
      </c>
      <c r="C109" s="215" t="s">
        <v>132</v>
      </c>
      <c r="D109" s="215" t="s">
        <v>64</v>
      </c>
      <c r="E109" s="215" t="s">
        <v>5</v>
      </c>
      <c r="F109" s="215" t="s">
        <v>2003</v>
      </c>
      <c r="G109" s="215">
        <v>155</v>
      </c>
      <c r="H109" s="215" t="s">
        <v>226</v>
      </c>
      <c r="I109" s="215" t="s">
        <v>2004</v>
      </c>
      <c r="J109" s="215" t="s">
        <v>1898</v>
      </c>
      <c r="K109" s="215" t="s">
        <v>200</v>
      </c>
      <c r="L109" s="216">
        <v>46178.465277777781</v>
      </c>
      <c r="M109" s="216">
        <v>46178.47152777778</v>
      </c>
      <c r="N109" s="215" t="s">
        <v>852</v>
      </c>
      <c r="O109" s="180" t="s">
        <v>205</v>
      </c>
      <c r="P109" s="92"/>
      <c r="Q109" s="164" t="s">
        <v>205</v>
      </c>
      <c r="R109" s="92"/>
      <c r="S109" s="164" t="s">
        <v>205</v>
      </c>
      <c r="T109" s="92"/>
      <c r="U109" s="145" t="s">
        <v>205</v>
      </c>
      <c r="V109" s="92"/>
      <c r="W109" s="145" t="s">
        <v>205</v>
      </c>
      <c r="X109" s="92"/>
      <c r="Y109" s="352" t="s">
        <v>205</v>
      </c>
      <c r="Z109" s="142" t="str">
        <f t="shared" si="4"/>
        <v>C</v>
      </c>
      <c r="AA109" s="226" t="str">
        <f t="shared" si="5"/>
        <v>UTILIZOU O PDA CORRETAMENTE</v>
      </c>
      <c r="AB109" s="9" t="s">
        <v>205</v>
      </c>
      <c r="AC109" s="162" t="s">
        <v>6</v>
      </c>
      <c r="AD109" s="150" t="str">
        <f t="shared" si="6"/>
        <v>SÃO PAULO</v>
      </c>
      <c r="AE109" s="95" t="s">
        <v>64</v>
      </c>
    </row>
    <row r="110" spans="1:31" s="55" customFormat="1" ht="30" customHeight="1">
      <c r="A110" s="215" t="s">
        <v>198</v>
      </c>
      <c r="B110" s="215">
        <v>2692476680</v>
      </c>
      <c r="C110" s="215" t="s">
        <v>132</v>
      </c>
      <c r="D110" s="215" t="s">
        <v>64</v>
      </c>
      <c r="E110" s="215" t="s">
        <v>5</v>
      </c>
      <c r="F110" s="215" t="s">
        <v>2005</v>
      </c>
      <c r="G110" s="215">
        <v>69</v>
      </c>
      <c r="H110" s="215" t="s">
        <v>2006</v>
      </c>
      <c r="I110" s="215" t="s">
        <v>260</v>
      </c>
      <c r="J110" s="215" t="s">
        <v>1898</v>
      </c>
      <c r="K110" s="215"/>
      <c r="L110" s="216">
        <v>46178.578472222223</v>
      </c>
      <c r="M110" s="216">
        <v>46178.585416666669</v>
      </c>
      <c r="N110" s="215" t="s">
        <v>852</v>
      </c>
      <c r="O110" s="180" t="s">
        <v>205</v>
      </c>
      <c r="P110" s="92"/>
      <c r="Q110" s="164" t="s">
        <v>205</v>
      </c>
      <c r="R110" s="92"/>
      <c r="S110" s="164" t="s">
        <v>205</v>
      </c>
      <c r="T110" s="92"/>
      <c r="U110" s="145" t="s">
        <v>205</v>
      </c>
      <c r="V110" s="92"/>
      <c r="W110" s="145" t="s">
        <v>205</v>
      </c>
      <c r="X110" s="92"/>
      <c r="Y110" s="352" t="s">
        <v>205</v>
      </c>
      <c r="Z110" s="142" t="str">
        <f t="shared" si="4"/>
        <v>C</v>
      </c>
      <c r="AA110" s="226" t="str">
        <f t="shared" si="5"/>
        <v>UTILIZOU O PDA CORRETAMENTE</v>
      </c>
      <c r="AB110" s="9" t="s">
        <v>205</v>
      </c>
      <c r="AC110" s="162" t="s">
        <v>6</v>
      </c>
      <c r="AD110" s="150" t="str">
        <f t="shared" si="6"/>
        <v>SÃO PAULO</v>
      </c>
      <c r="AE110" s="95" t="s">
        <v>64</v>
      </c>
    </row>
    <row r="111" spans="1:31" s="55" customFormat="1" ht="30" customHeight="1">
      <c r="A111" s="215" t="s">
        <v>198</v>
      </c>
      <c r="B111" s="215">
        <v>2692447900</v>
      </c>
      <c r="C111" s="215" t="s">
        <v>132</v>
      </c>
      <c r="D111" s="215" t="s">
        <v>64</v>
      </c>
      <c r="E111" s="215" t="s">
        <v>5</v>
      </c>
      <c r="F111" s="215" t="s">
        <v>816</v>
      </c>
      <c r="G111" s="215">
        <v>187</v>
      </c>
      <c r="H111" s="215" t="s">
        <v>200</v>
      </c>
      <c r="I111" s="215" t="s">
        <v>817</v>
      </c>
      <c r="J111" s="215" t="s">
        <v>1898</v>
      </c>
      <c r="K111" s="215" t="s">
        <v>200</v>
      </c>
      <c r="L111" s="216">
        <v>46178.436111111114</v>
      </c>
      <c r="M111" s="216">
        <v>46178.44027777778</v>
      </c>
      <c r="N111" s="215" t="s">
        <v>1956</v>
      </c>
      <c r="O111" s="180" t="s">
        <v>205</v>
      </c>
      <c r="P111" s="92"/>
      <c r="Q111" s="164" t="s">
        <v>205</v>
      </c>
      <c r="R111" s="92"/>
      <c r="S111" s="164" t="s">
        <v>205</v>
      </c>
      <c r="T111" s="92"/>
      <c r="U111" s="145" t="s">
        <v>205</v>
      </c>
      <c r="V111" s="92"/>
      <c r="W111" s="145" t="s">
        <v>205</v>
      </c>
      <c r="X111" s="92"/>
      <c r="Y111" s="352" t="s">
        <v>205</v>
      </c>
      <c r="Z111" s="142" t="str">
        <f t="shared" si="4"/>
        <v>C</v>
      </c>
      <c r="AA111" s="226" t="str">
        <f t="shared" si="5"/>
        <v>UTILIZOU O PDA CORRETAMENTE</v>
      </c>
      <c r="AB111" s="9" t="s">
        <v>205</v>
      </c>
      <c r="AC111" s="162" t="s">
        <v>6</v>
      </c>
      <c r="AD111" s="150" t="str">
        <f t="shared" si="6"/>
        <v>SÃO PAULO</v>
      </c>
      <c r="AE111" s="95" t="s">
        <v>64</v>
      </c>
    </row>
    <row r="112" spans="1:31" s="55" customFormat="1" ht="30" customHeight="1">
      <c r="A112" s="215" t="s">
        <v>198</v>
      </c>
      <c r="B112" s="215">
        <v>2618696308</v>
      </c>
      <c r="C112" s="215" t="s">
        <v>128</v>
      </c>
      <c r="D112" s="215" t="s">
        <v>64</v>
      </c>
      <c r="E112" s="215" t="s">
        <v>5</v>
      </c>
      <c r="F112" s="215" t="s">
        <v>2007</v>
      </c>
      <c r="G112" s="215">
        <v>103</v>
      </c>
      <c r="H112" s="215"/>
      <c r="I112" s="215" t="s">
        <v>737</v>
      </c>
      <c r="J112" s="215" t="s">
        <v>1898</v>
      </c>
      <c r="K112" s="215"/>
      <c r="L112" s="216">
        <v>46178.375</v>
      </c>
      <c r="M112" s="216">
        <v>46178.378472222219</v>
      </c>
      <c r="N112" s="215" t="s">
        <v>1956</v>
      </c>
      <c r="O112" s="180" t="s">
        <v>205</v>
      </c>
      <c r="P112" s="92"/>
      <c r="Q112" s="164" t="s">
        <v>205</v>
      </c>
      <c r="R112" s="92"/>
      <c r="S112" s="164" t="s">
        <v>205</v>
      </c>
      <c r="T112" s="92"/>
      <c r="U112" s="145" t="s">
        <v>205</v>
      </c>
      <c r="V112" s="92"/>
      <c r="W112" s="145" t="s">
        <v>205</v>
      </c>
      <c r="X112" s="92"/>
      <c r="Y112" s="352" t="s">
        <v>205</v>
      </c>
      <c r="Z112" s="142" t="str">
        <f t="shared" si="4"/>
        <v>C</v>
      </c>
      <c r="AA112" s="226" t="str">
        <f t="shared" si="5"/>
        <v>UTILIZOU O PDA CORRETAMENTE</v>
      </c>
      <c r="AB112" s="9" t="s">
        <v>205</v>
      </c>
      <c r="AC112" s="162" t="s">
        <v>6</v>
      </c>
      <c r="AD112" s="150" t="str">
        <f t="shared" si="6"/>
        <v>SÃO PAULO</v>
      </c>
      <c r="AE112" s="95" t="s">
        <v>64</v>
      </c>
    </row>
    <row r="113" spans="1:31" s="55" customFormat="1" ht="30" customHeight="1">
      <c r="A113" s="215" t="s">
        <v>198</v>
      </c>
      <c r="B113" s="215">
        <v>2692499365</v>
      </c>
      <c r="C113" s="215" t="s">
        <v>132</v>
      </c>
      <c r="D113" s="215" t="s">
        <v>64</v>
      </c>
      <c r="E113" s="215" t="s">
        <v>5</v>
      </c>
      <c r="F113" s="215" t="s">
        <v>362</v>
      </c>
      <c r="G113" s="215">
        <v>719</v>
      </c>
      <c r="H113" s="215" t="s">
        <v>689</v>
      </c>
      <c r="I113" s="215" t="s">
        <v>366</v>
      </c>
      <c r="J113" s="215" t="s">
        <v>1908</v>
      </c>
      <c r="K113" s="215" t="s">
        <v>200</v>
      </c>
      <c r="L113" s="216">
        <v>46178.630555555559</v>
      </c>
      <c r="M113" s="216">
        <v>46178.634722222225</v>
      </c>
      <c r="N113" s="215" t="s">
        <v>1956</v>
      </c>
      <c r="O113" s="180" t="s">
        <v>205</v>
      </c>
      <c r="P113" s="92"/>
      <c r="Q113" s="164" t="s">
        <v>205</v>
      </c>
      <c r="R113" s="92"/>
      <c r="S113" s="164" t="s">
        <v>205</v>
      </c>
      <c r="T113" s="92"/>
      <c r="U113" s="145" t="s">
        <v>205</v>
      </c>
      <c r="V113" s="92"/>
      <c r="W113" s="145" t="s">
        <v>205</v>
      </c>
      <c r="X113" s="92"/>
      <c r="Y113" s="352" t="s">
        <v>205</v>
      </c>
      <c r="Z113" s="142" t="str">
        <f t="shared" si="4"/>
        <v>C</v>
      </c>
      <c r="AA113" s="226" t="str">
        <f t="shared" si="5"/>
        <v>UTILIZOU O PDA CORRETAMENTE</v>
      </c>
      <c r="AB113" s="9" t="s">
        <v>205</v>
      </c>
      <c r="AC113" s="162" t="s">
        <v>6</v>
      </c>
      <c r="AD113" s="150" t="str">
        <f t="shared" si="6"/>
        <v>SÃO PAULO</v>
      </c>
      <c r="AE113" s="95" t="s">
        <v>64</v>
      </c>
    </row>
    <row r="114" spans="1:31" s="55" customFormat="1" ht="30" customHeight="1">
      <c r="A114" s="215" t="s">
        <v>198</v>
      </c>
      <c r="B114" s="215">
        <v>2618750852</v>
      </c>
      <c r="C114" s="215" t="s">
        <v>129</v>
      </c>
      <c r="D114" s="215" t="s">
        <v>125</v>
      </c>
      <c r="E114" s="215" t="s">
        <v>5</v>
      </c>
      <c r="F114" s="215" t="s">
        <v>2008</v>
      </c>
      <c r="G114" s="215">
        <v>275</v>
      </c>
      <c r="H114" s="215"/>
      <c r="I114" s="215" t="s">
        <v>817</v>
      </c>
      <c r="J114" s="215" t="s">
        <v>1903</v>
      </c>
      <c r="K114" s="215"/>
      <c r="L114" s="216">
        <v>46178.447916666664</v>
      </c>
      <c r="M114" s="216">
        <v>46178.449305555558</v>
      </c>
      <c r="N114" s="215" t="s">
        <v>1956</v>
      </c>
      <c r="O114" s="180" t="s">
        <v>205</v>
      </c>
      <c r="P114" s="92"/>
      <c r="Q114" s="164" t="s">
        <v>205</v>
      </c>
      <c r="R114" s="92"/>
      <c r="S114" s="164" t="s">
        <v>205</v>
      </c>
      <c r="T114" s="92"/>
      <c r="U114" s="145" t="s">
        <v>205</v>
      </c>
      <c r="V114" s="92"/>
      <c r="W114" s="145" t="s">
        <v>205</v>
      </c>
      <c r="X114" s="92"/>
      <c r="Y114" s="352" t="s">
        <v>205</v>
      </c>
      <c r="Z114" s="142" t="str">
        <f t="shared" si="4"/>
        <v>C</v>
      </c>
      <c r="AA114" s="226" t="str">
        <f t="shared" si="5"/>
        <v>UTILIZOU O PDA CORRETAMENTE</v>
      </c>
      <c r="AB114" s="9" t="s">
        <v>205</v>
      </c>
      <c r="AC114" s="162" t="s">
        <v>6</v>
      </c>
      <c r="AD114" s="150" t="str">
        <f t="shared" si="6"/>
        <v>SÃO PAULO</v>
      </c>
      <c r="AE114" s="95" t="s">
        <v>64</v>
      </c>
    </row>
    <row r="115" spans="1:31" s="55" customFormat="1" ht="30" customHeight="1">
      <c r="A115" s="215" t="s">
        <v>198</v>
      </c>
      <c r="B115" s="215">
        <v>2618735556</v>
      </c>
      <c r="C115" s="215" t="s">
        <v>128</v>
      </c>
      <c r="D115" s="215" t="s">
        <v>64</v>
      </c>
      <c r="E115" s="215" t="s">
        <v>5</v>
      </c>
      <c r="F115" s="215" t="s">
        <v>2009</v>
      </c>
      <c r="G115" s="215">
        <v>409</v>
      </c>
      <c r="H115" s="215" t="s">
        <v>387</v>
      </c>
      <c r="I115" s="215" t="s">
        <v>448</v>
      </c>
      <c r="J115" s="215" t="s">
        <v>1898</v>
      </c>
      <c r="K115" s="215" t="s">
        <v>200</v>
      </c>
      <c r="L115" s="216">
        <v>46178.446527777778</v>
      </c>
      <c r="M115" s="216">
        <v>46178.450694444444</v>
      </c>
      <c r="N115" s="215" t="s">
        <v>852</v>
      </c>
      <c r="O115" s="180" t="s">
        <v>205</v>
      </c>
      <c r="P115" s="92"/>
      <c r="Q115" s="164" t="s">
        <v>205</v>
      </c>
      <c r="R115" s="92"/>
      <c r="S115" s="164" t="s">
        <v>205</v>
      </c>
      <c r="T115" s="92"/>
      <c r="U115" s="145" t="s">
        <v>205</v>
      </c>
      <c r="V115" s="92"/>
      <c r="W115" s="145" t="s">
        <v>205</v>
      </c>
      <c r="X115" s="92"/>
      <c r="Y115" s="352" t="s">
        <v>205</v>
      </c>
      <c r="Z115" s="142" t="str">
        <f t="shared" si="4"/>
        <v>C</v>
      </c>
      <c r="AA115" s="226" t="str">
        <f t="shared" si="5"/>
        <v>UTILIZOU O PDA CORRETAMENTE</v>
      </c>
      <c r="AB115" s="9" t="s">
        <v>205</v>
      </c>
      <c r="AC115" s="162" t="s">
        <v>6</v>
      </c>
      <c r="AD115" s="150" t="str">
        <f t="shared" si="6"/>
        <v>SÃO PAULO</v>
      </c>
      <c r="AE115" s="95" t="s">
        <v>64</v>
      </c>
    </row>
    <row r="116" spans="1:31" s="55" customFormat="1" ht="30" customHeight="1">
      <c r="A116" s="228" t="s">
        <v>198</v>
      </c>
      <c r="B116" s="228">
        <v>2618640082</v>
      </c>
      <c r="C116" s="228" t="s">
        <v>128</v>
      </c>
      <c r="D116" s="228" t="s">
        <v>64</v>
      </c>
      <c r="E116" s="228" t="s">
        <v>5</v>
      </c>
      <c r="F116" s="228" t="s">
        <v>218</v>
      </c>
      <c r="G116" s="228">
        <v>255</v>
      </c>
      <c r="H116" s="228"/>
      <c r="I116" s="228" t="s">
        <v>219</v>
      </c>
      <c r="J116" s="228" t="s">
        <v>1898</v>
      </c>
      <c r="K116" s="228"/>
      <c r="L116" s="230">
        <v>46178.410416666666</v>
      </c>
      <c r="M116" s="230">
        <v>46178.415277777778</v>
      </c>
      <c r="N116" s="228" t="s">
        <v>794</v>
      </c>
      <c r="O116" s="180" t="s">
        <v>205</v>
      </c>
      <c r="P116" s="239"/>
      <c r="Q116" s="164" t="s">
        <v>205</v>
      </c>
      <c r="R116" s="239"/>
      <c r="S116" s="164" t="s">
        <v>205</v>
      </c>
      <c r="T116" s="239"/>
      <c r="U116" s="240" t="s">
        <v>205</v>
      </c>
      <c r="V116" s="239"/>
      <c r="W116" s="240" t="s">
        <v>205</v>
      </c>
      <c r="X116" s="239"/>
      <c r="Y116" s="353" t="s">
        <v>205</v>
      </c>
      <c r="Z116" s="142" t="str">
        <f t="shared" si="4"/>
        <v>C</v>
      </c>
      <c r="AA116" s="226" t="str">
        <f t="shared" si="5"/>
        <v>UTILIZOU O PDA CORRETAMENTE</v>
      </c>
      <c r="AB116" s="348" t="s">
        <v>205</v>
      </c>
      <c r="AC116" s="198" t="s">
        <v>6</v>
      </c>
      <c r="AD116" s="150" t="str">
        <f t="shared" si="6"/>
        <v>SÃO PAULO</v>
      </c>
      <c r="AE116" s="179" t="s">
        <v>64</v>
      </c>
    </row>
    <row r="117" spans="1:31" ht="30" customHeight="1">
      <c r="A117" s="215" t="s">
        <v>198</v>
      </c>
      <c r="B117" s="215">
        <v>2692505607</v>
      </c>
      <c r="C117" s="215" t="s">
        <v>128</v>
      </c>
      <c r="D117" s="215" t="s">
        <v>64</v>
      </c>
      <c r="E117" s="215" t="s">
        <v>5</v>
      </c>
      <c r="F117" s="215" t="s">
        <v>2010</v>
      </c>
      <c r="G117" s="215">
        <v>99</v>
      </c>
      <c r="H117" s="215" t="s">
        <v>226</v>
      </c>
      <c r="I117" s="215" t="s">
        <v>264</v>
      </c>
      <c r="J117" s="215" t="s">
        <v>1900</v>
      </c>
      <c r="K117" s="215" t="s">
        <v>200</v>
      </c>
      <c r="L117" s="216">
        <v>46178.40625</v>
      </c>
      <c r="M117" s="216">
        <v>46178.411111111112</v>
      </c>
      <c r="N117" s="215" t="s">
        <v>799</v>
      </c>
      <c r="O117" s="180" t="s">
        <v>205</v>
      </c>
      <c r="Q117" s="164" t="s">
        <v>205</v>
      </c>
      <c r="S117" s="164" t="s">
        <v>205</v>
      </c>
      <c r="T117" s="56"/>
      <c r="U117" s="143" t="s">
        <v>205</v>
      </c>
      <c r="V117" s="56"/>
      <c r="W117" s="143" t="s">
        <v>205</v>
      </c>
      <c r="Y117" s="350" t="s">
        <v>205</v>
      </c>
      <c r="Z117" s="142" t="str">
        <f t="shared" si="4"/>
        <v>C</v>
      </c>
      <c r="AA117" s="226" t="str">
        <f t="shared" si="5"/>
        <v>UTILIZOU O PDA CORRETAMENTE</v>
      </c>
      <c r="AB117" s="166" t="s">
        <v>205</v>
      </c>
      <c r="AC117" s="236" t="s">
        <v>6</v>
      </c>
      <c r="AD117" s="227" t="str">
        <f t="shared" si="6"/>
        <v>SÃO PAULO</v>
      </c>
      <c r="AE117" s="226" t="s">
        <v>64</v>
      </c>
    </row>
    <row r="118" spans="1:31" ht="30" customHeight="1">
      <c r="A118" s="215" t="s">
        <v>198</v>
      </c>
      <c r="B118" s="215">
        <v>2692506715</v>
      </c>
      <c r="C118" s="215" t="s">
        <v>128</v>
      </c>
      <c r="D118" s="215" t="s">
        <v>64</v>
      </c>
      <c r="E118" s="215" t="s">
        <v>5</v>
      </c>
      <c r="F118" s="215" t="s">
        <v>2010</v>
      </c>
      <c r="G118" s="215">
        <v>99</v>
      </c>
      <c r="H118" s="215" t="s">
        <v>318</v>
      </c>
      <c r="I118" s="215" t="s">
        <v>264</v>
      </c>
      <c r="J118" s="215" t="s">
        <v>1900</v>
      </c>
      <c r="K118" s="215"/>
      <c r="L118" s="216">
        <v>46178.411805555559</v>
      </c>
      <c r="M118" s="216">
        <v>46178.413194444445</v>
      </c>
      <c r="N118" s="215" t="s">
        <v>799</v>
      </c>
      <c r="O118" s="180" t="s">
        <v>205</v>
      </c>
      <c r="Q118" s="164" t="s">
        <v>205</v>
      </c>
      <c r="S118" s="164" t="s">
        <v>205</v>
      </c>
      <c r="T118" s="56"/>
      <c r="U118" s="143" t="s">
        <v>205</v>
      </c>
      <c r="V118" s="56"/>
      <c r="W118" s="143" t="s">
        <v>205</v>
      </c>
      <c r="Y118" s="350" t="s">
        <v>205</v>
      </c>
      <c r="Z118" s="142" t="str">
        <f t="shared" si="4"/>
        <v>C</v>
      </c>
      <c r="AA118" s="226" t="str">
        <f t="shared" si="5"/>
        <v>UTILIZOU O PDA CORRETAMENTE</v>
      </c>
      <c r="AB118" s="166" t="s">
        <v>205</v>
      </c>
      <c r="AC118" s="236" t="s">
        <v>6</v>
      </c>
      <c r="AD118" s="227" t="str">
        <f t="shared" si="6"/>
        <v>SÃO PAULO</v>
      </c>
      <c r="AE118" s="226" t="s">
        <v>64</v>
      </c>
    </row>
    <row r="119" spans="1:31" s="55" customFormat="1" ht="30" customHeight="1">
      <c r="A119" s="249" t="s">
        <v>198</v>
      </c>
      <c r="B119" s="249">
        <v>2617191696</v>
      </c>
      <c r="C119" s="249" t="s">
        <v>135</v>
      </c>
      <c r="D119" s="249" t="s">
        <v>125</v>
      </c>
      <c r="E119" s="249" t="s">
        <v>5</v>
      </c>
      <c r="F119" s="249" t="s">
        <v>2011</v>
      </c>
      <c r="G119" s="249">
        <v>329</v>
      </c>
      <c r="H119" s="249" t="s">
        <v>200</v>
      </c>
      <c r="I119" s="249" t="s">
        <v>801</v>
      </c>
      <c r="J119" s="249" t="s">
        <v>1909</v>
      </c>
      <c r="K119" s="249" t="s">
        <v>200</v>
      </c>
      <c r="L119" s="250">
        <v>46178.384722222225</v>
      </c>
      <c r="M119" s="250">
        <v>46178.441666666666</v>
      </c>
      <c r="N119" s="249" t="s">
        <v>310</v>
      </c>
      <c r="O119" s="180" t="s">
        <v>205</v>
      </c>
      <c r="P119" s="225"/>
      <c r="Q119" s="164" t="s">
        <v>205</v>
      </c>
      <c r="R119" s="225"/>
      <c r="S119" s="224" t="s">
        <v>206</v>
      </c>
      <c r="T119" s="225"/>
      <c r="U119" s="224" t="s">
        <v>205</v>
      </c>
      <c r="V119" s="225"/>
      <c r="W119" s="224" t="s">
        <v>205</v>
      </c>
      <c r="X119" s="225"/>
      <c r="Y119" s="354" t="s">
        <v>205</v>
      </c>
      <c r="Z119" s="142" t="str">
        <f t="shared" si="4"/>
        <v>NC</v>
      </c>
      <c r="AA119" s="226" t="str">
        <f t="shared" si="5"/>
        <v>UTILIZOU O PDA CORRETAMENTE. NÃO HÁ FOTOS DE TODAS AS ETAPAS</v>
      </c>
      <c r="AB119" s="278" t="s">
        <v>205</v>
      </c>
      <c r="AC119" s="241" t="s">
        <v>6</v>
      </c>
      <c r="AD119" s="184" t="str">
        <f t="shared" si="6"/>
        <v>SÃO PAULO</v>
      </c>
      <c r="AE119" s="214" t="s">
        <v>64</v>
      </c>
    </row>
    <row r="120" spans="1:31" s="55" customFormat="1" ht="30" customHeight="1">
      <c r="A120" s="215" t="s">
        <v>198</v>
      </c>
      <c r="B120" s="215">
        <v>2617730402</v>
      </c>
      <c r="C120" s="215" t="s">
        <v>135</v>
      </c>
      <c r="D120" s="215" t="s">
        <v>125</v>
      </c>
      <c r="E120" s="215" t="s">
        <v>5</v>
      </c>
      <c r="F120" s="215" t="s">
        <v>1993</v>
      </c>
      <c r="G120" s="215">
        <v>185</v>
      </c>
      <c r="H120" s="215"/>
      <c r="I120" s="215" t="s">
        <v>577</v>
      </c>
      <c r="J120" s="215" t="s">
        <v>1909</v>
      </c>
      <c r="K120" s="215"/>
      <c r="L120" s="216">
        <v>46178.659722222219</v>
      </c>
      <c r="M120" s="216">
        <v>46178.707638888889</v>
      </c>
      <c r="N120" s="215" t="s">
        <v>310</v>
      </c>
      <c r="O120" s="180" t="s">
        <v>205</v>
      </c>
      <c r="P120" s="92"/>
      <c r="Q120" s="164" t="s">
        <v>205</v>
      </c>
      <c r="R120" s="92"/>
      <c r="S120" s="164" t="s">
        <v>205</v>
      </c>
      <c r="T120" s="92"/>
      <c r="U120" s="145" t="s">
        <v>205</v>
      </c>
      <c r="V120" s="92"/>
      <c r="W120" s="145" t="s">
        <v>205</v>
      </c>
      <c r="X120" s="92"/>
      <c r="Y120" s="352" t="s">
        <v>205</v>
      </c>
      <c r="Z120" s="142" t="str">
        <f t="shared" si="4"/>
        <v>C</v>
      </c>
      <c r="AA120" s="226" t="str">
        <f t="shared" si="5"/>
        <v>UTILIZOU O PDA CORRETAMENTE</v>
      </c>
      <c r="AB120" s="9" t="s">
        <v>205</v>
      </c>
      <c r="AC120" s="162" t="s">
        <v>6</v>
      </c>
      <c r="AD120" s="150" t="str">
        <f t="shared" si="6"/>
        <v>SÃO PAULO</v>
      </c>
      <c r="AE120" s="95" t="s">
        <v>64</v>
      </c>
    </row>
    <row r="121" spans="1:31" s="55" customFormat="1" ht="30" customHeight="1">
      <c r="A121" s="215" t="s">
        <v>198</v>
      </c>
      <c r="B121" s="215">
        <v>2618863585</v>
      </c>
      <c r="C121" s="215" t="s">
        <v>128</v>
      </c>
      <c r="D121" s="215" t="s">
        <v>64</v>
      </c>
      <c r="E121" s="215" t="s">
        <v>5</v>
      </c>
      <c r="F121" s="215" t="s">
        <v>2012</v>
      </c>
      <c r="G121" s="215">
        <v>511</v>
      </c>
      <c r="H121" s="215" t="s">
        <v>200</v>
      </c>
      <c r="I121" s="215" t="s">
        <v>223</v>
      </c>
      <c r="J121" s="215" t="s">
        <v>1898</v>
      </c>
      <c r="K121" s="215" t="s">
        <v>200</v>
      </c>
      <c r="L121" s="216">
        <v>46178.668055555558</v>
      </c>
      <c r="M121" s="216">
        <v>46178.680555555555</v>
      </c>
      <c r="N121" s="215" t="s">
        <v>1950</v>
      </c>
      <c r="O121" s="180" t="s">
        <v>205</v>
      </c>
      <c r="P121" s="92"/>
      <c r="Q121" s="164" t="s">
        <v>205</v>
      </c>
      <c r="R121" s="92"/>
      <c r="S121" s="164" t="s">
        <v>205</v>
      </c>
      <c r="T121" s="92"/>
      <c r="U121" s="145" t="s">
        <v>205</v>
      </c>
      <c r="V121" s="92"/>
      <c r="W121" s="145" t="s">
        <v>205</v>
      </c>
      <c r="X121" s="92"/>
      <c r="Y121" s="352" t="s">
        <v>205</v>
      </c>
      <c r="Z121" s="142" t="str">
        <f t="shared" si="4"/>
        <v>C</v>
      </c>
      <c r="AA121" s="226" t="str">
        <f t="shared" si="5"/>
        <v>UTILIZOU O PDA CORRETAMENTE</v>
      </c>
      <c r="AB121" s="9" t="s">
        <v>205</v>
      </c>
      <c r="AC121" s="162" t="s">
        <v>6</v>
      </c>
      <c r="AD121" s="150" t="str">
        <f t="shared" si="6"/>
        <v>SÃO PAULO</v>
      </c>
      <c r="AE121" s="95" t="s">
        <v>64</v>
      </c>
    </row>
    <row r="122" spans="1:31" s="55" customFormat="1" ht="30" customHeight="1">
      <c r="A122" s="215" t="s">
        <v>198</v>
      </c>
      <c r="B122" s="215">
        <v>2618682414</v>
      </c>
      <c r="C122" s="215" t="s">
        <v>131</v>
      </c>
      <c r="D122" s="215" t="s">
        <v>64</v>
      </c>
      <c r="E122" s="215" t="s">
        <v>5</v>
      </c>
      <c r="F122" s="215" t="s">
        <v>631</v>
      </c>
      <c r="G122" s="215">
        <v>1182</v>
      </c>
      <c r="H122" s="215" t="s">
        <v>200</v>
      </c>
      <c r="I122" s="215" t="s">
        <v>397</v>
      </c>
      <c r="J122" s="215" t="s">
        <v>1898</v>
      </c>
      <c r="K122" s="215" t="s">
        <v>200</v>
      </c>
      <c r="L122" s="216">
        <v>46178.408333333333</v>
      </c>
      <c r="M122" s="216">
        <v>46178.40902777778</v>
      </c>
      <c r="N122" s="215" t="s">
        <v>359</v>
      </c>
      <c r="O122" s="180" t="s">
        <v>205</v>
      </c>
      <c r="P122" s="92"/>
      <c r="Q122" s="164" t="s">
        <v>205</v>
      </c>
      <c r="R122" s="92"/>
      <c r="S122" s="164" t="s">
        <v>205</v>
      </c>
      <c r="T122" s="92"/>
      <c r="U122" s="145" t="s">
        <v>205</v>
      </c>
      <c r="V122" s="92"/>
      <c r="W122" s="145" t="s">
        <v>205</v>
      </c>
      <c r="X122" s="92"/>
      <c r="Y122" s="352" t="s">
        <v>205</v>
      </c>
      <c r="Z122" s="142" t="str">
        <f t="shared" si="4"/>
        <v>C</v>
      </c>
      <c r="AA122" s="226" t="str">
        <f t="shared" si="5"/>
        <v>UTILIZOU O PDA CORRETAMENTE</v>
      </c>
      <c r="AB122" s="9" t="s">
        <v>205</v>
      </c>
      <c r="AC122" s="162" t="s">
        <v>6</v>
      </c>
      <c r="AD122" s="150" t="str">
        <f t="shared" si="6"/>
        <v>SÃO PAULO</v>
      </c>
      <c r="AE122" s="95" t="s">
        <v>64</v>
      </c>
    </row>
    <row r="123" spans="1:31" s="55" customFormat="1" ht="30" customHeight="1">
      <c r="A123" s="215" t="s">
        <v>198</v>
      </c>
      <c r="B123" s="215">
        <v>2618882114</v>
      </c>
      <c r="C123" s="215" t="s">
        <v>131</v>
      </c>
      <c r="D123" s="215" t="s">
        <v>64</v>
      </c>
      <c r="E123" s="215" t="s">
        <v>5</v>
      </c>
      <c r="F123" s="215" t="s">
        <v>2013</v>
      </c>
      <c r="G123" s="215">
        <v>222</v>
      </c>
      <c r="H123" s="215"/>
      <c r="I123" s="215" t="s">
        <v>529</v>
      </c>
      <c r="J123" s="215" t="s">
        <v>1908</v>
      </c>
      <c r="K123" s="215"/>
      <c r="L123" s="216">
        <v>46178.589583333334</v>
      </c>
      <c r="M123" s="216">
        <v>46178.609027777777</v>
      </c>
      <c r="N123" s="215" t="s">
        <v>799</v>
      </c>
      <c r="O123" s="180" t="s">
        <v>205</v>
      </c>
      <c r="P123" s="92"/>
      <c r="Q123" s="164" t="s">
        <v>205</v>
      </c>
      <c r="R123" s="92"/>
      <c r="S123" s="164" t="s">
        <v>205</v>
      </c>
      <c r="T123" s="92"/>
      <c r="U123" s="145" t="s">
        <v>205</v>
      </c>
      <c r="V123" s="92"/>
      <c r="W123" s="145" t="s">
        <v>205</v>
      </c>
      <c r="X123" s="92"/>
      <c r="Y123" s="352" t="s">
        <v>205</v>
      </c>
      <c r="Z123" s="142" t="str">
        <f t="shared" si="4"/>
        <v>C</v>
      </c>
      <c r="AA123" s="226" t="str">
        <f t="shared" si="5"/>
        <v>UTILIZOU O PDA CORRETAMENTE</v>
      </c>
      <c r="AB123" s="9" t="s">
        <v>205</v>
      </c>
      <c r="AC123" s="162" t="s">
        <v>6</v>
      </c>
      <c r="AD123" s="150" t="str">
        <f t="shared" si="6"/>
        <v>SÃO PAULO</v>
      </c>
      <c r="AE123" s="95" t="s">
        <v>64</v>
      </c>
    </row>
    <row r="124" spans="1:31" s="55" customFormat="1" ht="30" customHeight="1">
      <c r="A124" s="215" t="s">
        <v>198</v>
      </c>
      <c r="B124" s="215">
        <v>2618882595</v>
      </c>
      <c r="C124" s="215" t="s">
        <v>131</v>
      </c>
      <c r="D124" s="215" t="s">
        <v>64</v>
      </c>
      <c r="E124" s="215" t="s">
        <v>5</v>
      </c>
      <c r="F124" s="215" t="s">
        <v>2014</v>
      </c>
      <c r="G124" s="215">
        <v>11</v>
      </c>
      <c r="H124" s="215" t="s">
        <v>200</v>
      </c>
      <c r="I124" s="215" t="s">
        <v>1199</v>
      </c>
      <c r="J124" s="215" t="s">
        <v>1908</v>
      </c>
      <c r="K124" s="215" t="s">
        <v>2015</v>
      </c>
      <c r="L124" s="216">
        <v>46178.592361111114</v>
      </c>
      <c r="M124" s="216">
        <v>46178.59375</v>
      </c>
      <c r="N124" s="215" t="s">
        <v>1919</v>
      </c>
      <c r="O124" s="157" t="s">
        <v>206</v>
      </c>
      <c r="P124" s="92"/>
      <c r="Q124" s="145" t="s">
        <v>206</v>
      </c>
      <c r="R124" s="92"/>
      <c r="S124" s="145" t="s">
        <v>206</v>
      </c>
      <c r="T124" s="92"/>
      <c r="U124" s="145" t="s">
        <v>206</v>
      </c>
      <c r="V124" s="92"/>
      <c r="W124" s="145" t="s">
        <v>206</v>
      </c>
      <c r="X124" s="92" t="s">
        <v>2016</v>
      </c>
      <c r="Y124" s="352" t="s">
        <v>239</v>
      </c>
      <c r="Z124" s="142" t="str">
        <f t="shared" si="4"/>
        <v>NC</v>
      </c>
      <c r="AA124" s="226" t="str">
        <f t="shared" si="5"/>
        <v>NÃO UTILIZOU O PDA</v>
      </c>
      <c r="AB124" s="9" t="s">
        <v>205</v>
      </c>
      <c r="AC124" s="162" t="s">
        <v>6</v>
      </c>
      <c r="AD124" s="150" t="str">
        <f t="shared" si="6"/>
        <v>SÃO PAULO</v>
      </c>
      <c r="AE124" s="95" t="s">
        <v>64</v>
      </c>
    </row>
    <row r="125" spans="1:31" s="55" customFormat="1" ht="30" customHeight="1">
      <c r="A125" s="215" t="s">
        <v>198</v>
      </c>
      <c r="B125" s="215">
        <v>2618882820</v>
      </c>
      <c r="C125" s="215" t="s">
        <v>131</v>
      </c>
      <c r="D125" s="215" t="s">
        <v>64</v>
      </c>
      <c r="E125" s="215" t="s">
        <v>5</v>
      </c>
      <c r="F125" s="215" t="s">
        <v>2012</v>
      </c>
      <c r="G125" s="215">
        <v>518</v>
      </c>
      <c r="H125" s="215"/>
      <c r="I125" s="215" t="s">
        <v>223</v>
      </c>
      <c r="J125" s="215" t="s">
        <v>1898</v>
      </c>
      <c r="K125" s="215"/>
      <c r="L125" s="216">
        <v>46178.682638888888</v>
      </c>
      <c r="M125" s="216">
        <v>46178.689583333333</v>
      </c>
      <c r="N125" s="215" t="s">
        <v>1950</v>
      </c>
      <c r="O125" s="180" t="s">
        <v>205</v>
      </c>
      <c r="P125" s="92"/>
      <c r="Q125" s="164" t="s">
        <v>205</v>
      </c>
      <c r="R125" s="92"/>
      <c r="S125" s="164" t="s">
        <v>205</v>
      </c>
      <c r="T125" s="92"/>
      <c r="U125" s="145" t="s">
        <v>205</v>
      </c>
      <c r="V125" s="92"/>
      <c r="W125" s="145" t="s">
        <v>205</v>
      </c>
      <c r="X125" s="92"/>
      <c r="Y125" s="352" t="s">
        <v>205</v>
      </c>
      <c r="Z125" s="142" t="str">
        <f t="shared" si="4"/>
        <v>C</v>
      </c>
      <c r="AA125" s="226" t="str">
        <f t="shared" si="5"/>
        <v>UTILIZOU O PDA CORRETAMENTE</v>
      </c>
      <c r="AB125" s="9" t="s">
        <v>205</v>
      </c>
      <c r="AC125" s="162" t="s">
        <v>6</v>
      </c>
      <c r="AD125" s="150" t="str">
        <f t="shared" si="6"/>
        <v>SÃO PAULO</v>
      </c>
      <c r="AE125" s="95" t="s">
        <v>64</v>
      </c>
    </row>
    <row r="126" spans="1:31" s="55" customFormat="1" ht="30" customHeight="1">
      <c r="A126" s="215" t="s">
        <v>198</v>
      </c>
      <c r="B126" s="215">
        <v>2618883984</v>
      </c>
      <c r="C126" s="215" t="s">
        <v>131</v>
      </c>
      <c r="D126" s="215" t="s">
        <v>64</v>
      </c>
      <c r="E126" s="215" t="s">
        <v>5</v>
      </c>
      <c r="F126" s="215" t="s">
        <v>709</v>
      </c>
      <c r="G126" s="215">
        <v>259</v>
      </c>
      <c r="H126" s="215" t="s">
        <v>200</v>
      </c>
      <c r="I126" s="215" t="s">
        <v>624</v>
      </c>
      <c r="J126" s="215" t="s">
        <v>1898</v>
      </c>
      <c r="K126" s="215" t="s">
        <v>200</v>
      </c>
      <c r="L126" s="216">
        <v>46178.586111111108</v>
      </c>
      <c r="M126" s="216">
        <v>46178.589583333334</v>
      </c>
      <c r="N126" s="215" t="s">
        <v>590</v>
      </c>
      <c r="O126" s="180" t="s">
        <v>205</v>
      </c>
      <c r="P126" s="92"/>
      <c r="Q126" s="164" t="s">
        <v>205</v>
      </c>
      <c r="R126" s="92"/>
      <c r="S126" s="164" t="s">
        <v>205</v>
      </c>
      <c r="T126" s="92"/>
      <c r="U126" s="145" t="s">
        <v>205</v>
      </c>
      <c r="V126" s="92"/>
      <c r="W126" s="145" t="s">
        <v>205</v>
      </c>
      <c r="X126" s="92"/>
      <c r="Y126" s="352" t="s">
        <v>205</v>
      </c>
      <c r="Z126" s="142" t="str">
        <f t="shared" si="4"/>
        <v>C</v>
      </c>
      <c r="AA126" s="226" t="str">
        <f t="shared" si="5"/>
        <v>UTILIZOU O PDA CORRETAMENTE</v>
      </c>
      <c r="AB126" s="9" t="s">
        <v>205</v>
      </c>
      <c r="AC126" s="162" t="s">
        <v>6</v>
      </c>
      <c r="AD126" s="150" t="str">
        <f t="shared" si="6"/>
        <v>SÃO PAULO</v>
      </c>
      <c r="AE126" s="95" t="s">
        <v>64</v>
      </c>
    </row>
    <row r="127" spans="1:31" s="55" customFormat="1" ht="30" customHeight="1">
      <c r="A127" s="215" t="s">
        <v>198</v>
      </c>
      <c r="B127" s="215">
        <v>2692553904</v>
      </c>
      <c r="C127" s="215" t="s">
        <v>128</v>
      </c>
      <c r="D127" s="215" t="s">
        <v>64</v>
      </c>
      <c r="E127" s="215" t="s">
        <v>5</v>
      </c>
      <c r="F127" s="215" t="s">
        <v>940</v>
      </c>
      <c r="G127" s="215">
        <v>4424</v>
      </c>
      <c r="H127" s="215" t="s">
        <v>387</v>
      </c>
      <c r="I127" s="215" t="s">
        <v>289</v>
      </c>
      <c r="J127" s="215" t="s">
        <v>1898</v>
      </c>
      <c r="K127" s="215"/>
      <c r="L127" s="216">
        <v>46178.707638888889</v>
      </c>
      <c r="M127" s="216">
        <v>46178.72152777778</v>
      </c>
      <c r="N127" s="215" t="s">
        <v>1950</v>
      </c>
      <c r="O127" s="180" t="s">
        <v>205</v>
      </c>
      <c r="P127" s="92"/>
      <c r="Q127" s="145" t="s">
        <v>206</v>
      </c>
      <c r="R127" s="92"/>
      <c r="S127" s="164" t="s">
        <v>205</v>
      </c>
      <c r="T127" s="92"/>
      <c r="U127" s="145" t="s">
        <v>205</v>
      </c>
      <c r="V127" s="92"/>
      <c r="W127" s="145" t="s">
        <v>205</v>
      </c>
      <c r="X127" s="92"/>
      <c r="Y127" s="352" t="s">
        <v>205</v>
      </c>
      <c r="Z127" s="142" t="str">
        <f t="shared" si="4"/>
        <v>NC</v>
      </c>
      <c r="AA127" s="226" t="str">
        <f t="shared" si="5"/>
        <v>UTILIZOU O PDA CORRETAMENTE. NÃO HÁ FOTOS DE TODAS AS ETAPAS</v>
      </c>
      <c r="AB127" s="9" t="s">
        <v>205</v>
      </c>
      <c r="AC127" s="162" t="s">
        <v>6</v>
      </c>
      <c r="AD127" s="150" t="str">
        <f t="shared" si="6"/>
        <v>SÃO PAULO</v>
      </c>
      <c r="AE127" s="95" t="s">
        <v>64</v>
      </c>
    </row>
    <row r="128" spans="1:31" s="55" customFormat="1" ht="30" customHeight="1">
      <c r="A128" s="215" t="s">
        <v>198</v>
      </c>
      <c r="B128" s="215">
        <v>2618893603</v>
      </c>
      <c r="C128" s="215" t="s">
        <v>132</v>
      </c>
      <c r="D128" s="215" t="s">
        <v>64</v>
      </c>
      <c r="E128" s="215" t="s">
        <v>5</v>
      </c>
      <c r="F128" s="215" t="s">
        <v>255</v>
      </c>
      <c r="G128" s="215">
        <v>1300</v>
      </c>
      <c r="H128" s="215" t="s">
        <v>318</v>
      </c>
      <c r="I128" s="215" t="s">
        <v>257</v>
      </c>
      <c r="J128" s="215" t="s">
        <v>1898</v>
      </c>
      <c r="K128" s="215" t="s">
        <v>200</v>
      </c>
      <c r="L128" s="216">
        <v>46178.636111111111</v>
      </c>
      <c r="M128" s="216">
        <v>46178.643750000003</v>
      </c>
      <c r="N128" s="215" t="s">
        <v>1919</v>
      </c>
      <c r="O128" s="180" t="s">
        <v>205</v>
      </c>
      <c r="P128" s="92"/>
      <c r="Q128" s="164" t="s">
        <v>205</v>
      </c>
      <c r="R128" s="92"/>
      <c r="S128" s="164" t="s">
        <v>205</v>
      </c>
      <c r="T128" s="92"/>
      <c r="U128" s="145" t="s">
        <v>205</v>
      </c>
      <c r="V128" s="92"/>
      <c r="W128" s="145" t="s">
        <v>205</v>
      </c>
      <c r="X128" s="92"/>
      <c r="Y128" s="352" t="s">
        <v>205</v>
      </c>
      <c r="Z128" s="142" t="str">
        <f t="shared" si="4"/>
        <v>C</v>
      </c>
      <c r="AA128" s="226" t="str">
        <f t="shared" si="5"/>
        <v>UTILIZOU O PDA CORRETAMENTE</v>
      </c>
      <c r="AB128" s="9" t="s">
        <v>205</v>
      </c>
      <c r="AC128" s="162" t="s">
        <v>6</v>
      </c>
      <c r="AD128" s="150" t="str">
        <f t="shared" si="6"/>
        <v>SÃO PAULO</v>
      </c>
      <c r="AE128" s="95" t="s">
        <v>64</v>
      </c>
    </row>
    <row r="129" spans="1:31" s="55" customFormat="1" ht="30" customHeight="1">
      <c r="A129" s="215" t="s">
        <v>198</v>
      </c>
      <c r="B129" s="215">
        <v>2618907939</v>
      </c>
      <c r="C129" s="215" t="s">
        <v>128</v>
      </c>
      <c r="D129" s="215" t="s">
        <v>64</v>
      </c>
      <c r="E129" s="215" t="s">
        <v>5</v>
      </c>
      <c r="F129" s="215" t="s">
        <v>731</v>
      </c>
      <c r="G129" s="215">
        <v>236</v>
      </c>
      <c r="H129" s="215" t="s">
        <v>481</v>
      </c>
      <c r="I129" s="215" t="s">
        <v>732</v>
      </c>
      <c r="J129" s="215" t="s">
        <v>1898</v>
      </c>
      <c r="K129" s="215"/>
      <c r="L129" s="216">
        <v>46178.583333333336</v>
      </c>
      <c r="M129" s="216">
        <v>46178.586805555555</v>
      </c>
      <c r="N129" s="215" t="s">
        <v>1947</v>
      </c>
      <c r="O129" s="180" t="s">
        <v>205</v>
      </c>
      <c r="P129" s="92"/>
      <c r="Q129" s="164" t="s">
        <v>205</v>
      </c>
      <c r="R129" s="92"/>
      <c r="S129" s="164" t="s">
        <v>205</v>
      </c>
      <c r="T129" s="92"/>
      <c r="U129" s="145" t="s">
        <v>205</v>
      </c>
      <c r="V129" s="92"/>
      <c r="W129" s="145" t="s">
        <v>205</v>
      </c>
      <c r="X129" s="92"/>
      <c r="Y129" s="352" t="s">
        <v>205</v>
      </c>
      <c r="Z129" s="142" t="str">
        <f t="shared" si="4"/>
        <v>C</v>
      </c>
      <c r="AA129" s="226" t="str">
        <f t="shared" si="5"/>
        <v>UTILIZOU O PDA CORRETAMENTE</v>
      </c>
      <c r="AB129" s="9" t="s">
        <v>205</v>
      </c>
      <c r="AC129" s="162" t="s">
        <v>6</v>
      </c>
      <c r="AD129" s="150" t="str">
        <f t="shared" si="6"/>
        <v>SÃO PAULO</v>
      </c>
      <c r="AE129" s="95" t="s">
        <v>64</v>
      </c>
    </row>
    <row r="130" spans="1:31" s="55" customFormat="1" ht="30" customHeight="1">
      <c r="A130" s="215" t="s">
        <v>198</v>
      </c>
      <c r="B130" s="215">
        <v>2692559808</v>
      </c>
      <c r="C130" s="215" t="s">
        <v>132</v>
      </c>
      <c r="D130" s="215" t="s">
        <v>64</v>
      </c>
      <c r="E130" s="215" t="s">
        <v>5</v>
      </c>
      <c r="F130" s="215" t="s">
        <v>1420</v>
      </c>
      <c r="G130" s="215">
        <v>90</v>
      </c>
      <c r="H130" s="215" t="s">
        <v>200</v>
      </c>
      <c r="I130" s="215" t="s">
        <v>1016</v>
      </c>
      <c r="J130" s="215" t="s">
        <v>1898</v>
      </c>
      <c r="K130" s="215" t="s">
        <v>200</v>
      </c>
      <c r="L130" s="216">
        <v>46178.668749999997</v>
      </c>
      <c r="M130" s="216">
        <v>46178.670138888891</v>
      </c>
      <c r="N130" s="215" t="s">
        <v>1947</v>
      </c>
      <c r="O130" s="180" t="s">
        <v>205</v>
      </c>
      <c r="P130" s="92"/>
      <c r="Q130" s="164" t="s">
        <v>205</v>
      </c>
      <c r="R130" s="92"/>
      <c r="S130" s="164" t="s">
        <v>205</v>
      </c>
      <c r="T130" s="92"/>
      <c r="U130" s="145" t="s">
        <v>205</v>
      </c>
      <c r="V130" s="92"/>
      <c r="W130" s="145" t="s">
        <v>205</v>
      </c>
      <c r="X130" s="92"/>
      <c r="Y130" s="352" t="s">
        <v>205</v>
      </c>
      <c r="Z130" s="142" t="str">
        <f t="shared" si="4"/>
        <v>C</v>
      </c>
      <c r="AA130" s="226" t="str">
        <f t="shared" si="5"/>
        <v>UTILIZOU O PDA CORRETAMENTE</v>
      </c>
      <c r="AB130" s="9" t="s">
        <v>205</v>
      </c>
      <c r="AC130" s="162" t="s">
        <v>6</v>
      </c>
      <c r="AD130" s="150" t="str">
        <f t="shared" si="6"/>
        <v>SÃO PAULO</v>
      </c>
      <c r="AE130" s="95" t="s">
        <v>64</v>
      </c>
    </row>
    <row r="131" spans="1:31" s="55" customFormat="1" ht="30" customHeight="1">
      <c r="A131" s="215" t="s">
        <v>198</v>
      </c>
      <c r="B131" s="215">
        <v>2618916359</v>
      </c>
      <c r="C131" s="215" t="s">
        <v>131</v>
      </c>
      <c r="D131" s="215" t="s">
        <v>64</v>
      </c>
      <c r="E131" s="215" t="s">
        <v>5</v>
      </c>
      <c r="F131" s="215" t="s">
        <v>2017</v>
      </c>
      <c r="G131" s="215">
        <v>202</v>
      </c>
      <c r="H131" s="215" t="s">
        <v>226</v>
      </c>
      <c r="I131" s="215" t="s">
        <v>529</v>
      </c>
      <c r="J131" s="215" t="s">
        <v>1908</v>
      </c>
      <c r="K131" s="215" t="s">
        <v>2018</v>
      </c>
      <c r="L131" s="216">
        <v>46178.609722222223</v>
      </c>
      <c r="M131" s="216">
        <v>46178.61041666667</v>
      </c>
      <c r="N131" s="215" t="s">
        <v>799</v>
      </c>
      <c r="O131" s="180" t="s">
        <v>205</v>
      </c>
      <c r="P131" s="92"/>
      <c r="Q131" s="164" t="s">
        <v>205</v>
      </c>
      <c r="R131" s="92"/>
      <c r="S131" s="164" t="s">
        <v>205</v>
      </c>
      <c r="T131" s="92"/>
      <c r="U131" s="145" t="s">
        <v>205</v>
      </c>
      <c r="V131" s="92"/>
      <c r="W131" s="145" t="s">
        <v>205</v>
      </c>
      <c r="X131" s="92"/>
      <c r="Y131" s="352" t="s">
        <v>205</v>
      </c>
      <c r="Z131" s="142" t="str">
        <f t="shared" ref="Z131:Z194" si="7">IF(AND(O131="",Q131="",S131="",U131="",W131=""),"",IF(OR(AND(O131&lt;&gt;"NA",O131&lt;&gt;"C",O131&lt;&gt;"NC",O131&lt;&gt;"SF",O131&lt;&gt;""),AND(Q131&lt;&gt;"NA",Q131&lt;&gt;"C",Q131&lt;&gt;"NC",Q131&lt;&gt;"SF",Q131&lt;&gt;""),AND(S131&lt;&gt;"NA",S131&lt;&gt;"C",S131&lt;&gt;"NC",S131&lt;&gt;"SF",S131&lt;&gt;""),AND(U131&lt;&gt;"NA",U131&lt;&gt;"C",U131&lt;&gt;"NC",U131&lt;&gt;"SF",U131&lt;&gt;""),AND(W131&lt;&gt;"NA",W131&lt;&gt;"C",W131&lt;&gt;"NC",W131&lt;&gt;"SF",W131&lt;&gt;"")),"FALSO",IF(AND(O131="NA",Q131="NA",S131="NA",U131="NA",W131="NA"),"NA",IF(OR(O131="NC",Q131="NC",S131="NC",U131="NC",W131="NC",O131="SF",Q131="SF",S131="SF",U131="SF",W131="SF"),"NC",IF(OR(O131="C",Q131="C",S131="C",U131="C",W131="C"),"C","")))))</f>
        <v>C</v>
      </c>
      <c r="AA131" s="226" t="str">
        <f t="shared" ref="AA131:AA194" si="8">IF(AND(Y131="C",Z131="C"),"UTILIZOU O PDA CORRETAMENTE",IF(AND(Y131="C",Z131="NC"),"UTILIZOU O PDA CORRETAMENTE. NÃO HÁ FOTOS DE TODAS AS ETAPAS",IF(AND(Y131="NC",Z131="NC"),"NÃO UTILIZOU O PDA",IF(AND(Y131="NA",Z131="NA"),"NÃO AVALIADO POR FALHA DE SINCRONISMO"))))</f>
        <v>UTILIZOU O PDA CORRETAMENTE</v>
      </c>
      <c r="AB131" s="9" t="s">
        <v>205</v>
      </c>
      <c r="AC131" s="162" t="s">
        <v>6</v>
      </c>
      <c r="AD131" s="150" t="str">
        <f t="shared" ref="AD131:AD194" si="9">E131</f>
        <v>SÃO PAULO</v>
      </c>
      <c r="AE131" s="95" t="s">
        <v>64</v>
      </c>
    </row>
    <row r="132" spans="1:31" s="55" customFormat="1" ht="30" customHeight="1">
      <c r="A132" s="215" t="s">
        <v>198</v>
      </c>
      <c r="B132" s="215">
        <v>2692473129</v>
      </c>
      <c r="C132" s="215" t="s">
        <v>127</v>
      </c>
      <c r="D132" s="215" t="s">
        <v>64</v>
      </c>
      <c r="E132" s="215" t="s">
        <v>5</v>
      </c>
      <c r="F132" s="215" t="s">
        <v>2019</v>
      </c>
      <c r="G132" s="215">
        <v>14</v>
      </c>
      <c r="H132" s="220" t="s">
        <v>2020</v>
      </c>
      <c r="I132" s="215" t="s">
        <v>565</v>
      </c>
      <c r="J132" s="215" t="s">
        <v>1898</v>
      </c>
      <c r="K132" s="215"/>
      <c r="L132" s="216">
        <v>46178.652777777781</v>
      </c>
      <c r="M132" s="216">
        <v>46178.656944444447</v>
      </c>
      <c r="N132" s="215" t="s">
        <v>341</v>
      </c>
      <c r="O132" s="157" t="s">
        <v>206</v>
      </c>
      <c r="P132" s="92"/>
      <c r="Q132" s="145" t="s">
        <v>206</v>
      </c>
      <c r="R132" s="92"/>
      <c r="S132" s="145" t="s">
        <v>206</v>
      </c>
      <c r="T132" s="92"/>
      <c r="U132" s="145" t="s">
        <v>206</v>
      </c>
      <c r="V132" s="92"/>
      <c r="W132" s="145" t="s">
        <v>206</v>
      </c>
      <c r="X132" s="92"/>
      <c r="Y132" s="352" t="s">
        <v>239</v>
      </c>
      <c r="Z132" s="142" t="str">
        <f t="shared" si="7"/>
        <v>NC</v>
      </c>
      <c r="AA132" s="226" t="str">
        <f t="shared" si="8"/>
        <v>NÃO UTILIZOU O PDA</v>
      </c>
      <c r="AB132" s="9" t="s">
        <v>205</v>
      </c>
      <c r="AC132" s="162" t="s">
        <v>6</v>
      </c>
      <c r="AD132" s="150" t="str">
        <f t="shared" si="9"/>
        <v>SÃO PAULO</v>
      </c>
      <c r="AE132" s="95" t="s">
        <v>64</v>
      </c>
    </row>
    <row r="133" spans="1:31" s="55" customFormat="1" ht="30" customHeight="1">
      <c r="A133" s="215" t="s">
        <v>198</v>
      </c>
      <c r="B133" s="215">
        <v>2618899158</v>
      </c>
      <c r="C133" s="215" t="s">
        <v>131</v>
      </c>
      <c r="D133" s="215" t="s">
        <v>64</v>
      </c>
      <c r="E133" s="215" t="s">
        <v>5</v>
      </c>
      <c r="F133" s="215" t="s">
        <v>533</v>
      </c>
      <c r="G133" s="215">
        <v>390</v>
      </c>
      <c r="H133" s="215" t="s">
        <v>318</v>
      </c>
      <c r="I133" s="215" t="s">
        <v>277</v>
      </c>
      <c r="J133" s="215" t="s">
        <v>1898</v>
      </c>
      <c r="K133" s="215" t="s">
        <v>200</v>
      </c>
      <c r="L133" s="216">
        <v>46208.429861111108</v>
      </c>
      <c r="M133" s="216">
        <v>46208.435416666667</v>
      </c>
      <c r="N133" s="215" t="s">
        <v>852</v>
      </c>
      <c r="O133" s="180" t="s">
        <v>205</v>
      </c>
      <c r="P133" s="92"/>
      <c r="Q133" s="164" t="s">
        <v>205</v>
      </c>
      <c r="R133" s="92"/>
      <c r="S133" s="164" t="s">
        <v>205</v>
      </c>
      <c r="T133" s="92"/>
      <c r="U133" s="145" t="s">
        <v>205</v>
      </c>
      <c r="V133" s="92"/>
      <c r="W133" s="145" t="s">
        <v>205</v>
      </c>
      <c r="X133" s="92"/>
      <c r="Y133" s="352" t="s">
        <v>205</v>
      </c>
      <c r="Z133" s="142" t="str">
        <f t="shared" si="7"/>
        <v>C</v>
      </c>
      <c r="AA133" s="226" t="str">
        <f t="shared" si="8"/>
        <v>UTILIZOU O PDA CORRETAMENTE</v>
      </c>
      <c r="AB133" s="9" t="s">
        <v>205</v>
      </c>
      <c r="AC133" s="162" t="s">
        <v>6</v>
      </c>
      <c r="AD133" s="150" t="str">
        <f t="shared" si="9"/>
        <v>SÃO PAULO</v>
      </c>
      <c r="AE133" s="95" t="s">
        <v>64</v>
      </c>
    </row>
    <row r="134" spans="1:31" s="55" customFormat="1" ht="30" customHeight="1">
      <c r="A134" s="215" t="s">
        <v>198</v>
      </c>
      <c r="B134" s="215">
        <v>2618883600</v>
      </c>
      <c r="C134" s="215" t="s">
        <v>131</v>
      </c>
      <c r="D134" s="215" t="s">
        <v>64</v>
      </c>
      <c r="E134" s="215" t="s">
        <v>5</v>
      </c>
      <c r="F134" s="215" t="s">
        <v>647</v>
      </c>
      <c r="G134" s="215">
        <v>400</v>
      </c>
      <c r="H134" s="215" t="s">
        <v>200</v>
      </c>
      <c r="I134" s="215" t="s">
        <v>438</v>
      </c>
      <c r="J134" s="215" t="s">
        <v>1898</v>
      </c>
      <c r="K134" s="215" t="s">
        <v>200</v>
      </c>
      <c r="L134" s="216">
        <v>46208.333333333336</v>
      </c>
      <c r="M134" s="216">
        <v>46208.336805555555</v>
      </c>
      <c r="N134" s="215" t="s">
        <v>900</v>
      </c>
      <c r="O134" s="157" t="s">
        <v>206</v>
      </c>
      <c r="P134" s="92"/>
      <c r="Q134" s="145" t="s">
        <v>206</v>
      </c>
      <c r="R134" s="92"/>
      <c r="S134" s="145" t="s">
        <v>206</v>
      </c>
      <c r="T134" s="92"/>
      <c r="U134" s="145" t="s">
        <v>206</v>
      </c>
      <c r="V134" s="92"/>
      <c r="W134" s="145" t="s">
        <v>206</v>
      </c>
      <c r="X134" s="92"/>
      <c r="Y134" s="352" t="s">
        <v>239</v>
      </c>
      <c r="Z134" s="142" t="str">
        <f t="shared" si="7"/>
        <v>NC</v>
      </c>
      <c r="AA134" s="226" t="str">
        <f t="shared" si="8"/>
        <v>NÃO UTILIZOU O PDA</v>
      </c>
      <c r="AB134" s="9" t="s">
        <v>205</v>
      </c>
      <c r="AC134" s="162" t="s">
        <v>6</v>
      </c>
      <c r="AD134" s="150" t="str">
        <f t="shared" si="9"/>
        <v>SÃO PAULO</v>
      </c>
      <c r="AE134" s="95" t="s">
        <v>64</v>
      </c>
    </row>
    <row r="135" spans="1:31" s="55" customFormat="1" ht="30" customHeight="1">
      <c r="A135" s="215" t="s">
        <v>198</v>
      </c>
      <c r="B135" s="215">
        <v>2692626241</v>
      </c>
      <c r="C135" s="215" t="s">
        <v>128</v>
      </c>
      <c r="D135" s="215" t="s">
        <v>64</v>
      </c>
      <c r="E135" s="215" t="s">
        <v>5</v>
      </c>
      <c r="F135" s="215" t="s">
        <v>2021</v>
      </c>
      <c r="G135" s="215">
        <v>98</v>
      </c>
      <c r="H135" s="215"/>
      <c r="I135" s="215" t="s">
        <v>1341</v>
      </c>
      <c r="J135" s="215" t="s">
        <v>1898</v>
      </c>
      <c r="K135" s="215" t="s">
        <v>2022</v>
      </c>
      <c r="L135" s="216">
        <v>46208.499305555553</v>
      </c>
      <c r="M135" s="216">
        <v>46208.507638888892</v>
      </c>
      <c r="N135" s="215" t="s">
        <v>1919</v>
      </c>
      <c r="O135" s="180" t="s">
        <v>205</v>
      </c>
      <c r="P135" s="92"/>
      <c r="Q135" s="164" t="s">
        <v>205</v>
      </c>
      <c r="R135" s="92"/>
      <c r="S135" s="164" t="s">
        <v>205</v>
      </c>
      <c r="T135" s="92"/>
      <c r="U135" s="145" t="s">
        <v>205</v>
      </c>
      <c r="V135" s="92"/>
      <c r="W135" s="145" t="s">
        <v>205</v>
      </c>
      <c r="X135" s="92"/>
      <c r="Y135" s="352" t="s">
        <v>205</v>
      </c>
      <c r="Z135" s="142" t="str">
        <f t="shared" si="7"/>
        <v>C</v>
      </c>
      <c r="AA135" s="226" t="str">
        <f t="shared" si="8"/>
        <v>UTILIZOU O PDA CORRETAMENTE</v>
      </c>
      <c r="AB135" s="9" t="s">
        <v>205</v>
      </c>
      <c r="AC135" s="162" t="s">
        <v>6</v>
      </c>
      <c r="AD135" s="150" t="str">
        <f t="shared" si="9"/>
        <v>SÃO PAULO</v>
      </c>
      <c r="AE135" s="95" t="s">
        <v>64</v>
      </c>
    </row>
    <row r="136" spans="1:31" s="55" customFormat="1" ht="30" customHeight="1">
      <c r="A136" s="215" t="s">
        <v>198</v>
      </c>
      <c r="B136" s="215">
        <v>2618920609</v>
      </c>
      <c r="C136" s="215" t="s">
        <v>128</v>
      </c>
      <c r="D136" s="215" t="s">
        <v>64</v>
      </c>
      <c r="E136" s="215" t="s">
        <v>5</v>
      </c>
      <c r="F136" s="215" t="s">
        <v>2023</v>
      </c>
      <c r="G136" s="215">
        <v>95</v>
      </c>
      <c r="H136" s="215" t="s">
        <v>200</v>
      </c>
      <c r="I136" s="215" t="s">
        <v>1959</v>
      </c>
      <c r="J136" s="215" t="s">
        <v>1908</v>
      </c>
      <c r="K136" s="215" t="s">
        <v>2024</v>
      </c>
      <c r="L136" s="216">
        <v>46208.449305555558</v>
      </c>
      <c r="M136" s="216">
        <v>46208.457638888889</v>
      </c>
      <c r="N136" s="215" t="s">
        <v>1919</v>
      </c>
      <c r="O136" s="180" t="s">
        <v>205</v>
      </c>
      <c r="P136" s="92"/>
      <c r="Q136" s="164" t="s">
        <v>205</v>
      </c>
      <c r="R136" s="92"/>
      <c r="S136" s="164" t="s">
        <v>205</v>
      </c>
      <c r="T136" s="92"/>
      <c r="U136" s="145" t="s">
        <v>205</v>
      </c>
      <c r="V136" s="92"/>
      <c r="W136" s="145" t="s">
        <v>205</v>
      </c>
      <c r="X136" s="92"/>
      <c r="Y136" s="352" t="s">
        <v>205</v>
      </c>
      <c r="Z136" s="142" t="str">
        <f t="shared" si="7"/>
        <v>C</v>
      </c>
      <c r="AA136" s="226" t="str">
        <f t="shared" si="8"/>
        <v>UTILIZOU O PDA CORRETAMENTE</v>
      </c>
      <c r="AB136" s="9" t="s">
        <v>205</v>
      </c>
      <c r="AC136" s="162" t="s">
        <v>6</v>
      </c>
      <c r="AD136" s="150" t="str">
        <f t="shared" si="9"/>
        <v>SÃO PAULO</v>
      </c>
      <c r="AE136" s="95" t="s">
        <v>64</v>
      </c>
    </row>
    <row r="137" spans="1:31" s="55" customFormat="1" ht="30" customHeight="1">
      <c r="A137" s="215" t="s">
        <v>198</v>
      </c>
      <c r="B137" s="215">
        <v>2618919448</v>
      </c>
      <c r="C137" s="215" t="s">
        <v>128</v>
      </c>
      <c r="D137" s="215" t="s">
        <v>64</v>
      </c>
      <c r="E137" s="215" t="s">
        <v>5</v>
      </c>
      <c r="F137" s="215" t="s">
        <v>2025</v>
      </c>
      <c r="G137" s="215">
        <v>61</v>
      </c>
      <c r="H137" s="215" t="s">
        <v>200</v>
      </c>
      <c r="I137" s="215" t="s">
        <v>1485</v>
      </c>
      <c r="J137" s="215" t="s">
        <v>1898</v>
      </c>
      <c r="K137" s="215" t="s">
        <v>200</v>
      </c>
      <c r="L137" s="216">
        <v>46208.416666666664</v>
      </c>
      <c r="M137" s="216">
        <v>46208.420138888891</v>
      </c>
      <c r="N137" s="215" t="s">
        <v>1956</v>
      </c>
      <c r="O137" s="180" t="s">
        <v>205</v>
      </c>
      <c r="P137" s="92"/>
      <c r="Q137" s="164" t="s">
        <v>205</v>
      </c>
      <c r="R137" s="92"/>
      <c r="S137" s="164" t="s">
        <v>205</v>
      </c>
      <c r="T137" s="92"/>
      <c r="U137" s="145" t="s">
        <v>205</v>
      </c>
      <c r="V137" s="92"/>
      <c r="W137" s="145" t="s">
        <v>205</v>
      </c>
      <c r="X137" s="92"/>
      <c r="Y137" s="352" t="s">
        <v>205</v>
      </c>
      <c r="Z137" s="142" t="str">
        <f t="shared" si="7"/>
        <v>C</v>
      </c>
      <c r="AA137" s="226" t="str">
        <f t="shared" si="8"/>
        <v>UTILIZOU O PDA CORRETAMENTE</v>
      </c>
      <c r="AB137" s="9" t="s">
        <v>205</v>
      </c>
      <c r="AC137" s="162" t="s">
        <v>6</v>
      </c>
      <c r="AD137" s="150" t="str">
        <f t="shared" si="9"/>
        <v>SÃO PAULO</v>
      </c>
      <c r="AE137" s="95" t="s">
        <v>64</v>
      </c>
    </row>
    <row r="138" spans="1:31" s="55" customFormat="1" ht="30" customHeight="1">
      <c r="A138" s="215" t="s">
        <v>198</v>
      </c>
      <c r="B138" s="215">
        <v>2692605494</v>
      </c>
      <c r="C138" s="215" t="s">
        <v>128</v>
      </c>
      <c r="D138" s="215" t="s">
        <v>64</v>
      </c>
      <c r="E138" s="215" t="s">
        <v>5</v>
      </c>
      <c r="F138" s="215" t="s">
        <v>2026</v>
      </c>
      <c r="G138" s="215">
        <v>339</v>
      </c>
      <c r="H138" s="215" t="s">
        <v>200</v>
      </c>
      <c r="I138" s="215" t="s">
        <v>251</v>
      </c>
      <c r="J138" s="215" t="s">
        <v>1898</v>
      </c>
      <c r="K138" s="215" t="s">
        <v>200</v>
      </c>
      <c r="L138" s="216">
        <v>46208.607638888891</v>
      </c>
      <c r="M138" s="216">
        <v>46208.609027777777</v>
      </c>
      <c r="N138" s="215" t="s">
        <v>900</v>
      </c>
      <c r="O138" s="180" t="s">
        <v>205</v>
      </c>
      <c r="P138" s="92"/>
      <c r="Q138" s="164" t="s">
        <v>205</v>
      </c>
      <c r="R138" s="92"/>
      <c r="S138" s="164" t="s">
        <v>205</v>
      </c>
      <c r="T138" s="92"/>
      <c r="U138" s="145" t="s">
        <v>205</v>
      </c>
      <c r="V138" s="92"/>
      <c r="W138" s="145" t="s">
        <v>205</v>
      </c>
      <c r="X138" s="92"/>
      <c r="Y138" s="352" t="s">
        <v>205</v>
      </c>
      <c r="Z138" s="142" t="str">
        <f t="shared" si="7"/>
        <v>C</v>
      </c>
      <c r="AA138" s="226" t="str">
        <f t="shared" si="8"/>
        <v>UTILIZOU O PDA CORRETAMENTE</v>
      </c>
      <c r="AB138" s="9" t="s">
        <v>205</v>
      </c>
      <c r="AC138" s="162" t="s">
        <v>6</v>
      </c>
      <c r="AD138" s="150" t="str">
        <f t="shared" si="9"/>
        <v>SÃO PAULO</v>
      </c>
      <c r="AE138" s="95" t="s">
        <v>64</v>
      </c>
    </row>
    <row r="139" spans="1:31" s="55" customFormat="1" ht="30" customHeight="1">
      <c r="A139" s="215" t="s">
        <v>198</v>
      </c>
      <c r="B139" s="215">
        <v>2692558842</v>
      </c>
      <c r="C139" s="215" t="s">
        <v>132</v>
      </c>
      <c r="D139" s="215" t="s">
        <v>64</v>
      </c>
      <c r="E139" s="215" t="s">
        <v>5</v>
      </c>
      <c r="F139" s="215" t="s">
        <v>2027</v>
      </c>
      <c r="G139" s="215">
        <v>1127</v>
      </c>
      <c r="H139" s="215"/>
      <c r="I139" s="215" t="s">
        <v>223</v>
      </c>
      <c r="J139" s="215" t="s">
        <v>1898</v>
      </c>
      <c r="K139" s="215"/>
      <c r="L139" s="216">
        <v>46208.461805555555</v>
      </c>
      <c r="M139" s="216">
        <v>46208.467361111114</v>
      </c>
      <c r="N139" s="215" t="s">
        <v>900</v>
      </c>
      <c r="O139" s="180" t="s">
        <v>205</v>
      </c>
      <c r="P139" s="92"/>
      <c r="Q139" s="164" t="s">
        <v>205</v>
      </c>
      <c r="R139" s="92"/>
      <c r="S139" s="164" t="s">
        <v>205</v>
      </c>
      <c r="T139" s="92"/>
      <c r="U139" s="145" t="s">
        <v>205</v>
      </c>
      <c r="V139" s="92"/>
      <c r="W139" s="145" t="s">
        <v>205</v>
      </c>
      <c r="X139" s="92"/>
      <c r="Y139" s="352" t="s">
        <v>205</v>
      </c>
      <c r="Z139" s="142" t="str">
        <f t="shared" si="7"/>
        <v>C</v>
      </c>
      <c r="AA139" s="226" t="str">
        <f t="shared" si="8"/>
        <v>UTILIZOU O PDA CORRETAMENTE</v>
      </c>
      <c r="AB139" s="9" t="s">
        <v>205</v>
      </c>
      <c r="AC139" s="162" t="s">
        <v>6</v>
      </c>
      <c r="AD139" s="150" t="str">
        <f t="shared" si="9"/>
        <v>SÃO PAULO</v>
      </c>
      <c r="AE139" s="95" t="s">
        <v>64</v>
      </c>
    </row>
    <row r="140" spans="1:31" s="55" customFormat="1" ht="30" customHeight="1">
      <c r="A140" s="215" t="s">
        <v>198</v>
      </c>
      <c r="B140" s="215">
        <v>2692638651</v>
      </c>
      <c r="C140" s="215" t="s">
        <v>131</v>
      </c>
      <c r="D140" s="215" t="s">
        <v>64</v>
      </c>
      <c r="E140" s="215" t="s">
        <v>5</v>
      </c>
      <c r="F140" s="215" t="s">
        <v>362</v>
      </c>
      <c r="G140" s="215">
        <v>719</v>
      </c>
      <c r="H140" s="215" t="s">
        <v>2028</v>
      </c>
      <c r="I140" s="215" t="s">
        <v>366</v>
      </c>
      <c r="J140" s="215" t="s">
        <v>1908</v>
      </c>
      <c r="K140" s="215" t="s">
        <v>200</v>
      </c>
      <c r="L140" s="216">
        <v>46208.675000000003</v>
      </c>
      <c r="M140" s="216">
        <v>46208.679861111108</v>
      </c>
      <c r="N140" s="215" t="s">
        <v>1956</v>
      </c>
      <c r="O140" s="180" t="s">
        <v>205</v>
      </c>
      <c r="P140" s="92"/>
      <c r="Q140" s="164" t="s">
        <v>205</v>
      </c>
      <c r="R140" s="92"/>
      <c r="S140" s="164" t="s">
        <v>205</v>
      </c>
      <c r="T140" s="92"/>
      <c r="U140" s="145" t="s">
        <v>205</v>
      </c>
      <c r="V140" s="92"/>
      <c r="W140" s="145" t="s">
        <v>205</v>
      </c>
      <c r="X140" s="92"/>
      <c r="Y140" s="352" t="s">
        <v>205</v>
      </c>
      <c r="Z140" s="142" t="str">
        <f t="shared" si="7"/>
        <v>C</v>
      </c>
      <c r="AA140" s="226" t="str">
        <f t="shared" si="8"/>
        <v>UTILIZOU O PDA CORRETAMENTE</v>
      </c>
      <c r="AB140" s="9" t="s">
        <v>205</v>
      </c>
      <c r="AC140" s="162" t="s">
        <v>6</v>
      </c>
      <c r="AD140" s="150" t="str">
        <f t="shared" si="9"/>
        <v>SÃO PAULO</v>
      </c>
      <c r="AE140" s="95" t="s">
        <v>64</v>
      </c>
    </row>
    <row r="141" spans="1:31" s="55" customFormat="1" ht="30" customHeight="1">
      <c r="A141" s="215" t="s">
        <v>198</v>
      </c>
      <c r="B141" s="215">
        <v>2692618149</v>
      </c>
      <c r="C141" s="215" t="s">
        <v>131</v>
      </c>
      <c r="D141" s="215" t="s">
        <v>64</v>
      </c>
      <c r="E141" s="215" t="s">
        <v>5</v>
      </c>
      <c r="F141" s="215" t="s">
        <v>2029</v>
      </c>
      <c r="G141" s="215">
        <v>55</v>
      </c>
      <c r="H141" s="215"/>
      <c r="I141" s="215" t="s">
        <v>1516</v>
      </c>
      <c r="J141" s="215" t="s">
        <v>1908</v>
      </c>
      <c r="K141" s="215"/>
      <c r="L141" s="216">
        <v>46208.606944444444</v>
      </c>
      <c r="M141" s="216">
        <v>46208.611805555556</v>
      </c>
      <c r="N141" s="215" t="s">
        <v>1956</v>
      </c>
      <c r="O141" s="180" t="s">
        <v>205</v>
      </c>
      <c r="P141" s="92"/>
      <c r="Q141" s="164" t="s">
        <v>205</v>
      </c>
      <c r="R141" s="92"/>
      <c r="S141" s="164" t="s">
        <v>205</v>
      </c>
      <c r="T141" s="92"/>
      <c r="U141" s="145" t="s">
        <v>205</v>
      </c>
      <c r="V141" s="92"/>
      <c r="W141" s="145" t="s">
        <v>205</v>
      </c>
      <c r="X141" s="92"/>
      <c r="Y141" s="352" t="s">
        <v>205</v>
      </c>
      <c r="Z141" s="142" t="str">
        <f t="shared" si="7"/>
        <v>C</v>
      </c>
      <c r="AA141" s="226" t="str">
        <f t="shared" si="8"/>
        <v>UTILIZOU O PDA CORRETAMENTE</v>
      </c>
      <c r="AB141" s="9" t="s">
        <v>205</v>
      </c>
      <c r="AC141" s="162" t="s">
        <v>6</v>
      </c>
      <c r="AD141" s="150" t="str">
        <f t="shared" si="9"/>
        <v>SÃO PAULO</v>
      </c>
      <c r="AE141" s="95" t="s">
        <v>64</v>
      </c>
    </row>
    <row r="142" spans="1:31" s="55" customFormat="1" ht="30" customHeight="1">
      <c r="A142" s="215" t="s">
        <v>198</v>
      </c>
      <c r="B142" s="215">
        <v>2618889928</v>
      </c>
      <c r="C142" s="215" t="s">
        <v>131</v>
      </c>
      <c r="D142" s="215" t="s">
        <v>64</v>
      </c>
      <c r="E142" s="215" t="s">
        <v>5</v>
      </c>
      <c r="F142" s="215" t="s">
        <v>2030</v>
      </c>
      <c r="G142" s="215">
        <v>335</v>
      </c>
      <c r="H142" s="215" t="s">
        <v>200</v>
      </c>
      <c r="I142" s="215" t="s">
        <v>1786</v>
      </c>
      <c r="J142" s="215" t="s">
        <v>1908</v>
      </c>
      <c r="K142" s="215" t="s">
        <v>200</v>
      </c>
      <c r="L142" s="216">
        <v>46208.423611111109</v>
      </c>
      <c r="M142" s="216">
        <v>46208.431944444441</v>
      </c>
      <c r="N142" s="215" t="s">
        <v>1956</v>
      </c>
      <c r="O142" s="180" t="s">
        <v>205</v>
      </c>
      <c r="P142" s="92"/>
      <c r="Q142" s="164" t="s">
        <v>205</v>
      </c>
      <c r="R142" s="92"/>
      <c r="S142" s="164" t="s">
        <v>205</v>
      </c>
      <c r="T142" s="92"/>
      <c r="U142" s="145" t="s">
        <v>205</v>
      </c>
      <c r="V142" s="92"/>
      <c r="W142" s="145" t="s">
        <v>205</v>
      </c>
      <c r="X142" s="92"/>
      <c r="Y142" s="352" t="s">
        <v>205</v>
      </c>
      <c r="Z142" s="142" t="str">
        <f t="shared" si="7"/>
        <v>C</v>
      </c>
      <c r="AA142" s="226" t="str">
        <f t="shared" si="8"/>
        <v>UTILIZOU O PDA CORRETAMENTE</v>
      </c>
      <c r="AB142" s="9" t="s">
        <v>205</v>
      </c>
      <c r="AC142" s="162" t="s">
        <v>6</v>
      </c>
      <c r="AD142" s="150" t="str">
        <f t="shared" si="9"/>
        <v>SÃO PAULO</v>
      </c>
      <c r="AE142" s="95" t="s">
        <v>64</v>
      </c>
    </row>
    <row r="143" spans="1:31" s="55" customFormat="1" ht="30" customHeight="1">
      <c r="A143" s="215" t="s">
        <v>198</v>
      </c>
      <c r="B143" s="215">
        <v>2692636132</v>
      </c>
      <c r="C143" s="215" t="s">
        <v>131</v>
      </c>
      <c r="D143" s="215" t="s">
        <v>64</v>
      </c>
      <c r="E143" s="215" t="s">
        <v>5</v>
      </c>
      <c r="F143" s="215" t="s">
        <v>1781</v>
      </c>
      <c r="G143" s="215">
        <v>264</v>
      </c>
      <c r="H143" s="215" t="s">
        <v>318</v>
      </c>
      <c r="I143" s="215" t="s">
        <v>277</v>
      </c>
      <c r="J143" s="215" t="s">
        <v>1898</v>
      </c>
      <c r="K143" s="215"/>
      <c r="L143" s="216">
        <v>46208.59097222222</v>
      </c>
      <c r="M143" s="216">
        <v>46208.601388888892</v>
      </c>
      <c r="N143" s="215" t="s">
        <v>794</v>
      </c>
      <c r="O143" s="180" t="s">
        <v>205</v>
      </c>
      <c r="P143" s="92"/>
      <c r="Q143" s="164" t="s">
        <v>205</v>
      </c>
      <c r="R143" s="92"/>
      <c r="S143" s="164" t="s">
        <v>205</v>
      </c>
      <c r="T143" s="92"/>
      <c r="U143" s="145" t="s">
        <v>205</v>
      </c>
      <c r="V143" s="92"/>
      <c r="W143" s="145" t="s">
        <v>205</v>
      </c>
      <c r="X143" s="92"/>
      <c r="Y143" s="352" t="s">
        <v>205</v>
      </c>
      <c r="Z143" s="142" t="str">
        <f t="shared" si="7"/>
        <v>C</v>
      </c>
      <c r="AA143" s="226" t="str">
        <f t="shared" si="8"/>
        <v>UTILIZOU O PDA CORRETAMENTE</v>
      </c>
      <c r="AB143" s="9" t="s">
        <v>205</v>
      </c>
      <c r="AC143" s="162" t="s">
        <v>6</v>
      </c>
      <c r="AD143" s="150" t="str">
        <f t="shared" si="9"/>
        <v>SÃO PAULO</v>
      </c>
      <c r="AE143" s="95" t="s">
        <v>64</v>
      </c>
    </row>
    <row r="144" spans="1:31" s="55" customFormat="1" ht="30" customHeight="1">
      <c r="A144" s="215" t="s">
        <v>198</v>
      </c>
      <c r="B144" s="215">
        <v>2692627661</v>
      </c>
      <c r="C144" s="215" t="s">
        <v>128</v>
      </c>
      <c r="D144" s="215" t="s">
        <v>64</v>
      </c>
      <c r="E144" s="215" t="s">
        <v>5</v>
      </c>
      <c r="F144" s="215" t="s">
        <v>2031</v>
      </c>
      <c r="G144" s="215">
        <v>158</v>
      </c>
      <c r="H144" s="215" t="s">
        <v>200</v>
      </c>
      <c r="I144" s="215" t="s">
        <v>546</v>
      </c>
      <c r="J144" s="215" t="s">
        <v>1908</v>
      </c>
      <c r="K144" s="215" t="s">
        <v>200</v>
      </c>
      <c r="L144" s="216">
        <v>46208.560416666667</v>
      </c>
      <c r="M144" s="216">
        <v>46208.567361111112</v>
      </c>
      <c r="N144" s="215" t="s">
        <v>590</v>
      </c>
      <c r="O144" s="180" t="s">
        <v>205</v>
      </c>
      <c r="P144" s="92"/>
      <c r="Q144" s="164" t="s">
        <v>205</v>
      </c>
      <c r="R144" s="92"/>
      <c r="S144" s="164" t="s">
        <v>205</v>
      </c>
      <c r="T144" s="92"/>
      <c r="U144" s="145" t="s">
        <v>205</v>
      </c>
      <c r="V144" s="92"/>
      <c r="W144" s="145" t="s">
        <v>205</v>
      </c>
      <c r="X144" s="92"/>
      <c r="Y144" s="352" t="s">
        <v>205</v>
      </c>
      <c r="Z144" s="142" t="str">
        <f t="shared" si="7"/>
        <v>C</v>
      </c>
      <c r="AA144" s="226" t="str">
        <f t="shared" si="8"/>
        <v>UTILIZOU O PDA CORRETAMENTE</v>
      </c>
      <c r="AB144" s="9" t="s">
        <v>205</v>
      </c>
      <c r="AC144" s="162" t="s">
        <v>6</v>
      </c>
      <c r="AD144" s="150" t="str">
        <f t="shared" si="9"/>
        <v>SÃO PAULO</v>
      </c>
      <c r="AE144" s="95" t="s">
        <v>64</v>
      </c>
    </row>
    <row r="145" spans="1:31" s="55" customFormat="1" ht="30" customHeight="1">
      <c r="A145" s="215" t="s">
        <v>198</v>
      </c>
      <c r="B145" s="215">
        <v>2692662345</v>
      </c>
      <c r="C145" s="215" t="s">
        <v>128</v>
      </c>
      <c r="D145" s="215" t="s">
        <v>64</v>
      </c>
      <c r="E145" s="215" t="s">
        <v>5</v>
      </c>
      <c r="F145" s="215" t="s">
        <v>2032</v>
      </c>
      <c r="G145" s="215">
        <v>190</v>
      </c>
      <c r="H145" s="215" t="s">
        <v>226</v>
      </c>
      <c r="I145" s="215" t="s">
        <v>402</v>
      </c>
      <c r="J145" s="215" t="s">
        <v>1900</v>
      </c>
      <c r="K145" s="215"/>
      <c r="L145" s="216">
        <v>46208.623611111114</v>
      </c>
      <c r="M145" s="216">
        <v>46208.628472222219</v>
      </c>
      <c r="N145" s="215" t="s">
        <v>1956</v>
      </c>
      <c r="O145" s="180" t="s">
        <v>205</v>
      </c>
      <c r="P145" s="92"/>
      <c r="Q145" s="164" t="s">
        <v>205</v>
      </c>
      <c r="R145" s="92"/>
      <c r="S145" s="164" t="s">
        <v>205</v>
      </c>
      <c r="T145" s="92"/>
      <c r="U145" s="145" t="s">
        <v>205</v>
      </c>
      <c r="V145" s="92"/>
      <c r="W145" s="145" t="s">
        <v>205</v>
      </c>
      <c r="X145" s="92"/>
      <c r="Y145" s="352" t="s">
        <v>205</v>
      </c>
      <c r="Z145" s="142" t="str">
        <f t="shared" si="7"/>
        <v>C</v>
      </c>
      <c r="AA145" s="226" t="str">
        <f t="shared" si="8"/>
        <v>UTILIZOU O PDA CORRETAMENTE</v>
      </c>
      <c r="AB145" s="9" t="s">
        <v>205</v>
      </c>
      <c r="AC145" s="162" t="s">
        <v>6</v>
      </c>
      <c r="AD145" s="150" t="str">
        <f t="shared" si="9"/>
        <v>SÃO PAULO</v>
      </c>
      <c r="AE145" s="95" t="s">
        <v>64</v>
      </c>
    </row>
    <row r="146" spans="1:31" s="55" customFormat="1" ht="30" customHeight="1">
      <c r="A146" s="215" t="s">
        <v>198</v>
      </c>
      <c r="B146" s="215">
        <v>2619143231</v>
      </c>
      <c r="C146" s="215" t="s">
        <v>127</v>
      </c>
      <c r="D146" s="215" t="s">
        <v>64</v>
      </c>
      <c r="E146" s="215" t="s">
        <v>5</v>
      </c>
      <c r="F146" s="215" t="s">
        <v>2033</v>
      </c>
      <c r="G146" s="215">
        <v>273</v>
      </c>
      <c r="H146" s="215" t="s">
        <v>200</v>
      </c>
      <c r="I146" s="215" t="s">
        <v>426</v>
      </c>
      <c r="J146" s="215" t="s">
        <v>1908</v>
      </c>
      <c r="K146" s="215" t="s">
        <v>200</v>
      </c>
      <c r="L146" s="216">
        <v>46208.452777777777</v>
      </c>
      <c r="M146" s="216">
        <v>46208.461111111108</v>
      </c>
      <c r="N146" s="215" t="s">
        <v>1956</v>
      </c>
      <c r="O146" s="180" t="s">
        <v>205</v>
      </c>
      <c r="P146" s="92"/>
      <c r="Q146" s="164" t="s">
        <v>205</v>
      </c>
      <c r="R146" s="92"/>
      <c r="S146" s="164" t="s">
        <v>205</v>
      </c>
      <c r="T146" s="92"/>
      <c r="U146" s="145" t="s">
        <v>205</v>
      </c>
      <c r="V146" s="92"/>
      <c r="W146" s="145" t="s">
        <v>205</v>
      </c>
      <c r="X146" s="92"/>
      <c r="Y146" s="352" t="s">
        <v>205</v>
      </c>
      <c r="Z146" s="142" t="str">
        <f t="shared" si="7"/>
        <v>C</v>
      </c>
      <c r="AA146" s="226" t="str">
        <f t="shared" si="8"/>
        <v>UTILIZOU O PDA CORRETAMENTE</v>
      </c>
      <c r="AB146" s="9" t="s">
        <v>205</v>
      </c>
      <c r="AC146" s="162" t="s">
        <v>6</v>
      </c>
      <c r="AD146" s="150" t="str">
        <f t="shared" si="9"/>
        <v>SÃO PAULO</v>
      </c>
      <c r="AE146" s="95" t="s">
        <v>64</v>
      </c>
    </row>
    <row r="147" spans="1:31" s="55" customFormat="1" ht="30" customHeight="1">
      <c r="A147" s="215" t="s">
        <v>198</v>
      </c>
      <c r="B147" s="215">
        <v>2692650781</v>
      </c>
      <c r="C147" s="215" t="s">
        <v>128</v>
      </c>
      <c r="D147" s="215" t="s">
        <v>64</v>
      </c>
      <c r="E147" s="215" t="s">
        <v>5</v>
      </c>
      <c r="F147" s="215" t="s">
        <v>2034</v>
      </c>
      <c r="G147" s="215">
        <v>79</v>
      </c>
      <c r="H147" s="215" t="s">
        <v>708</v>
      </c>
      <c r="I147" s="215" t="s">
        <v>283</v>
      </c>
      <c r="J147" s="215" t="s">
        <v>1898</v>
      </c>
      <c r="K147" s="215"/>
      <c r="L147" s="216">
        <v>46208.447222222225</v>
      </c>
      <c r="M147" s="216">
        <v>46208.45</v>
      </c>
      <c r="N147" s="215" t="s">
        <v>1956</v>
      </c>
      <c r="O147" s="180" t="s">
        <v>205</v>
      </c>
      <c r="P147" s="92"/>
      <c r="Q147" s="164" t="s">
        <v>205</v>
      </c>
      <c r="R147" s="92"/>
      <c r="S147" s="164" t="s">
        <v>205</v>
      </c>
      <c r="T147" s="92"/>
      <c r="U147" s="145" t="s">
        <v>205</v>
      </c>
      <c r="V147" s="92"/>
      <c r="W147" s="145" t="s">
        <v>205</v>
      </c>
      <c r="X147" s="92"/>
      <c r="Y147" s="352" t="s">
        <v>205</v>
      </c>
      <c r="Z147" s="142" t="str">
        <f t="shared" si="7"/>
        <v>C</v>
      </c>
      <c r="AA147" s="226" t="str">
        <f t="shared" si="8"/>
        <v>UTILIZOU O PDA CORRETAMENTE</v>
      </c>
      <c r="AB147" s="9" t="s">
        <v>205</v>
      </c>
      <c r="AC147" s="162" t="s">
        <v>6</v>
      </c>
      <c r="AD147" s="150" t="str">
        <f t="shared" si="9"/>
        <v>SÃO PAULO</v>
      </c>
      <c r="AE147" s="95" t="s">
        <v>64</v>
      </c>
    </row>
    <row r="148" spans="1:31" s="55" customFormat="1" ht="30" customHeight="1">
      <c r="A148" s="215" t="s">
        <v>198</v>
      </c>
      <c r="B148" s="215">
        <v>2692664291</v>
      </c>
      <c r="C148" s="215" t="s">
        <v>128</v>
      </c>
      <c r="D148" s="215" t="s">
        <v>64</v>
      </c>
      <c r="E148" s="215" t="s">
        <v>5</v>
      </c>
      <c r="F148" s="215" t="s">
        <v>1881</v>
      </c>
      <c r="G148" s="215">
        <v>326</v>
      </c>
      <c r="H148" s="215" t="s">
        <v>2035</v>
      </c>
      <c r="I148" s="215" t="s">
        <v>1882</v>
      </c>
      <c r="J148" s="215" t="s">
        <v>1908</v>
      </c>
      <c r="K148" s="215" t="s">
        <v>200</v>
      </c>
      <c r="L148" s="216">
        <v>46208.463194444441</v>
      </c>
      <c r="M148" s="216">
        <v>46208.488888888889</v>
      </c>
      <c r="N148" s="215" t="s">
        <v>1919</v>
      </c>
      <c r="O148" s="180" t="s">
        <v>205</v>
      </c>
      <c r="P148" s="92"/>
      <c r="Q148" s="164" t="s">
        <v>205</v>
      </c>
      <c r="R148" s="92"/>
      <c r="S148" s="164" t="s">
        <v>205</v>
      </c>
      <c r="T148" s="92"/>
      <c r="U148" s="145" t="s">
        <v>205</v>
      </c>
      <c r="V148" s="92"/>
      <c r="W148" s="145" t="s">
        <v>205</v>
      </c>
      <c r="X148" s="92"/>
      <c r="Y148" s="352" t="s">
        <v>205</v>
      </c>
      <c r="Z148" s="142" t="str">
        <f t="shared" si="7"/>
        <v>C</v>
      </c>
      <c r="AA148" s="226" t="str">
        <f t="shared" si="8"/>
        <v>UTILIZOU O PDA CORRETAMENTE</v>
      </c>
      <c r="AB148" s="9" t="s">
        <v>205</v>
      </c>
      <c r="AC148" s="162" t="s">
        <v>6</v>
      </c>
      <c r="AD148" s="150" t="str">
        <f t="shared" si="9"/>
        <v>SÃO PAULO</v>
      </c>
      <c r="AE148" s="95" t="s">
        <v>64</v>
      </c>
    </row>
    <row r="149" spans="1:31" s="55" customFormat="1" ht="30" customHeight="1">
      <c r="A149" s="215" t="s">
        <v>198</v>
      </c>
      <c r="B149" s="215">
        <v>2692655322</v>
      </c>
      <c r="C149" s="215" t="s">
        <v>131</v>
      </c>
      <c r="D149" s="215" t="s">
        <v>64</v>
      </c>
      <c r="E149" s="215" t="s">
        <v>5</v>
      </c>
      <c r="F149" s="215" t="s">
        <v>2036</v>
      </c>
      <c r="G149" s="215">
        <v>152</v>
      </c>
      <c r="H149" s="215" t="s">
        <v>363</v>
      </c>
      <c r="I149" s="215" t="s">
        <v>215</v>
      </c>
      <c r="J149" s="215" t="s">
        <v>1908</v>
      </c>
      <c r="K149" s="215"/>
      <c r="L149" s="216">
        <v>46208.625694444447</v>
      </c>
      <c r="M149" s="216">
        <v>46208.634027777778</v>
      </c>
      <c r="N149" s="215" t="s">
        <v>590</v>
      </c>
      <c r="O149" s="180" t="s">
        <v>205</v>
      </c>
      <c r="P149" s="92"/>
      <c r="Q149" s="164" t="s">
        <v>205</v>
      </c>
      <c r="R149" s="92"/>
      <c r="S149" s="164" t="s">
        <v>205</v>
      </c>
      <c r="T149" s="92"/>
      <c r="U149" s="145" t="s">
        <v>205</v>
      </c>
      <c r="V149" s="92"/>
      <c r="W149" s="145" t="s">
        <v>205</v>
      </c>
      <c r="X149" s="92"/>
      <c r="Y149" s="352" t="s">
        <v>205</v>
      </c>
      <c r="Z149" s="142" t="str">
        <f t="shared" si="7"/>
        <v>C</v>
      </c>
      <c r="AA149" s="226" t="str">
        <f t="shared" si="8"/>
        <v>UTILIZOU O PDA CORRETAMENTE</v>
      </c>
      <c r="AB149" s="9" t="s">
        <v>205</v>
      </c>
      <c r="AC149" s="162" t="s">
        <v>6</v>
      </c>
      <c r="AD149" s="150" t="str">
        <f t="shared" si="9"/>
        <v>SÃO PAULO</v>
      </c>
      <c r="AE149" s="95" t="s">
        <v>64</v>
      </c>
    </row>
    <row r="150" spans="1:31" s="55" customFormat="1" ht="30" customHeight="1">
      <c r="A150" s="215" t="s">
        <v>198</v>
      </c>
      <c r="B150" s="215">
        <v>2619134834</v>
      </c>
      <c r="C150" s="215" t="s">
        <v>128</v>
      </c>
      <c r="D150" s="215" t="s">
        <v>64</v>
      </c>
      <c r="E150" s="215" t="s">
        <v>5</v>
      </c>
      <c r="F150" s="215" t="s">
        <v>2037</v>
      </c>
      <c r="G150" s="215">
        <v>111</v>
      </c>
      <c r="H150" s="215" t="s">
        <v>200</v>
      </c>
      <c r="I150" s="215" t="s">
        <v>546</v>
      </c>
      <c r="J150" s="215" t="s">
        <v>1900</v>
      </c>
      <c r="K150" s="215" t="s">
        <v>200</v>
      </c>
      <c r="L150" s="216">
        <v>46208.554861111108</v>
      </c>
      <c r="M150" s="216">
        <v>46208.558333333334</v>
      </c>
      <c r="N150" s="215" t="s">
        <v>590</v>
      </c>
      <c r="O150" s="180" t="s">
        <v>205</v>
      </c>
      <c r="P150" s="92"/>
      <c r="Q150" s="145" t="s">
        <v>206</v>
      </c>
      <c r="R150" s="92"/>
      <c r="S150" s="164" t="s">
        <v>205</v>
      </c>
      <c r="T150" s="92"/>
      <c r="U150" s="145" t="s">
        <v>205</v>
      </c>
      <c r="V150" s="92"/>
      <c r="W150" s="145" t="s">
        <v>205</v>
      </c>
      <c r="X150" s="92"/>
      <c r="Y150" s="352" t="s">
        <v>205</v>
      </c>
      <c r="Z150" s="142" t="str">
        <f t="shared" si="7"/>
        <v>NC</v>
      </c>
      <c r="AA150" s="226" t="str">
        <f t="shared" si="8"/>
        <v>UTILIZOU O PDA CORRETAMENTE. NÃO HÁ FOTOS DE TODAS AS ETAPAS</v>
      </c>
      <c r="AB150" s="9" t="s">
        <v>205</v>
      </c>
      <c r="AC150" s="162" t="s">
        <v>6</v>
      </c>
      <c r="AD150" s="150" t="str">
        <f t="shared" si="9"/>
        <v>SÃO PAULO</v>
      </c>
      <c r="AE150" s="95" t="s">
        <v>64</v>
      </c>
    </row>
    <row r="151" spans="1:31" s="55" customFormat="1" ht="30" customHeight="1">
      <c r="A151" s="215" t="s">
        <v>198</v>
      </c>
      <c r="B151" s="215">
        <v>2619151850</v>
      </c>
      <c r="C151" s="215" t="s">
        <v>131</v>
      </c>
      <c r="D151" s="215" t="s">
        <v>64</v>
      </c>
      <c r="E151" s="215" t="s">
        <v>5</v>
      </c>
      <c r="F151" s="215" t="s">
        <v>2038</v>
      </c>
      <c r="G151" s="215">
        <v>274</v>
      </c>
      <c r="H151" s="215"/>
      <c r="I151" s="215" t="s">
        <v>1877</v>
      </c>
      <c r="J151" s="215" t="s">
        <v>1898</v>
      </c>
      <c r="K151" s="215"/>
      <c r="L151" s="216">
        <v>46208.659722222219</v>
      </c>
      <c r="M151" s="216">
        <v>46208.666666666664</v>
      </c>
      <c r="N151" s="215" t="s">
        <v>900</v>
      </c>
      <c r="O151" s="180" t="s">
        <v>205</v>
      </c>
      <c r="P151" s="92"/>
      <c r="Q151" s="164" t="s">
        <v>205</v>
      </c>
      <c r="R151" s="92"/>
      <c r="S151" s="164" t="s">
        <v>205</v>
      </c>
      <c r="T151" s="92"/>
      <c r="U151" s="145" t="s">
        <v>205</v>
      </c>
      <c r="V151" s="92"/>
      <c r="W151" s="145" t="s">
        <v>205</v>
      </c>
      <c r="X151" s="92"/>
      <c r="Y151" s="352" t="s">
        <v>205</v>
      </c>
      <c r="Z151" s="142" t="str">
        <f t="shared" si="7"/>
        <v>C</v>
      </c>
      <c r="AA151" s="226" t="str">
        <f t="shared" si="8"/>
        <v>UTILIZOU O PDA CORRETAMENTE</v>
      </c>
      <c r="AB151" s="9" t="s">
        <v>205</v>
      </c>
      <c r="AC151" s="162" t="s">
        <v>6</v>
      </c>
      <c r="AD151" s="150" t="str">
        <f t="shared" si="9"/>
        <v>SÃO PAULO</v>
      </c>
      <c r="AE151" s="95" t="s">
        <v>64</v>
      </c>
    </row>
    <row r="152" spans="1:31" s="55" customFormat="1" ht="30" customHeight="1">
      <c r="A152" s="215" t="s">
        <v>198</v>
      </c>
      <c r="B152" s="215">
        <v>2692666479</v>
      </c>
      <c r="C152" s="215" t="s">
        <v>131</v>
      </c>
      <c r="D152" s="215" t="s">
        <v>64</v>
      </c>
      <c r="E152" s="215" t="s">
        <v>5</v>
      </c>
      <c r="F152" s="215" t="s">
        <v>304</v>
      </c>
      <c r="G152" s="215">
        <v>92</v>
      </c>
      <c r="H152" s="215" t="s">
        <v>226</v>
      </c>
      <c r="I152" s="215" t="s">
        <v>305</v>
      </c>
      <c r="J152" s="215" t="s">
        <v>1908</v>
      </c>
      <c r="K152" s="215" t="s">
        <v>200</v>
      </c>
      <c r="L152" s="216">
        <v>46208.594444444447</v>
      </c>
      <c r="M152" s="216">
        <v>46208.609722222223</v>
      </c>
      <c r="N152" s="215" t="s">
        <v>1919</v>
      </c>
      <c r="O152" s="180" t="s">
        <v>205</v>
      </c>
      <c r="P152" s="92"/>
      <c r="Q152" s="164" t="s">
        <v>205</v>
      </c>
      <c r="R152" s="92"/>
      <c r="S152" s="164" t="s">
        <v>205</v>
      </c>
      <c r="T152" s="92"/>
      <c r="U152" s="145" t="s">
        <v>205</v>
      </c>
      <c r="V152" s="145"/>
      <c r="W152" s="145" t="s">
        <v>205</v>
      </c>
      <c r="X152" s="92"/>
      <c r="Y152" s="352" t="s">
        <v>205</v>
      </c>
      <c r="Z152" s="142" t="str">
        <f t="shared" si="7"/>
        <v>C</v>
      </c>
      <c r="AA152" s="226" t="str">
        <f t="shared" si="8"/>
        <v>UTILIZOU O PDA CORRETAMENTE</v>
      </c>
      <c r="AB152" s="9" t="s">
        <v>205</v>
      </c>
      <c r="AC152" s="162" t="s">
        <v>6</v>
      </c>
      <c r="AD152" s="150" t="str">
        <f t="shared" si="9"/>
        <v>SÃO PAULO</v>
      </c>
      <c r="AE152" s="95" t="s">
        <v>64</v>
      </c>
    </row>
    <row r="153" spans="1:31" s="55" customFormat="1" ht="30" customHeight="1">
      <c r="A153" s="215" t="s">
        <v>198</v>
      </c>
      <c r="B153" s="215">
        <v>2619150854</v>
      </c>
      <c r="C153" s="215" t="s">
        <v>128</v>
      </c>
      <c r="D153" s="215" t="s">
        <v>64</v>
      </c>
      <c r="E153" s="215" t="s">
        <v>5</v>
      </c>
      <c r="F153" s="215" t="s">
        <v>2039</v>
      </c>
      <c r="G153" s="215">
        <v>13</v>
      </c>
      <c r="H153" s="215"/>
      <c r="I153" s="215" t="s">
        <v>215</v>
      </c>
      <c r="J153" s="215" t="s">
        <v>1908</v>
      </c>
      <c r="K153" s="215"/>
      <c r="L153" s="216">
        <v>46208.638194444444</v>
      </c>
      <c r="M153" s="216">
        <v>46208.647916666669</v>
      </c>
      <c r="N153" s="215" t="s">
        <v>590</v>
      </c>
      <c r="O153" s="180" t="s">
        <v>205</v>
      </c>
      <c r="P153" s="92"/>
      <c r="Q153" s="164" t="s">
        <v>205</v>
      </c>
      <c r="R153" s="92"/>
      <c r="S153" s="164" t="s">
        <v>205</v>
      </c>
      <c r="T153" s="92"/>
      <c r="U153" s="145" t="s">
        <v>205</v>
      </c>
      <c r="V153" s="92"/>
      <c r="W153" s="145" t="s">
        <v>205</v>
      </c>
      <c r="X153" s="92"/>
      <c r="Y153" s="352" t="s">
        <v>205</v>
      </c>
      <c r="Z153" s="142" t="str">
        <f t="shared" si="7"/>
        <v>C</v>
      </c>
      <c r="AA153" s="226" t="str">
        <f t="shared" si="8"/>
        <v>UTILIZOU O PDA CORRETAMENTE</v>
      </c>
      <c r="AB153" s="9" t="s">
        <v>205</v>
      </c>
      <c r="AC153" s="162" t="s">
        <v>6</v>
      </c>
      <c r="AD153" s="150" t="str">
        <f t="shared" si="9"/>
        <v>SÃO PAULO</v>
      </c>
      <c r="AE153" s="95" t="s">
        <v>64</v>
      </c>
    </row>
    <row r="154" spans="1:31" s="55" customFormat="1" ht="30" customHeight="1">
      <c r="A154" s="215" t="s">
        <v>198</v>
      </c>
      <c r="B154" s="215">
        <v>2692670696</v>
      </c>
      <c r="C154" s="215" t="s">
        <v>132</v>
      </c>
      <c r="D154" s="215" t="s">
        <v>64</v>
      </c>
      <c r="E154" s="215" t="s">
        <v>5</v>
      </c>
      <c r="F154" s="215" t="s">
        <v>2040</v>
      </c>
      <c r="G154" s="215">
        <v>456</v>
      </c>
      <c r="H154" s="215" t="s">
        <v>200</v>
      </c>
      <c r="I154" s="215" t="s">
        <v>523</v>
      </c>
      <c r="J154" s="215" t="s">
        <v>1908</v>
      </c>
      <c r="K154" s="215" t="s">
        <v>200</v>
      </c>
      <c r="L154" s="216">
        <v>46208.630555555559</v>
      </c>
      <c r="M154" s="216">
        <v>46208.638194444444</v>
      </c>
      <c r="N154" s="215" t="s">
        <v>799</v>
      </c>
      <c r="O154" s="180" t="s">
        <v>205</v>
      </c>
      <c r="P154" s="92"/>
      <c r="Q154" s="164" t="s">
        <v>205</v>
      </c>
      <c r="R154" s="92"/>
      <c r="S154" s="164" t="s">
        <v>205</v>
      </c>
      <c r="T154" s="92"/>
      <c r="U154" s="145" t="s">
        <v>205</v>
      </c>
      <c r="V154" s="92"/>
      <c r="W154" s="145" t="s">
        <v>205</v>
      </c>
      <c r="X154" s="92"/>
      <c r="Y154" s="352" t="s">
        <v>205</v>
      </c>
      <c r="Z154" s="142" t="str">
        <f t="shared" si="7"/>
        <v>C</v>
      </c>
      <c r="AA154" s="226" t="str">
        <f t="shared" si="8"/>
        <v>UTILIZOU O PDA CORRETAMENTE</v>
      </c>
      <c r="AB154" s="9" t="s">
        <v>205</v>
      </c>
      <c r="AC154" s="162" t="s">
        <v>6</v>
      </c>
      <c r="AD154" s="150" t="str">
        <f t="shared" si="9"/>
        <v>SÃO PAULO</v>
      </c>
      <c r="AE154" s="95" t="s">
        <v>64</v>
      </c>
    </row>
    <row r="155" spans="1:31" s="55" customFormat="1" ht="30" customHeight="1">
      <c r="A155" s="215" t="s">
        <v>198</v>
      </c>
      <c r="B155" s="215">
        <v>2619155340</v>
      </c>
      <c r="C155" s="215" t="s">
        <v>132</v>
      </c>
      <c r="D155" s="215" t="s">
        <v>64</v>
      </c>
      <c r="E155" s="215" t="s">
        <v>5</v>
      </c>
      <c r="F155" s="215" t="s">
        <v>1987</v>
      </c>
      <c r="G155" s="215">
        <v>19</v>
      </c>
      <c r="H155" s="215" t="s">
        <v>200</v>
      </c>
      <c r="I155" s="215" t="s">
        <v>280</v>
      </c>
      <c r="J155" s="215" t="s">
        <v>1898</v>
      </c>
      <c r="K155" s="215" t="s">
        <v>200</v>
      </c>
      <c r="L155" s="216">
        <v>46208.647222222222</v>
      </c>
      <c r="M155" s="216">
        <v>46208.652083333334</v>
      </c>
      <c r="N155" s="215" t="s">
        <v>1956</v>
      </c>
      <c r="O155" s="180" t="s">
        <v>205</v>
      </c>
      <c r="P155" s="92"/>
      <c r="Q155" s="145" t="s">
        <v>206</v>
      </c>
      <c r="R155" s="92"/>
      <c r="S155" s="164" t="s">
        <v>205</v>
      </c>
      <c r="T155" s="92"/>
      <c r="U155" s="145" t="s">
        <v>205</v>
      </c>
      <c r="V155" s="92"/>
      <c r="W155" s="145" t="s">
        <v>205</v>
      </c>
      <c r="X155" s="92"/>
      <c r="Y155" s="352" t="s">
        <v>205</v>
      </c>
      <c r="Z155" s="142" t="str">
        <f t="shared" si="7"/>
        <v>NC</v>
      </c>
      <c r="AA155" s="226" t="str">
        <f t="shared" si="8"/>
        <v>UTILIZOU O PDA CORRETAMENTE. NÃO HÁ FOTOS DE TODAS AS ETAPAS</v>
      </c>
      <c r="AB155" s="9" t="s">
        <v>205</v>
      </c>
      <c r="AC155" s="162" t="s">
        <v>6</v>
      </c>
      <c r="AD155" s="150" t="str">
        <f t="shared" si="9"/>
        <v>SÃO PAULO</v>
      </c>
      <c r="AE155" s="95" t="s">
        <v>64</v>
      </c>
    </row>
    <row r="156" spans="1:31" s="55" customFormat="1" ht="30" customHeight="1">
      <c r="A156" s="215" t="s">
        <v>198</v>
      </c>
      <c r="B156" s="215">
        <v>2692713055</v>
      </c>
      <c r="C156" s="215" t="s">
        <v>128</v>
      </c>
      <c r="D156" s="215" t="s">
        <v>64</v>
      </c>
      <c r="E156" s="215" t="s">
        <v>5</v>
      </c>
      <c r="F156" s="215" t="s">
        <v>1346</v>
      </c>
      <c r="G156" s="215">
        <v>607</v>
      </c>
      <c r="H156" s="215" t="s">
        <v>250</v>
      </c>
      <c r="I156" s="215" t="s">
        <v>277</v>
      </c>
      <c r="J156" s="215" t="s">
        <v>1898</v>
      </c>
      <c r="K156" s="215" t="s">
        <v>200</v>
      </c>
      <c r="L156" s="216">
        <v>46208.638888888891</v>
      </c>
      <c r="M156" s="216">
        <v>46208.645833333336</v>
      </c>
      <c r="N156" s="215" t="s">
        <v>852</v>
      </c>
      <c r="O156" s="180" t="s">
        <v>205</v>
      </c>
      <c r="P156" s="92"/>
      <c r="Q156" s="164" t="s">
        <v>205</v>
      </c>
      <c r="R156" s="92"/>
      <c r="S156" s="164" t="s">
        <v>205</v>
      </c>
      <c r="T156" s="92"/>
      <c r="U156" s="145" t="s">
        <v>205</v>
      </c>
      <c r="V156" s="92"/>
      <c r="W156" s="145" t="s">
        <v>205</v>
      </c>
      <c r="X156" s="92"/>
      <c r="Y156" s="352" t="s">
        <v>205</v>
      </c>
      <c r="Z156" s="142" t="str">
        <f t="shared" si="7"/>
        <v>C</v>
      </c>
      <c r="AA156" s="226" t="str">
        <f t="shared" si="8"/>
        <v>UTILIZOU O PDA CORRETAMENTE</v>
      </c>
      <c r="AB156" s="9" t="s">
        <v>205</v>
      </c>
      <c r="AC156" s="162" t="s">
        <v>6</v>
      </c>
      <c r="AD156" s="150" t="str">
        <f t="shared" si="9"/>
        <v>SÃO PAULO</v>
      </c>
      <c r="AE156" s="95" t="s">
        <v>64</v>
      </c>
    </row>
    <row r="157" spans="1:31" s="55" customFormat="1" ht="30" customHeight="1">
      <c r="A157" s="215" t="s">
        <v>198</v>
      </c>
      <c r="B157" s="215">
        <v>2692674373</v>
      </c>
      <c r="C157" s="215" t="s">
        <v>131</v>
      </c>
      <c r="D157" s="215" t="s">
        <v>64</v>
      </c>
      <c r="E157" s="215" t="s">
        <v>5</v>
      </c>
      <c r="F157" s="215" t="s">
        <v>2041</v>
      </c>
      <c r="G157" s="215">
        <v>54</v>
      </c>
      <c r="H157" s="215"/>
      <c r="I157" s="215" t="s">
        <v>2042</v>
      </c>
      <c r="J157" s="215" t="s">
        <v>1898</v>
      </c>
      <c r="K157" s="215"/>
      <c r="L157" s="216">
        <v>46239.420138888891</v>
      </c>
      <c r="M157" s="216">
        <v>46239.42083333333</v>
      </c>
      <c r="N157" s="215" t="s">
        <v>1947</v>
      </c>
      <c r="O157" s="180" t="s">
        <v>205</v>
      </c>
      <c r="P157" s="92"/>
      <c r="Q157" s="164" t="s">
        <v>205</v>
      </c>
      <c r="R157" s="92"/>
      <c r="S157" s="164" t="s">
        <v>205</v>
      </c>
      <c r="T157" s="92"/>
      <c r="U157" s="145" t="s">
        <v>205</v>
      </c>
      <c r="V157" s="92"/>
      <c r="W157" s="145" t="s">
        <v>205</v>
      </c>
      <c r="X157" s="92"/>
      <c r="Y157" s="352" t="s">
        <v>205</v>
      </c>
      <c r="Z157" s="142" t="str">
        <f t="shared" si="7"/>
        <v>C</v>
      </c>
      <c r="AA157" s="226" t="str">
        <f t="shared" si="8"/>
        <v>UTILIZOU O PDA CORRETAMENTE</v>
      </c>
      <c r="AB157" s="9" t="s">
        <v>205</v>
      </c>
      <c r="AC157" s="162" t="s">
        <v>6</v>
      </c>
      <c r="AD157" s="150" t="str">
        <f t="shared" si="9"/>
        <v>SÃO PAULO</v>
      </c>
      <c r="AE157" s="95" t="s">
        <v>64</v>
      </c>
    </row>
    <row r="158" spans="1:31" s="55" customFormat="1" ht="30" customHeight="1">
      <c r="A158" s="215" t="s">
        <v>198</v>
      </c>
      <c r="B158" s="215">
        <v>2692727352</v>
      </c>
      <c r="C158" s="215" t="s">
        <v>128</v>
      </c>
      <c r="D158" s="215" t="s">
        <v>64</v>
      </c>
      <c r="E158" s="215" t="s">
        <v>5</v>
      </c>
      <c r="F158" s="215" t="s">
        <v>1500</v>
      </c>
      <c r="G158" s="215">
        <v>744</v>
      </c>
      <c r="H158" s="215"/>
      <c r="I158" s="215" t="s">
        <v>491</v>
      </c>
      <c r="J158" s="215" t="s">
        <v>1908</v>
      </c>
      <c r="K158" s="215"/>
      <c r="L158" s="216">
        <v>46239.347916666666</v>
      </c>
      <c r="M158" s="216">
        <v>46239.356249999997</v>
      </c>
      <c r="N158" s="215" t="s">
        <v>590</v>
      </c>
      <c r="O158" s="180" t="s">
        <v>205</v>
      </c>
      <c r="P158" s="92"/>
      <c r="Q158" s="164" t="s">
        <v>205</v>
      </c>
      <c r="R158" s="92"/>
      <c r="S158" s="164" t="s">
        <v>205</v>
      </c>
      <c r="T158" s="92"/>
      <c r="U158" s="145" t="s">
        <v>205</v>
      </c>
      <c r="V158" s="92"/>
      <c r="W158" s="145" t="s">
        <v>205</v>
      </c>
      <c r="X158" s="92"/>
      <c r="Y158" s="352" t="s">
        <v>205</v>
      </c>
      <c r="Z158" s="142" t="str">
        <f t="shared" si="7"/>
        <v>C</v>
      </c>
      <c r="AA158" s="226" t="str">
        <f t="shared" si="8"/>
        <v>UTILIZOU O PDA CORRETAMENTE</v>
      </c>
      <c r="AB158" s="9" t="s">
        <v>205</v>
      </c>
      <c r="AC158" s="162" t="s">
        <v>6</v>
      </c>
      <c r="AD158" s="150" t="str">
        <f t="shared" si="9"/>
        <v>SÃO PAULO</v>
      </c>
      <c r="AE158" s="95" t="s">
        <v>64</v>
      </c>
    </row>
    <row r="159" spans="1:31" s="55" customFormat="1" ht="30" customHeight="1">
      <c r="A159" s="215" t="s">
        <v>198</v>
      </c>
      <c r="B159" s="215">
        <v>2619212754</v>
      </c>
      <c r="C159" s="215" t="s">
        <v>131</v>
      </c>
      <c r="D159" s="215" t="s">
        <v>64</v>
      </c>
      <c r="E159" s="215" t="s">
        <v>5</v>
      </c>
      <c r="F159" s="215" t="s">
        <v>2043</v>
      </c>
      <c r="G159" s="215">
        <v>293</v>
      </c>
      <c r="H159" s="215" t="s">
        <v>200</v>
      </c>
      <c r="I159" s="215" t="s">
        <v>589</v>
      </c>
      <c r="J159" s="215" t="s">
        <v>1898</v>
      </c>
      <c r="K159" s="215" t="s">
        <v>2044</v>
      </c>
      <c r="L159" s="216">
        <v>46239.486111111109</v>
      </c>
      <c r="M159" s="216">
        <v>46239.486805555556</v>
      </c>
      <c r="N159" s="215" t="s">
        <v>1947</v>
      </c>
      <c r="O159" s="157" t="s">
        <v>206</v>
      </c>
      <c r="P159" s="92"/>
      <c r="Q159" s="145" t="s">
        <v>206</v>
      </c>
      <c r="R159" s="92"/>
      <c r="S159" s="145" t="s">
        <v>206</v>
      </c>
      <c r="T159" s="92"/>
      <c r="U159" s="145" t="s">
        <v>206</v>
      </c>
      <c r="V159" s="92"/>
      <c r="W159" s="145" t="s">
        <v>206</v>
      </c>
      <c r="X159" s="92" t="s">
        <v>2045</v>
      </c>
      <c r="Y159" s="352" t="s">
        <v>239</v>
      </c>
      <c r="Z159" s="142" t="str">
        <f t="shared" si="7"/>
        <v>NC</v>
      </c>
      <c r="AA159" s="226" t="str">
        <f t="shared" si="8"/>
        <v>NÃO UTILIZOU O PDA</v>
      </c>
      <c r="AB159" s="9" t="s">
        <v>205</v>
      </c>
      <c r="AC159" s="162" t="s">
        <v>6</v>
      </c>
      <c r="AD159" s="150" t="str">
        <f t="shared" si="9"/>
        <v>SÃO PAULO</v>
      </c>
      <c r="AE159" s="95" t="s">
        <v>64</v>
      </c>
    </row>
    <row r="160" spans="1:31" s="55" customFormat="1" ht="30" customHeight="1">
      <c r="A160" s="215" t="s">
        <v>198</v>
      </c>
      <c r="B160" s="215">
        <v>2619217393</v>
      </c>
      <c r="C160" s="215" t="s">
        <v>128</v>
      </c>
      <c r="D160" s="215" t="s">
        <v>64</v>
      </c>
      <c r="E160" s="215" t="s">
        <v>5</v>
      </c>
      <c r="F160" s="215" t="s">
        <v>2046</v>
      </c>
      <c r="G160" s="215">
        <v>24</v>
      </c>
      <c r="H160" s="215" t="s">
        <v>318</v>
      </c>
      <c r="I160" s="215" t="s">
        <v>620</v>
      </c>
      <c r="J160" s="215" t="s">
        <v>1900</v>
      </c>
      <c r="K160" s="215"/>
      <c r="L160" s="216">
        <v>46239.534722222219</v>
      </c>
      <c r="M160" s="216">
        <v>46239.541666666664</v>
      </c>
      <c r="N160" s="215" t="s">
        <v>590</v>
      </c>
      <c r="O160" s="180" t="s">
        <v>205</v>
      </c>
      <c r="P160" s="92"/>
      <c r="Q160" s="164" t="s">
        <v>205</v>
      </c>
      <c r="R160" s="92"/>
      <c r="S160" s="164" t="s">
        <v>205</v>
      </c>
      <c r="T160" s="92"/>
      <c r="U160" s="145" t="s">
        <v>205</v>
      </c>
      <c r="V160" s="92"/>
      <c r="W160" s="145" t="s">
        <v>206</v>
      </c>
      <c r="X160" s="92" t="s">
        <v>2047</v>
      </c>
      <c r="Y160" s="352" t="s">
        <v>239</v>
      </c>
      <c r="Z160" s="142" t="str">
        <f t="shared" si="7"/>
        <v>NC</v>
      </c>
      <c r="AA160" s="226" t="str">
        <f t="shared" si="8"/>
        <v>NÃO UTILIZOU O PDA</v>
      </c>
      <c r="AB160" s="9" t="s">
        <v>205</v>
      </c>
      <c r="AC160" s="162" t="s">
        <v>6</v>
      </c>
      <c r="AD160" s="150" t="str">
        <f t="shared" si="9"/>
        <v>SÃO PAULO</v>
      </c>
      <c r="AE160" s="95" t="s">
        <v>64</v>
      </c>
    </row>
    <row r="161" spans="1:31" s="55" customFormat="1" ht="30" customHeight="1">
      <c r="A161" s="215" t="s">
        <v>198</v>
      </c>
      <c r="B161" s="215">
        <v>2692680487</v>
      </c>
      <c r="C161" s="215" t="s">
        <v>128</v>
      </c>
      <c r="D161" s="215" t="s">
        <v>64</v>
      </c>
      <c r="E161" s="215" t="s">
        <v>5</v>
      </c>
      <c r="F161" s="215" t="s">
        <v>1386</v>
      </c>
      <c r="G161" s="215">
        <v>94</v>
      </c>
      <c r="H161" s="215"/>
      <c r="I161" s="215" t="s">
        <v>343</v>
      </c>
      <c r="J161" s="215" t="s">
        <v>1898</v>
      </c>
      <c r="K161" s="215"/>
      <c r="L161" s="216">
        <v>46239.341666666667</v>
      </c>
      <c r="M161" s="216">
        <v>46239.347916666666</v>
      </c>
      <c r="N161" s="215" t="s">
        <v>1919</v>
      </c>
      <c r="O161" s="180" t="s">
        <v>205</v>
      </c>
      <c r="P161" s="92"/>
      <c r="Q161" s="164" t="s">
        <v>205</v>
      </c>
      <c r="R161" s="92"/>
      <c r="S161" s="164" t="s">
        <v>205</v>
      </c>
      <c r="T161" s="92"/>
      <c r="U161" s="145" t="s">
        <v>205</v>
      </c>
      <c r="V161" s="92"/>
      <c r="W161" s="145" t="s">
        <v>205</v>
      </c>
      <c r="X161" s="92"/>
      <c r="Y161" s="352" t="s">
        <v>205</v>
      </c>
      <c r="Z161" s="142" t="str">
        <f t="shared" si="7"/>
        <v>C</v>
      </c>
      <c r="AA161" s="226" t="str">
        <f t="shared" si="8"/>
        <v>UTILIZOU O PDA CORRETAMENTE</v>
      </c>
      <c r="AB161" s="9" t="s">
        <v>205</v>
      </c>
      <c r="AC161" s="162" t="s">
        <v>6</v>
      </c>
      <c r="AD161" s="150" t="str">
        <f t="shared" si="9"/>
        <v>SÃO PAULO</v>
      </c>
      <c r="AE161" s="95" t="s">
        <v>64</v>
      </c>
    </row>
    <row r="162" spans="1:31" s="55" customFormat="1" ht="30" customHeight="1">
      <c r="A162" s="215" t="s">
        <v>198</v>
      </c>
      <c r="B162" s="215">
        <v>2619212531</v>
      </c>
      <c r="C162" s="215" t="s">
        <v>128</v>
      </c>
      <c r="D162" s="215" t="s">
        <v>64</v>
      </c>
      <c r="E162" s="215" t="s">
        <v>5</v>
      </c>
      <c r="F162" s="215" t="s">
        <v>628</v>
      </c>
      <c r="G162" s="215">
        <v>413</v>
      </c>
      <c r="H162" s="215" t="s">
        <v>226</v>
      </c>
      <c r="I162" s="215" t="s">
        <v>232</v>
      </c>
      <c r="J162" s="215" t="s">
        <v>1898</v>
      </c>
      <c r="K162" s="215" t="s">
        <v>200</v>
      </c>
      <c r="L162" s="216">
        <v>46239.45416666667</v>
      </c>
      <c r="M162" s="216">
        <v>46239.462500000001</v>
      </c>
      <c r="N162" s="215" t="s">
        <v>1919</v>
      </c>
      <c r="O162" s="180" t="s">
        <v>205</v>
      </c>
      <c r="P162" s="92"/>
      <c r="Q162" s="164" t="s">
        <v>205</v>
      </c>
      <c r="R162" s="92"/>
      <c r="S162" s="164" t="s">
        <v>205</v>
      </c>
      <c r="T162" s="92"/>
      <c r="U162" s="145" t="s">
        <v>205</v>
      </c>
      <c r="V162" s="92"/>
      <c r="W162" s="145" t="s">
        <v>205</v>
      </c>
      <c r="X162" s="92"/>
      <c r="Y162" s="352" t="s">
        <v>205</v>
      </c>
      <c r="Z162" s="142" t="str">
        <f t="shared" si="7"/>
        <v>C</v>
      </c>
      <c r="AA162" s="226" t="str">
        <f t="shared" si="8"/>
        <v>UTILIZOU O PDA CORRETAMENTE</v>
      </c>
      <c r="AB162" s="9" t="s">
        <v>205</v>
      </c>
      <c r="AC162" s="162" t="s">
        <v>6</v>
      </c>
      <c r="AD162" s="150" t="str">
        <f t="shared" si="9"/>
        <v>SÃO PAULO</v>
      </c>
      <c r="AE162" s="95" t="s">
        <v>64</v>
      </c>
    </row>
    <row r="163" spans="1:31" s="55" customFormat="1" ht="30" customHeight="1">
      <c r="A163" s="215" t="s">
        <v>198</v>
      </c>
      <c r="B163" s="215">
        <v>2692763685</v>
      </c>
      <c r="C163" s="215" t="s">
        <v>128</v>
      </c>
      <c r="D163" s="215" t="s">
        <v>64</v>
      </c>
      <c r="E163" s="215" t="s">
        <v>5</v>
      </c>
      <c r="F163" s="215" t="s">
        <v>2048</v>
      </c>
      <c r="G163" s="215">
        <v>154</v>
      </c>
      <c r="H163" s="215"/>
      <c r="I163" s="215" t="s">
        <v>1505</v>
      </c>
      <c r="J163" s="215" t="s">
        <v>1898</v>
      </c>
      <c r="K163" s="215"/>
      <c r="L163" s="216">
        <v>46239.388194444444</v>
      </c>
      <c r="M163" s="216">
        <v>46239.395833333336</v>
      </c>
      <c r="N163" s="215" t="s">
        <v>852</v>
      </c>
      <c r="O163" s="180" t="s">
        <v>205</v>
      </c>
      <c r="P163" s="92"/>
      <c r="Q163" s="164" t="s">
        <v>205</v>
      </c>
      <c r="R163" s="92"/>
      <c r="S163" s="164" t="s">
        <v>205</v>
      </c>
      <c r="T163" s="92"/>
      <c r="U163" s="145" t="s">
        <v>205</v>
      </c>
      <c r="V163" s="92"/>
      <c r="W163" s="145" t="s">
        <v>205</v>
      </c>
      <c r="X163" s="92"/>
      <c r="Y163" s="352" t="s">
        <v>205</v>
      </c>
      <c r="Z163" s="142" t="str">
        <f t="shared" si="7"/>
        <v>C</v>
      </c>
      <c r="AA163" s="226" t="str">
        <f t="shared" si="8"/>
        <v>UTILIZOU O PDA CORRETAMENTE</v>
      </c>
      <c r="AB163" s="9" t="s">
        <v>205</v>
      </c>
      <c r="AC163" s="162" t="s">
        <v>6</v>
      </c>
      <c r="AD163" s="150" t="str">
        <f t="shared" si="9"/>
        <v>SÃO PAULO</v>
      </c>
      <c r="AE163" s="95" t="s">
        <v>64</v>
      </c>
    </row>
    <row r="164" spans="1:31" s="55" customFormat="1" ht="30" customHeight="1">
      <c r="A164" s="215" t="s">
        <v>198</v>
      </c>
      <c r="B164" s="215">
        <v>2692712424</v>
      </c>
      <c r="C164" s="215" t="s">
        <v>128</v>
      </c>
      <c r="D164" s="215" t="s">
        <v>64</v>
      </c>
      <c r="E164" s="215" t="s">
        <v>5</v>
      </c>
      <c r="F164" s="215" t="s">
        <v>2049</v>
      </c>
      <c r="G164" s="215">
        <v>25</v>
      </c>
      <c r="H164" s="215" t="s">
        <v>200</v>
      </c>
      <c r="I164" s="215" t="s">
        <v>274</v>
      </c>
      <c r="J164" s="215" t="s">
        <v>1900</v>
      </c>
      <c r="K164" s="215" t="s">
        <v>2050</v>
      </c>
      <c r="L164" s="216">
        <v>46239.419444444444</v>
      </c>
      <c r="M164" s="216">
        <v>46239.427083333336</v>
      </c>
      <c r="N164" s="215" t="s">
        <v>852</v>
      </c>
      <c r="O164" s="180" t="s">
        <v>205</v>
      </c>
      <c r="P164" s="92"/>
      <c r="Q164" s="164" t="s">
        <v>205</v>
      </c>
      <c r="R164" s="92"/>
      <c r="S164" s="164" t="s">
        <v>205</v>
      </c>
      <c r="T164" s="92"/>
      <c r="U164" s="145" t="s">
        <v>205</v>
      </c>
      <c r="V164" s="92"/>
      <c r="W164" s="145" t="s">
        <v>205</v>
      </c>
      <c r="X164" s="92"/>
      <c r="Y164" s="352" t="s">
        <v>205</v>
      </c>
      <c r="Z164" s="142" t="str">
        <f t="shared" si="7"/>
        <v>C</v>
      </c>
      <c r="AA164" s="226" t="str">
        <f t="shared" si="8"/>
        <v>UTILIZOU O PDA CORRETAMENTE</v>
      </c>
      <c r="AB164" s="9" t="s">
        <v>205</v>
      </c>
      <c r="AC164" s="162" t="s">
        <v>6</v>
      </c>
      <c r="AD164" s="150" t="str">
        <f t="shared" si="9"/>
        <v>SÃO PAULO</v>
      </c>
      <c r="AE164" s="95" t="s">
        <v>64</v>
      </c>
    </row>
    <row r="165" spans="1:31" s="55" customFormat="1" ht="30" customHeight="1">
      <c r="A165" s="215" t="s">
        <v>198</v>
      </c>
      <c r="B165" s="215">
        <v>2619216738</v>
      </c>
      <c r="C165" s="215" t="s">
        <v>127</v>
      </c>
      <c r="D165" s="215" t="s">
        <v>64</v>
      </c>
      <c r="E165" s="215" t="s">
        <v>5</v>
      </c>
      <c r="F165" s="215" t="s">
        <v>2051</v>
      </c>
      <c r="G165" s="215">
        <v>26</v>
      </c>
      <c r="H165" s="215" t="s">
        <v>318</v>
      </c>
      <c r="I165" s="215" t="s">
        <v>223</v>
      </c>
      <c r="J165" s="215" t="s">
        <v>1898</v>
      </c>
      <c r="K165" s="215"/>
      <c r="L165" s="216">
        <v>46239.468055555553</v>
      </c>
      <c r="M165" s="216">
        <v>46239.474305555559</v>
      </c>
      <c r="N165" s="215" t="s">
        <v>852</v>
      </c>
      <c r="O165" s="180" t="s">
        <v>205</v>
      </c>
      <c r="P165" s="92"/>
      <c r="Q165" s="164" t="s">
        <v>205</v>
      </c>
      <c r="R165" s="92"/>
      <c r="S165" s="164" t="s">
        <v>205</v>
      </c>
      <c r="T165" s="92"/>
      <c r="U165" s="145" t="s">
        <v>205</v>
      </c>
      <c r="V165" s="92"/>
      <c r="W165" s="145" t="s">
        <v>205</v>
      </c>
      <c r="X165" s="92"/>
      <c r="Y165" s="352" t="s">
        <v>205</v>
      </c>
      <c r="Z165" s="142" t="str">
        <f t="shared" si="7"/>
        <v>C</v>
      </c>
      <c r="AA165" s="226" t="str">
        <f t="shared" si="8"/>
        <v>UTILIZOU O PDA CORRETAMENTE</v>
      </c>
      <c r="AB165" s="9" t="s">
        <v>205</v>
      </c>
      <c r="AC165" s="162" t="s">
        <v>6</v>
      </c>
      <c r="AD165" s="150" t="str">
        <f t="shared" si="9"/>
        <v>SÃO PAULO</v>
      </c>
      <c r="AE165" s="95" t="s">
        <v>64</v>
      </c>
    </row>
    <row r="166" spans="1:31" s="55" customFormat="1" ht="30" customHeight="1">
      <c r="A166" s="215" t="s">
        <v>198</v>
      </c>
      <c r="B166" s="215">
        <v>2692757610</v>
      </c>
      <c r="C166" s="215" t="s">
        <v>128</v>
      </c>
      <c r="D166" s="215" t="s">
        <v>64</v>
      </c>
      <c r="E166" s="215" t="s">
        <v>5</v>
      </c>
      <c r="F166" s="215" t="s">
        <v>2052</v>
      </c>
      <c r="G166" s="215">
        <v>237</v>
      </c>
      <c r="H166" s="215" t="s">
        <v>226</v>
      </c>
      <c r="I166" s="215" t="s">
        <v>346</v>
      </c>
      <c r="J166" s="215" t="s">
        <v>1898</v>
      </c>
      <c r="K166" s="215" t="s">
        <v>200</v>
      </c>
      <c r="L166" s="216">
        <v>46239.380555555559</v>
      </c>
      <c r="M166" s="216">
        <v>46239.393055555556</v>
      </c>
      <c r="N166" s="215" t="s">
        <v>900</v>
      </c>
      <c r="O166" s="180" t="s">
        <v>205</v>
      </c>
      <c r="P166" s="92"/>
      <c r="Q166" s="164" t="s">
        <v>205</v>
      </c>
      <c r="R166" s="92"/>
      <c r="S166" s="164" t="s">
        <v>205</v>
      </c>
      <c r="T166" s="92"/>
      <c r="U166" s="145" t="s">
        <v>205</v>
      </c>
      <c r="V166" s="92"/>
      <c r="W166" s="145" t="s">
        <v>205</v>
      </c>
      <c r="X166" s="92"/>
      <c r="Y166" s="352" t="s">
        <v>205</v>
      </c>
      <c r="Z166" s="142" t="str">
        <f t="shared" si="7"/>
        <v>C</v>
      </c>
      <c r="AA166" s="226" t="str">
        <f t="shared" si="8"/>
        <v>UTILIZOU O PDA CORRETAMENTE</v>
      </c>
      <c r="AB166" s="9" t="s">
        <v>205</v>
      </c>
      <c r="AC166" s="162" t="s">
        <v>6</v>
      </c>
      <c r="AD166" s="150" t="str">
        <f t="shared" si="9"/>
        <v>SÃO PAULO</v>
      </c>
      <c r="AE166" s="95" t="s">
        <v>64</v>
      </c>
    </row>
    <row r="167" spans="1:31" s="55" customFormat="1" ht="30" customHeight="1">
      <c r="A167" s="215" t="s">
        <v>198</v>
      </c>
      <c r="B167" s="215">
        <v>2619300823</v>
      </c>
      <c r="C167" s="215" t="s">
        <v>128</v>
      </c>
      <c r="D167" s="215" t="s">
        <v>64</v>
      </c>
      <c r="E167" s="215" t="s">
        <v>5</v>
      </c>
      <c r="F167" s="215" t="s">
        <v>2053</v>
      </c>
      <c r="G167" s="215">
        <v>72</v>
      </c>
      <c r="H167" s="215"/>
      <c r="I167" s="215" t="s">
        <v>201</v>
      </c>
      <c r="J167" s="215" t="s">
        <v>1898</v>
      </c>
      <c r="K167" s="215"/>
      <c r="L167" s="216">
        <v>46239.404861111114</v>
      </c>
      <c r="M167" s="216">
        <v>46239.406944444447</v>
      </c>
      <c r="N167" s="215" t="s">
        <v>852</v>
      </c>
      <c r="O167" s="180" t="s">
        <v>205</v>
      </c>
      <c r="P167" s="92"/>
      <c r="Q167" s="164" t="s">
        <v>205</v>
      </c>
      <c r="R167" s="92"/>
      <c r="S167" s="164" t="s">
        <v>205</v>
      </c>
      <c r="T167" s="92"/>
      <c r="U167" s="145" t="s">
        <v>205</v>
      </c>
      <c r="V167" s="92"/>
      <c r="W167" s="145" t="s">
        <v>205</v>
      </c>
      <c r="X167" s="92"/>
      <c r="Y167" s="352" t="s">
        <v>205</v>
      </c>
      <c r="Z167" s="142" t="str">
        <f t="shared" si="7"/>
        <v>C</v>
      </c>
      <c r="AA167" s="226" t="str">
        <f t="shared" si="8"/>
        <v>UTILIZOU O PDA CORRETAMENTE</v>
      </c>
      <c r="AB167" s="9" t="s">
        <v>205</v>
      </c>
      <c r="AC167" s="162" t="s">
        <v>6</v>
      </c>
      <c r="AD167" s="150" t="str">
        <f t="shared" si="9"/>
        <v>SÃO PAULO</v>
      </c>
      <c r="AE167" s="95" t="s">
        <v>64</v>
      </c>
    </row>
    <row r="168" spans="1:31" s="55" customFormat="1" ht="30" customHeight="1">
      <c r="A168" s="215" t="s">
        <v>198</v>
      </c>
      <c r="B168" s="215">
        <v>2692787371</v>
      </c>
      <c r="C168" s="215" t="s">
        <v>132</v>
      </c>
      <c r="D168" s="215" t="s">
        <v>64</v>
      </c>
      <c r="E168" s="215" t="s">
        <v>5</v>
      </c>
      <c r="F168" s="215" t="s">
        <v>218</v>
      </c>
      <c r="G168" s="215">
        <v>89</v>
      </c>
      <c r="H168" s="215" t="s">
        <v>214</v>
      </c>
      <c r="I168" s="215" t="s">
        <v>219</v>
      </c>
      <c r="J168" s="215" t="s">
        <v>1898</v>
      </c>
      <c r="K168" s="215" t="s">
        <v>200</v>
      </c>
      <c r="L168" s="216">
        <v>46239.577777777777</v>
      </c>
      <c r="M168" s="216">
        <v>46239.584722222222</v>
      </c>
      <c r="N168" s="215" t="s">
        <v>852</v>
      </c>
      <c r="O168" s="180" t="s">
        <v>205</v>
      </c>
      <c r="P168" s="92"/>
      <c r="Q168" s="164" t="s">
        <v>205</v>
      </c>
      <c r="R168" s="92"/>
      <c r="S168" s="164" t="s">
        <v>205</v>
      </c>
      <c r="T168" s="92"/>
      <c r="U168" s="145" t="s">
        <v>205</v>
      </c>
      <c r="V168" s="92"/>
      <c r="W168" s="145" t="s">
        <v>205</v>
      </c>
      <c r="X168" s="92"/>
      <c r="Y168" s="352" t="s">
        <v>205</v>
      </c>
      <c r="Z168" s="142" t="str">
        <f t="shared" si="7"/>
        <v>C</v>
      </c>
      <c r="AA168" s="226" t="str">
        <f t="shared" si="8"/>
        <v>UTILIZOU O PDA CORRETAMENTE</v>
      </c>
      <c r="AB168" s="9" t="s">
        <v>205</v>
      </c>
      <c r="AC168" s="162" t="s">
        <v>6</v>
      </c>
      <c r="AD168" s="150" t="str">
        <f t="shared" si="9"/>
        <v>SÃO PAULO</v>
      </c>
      <c r="AE168" s="95" t="s">
        <v>64</v>
      </c>
    </row>
    <row r="169" spans="1:31" s="55" customFormat="1" ht="30" customHeight="1">
      <c r="A169" s="215" t="s">
        <v>198</v>
      </c>
      <c r="B169" s="215">
        <v>2692791079</v>
      </c>
      <c r="C169" s="215" t="s">
        <v>131</v>
      </c>
      <c r="D169" s="215" t="s">
        <v>64</v>
      </c>
      <c r="E169" s="215" t="s">
        <v>5</v>
      </c>
      <c r="F169" s="215" t="s">
        <v>2054</v>
      </c>
      <c r="G169" s="215">
        <v>233</v>
      </c>
      <c r="H169" s="215"/>
      <c r="I169" s="215" t="s">
        <v>2055</v>
      </c>
      <c r="J169" s="215" t="s">
        <v>1908</v>
      </c>
      <c r="K169" s="215"/>
      <c r="L169" s="216">
        <v>46239.574999999997</v>
      </c>
      <c r="M169" s="216">
        <v>46239.582638888889</v>
      </c>
      <c r="N169" s="215" t="s">
        <v>590</v>
      </c>
      <c r="O169" s="180" t="s">
        <v>205</v>
      </c>
      <c r="P169" s="92"/>
      <c r="Q169" s="164" t="s">
        <v>205</v>
      </c>
      <c r="R169" s="92"/>
      <c r="S169" s="164" t="s">
        <v>205</v>
      </c>
      <c r="T169" s="92"/>
      <c r="U169" s="145" t="s">
        <v>205</v>
      </c>
      <c r="V169" s="92"/>
      <c r="W169" s="145" t="s">
        <v>205</v>
      </c>
      <c r="X169" s="92"/>
      <c r="Y169" s="352" t="s">
        <v>205</v>
      </c>
      <c r="Z169" s="142" t="str">
        <f t="shared" si="7"/>
        <v>C</v>
      </c>
      <c r="AA169" s="226" t="str">
        <f t="shared" si="8"/>
        <v>UTILIZOU O PDA CORRETAMENTE</v>
      </c>
      <c r="AB169" s="9" t="s">
        <v>205</v>
      </c>
      <c r="AC169" s="162" t="s">
        <v>6</v>
      </c>
      <c r="AD169" s="150" t="str">
        <f t="shared" si="9"/>
        <v>SÃO PAULO</v>
      </c>
      <c r="AE169" s="95" t="s">
        <v>64</v>
      </c>
    </row>
    <row r="170" spans="1:31" s="55" customFormat="1" ht="30" customHeight="1">
      <c r="A170" s="215" t="s">
        <v>198</v>
      </c>
      <c r="B170" s="215">
        <v>2619305736</v>
      </c>
      <c r="C170" s="215" t="s">
        <v>128</v>
      </c>
      <c r="D170" s="215" t="s">
        <v>64</v>
      </c>
      <c r="E170" s="215" t="s">
        <v>5</v>
      </c>
      <c r="F170" s="215" t="s">
        <v>2056</v>
      </c>
      <c r="G170" s="215">
        <v>369</v>
      </c>
      <c r="H170" s="215" t="s">
        <v>302</v>
      </c>
      <c r="I170" s="215" t="s">
        <v>346</v>
      </c>
      <c r="J170" s="215" t="s">
        <v>1908</v>
      </c>
      <c r="K170" s="215" t="s">
        <v>200</v>
      </c>
      <c r="L170" s="216">
        <v>46239.64166666667</v>
      </c>
      <c r="M170" s="216">
        <v>46239.651388888888</v>
      </c>
      <c r="N170" s="215" t="s">
        <v>1956</v>
      </c>
      <c r="O170" s="180" t="s">
        <v>205</v>
      </c>
      <c r="P170" s="92"/>
      <c r="Q170" s="164" t="s">
        <v>205</v>
      </c>
      <c r="R170" s="92"/>
      <c r="S170" s="164" t="s">
        <v>205</v>
      </c>
      <c r="T170" s="92"/>
      <c r="U170" s="145" t="s">
        <v>205</v>
      </c>
      <c r="V170" s="92"/>
      <c r="W170" s="145" t="s">
        <v>205</v>
      </c>
      <c r="X170" s="92"/>
      <c r="Y170" s="352" t="s">
        <v>205</v>
      </c>
      <c r="Z170" s="142" t="str">
        <f t="shared" si="7"/>
        <v>C</v>
      </c>
      <c r="AA170" s="226" t="str">
        <f t="shared" si="8"/>
        <v>UTILIZOU O PDA CORRETAMENTE</v>
      </c>
      <c r="AB170" s="9" t="s">
        <v>205</v>
      </c>
      <c r="AC170" s="162" t="s">
        <v>6</v>
      </c>
      <c r="AD170" s="150" t="str">
        <f t="shared" si="9"/>
        <v>SÃO PAULO</v>
      </c>
      <c r="AE170" s="95" t="s">
        <v>64</v>
      </c>
    </row>
    <row r="171" spans="1:31" s="55" customFormat="1" ht="30" customHeight="1">
      <c r="A171" s="215" t="s">
        <v>198</v>
      </c>
      <c r="B171" s="215">
        <v>2692792356</v>
      </c>
      <c r="C171" s="215" t="s">
        <v>131</v>
      </c>
      <c r="D171" s="215" t="s">
        <v>64</v>
      </c>
      <c r="E171" s="215" t="s">
        <v>5</v>
      </c>
      <c r="F171" s="215" t="s">
        <v>2057</v>
      </c>
      <c r="G171" s="215">
        <v>197</v>
      </c>
      <c r="H171" s="215" t="s">
        <v>226</v>
      </c>
      <c r="I171" s="215" t="s">
        <v>817</v>
      </c>
      <c r="J171" s="215" t="s">
        <v>1898</v>
      </c>
      <c r="K171" s="215"/>
      <c r="L171" s="216">
        <v>46239.593055555553</v>
      </c>
      <c r="M171" s="216">
        <v>46239.606944444444</v>
      </c>
      <c r="N171" s="215" t="s">
        <v>1956</v>
      </c>
      <c r="O171" s="180" t="s">
        <v>205</v>
      </c>
      <c r="P171" s="92"/>
      <c r="Q171" s="164" t="s">
        <v>205</v>
      </c>
      <c r="R171" s="92"/>
      <c r="S171" s="164" t="s">
        <v>205</v>
      </c>
      <c r="T171" s="92"/>
      <c r="U171" s="145" t="s">
        <v>205</v>
      </c>
      <c r="V171" s="92"/>
      <c r="W171" s="145" t="s">
        <v>205</v>
      </c>
      <c r="X171" s="92"/>
      <c r="Y171" s="352" t="s">
        <v>205</v>
      </c>
      <c r="Z171" s="142" t="str">
        <f t="shared" si="7"/>
        <v>C</v>
      </c>
      <c r="AA171" s="226" t="str">
        <f t="shared" si="8"/>
        <v>UTILIZOU O PDA CORRETAMENTE</v>
      </c>
      <c r="AB171" s="9" t="s">
        <v>205</v>
      </c>
      <c r="AC171" s="162" t="s">
        <v>6</v>
      </c>
      <c r="AD171" s="150" t="str">
        <f t="shared" si="9"/>
        <v>SÃO PAULO</v>
      </c>
      <c r="AE171" s="95" t="s">
        <v>64</v>
      </c>
    </row>
    <row r="172" spans="1:31" s="55" customFormat="1" ht="30" customHeight="1">
      <c r="A172" s="215" t="s">
        <v>198</v>
      </c>
      <c r="B172" s="215">
        <v>2619311736</v>
      </c>
      <c r="C172" s="215" t="s">
        <v>128</v>
      </c>
      <c r="D172" s="215" t="s">
        <v>64</v>
      </c>
      <c r="E172" s="215" t="s">
        <v>5</v>
      </c>
      <c r="F172" s="215" t="s">
        <v>2058</v>
      </c>
      <c r="G172" s="215">
        <v>367</v>
      </c>
      <c r="H172" s="215" t="s">
        <v>226</v>
      </c>
      <c r="I172" s="215" t="s">
        <v>1974</v>
      </c>
      <c r="J172" s="215" t="s">
        <v>1898</v>
      </c>
      <c r="K172" s="215" t="s">
        <v>200</v>
      </c>
      <c r="L172" s="216">
        <v>46239.609722222223</v>
      </c>
      <c r="M172" s="216">
        <v>46239.618750000001</v>
      </c>
      <c r="N172" s="215" t="s">
        <v>852</v>
      </c>
      <c r="O172" s="180" t="s">
        <v>205</v>
      </c>
      <c r="P172" s="92"/>
      <c r="Q172" s="164" t="s">
        <v>205</v>
      </c>
      <c r="R172" s="92"/>
      <c r="S172" s="164" t="s">
        <v>205</v>
      </c>
      <c r="T172" s="92"/>
      <c r="U172" s="145" t="s">
        <v>205</v>
      </c>
      <c r="V172" s="92"/>
      <c r="W172" s="145" t="s">
        <v>205</v>
      </c>
      <c r="X172" s="92"/>
      <c r="Y172" s="352" t="s">
        <v>205</v>
      </c>
      <c r="Z172" s="142" t="str">
        <f t="shared" si="7"/>
        <v>C</v>
      </c>
      <c r="AA172" s="226" t="str">
        <f t="shared" si="8"/>
        <v>UTILIZOU O PDA CORRETAMENTE</v>
      </c>
      <c r="AB172" s="9" t="s">
        <v>205</v>
      </c>
      <c r="AC172" s="162" t="s">
        <v>6</v>
      </c>
      <c r="AD172" s="150" t="str">
        <f t="shared" si="9"/>
        <v>SÃO PAULO</v>
      </c>
      <c r="AE172" s="95" t="s">
        <v>64</v>
      </c>
    </row>
    <row r="173" spans="1:31" s="55" customFormat="1" ht="30" customHeight="1">
      <c r="A173" s="215" t="s">
        <v>198</v>
      </c>
      <c r="B173" s="215">
        <v>2619315971</v>
      </c>
      <c r="C173" s="215" t="s">
        <v>129</v>
      </c>
      <c r="D173" s="215" t="s">
        <v>125</v>
      </c>
      <c r="E173" s="215" t="s">
        <v>5</v>
      </c>
      <c r="F173" s="215" t="s">
        <v>513</v>
      </c>
      <c r="G173" s="215">
        <v>1878</v>
      </c>
      <c r="H173" s="215" t="s">
        <v>2059</v>
      </c>
      <c r="I173" s="215" t="s">
        <v>251</v>
      </c>
      <c r="J173" s="215" t="s">
        <v>1903</v>
      </c>
      <c r="K173" s="215"/>
      <c r="L173" s="216">
        <v>46239.527777777781</v>
      </c>
      <c r="M173" s="216">
        <v>46239.53125</v>
      </c>
      <c r="N173" s="215" t="s">
        <v>590</v>
      </c>
      <c r="O173" s="180" t="s">
        <v>205</v>
      </c>
      <c r="P173" s="92"/>
      <c r="Q173" s="164" t="s">
        <v>205</v>
      </c>
      <c r="R173" s="92"/>
      <c r="S173" s="164" t="s">
        <v>205</v>
      </c>
      <c r="T173" s="92"/>
      <c r="U173" s="145" t="s">
        <v>205</v>
      </c>
      <c r="V173" s="92"/>
      <c r="W173" s="145" t="s">
        <v>205</v>
      </c>
      <c r="X173" s="92"/>
      <c r="Y173" s="352" t="s">
        <v>205</v>
      </c>
      <c r="Z173" s="142" t="str">
        <f t="shared" si="7"/>
        <v>C</v>
      </c>
      <c r="AA173" s="226" t="str">
        <f t="shared" si="8"/>
        <v>UTILIZOU O PDA CORRETAMENTE</v>
      </c>
      <c r="AB173" s="9" t="s">
        <v>205</v>
      </c>
      <c r="AC173" s="162" t="s">
        <v>6</v>
      </c>
      <c r="AD173" s="150" t="str">
        <f t="shared" si="9"/>
        <v>SÃO PAULO</v>
      </c>
      <c r="AE173" s="95" t="s">
        <v>64</v>
      </c>
    </row>
    <row r="174" spans="1:31" s="55" customFormat="1" ht="30" customHeight="1">
      <c r="A174" s="215" t="s">
        <v>198</v>
      </c>
      <c r="B174" s="215">
        <v>2692808410</v>
      </c>
      <c r="C174" s="215" t="s">
        <v>131</v>
      </c>
      <c r="D174" s="215" t="s">
        <v>64</v>
      </c>
      <c r="E174" s="215" t="s">
        <v>5</v>
      </c>
      <c r="F174" s="215" t="s">
        <v>1935</v>
      </c>
      <c r="G174" s="215">
        <v>30</v>
      </c>
      <c r="H174" s="215" t="s">
        <v>200</v>
      </c>
      <c r="I174" s="215" t="s">
        <v>577</v>
      </c>
      <c r="J174" s="215" t="s">
        <v>1898</v>
      </c>
      <c r="K174" s="215" t="s">
        <v>200</v>
      </c>
      <c r="L174" s="216">
        <v>46239.644444444442</v>
      </c>
      <c r="M174" s="216">
        <v>46239.662499999999</v>
      </c>
      <c r="N174" s="215" t="s">
        <v>590</v>
      </c>
      <c r="O174" s="180" t="s">
        <v>205</v>
      </c>
      <c r="P174" s="92"/>
      <c r="Q174" s="164" t="s">
        <v>205</v>
      </c>
      <c r="R174" s="92"/>
      <c r="S174" s="164" t="s">
        <v>205</v>
      </c>
      <c r="T174" s="92"/>
      <c r="U174" s="145" t="s">
        <v>205</v>
      </c>
      <c r="V174" s="92"/>
      <c r="W174" s="145" t="s">
        <v>205</v>
      </c>
      <c r="X174" s="92"/>
      <c r="Y174" s="352" t="s">
        <v>205</v>
      </c>
      <c r="Z174" s="142" t="str">
        <f t="shared" si="7"/>
        <v>C</v>
      </c>
      <c r="AA174" s="226" t="str">
        <f t="shared" si="8"/>
        <v>UTILIZOU O PDA CORRETAMENTE</v>
      </c>
      <c r="AB174" s="9" t="s">
        <v>205</v>
      </c>
      <c r="AC174" s="162" t="s">
        <v>6</v>
      </c>
      <c r="AD174" s="150" t="str">
        <f t="shared" si="9"/>
        <v>SÃO PAULO</v>
      </c>
      <c r="AE174" s="95" t="s">
        <v>64</v>
      </c>
    </row>
    <row r="175" spans="1:31" s="55" customFormat="1" ht="30" customHeight="1">
      <c r="A175" s="215" t="s">
        <v>198</v>
      </c>
      <c r="B175" s="215">
        <v>2619333535</v>
      </c>
      <c r="C175" s="215" t="s">
        <v>2060</v>
      </c>
      <c r="D175" s="215" t="s">
        <v>125</v>
      </c>
      <c r="E175" s="215" t="s">
        <v>5</v>
      </c>
      <c r="F175" s="215" t="s">
        <v>2061</v>
      </c>
      <c r="G175" s="215">
        <v>193</v>
      </c>
      <c r="H175" s="215" t="s">
        <v>200</v>
      </c>
      <c r="I175" s="215" t="s">
        <v>2062</v>
      </c>
      <c r="J175" s="215" t="s">
        <v>2063</v>
      </c>
      <c r="K175" s="215" t="s">
        <v>200</v>
      </c>
      <c r="L175" s="216">
        <v>46239.549305555556</v>
      </c>
      <c r="M175" s="216">
        <v>46239.565972222219</v>
      </c>
      <c r="N175" s="215" t="s">
        <v>799</v>
      </c>
      <c r="O175" s="180" t="s">
        <v>205</v>
      </c>
      <c r="P175" s="92"/>
      <c r="Q175" s="164" t="s">
        <v>205</v>
      </c>
      <c r="R175" s="92"/>
      <c r="S175" s="164" t="s">
        <v>205</v>
      </c>
      <c r="T175" s="92"/>
      <c r="U175" s="145" t="s">
        <v>205</v>
      </c>
      <c r="V175" s="92"/>
      <c r="W175" s="145" t="s">
        <v>205</v>
      </c>
      <c r="X175" s="92"/>
      <c r="Y175" s="352" t="s">
        <v>205</v>
      </c>
      <c r="Z175" s="142" t="str">
        <f t="shared" si="7"/>
        <v>C</v>
      </c>
      <c r="AA175" s="226" t="str">
        <f t="shared" si="8"/>
        <v>UTILIZOU O PDA CORRETAMENTE</v>
      </c>
      <c r="AB175" s="9" t="s">
        <v>205</v>
      </c>
      <c r="AC175" s="162" t="s">
        <v>6</v>
      </c>
      <c r="AD175" s="150" t="str">
        <f t="shared" si="9"/>
        <v>SÃO PAULO</v>
      </c>
      <c r="AE175" s="95" t="s">
        <v>64</v>
      </c>
    </row>
    <row r="176" spans="1:31" s="55" customFormat="1" ht="30" customHeight="1">
      <c r="A176" s="215" t="s">
        <v>198</v>
      </c>
      <c r="B176" s="215">
        <v>2619326811</v>
      </c>
      <c r="C176" s="215" t="s">
        <v>127</v>
      </c>
      <c r="D176" s="215" t="s">
        <v>64</v>
      </c>
      <c r="E176" s="215" t="s">
        <v>5</v>
      </c>
      <c r="F176" s="215" t="s">
        <v>2064</v>
      </c>
      <c r="G176" s="215">
        <v>797</v>
      </c>
      <c r="H176" s="215"/>
      <c r="I176" s="215" t="s">
        <v>914</v>
      </c>
      <c r="J176" s="215" t="s">
        <v>1908</v>
      </c>
      <c r="K176" s="215"/>
      <c r="L176" s="216">
        <v>46239.655555555553</v>
      </c>
      <c r="M176" s="216">
        <v>46239.660416666666</v>
      </c>
      <c r="N176" s="215" t="s">
        <v>1956</v>
      </c>
      <c r="O176" s="180" t="s">
        <v>205</v>
      </c>
      <c r="P176" s="92"/>
      <c r="Q176" s="164" t="s">
        <v>205</v>
      </c>
      <c r="R176" s="92"/>
      <c r="S176" s="164" t="s">
        <v>205</v>
      </c>
      <c r="T176" s="92"/>
      <c r="U176" s="145" t="s">
        <v>205</v>
      </c>
      <c r="V176" s="92"/>
      <c r="W176" s="145" t="s">
        <v>205</v>
      </c>
      <c r="X176" s="92"/>
      <c r="Y176" s="352" t="s">
        <v>205</v>
      </c>
      <c r="Z176" s="142" t="str">
        <f t="shared" si="7"/>
        <v>C</v>
      </c>
      <c r="AA176" s="226" t="str">
        <f t="shared" si="8"/>
        <v>UTILIZOU O PDA CORRETAMENTE</v>
      </c>
      <c r="AB176" s="9" t="s">
        <v>205</v>
      </c>
      <c r="AC176" s="162" t="s">
        <v>6</v>
      </c>
      <c r="AD176" s="150" t="str">
        <f t="shared" si="9"/>
        <v>SÃO PAULO</v>
      </c>
      <c r="AE176" s="95" t="s">
        <v>64</v>
      </c>
    </row>
    <row r="177" spans="1:31" s="55" customFormat="1" ht="30" customHeight="1">
      <c r="A177" s="215" t="s">
        <v>198</v>
      </c>
      <c r="B177" s="215">
        <v>2692734609</v>
      </c>
      <c r="C177" s="215" t="s">
        <v>131</v>
      </c>
      <c r="D177" s="215" t="s">
        <v>64</v>
      </c>
      <c r="E177" s="215" t="s">
        <v>5</v>
      </c>
      <c r="F177" s="215" t="s">
        <v>2065</v>
      </c>
      <c r="G177" s="215">
        <v>24</v>
      </c>
      <c r="H177" s="215"/>
      <c r="I177" s="215" t="s">
        <v>1332</v>
      </c>
      <c r="J177" s="215" t="s">
        <v>1898</v>
      </c>
      <c r="K177" s="215"/>
      <c r="L177" s="216">
        <v>46239.490277777775</v>
      </c>
      <c r="M177" s="216">
        <v>46239.5</v>
      </c>
      <c r="N177" s="215" t="s">
        <v>359</v>
      </c>
      <c r="O177" s="180" t="s">
        <v>205</v>
      </c>
      <c r="P177" s="92"/>
      <c r="Q177" s="164" t="s">
        <v>205</v>
      </c>
      <c r="R177" s="92"/>
      <c r="S177" s="164" t="s">
        <v>205</v>
      </c>
      <c r="T177" s="92"/>
      <c r="U177" s="145" t="s">
        <v>205</v>
      </c>
      <c r="V177" s="92"/>
      <c r="W177" s="145" t="s">
        <v>205</v>
      </c>
      <c r="X177" s="92"/>
      <c r="Y177" s="352" t="s">
        <v>205</v>
      </c>
      <c r="Z177" s="142" t="str">
        <f t="shared" si="7"/>
        <v>C</v>
      </c>
      <c r="AA177" s="226" t="str">
        <f t="shared" si="8"/>
        <v>UTILIZOU O PDA CORRETAMENTE</v>
      </c>
      <c r="AB177" s="9" t="s">
        <v>205</v>
      </c>
      <c r="AC177" s="162" t="s">
        <v>6</v>
      </c>
      <c r="AD177" s="150" t="str">
        <f t="shared" si="9"/>
        <v>SÃO PAULO</v>
      </c>
      <c r="AE177" s="95" t="s">
        <v>64</v>
      </c>
    </row>
    <row r="178" spans="1:31" s="55" customFormat="1" ht="30" customHeight="1">
      <c r="A178" s="215" t="s">
        <v>198</v>
      </c>
      <c r="B178" s="215">
        <v>2692652395</v>
      </c>
      <c r="C178" s="215" t="s">
        <v>131</v>
      </c>
      <c r="D178" s="215" t="s">
        <v>64</v>
      </c>
      <c r="E178" s="215" t="s">
        <v>5</v>
      </c>
      <c r="F178" s="215" t="s">
        <v>509</v>
      </c>
      <c r="G178" s="215">
        <v>48</v>
      </c>
      <c r="H178" s="215" t="s">
        <v>200</v>
      </c>
      <c r="I178" s="215" t="s">
        <v>510</v>
      </c>
      <c r="J178" s="215" t="s">
        <v>1908</v>
      </c>
      <c r="K178" s="215" t="s">
        <v>200</v>
      </c>
      <c r="L178" s="216">
        <v>46239.256944444445</v>
      </c>
      <c r="M178" s="216">
        <v>46239.257638888892</v>
      </c>
      <c r="N178" s="215" t="s">
        <v>248</v>
      </c>
      <c r="O178" s="157" t="s">
        <v>206</v>
      </c>
      <c r="P178" s="92"/>
      <c r="Q178" s="145" t="s">
        <v>206</v>
      </c>
      <c r="R178" s="92"/>
      <c r="S178" s="145" t="s">
        <v>206</v>
      </c>
      <c r="T178" s="92"/>
      <c r="U178" s="145" t="s">
        <v>206</v>
      </c>
      <c r="V178" s="92"/>
      <c r="W178" s="145" t="s">
        <v>206</v>
      </c>
      <c r="X178" s="92"/>
      <c r="Y178" s="352" t="s">
        <v>239</v>
      </c>
      <c r="Z178" s="142" t="str">
        <f t="shared" si="7"/>
        <v>NC</v>
      </c>
      <c r="AA178" s="226" t="str">
        <f t="shared" si="8"/>
        <v>NÃO UTILIZOU O PDA</v>
      </c>
      <c r="AB178" s="9" t="s">
        <v>205</v>
      </c>
      <c r="AC178" s="162" t="s">
        <v>6</v>
      </c>
      <c r="AD178" s="150" t="str">
        <f t="shared" si="9"/>
        <v>SÃO PAULO</v>
      </c>
      <c r="AE178" s="95" t="s">
        <v>64</v>
      </c>
    </row>
    <row r="179" spans="1:31" s="55" customFormat="1" ht="30" customHeight="1">
      <c r="A179" s="215" t="s">
        <v>198</v>
      </c>
      <c r="B179" s="215">
        <v>2619355079</v>
      </c>
      <c r="C179" s="215" t="s">
        <v>131</v>
      </c>
      <c r="D179" s="215" t="s">
        <v>64</v>
      </c>
      <c r="E179" s="215" t="s">
        <v>5</v>
      </c>
      <c r="F179" s="215" t="s">
        <v>2066</v>
      </c>
      <c r="G179" s="215">
        <v>225</v>
      </c>
      <c r="H179" s="215" t="s">
        <v>2067</v>
      </c>
      <c r="I179" s="215" t="s">
        <v>2068</v>
      </c>
      <c r="J179" s="215" t="s">
        <v>1908</v>
      </c>
      <c r="K179" s="215" t="s">
        <v>2069</v>
      </c>
      <c r="L179" s="216">
        <v>46239.625</v>
      </c>
      <c r="M179" s="216">
        <v>46239.628472222219</v>
      </c>
      <c r="N179" s="215" t="s">
        <v>852</v>
      </c>
      <c r="O179" s="180" t="s">
        <v>205</v>
      </c>
      <c r="P179" s="92"/>
      <c r="Q179" s="164" t="s">
        <v>205</v>
      </c>
      <c r="R179" s="92"/>
      <c r="S179" s="164" t="s">
        <v>205</v>
      </c>
      <c r="T179" s="92"/>
      <c r="U179" s="145" t="s">
        <v>205</v>
      </c>
      <c r="V179" s="92"/>
      <c r="W179" s="145" t="s">
        <v>205</v>
      </c>
      <c r="X179" s="92"/>
      <c r="Y179" s="352" t="s">
        <v>205</v>
      </c>
      <c r="Z179" s="142" t="str">
        <f t="shared" si="7"/>
        <v>C</v>
      </c>
      <c r="AA179" s="226" t="str">
        <f t="shared" si="8"/>
        <v>UTILIZOU O PDA CORRETAMENTE</v>
      </c>
      <c r="AB179" s="9" t="s">
        <v>205</v>
      </c>
      <c r="AC179" s="162" t="s">
        <v>6</v>
      </c>
      <c r="AD179" s="150" t="str">
        <f t="shared" si="9"/>
        <v>SÃO PAULO</v>
      </c>
      <c r="AE179" s="95" t="s">
        <v>64</v>
      </c>
    </row>
    <row r="180" spans="1:31" s="55" customFormat="1" ht="30" customHeight="1">
      <c r="A180" s="215" t="s">
        <v>198</v>
      </c>
      <c r="B180" s="215">
        <v>2619307660</v>
      </c>
      <c r="C180" s="215" t="s">
        <v>134</v>
      </c>
      <c r="D180" s="215" t="s">
        <v>125</v>
      </c>
      <c r="E180" s="215" t="s">
        <v>5</v>
      </c>
      <c r="F180" s="215" t="s">
        <v>2070</v>
      </c>
      <c r="G180" s="215">
        <v>52</v>
      </c>
      <c r="H180" s="215" t="s">
        <v>200</v>
      </c>
      <c r="I180" s="215" t="s">
        <v>914</v>
      </c>
      <c r="J180" s="215" t="s">
        <v>1900</v>
      </c>
      <c r="K180" s="215" t="s">
        <v>2071</v>
      </c>
      <c r="L180" s="216">
        <v>46239.672222222223</v>
      </c>
      <c r="M180" s="216">
        <v>46239.67291666667</v>
      </c>
      <c r="N180" s="215" t="s">
        <v>1956</v>
      </c>
      <c r="O180" s="180" t="s">
        <v>205</v>
      </c>
      <c r="P180" s="92"/>
      <c r="Q180" s="164" t="s">
        <v>205</v>
      </c>
      <c r="R180" s="92"/>
      <c r="S180" s="164" t="s">
        <v>205</v>
      </c>
      <c r="T180" s="92"/>
      <c r="U180" s="145" t="s">
        <v>205</v>
      </c>
      <c r="V180" s="92"/>
      <c r="W180" s="145" t="s">
        <v>205</v>
      </c>
      <c r="X180" s="92"/>
      <c r="Y180" s="352" t="s">
        <v>205</v>
      </c>
      <c r="Z180" s="142" t="str">
        <f t="shared" si="7"/>
        <v>C</v>
      </c>
      <c r="AA180" s="226" t="str">
        <f t="shared" si="8"/>
        <v>UTILIZOU O PDA CORRETAMENTE</v>
      </c>
      <c r="AB180" s="9" t="s">
        <v>205</v>
      </c>
      <c r="AC180" s="162" t="s">
        <v>6</v>
      </c>
      <c r="AD180" s="150" t="str">
        <f t="shared" si="9"/>
        <v>SÃO PAULO</v>
      </c>
      <c r="AE180" s="95" t="s">
        <v>64</v>
      </c>
    </row>
    <row r="181" spans="1:31" s="55" customFormat="1" ht="30" customHeight="1">
      <c r="A181" s="215" t="s">
        <v>198</v>
      </c>
      <c r="B181" s="215">
        <v>2619335700</v>
      </c>
      <c r="C181" s="215" t="s">
        <v>131</v>
      </c>
      <c r="D181" s="215" t="s">
        <v>64</v>
      </c>
      <c r="E181" s="215" t="s">
        <v>5</v>
      </c>
      <c r="F181" s="215" t="s">
        <v>631</v>
      </c>
      <c r="G181" s="215">
        <v>496</v>
      </c>
      <c r="H181" s="215" t="s">
        <v>318</v>
      </c>
      <c r="I181" s="215" t="s">
        <v>397</v>
      </c>
      <c r="J181" s="215" t="s">
        <v>1898</v>
      </c>
      <c r="K181" s="215"/>
      <c r="L181" s="216">
        <v>46239.69027777778</v>
      </c>
      <c r="M181" s="216">
        <v>46239.690972222219</v>
      </c>
      <c r="N181" s="215" t="s">
        <v>359</v>
      </c>
      <c r="O181" s="180" t="s">
        <v>205</v>
      </c>
      <c r="P181" s="92"/>
      <c r="Q181" s="164" t="s">
        <v>205</v>
      </c>
      <c r="R181" s="92"/>
      <c r="S181" s="164" t="s">
        <v>205</v>
      </c>
      <c r="T181" s="92"/>
      <c r="U181" s="145" t="s">
        <v>205</v>
      </c>
      <c r="V181" s="92"/>
      <c r="W181" s="145" t="s">
        <v>205</v>
      </c>
      <c r="X181" s="92"/>
      <c r="Y181" s="352" t="s">
        <v>205</v>
      </c>
      <c r="Z181" s="142" t="str">
        <f t="shared" si="7"/>
        <v>C</v>
      </c>
      <c r="AA181" s="226" t="str">
        <f t="shared" si="8"/>
        <v>UTILIZOU O PDA CORRETAMENTE</v>
      </c>
      <c r="AB181" s="9" t="s">
        <v>205</v>
      </c>
      <c r="AC181" s="162" t="s">
        <v>6</v>
      </c>
      <c r="AD181" s="150" t="str">
        <f t="shared" si="9"/>
        <v>SÃO PAULO</v>
      </c>
      <c r="AE181" s="95" t="s">
        <v>64</v>
      </c>
    </row>
    <row r="182" spans="1:31" s="55" customFormat="1" ht="30" customHeight="1">
      <c r="A182" s="215" t="s">
        <v>198</v>
      </c>
      <c r="B182" s="215">
        <v>2619399804</v>
      </c>
      <c r="C182" s="215" t="s">
        <v>128</v>
      </c>
      <c r="D182" s="215" t="s">
        <v>64</v>
      </c>
      <c r="E182" s="215" t="s">
        <v>5</v>
      </c>
      <c r="F182" s="215" t="s">
        <v>2072</v>
      </c>
      <c r="G182" s="215">
        <v>250</v>
      </c>
      <c r="H182" s="215" t="s">
        <v>200</v>
      </c>
      <c r="I182" s="215" t="s">
        <v>343</v>
      </c>
      <c r="J182" s="215" t="s">
        <v>1898</v>
      </c>
      <c r="K182" s="215" t="s">
        <v>200</v>
      </c>
      <c r="L182" s="216">
        <v>46270.393750000003</v>
      </c>
      <c r="M182" s="216">
        <v>46270.411111111112</v>
      </c>
      <c r="N182" s="215" t="s">
        <v>2073</v>
      </c>
      <c r="O182" s="180" t="s">
        <v>205</v>
      </c>
      <c r="P182" s="92"/>
      <c r="Q182" s="164" t="s">
        <v>205</v>
      </c>
      <c r="R182" s="92"/>
      <c r="S182" s="164" t="s">
        <v>205</v>
      </c>
      <c r="T182" s="92"/>
      <c r="U182" s="145" t="s">
        <v>205</v>
      </c>
      <c r="V182" s="92"/>
      <c r="W182" s="145" t="s">
        <v>205</v>
      </c>
      <c r="X182" s="92"/>
      <c r="Y182" s="352" t="s">
        <v>205</v>
      </c>
      <c r="Z182" s="142" t="str">
        <f t="shared" si="7"/>
        <v>C</v>
      </c>
      <c r="AA182" s="226" t="str">
        <f t="shared" si="8"/>
        <v>UTILIZOU O PDA CORRETAMENTE</v>
      </c>
      <c r="AB182" s="9" t="s">
        <v>205</v>
      </c>
      <c r="AC182" s="162" t="s">
        <v>6</v>
      </c>
      <c r="AD182" s="150" t="str">
        <f t="shared" si="9"/>
        <v>SÃO PAULO</v>
      </c>
      <c r="AE182" s="95" t="s">
        <v>64</v>
      </c>
    </row>
    <row r="183" spans="1:31" s="55" customFormat="1" ht="30" customHeight="1">
      <c r="A183" s="215" t="s">
        <v>198</v>
      </c>
      <c r="B183" s="215">
        <v>2692808464</v>
      </c>
      <c r="C183" s="215" t="s">
        <v>132</v>
      </c>
      <c r="D183" s="215" t="s">
        <v>64</v>
      </c>
      <c r="E183" s="215" t="s">
        <v>5</v>
      </c>
      <c r="F183" s="215" t="s">
        <v>1271</v>
      </c>
      <c r="G183" s="215">
        <v>755</v>
      </c>
      <c r="H183" s="215"/>
      <c r="I183" s="215" t="s">
        <v>333</v>
      </c>
      <c r="J183" s="215" t="s">
        <v>1898</v>
      </c>
      <c r="K183" s="215"/>
      <c r="L183" s="216">
        <v>46270.397916666669</v>
      </c>
      <c r="M183" s="216">
        <v>46270.418055555558</v>
      </c>
      <c r="N183" s="215" t="s">
        <v>1337</v>
      </c>
      <c r="O183" s="180" t="s">
        <v>205</v>
      </c>
      <c r="P183" s="92"/>
      <c r="Q183" s="164" t="s">
        <v>205</v>
      </c>
      <c r="R183" s="92"/>
      <c r="S183" s="164" t="s">
        <v>205</v>
      </c>
      <c r="T183" s="92"/>
      <c r="U183" s="145" t="s">
        <v>205</v>
      </c>
      <c r="V183" s="92"/>
      <c r="W183" s="145" t="s">
        <v>205</v>
      </c>
      <c r="X183" s="92"/>
      <c r="Y183" s="352" t="s">
        <v>205</v>
      </c>
      <c r="Z183" s="142" t="str">
        <f t="shared" si="7"/>
        <v>C</v>
      </c>
      <c r="AA183" s="226" t="str">
        <f t="shared" si="8"/>
        <v>UTILIZOU O PDA CORRETAMENTE</v>
      </c>
      <c r="AB183" s="9" t="s">
        <v>205</v>
      </c>
      <c r="AC183" s="162" t="s">
        <v>6</v>
      </c>
      <c r="AD183" s="150" t="str">
        <f t="shared" si="9"/>
        <v>SÃO PAULO</v>
      </c>
      <c r="AE183" s="95" t="s">
        <v>64</v>
      </c>
    </row>
    <row r="184" spans="1:31" s="55" customFormat="1" ht="30" customHeight="1">
      <c r="A184" s="215" t="s">
        <v>198</v>
      </c>
      <c r="B184" s="215">
        <v>2619350400</v>
      </c>
      <c r="C184" s="215" t="s">
        <v>128</v>
      </c>
      <c r="D184" s="215" t="s">
        <v>64</v>
      </c>
      <c r="E184" s="215" t="s">
        <v>5</v>
      </c>
      <c r="F184" s="215" t="s">
        <v>2074</v>
      </c>
      <c r="G184" s="215">
        <v>681</v>
      </c>
      <c r="H184" s="215" t="s">
        <v>226</v>
      </c>
      <c r="I184" s="215" t="s">
        <v>412</v>
      </c>
      <c r="J184" s="215" t="s">
        <v>1898</v>
      </c>
      <c r="K184" s="215" t="s">
        <v>200</v>
      </c>
      <c r="L184" s="216">
        <v>46270.460416666669</v>
      </c>
      <c r="M184" s="216">
        <v>46270.47152777778</v>
      </c>
      <c r="N184" s="215" t="s">
        <v>1337</v>
      </c>
      <c r="O184" s="180" t="s">
        <v>205</v>
      </c>
      <c r="P184" s="92"/>
      <c r="Q184" s="164" t="s">
        <v>205</v>
      </c>
      <c r="R184" s="92"/>
      <c r="S184" s="164" t="s">
        <v>205</v>
      </c>
      <c r="T184" s="92"/>
      <c r="U184" s="145" t="s">
        <v>205</v>
      </c>
      <c r="V184" s="92"/>
      <c r="W184" s="145" t="s">
        <v>205</v>
      </c>
      <c r="X184" s="92"/>
      <c r="Y184" s="352" t="s">
        <v>205</v>
      </c>
      <c r="Z184" s="142" t="str">
        <f t="shared" si="7"/>
        <v>C</v>
      </c>
      <c r="AA184" s="226" t="str">
        <f t="shared" si="8"/>
        <v>UTILIZOU O PDA CORRETAMENTE</v>
      </c>
      <c r="AB184" s="9" t="s">
        <v>205</v>
      </c>
      <c r="AC184" s="162" t="s">
        <v>6</v>
      </c>
      <c r="AD184" s="150" t="str">
        <f t="shared" si="9"/>
        <v>SÃO PAULO</v>
      </c>
      <c r="AE184" s="95" t="s">
        <v>64</v>
      </c>
    </row>
    <row r="185" spans="1:31" s="55" customFormat="1" ht="30" customHeight="1">
      <c r="A185" s="215" t="s">
        <v>198</v>
      </c>
      <c r="B185" s="215">
        <v>2692853154</v>
      </c>
      <c r="C185" s="215" t="s">
        <v>132</v>
      </c>
      <c r="D185" s="215" t="s">
        <v>64</v>
      </c>
      <c r="E185" s="215" t="s">
        <v>5</v>
      </c>
      <c r="F185" s="215" t="s">
        <v>2034</v>
      </c>
      <c r="G185" s="215">
        <v>79</v>
      </c>
      <c r="H185" s="215" t="s">
        <v>708</v>
      </c>
      <c r="I185" s="215" t="s">
        <v>283</v>
      </c>
      <c r="J185" s="215" t="s">
        <v>1898</v>
      </c>
      <c r="K185" s="215" t="s">
        <v>2075</v>
      </c>
      <c r="L185" s="216">
        <v>46270.388194444444</v>
      </c>
      <c r="M185" s="216">
        <v>46270.392361111109</v>
      </c>
      <c r="N185" s="215" t="s">
        <v>1337</v>
      </c>
      <c r="O185" s="180" t="s">
        <v>205</v>
      </c>
      <c r="P185" s="92"/>
      <c r="Q185" s="145" t="s">
        <v>206</v>
      </c>
      <c r="R185" s="92"/>
      <c r="S185" s="164" t="s">
        <v>205</v>
      </c>
      <c r="T185" s="92"/>
      <c r="U185" s="145" t="s">
        <v>205</v>
      </c>
      <c r="V185" s="92"/>
      <c r="W185" s="145" t="s">
        <v>205</v>
      </c>
      <c r="X185" s="92"/>
      <c r="Y185" s="352" t="s">
        <v>205</v>
      </c>
      <c r="Z185" s="142" t="str">
        <f t="shared" si="7"/>
        <v>NC</v>
      </c>
      <c r="AA185" s="226" t="str">
        <f t="shared" si="8"/>
        <v>UTILIZOU O PDA CORRETAMENTE. NÃO HÁ FOTOS DE TODAS AS ETAPAS</v>
      </c>
      <c r="AB185" s="9" t="s">
        <v>205</v>
      </c>
      <c r="AC185" s="162" t="s">
        <v>6</v>
      </c>
      <c r="AD185" s="150" t="str">
        <f t="shared" si="9"/>
        <v>SÃO PAULO</v>
      </c>
      <c r="AE185" s="95" t="s">
        <v>64</v>
      </c>
    </row>
    <row r="186" spans="1:31" s="55" customFormat="1" ht="30" customHeight="1">
      <c r="A186" s="215" t="s">
        <v>198</v>
      </c>
      <c r="B186" s="215">
        <v>2619354687</v>
      </c>
      <c r="C186" s="215" t="s">
        <v>129</v>
      </c>
      <c r="D186" s="215" t="s">
        <v>125</v>
      </c>
      <c r="E186" s="215" t="s">
        <v>5</v>
      </c>
      <c r="F186" s="215" t="s">
        <v>2076</v>
      </c>
      <c r="G186" s="215">
        <v>86</v>
      </c>
      <c r="H186" s="215" t="s">
        <v>318</v>
      </c>
      <c r="I186" s="215" t="s">
        <v>215</v>
      </c>
      <c r="J186" s="215" t="s">
        <v>1903</v>
      </c>
      <c r="K186" s="215" t="s">
        <v>200</v>
      </c>
      <c r="L186" s="216">
        <v>46270.363888888889</v>
      </c>
      <c r="M186" s="216">
        <v>46270.365972222222</v>
      </c>
      <c r="N186" s="215" t="s">
        <v>590</v>
      </c>
      <c r="O186" s="180" t="s">
        <v>205</v>
      </c>
      <c r="P186" s="92"/>
      <c r="Q186" s="164" t="s">
        <v>205</v>
      </c>
      <c r="R186" s="92"/>
      <c r="S186" s="164" t="s">
        <v>205</v>
      </c>
      <c r="T186" s="92"/>
      <c r="U186" s="145" t="s">
        <v>205</v>
      </c>
      <c r="V186" s="92"/>
      <c r="W186" s="145" t="s">
        <v>205</v>
      </c>
      <c r="X186" s="92"/>
      <c r="Y186" s="352" t="s">
        <v>205</v>
      </c>
      <c r="Z186" s="142" t="str">
        <f t="shared" si="7"/>
        <v>C</v>
      </c>
      <c r="AA186" s="226" t="str">
        <f t="shared" si="8"/>
        <v>UTILIZOU O PDA CORRETAMENTE</v>
      </c>
      <c r="AB186" s="9" t="s">
        <v>205</v>
      </c>
      <c r="AC186" s="162" t="s">
        <v>6</v>
      </c>
      <c r="AD186" s="150" t="str">
        <f t="shared" si="9"/>
        <v>SÃO PAULO</v>
      </c>
      <c r="AE186" s="95" t="s">
        <v>64</v>
      </c>
    </row>
    <row r="187" spans="1:31" s="55" customFormat="1" ht="30" customHeight="1">
      <c r="A187" s="215" t="s">
        <v>198</v>
      </c>
      <c r="B187" s="215">
        <v>2692871437</v>
      </c>
      <c r="C187" s="215" t="s">
        <v>128</v>
      </c>
      <c r="D187" s="215" t="s">
        <v>64</v>
      </c>
      <c r="E187" s="215" t="s">
        <v>5</v>
      </c>
      <c r="F187" s="215" t="s">
        <v>2077</v>
      </c>
      <c r="G187" s="215">
        <v>67</v>
      </c>
      <c r="H187" s="215" t="s">
        <v>200</v>
      </c>
      <c r="I187" s="215" t="s">
        <v>2078</v>
      </c>
      <c r="J187" s="215" t="s">
        <v>1900</v>
      </c>
      <c r="K187" s="215" t="s">
        <v>200</v>
      </c>
      <c r="L187" s="216">
        <v>46270.379861111112</v>
      </c>
      <c r="M187" s="216">
        <v>46270.383333333331</v>
      </c>
      <c r="N187" s="215" t="s">
        <v>1956</v>
      </c>
      <c r="O187" s="180" t="s">
        <v>205</v>
      </c>
      <c r="P187" s="92"/>
      <c r="Q187" s="164" t="s">
        <v>205</v>
      </c>
      <c r="R187" s="92"/>
      <c r="S187" s="164" t="s">
        <v>205</v>
      </c>
      <c r="T187" s="92"/>
      <c r="U187" s="145" t="s">
        <v>205</v>
      </c>
      <c r="V187" s="92"/>
      <c r="W187" s="145" t="s">
        <v>205</v>
      </c>
      <c r="X187" s="92"/>
      <c r="Y187" s="352" t="s">
        <v>205</v>
      </c>
      <c r="Z187" s="142" t="str">
        <f t="shared" si="7"/>
        <v>C</v>
      </c>
      <c r="AA187" s="226" t="str">
        <f t="shared" si="8"/>
        <v>UTILIZOU O PDA CORRETAMENTE</v>
      </c>
      <c r="AB187" s="9" t="s">
        <v>205</v>
      </c>
      <c r="AC187" s="162" t="s">
        <v>6</v>
      </c>
      <c r="AD187" s="150" t="str">
        <f t="shared" si="9"/>
        <v>SÃO PAULO</v>
      </c>
      <c r="AE187" s="95" t="s">
        <v>64</v>
      </c>
    </row>
    <row r="188" spans="1:31" s="55" customFormat="1" ht="30" customHeight="1">
      <c r="A188" s="215" t="s">
        <v>198</v>
      </c>
      <c r="B188" s="215">
        <v>2619347137</v>
      </c>
      <c r="C188" s="215" t="s">
        <v>128</v>
      </c>
      <c r="D188" s="215" t="s">
        <v>64</v>
      </c>
      <c r="E188" s="215" t="s">
        <v>5</v>
      </c>
      <c r="F188" s="215" t="s">
        <v>695</v>
      </c>
      <c r="G188" s="215">
        <v>1450</v>
      </c>
      <c r="H188" s="215" t="s">
        <v>302</v>
      </c>
      <c r="I188" s="215" t="s">
        <v>274</v>
      </c>
      <c r="J188" s="215" t="s">
        <v>1908</v>
      </c>
      <c r="K188" s="215"/>
      <c r="L188" s="216">
        <v>46270.395833333336</v>
      </c>
      <c r="M188" s="216">
        <v>46270.400000000001</v>
      </c>
      <c r="N188" s="215" t="s">
        <v>1956</v>
      </c>
      <c r="O188" s="180" t="s">
        <v>205</v>
      </c>
      <c r="P188" s="92"/>
      <c r="Q188" s="164" t="s">
        <v>205</v>
      </c>
      <c r="R188" s="92"/>
      <c r="S188" s="164" t="s">
        <v>205</v>
      </c>
      <c r="T188" s="92"/>
      <c r="U188" s="145" t="s">
        <v>205</v>
      </c>
      <c r="V188" s="92"/>
      <c r="W188" s="145" t="s">
        <v>205</v>
      </c>
      <c r="X188" s="92"/>
      <c r="Y188" s="352" t="s">
        <v>205</v>
      </c>
      <c r="Z188" s="142" t="str">
        <f t="shared" si="7"/>
        <v>C</v>
      </c>
      <c r="AA188" s="226" t="str">
        <f t="shared" si="8"/>
        <v>UTILIZOU O PDA CORRETAMENTE</v>
      </c>
      <c r="AB188" s="9" t="s">
        <v>205</v>
      </c>
      <c r="AC188" s="162" t="s">
        <v>6</v>
      </c>
      <c r="AD188" s="150" t="str">
        <f t="shared" si="9"/>
        <v>SÃO PAULO</v>
      </c>
      <c r="AE188" s="95" t="s">
        <v>64</v>
      </c>
    </row>
    <row r="189" spans="1:31" s="55" customFormat="1" ht="30" customHeight="1">
      <c r="A189" s="215" t="s">
        <v>198</v>
      </c>
      <c r="B189" s="215">
        <v>2692894179</v>
      </c>
      <c r="C189" s="215" t="s">
        <v>132</v>
      </c>
      <c r="D189" s="215" t="s">
        <v>64</v>
      </c>
      <c r="E189" s="215" t="s">
        <v>5</v>
      </c>
      <c r="F189" s="215" t="s">
        <v>464</v>
      </c>
      <c r="G189" s="215">
        <v>222</v>
      </c>
      <c r="H189" s="215" t="s">
        <v>226</v>
      </c>
      <c r="I189" s="215" t="s">
        <v>465</v>
      </c>
      <c r="J189" s="215" t="s">
        <v>1898</v>
      </c>
      <c r="K189" s="215"/>
      <c r="L189" s="216">
        <v>46270.640972222223</v>
      </c>
      <c r="M189" s="216">
        <v>46270.645833333336</v>
      </c>
      <c r="N189" s="215" t="s">
        <v>1956</v>
      </c>
      <c r="O189" s="180" t="s">
        <v>205</v>
      </c>
      <c r="P189" s="92"/>
      <c r="Q189" s="145" t="s">
        <v>206</v>
      </c>
      <c r="R189" s="92"/>
      <c r="S189" s="164" t="s">
        <v>205</v>
      </c>
      <c r="T189" s="92"/>
      <c r="U189" s="145" t="s">
        <v>205</v>
      </c>
      <c r="V189" s="92"/>
      <c r="W189" s="145" t="s">
        <v>205</v>
      </c>
      <c r="X189" s="92"/>
      <c r="Y189" s="352" t="s">
        <v>205</v>
      </c>
      <c r="Z189" s="142" t="str">
        <f t="shared" si="7"/>
        <v>NC</v>
      </c>
      <c r="AA189" s="226" t="str">
        <f t="shared" si="8"/>
        <v>UTILIZOU O PDA CORRETAMENTE. NÃO HÁ FOTOS DE TODAS AS ETAPAS</v>
      </c>
      <c r="AB189" s="9" t="s">
        <v>205</v>
      </c>
      <c r="AC189" s="162" t="s">
        <v>6</v>
      </c>
      <c r="AD189" s="150" t="str">
        <f t="shared" si="9"/>
        <v>SÃO PAULO</v>
      </c>
      <c r="AE189" s="95" t="s">
        <v>64</v>
      </c>
    </row>
    <row r="190" spans="1:31" s="55" customFormat="1" ht="30" customHeight="1">
      <c r="A190" s="215" t="s">
        <v>198</v>
      </c>
      <c r="B190" s="215">
        <v>2619464649</v>
      </c>
      <c r="C190" s="215" t="s">
        <v>128</v>
      </c>
      <c r="D190" s="215" t="s">
        <v>64</v>
      </c>
      <c r="E190" s="215" t="s">
        <v>5</v>
      </c>
      <c r="F190" s="215" t="s">
        <v>2079</v>
      </c>
      <c r="G190" s="215">
        <v>119</v>
      </c>
      <c r="H190" s="215" t="s">
        <v>226</v>
      </c>
      <c r="I190" s="215" t="s">
        <v>523</v>
      </c>
      <c r="J190" s="215" t="s">
        <v>1898</v>
      </c>
      <c r="K190" s="215"/>
      <c r="L190" s="216">
        <v>46270.510416666664</v>
      </c>
      <c r="M190" s="216">
        <v>46270.515972222223</v>
      </c>
      <c r="N190" s="215" t="s">
        <v>1950</v>
      </c>
      <c r="O190" s="180" t="s">
        <v>205</v>
      </c>
      <c r="P190" s="92"/>
      <c r="Q190" s="164" t="s">
        <v>205</v>
      </c>
      <c r="R190" s="92"/>
      <c r="S190" s="164" t="s">
        <v>205</v>
      </c>
      <c r="T190" s="92"/>
      <c r="U190" s="145" t="s">
        <v>205</v>
      </c>
      <c r="V190" s="92"/>
      <c r="W190" s="145" t="s">
        <v>205</v>
      </c>
      <c r="X190" s="92"/>
      <c r="Y190" s="352" t="s">
        <v>205</v>
      </c>
      <c r="Z190" s="142" t="str">
        <f t="shared" si="7"/>
        <v>C</v>
      </c>
      <c r="AA190" s="226" t="str">
        <f t="shared" si="8"/>
        <v>UTILIZOU O PDA CORRETAMENTE</v>
      </c>
      <c r="AB190" s="9" t="s">
        <v>205</v>
      </c>
      <c r="AC190" s="162" t="s">
        <v>6</v>
      </c>
      <c r="AD190" s="150" t="str">
        <f t="shared" si="9"/>
        <v>SÃO PAULO</v>
      </c>
      <c r="AE190" s="95" t="s">
        <v>64</v>
      </c>
    </row>
    <row r="191" spans="1:31" s="55" customFormat="1" ht="30" customHeight="1">
      <c r="A191" s="215" t="s">
        <v>198</v>
      </c>
      <c r="B191" s="215">
        <v>2692901221</v>
      </c>
      <c r="C191" s="215" t="s">
        <v>128</v>
      </c>
      <c r="D191" s="215" t="s">
        <v>64</v>
      </c>
      <c r="E191" s="215" t="s">
        <v>5</v>
      </c>
      <c r="F191" s="215" t="s">
        <v>2080</v>
      </c>
      <c r="G191" s="215">
        <v>50</v>
      </c>
      <c r="H191" s="215" t="s">
        <v>200</v>
      </c>
      <c r="I191" s="215" t="s">
        <v>849</v>
      </c>
      <c r="J191" s="215" t="s">
        <v>1898</v>
      </c>
      <c r="K191" s="215" t="s">
        <v>200</v>
      </c>
      <c r="L191" s="216">
        <v>46270.693749999999</v>
      </c>
      <c r="M191" s="216">
        <v>46270.693749999999</v>
      </c>
      <c r="N191" s="215" t="s">
        <v>1947</v>
      </c>
      <c r="O191" s="180" t="s">
        <v>205</v>
      </c>
      <c r="P191" s="92"/>
      <c r="Q191" s="164" t="s">
        <v>205</v>
      </c>
      <c r="R191" s="92"/>
      <c r="S191" s="164" t="s">
        <v>205</v>
      </c>
      <c r="T191" s="92"/>
      <c r="U191" s="145" t="s">
        <v>205</v>
      </c>
      <c r="V191" s="92"/>
      <c r="W191" s="145" t="s">
        <v>205</v>
      </c>
      <c r="X191" s="92"/>
      <c r="Y191" s="352" t="s">
        <v>205</v>
      </c>
      <c r="Z191" s="142" t="str">
        <f t="shared" si="7"/>
        <v>C</v>
      </c>
      <c r="AA191" s="226" t="str">
        <f t="shared" si="8"/>
        <v>UTILIZOU O PDA CORRETAMENTE</v>
      </c>
      <c r="AB191" s="9" t="s">
        <v>205</v>
      </c>
      <c r="AC191" s="162" t="s">
        <v>6</v>
      </c>
      <c r="AD191" s="150" t="str">
        <f t="shared" si="9"/>
        <v>SÃO PAULO</v>
      </c>
      <c r="AE191" s="95" t="s">
        <v>64</v>
      </c>
    </row>
    <row r="192" spans="1:31" s="55" customFormat="1" ht="30" customHeight="1">
      <c r="A192" s="215" t="s">
        <v>198</v>
      </c>
      <c r="B192" s="215">
        <v>2692902533</v>
      </c>
      <c r="C192" s="215" t="s">
        <v>128</v>
      </c>
      <c r="D192" s="215" t="s">
        <v>64</v>
      </c>
      <c r="E192" s="215" t="s">
        <v>5</v>
      </c>
      <c r="F192" s="215" t="s">
        <v>528</v>
      </c>
      <c r="G192" s="215">
        <v>737</v>
      </c>
      <c r="H192" s="215" t="s">
        <v>708</v>
      </c>
      <c r="I192" s="215" t="s">
        <v>1288</v>
      </c>
      <c r="J192" s="215" t="s">
        <v>1898</v>
      </c>
      <c r="K192" s="215"/>
      <c r="L192" s="216">
        <v>46270.626388888886</v>
      </c>
      <c r="M192" s="216">
        <v>46270.627083333333</v>
      </c>
      <c r="N192" s="215" t="s">
        <v>1947</v>
      </c>
      <c r="O192" s="180" t="s">
        <v>205</v>
      </c>
      <c r="P192" s="92"/>
      <c r="Q192" s="164" t="s">
        <v>205</v>
      </c>
      <c r="R192" s="92"/>
      <c r="S192" s="164" t="s">
        <v>205</v>
      </c>
      <c r="T192" s="92"/>
      <c r="U192" s="145" t="s">
        <v>205</v>
      </c>
      <c r="V192" s="92"/>
      <c r="W192" s="145" t="s">
        <v>205</v>
      </c>
      <c r="X192" s="92"/>
      <c r="Y192" s="352" t="s">
        <v>205</v>
      </c>
      <c r="Z192" s="142" t="str">
        <f t="shared" si="7"/>
        <v>C</v>
      </c>
      <c r="AA192" s="226" t="str">
        <f t="shared" si="8"/>
        <v>UTILIZOU O PDA CORRETAMENTE</v>
      </c>
      <c r="AB192" s="9" t="s">
        <v>205</v>
      </c>
      <c r="AC192" s="162" t="s">
        <v>6</v>
      </c>
      <c r="AD192" s="150" t="str">
        <f t="shared" si="9"/>
        <v>SÃO PAULO</v>
      </c>
      <c r="AE192" s="95" t="s">
        <v>64</v>
      </c>
    </row>
    <row r="193" spans="1:31" s="55" customFormat="1" ht="30" customHeight="1">
      <c r="A193" s="215" t="s">
        <v>198</v>
      </c>
      <c r="B193" s="215">
        <v>2619468280</v>
      </c>
      <c r="C193" s="215" t="s">
        <v>132</v>
      </c>
      <c r="D193" s="215" t="s">
        <v>64</v>
      </c>
      <c r="E193" s="215" t="s">
        <v>5</v>
      </c>
      <c r="F193" s="215" t="s">
        <v>2081</v>
      </c>
      <c r="G193" s="215">
        <v>75</v>
      </c>
      <c r="H193" s="215" t="s">
        <v>226</v>
      </c>
      <c r="I193" s="215" t="s">
        <v>215</v>
      </c>
      <c r="J193" s="215" t="s">
        <v>1908</v>
      </c>
      <c r="K193" s="215" t="s">
        <v>200</v>
      </c>
      <c r="L193" s="216">
        <v>46270.626388888886</v>
      </c>
      <c r="M193" s="216">
        <v>46270.634027777778</v>
      </c>
      <c r="N193" s="215" t="s">
        <v>590</v>
      </c>
      <c r="O193" s="180" t="s">
        <v>205</v>
      </c>
      <c r="P193" s="92"/>
      <c r="Q193" s="164" t="s">
        <v>205</v>
      </c>
      <c r="R193" s="92"/>
      <c r="S193" s="164" t="s">
        <v>205</v>
      </c>
      <c r="T193" s="92"/>
      <c r="U193" s="145" t="s">
        <v>205</v>
      </c>
      <c r="V193" s="92"/>
      <c r="W193" s="145" t="s">
        <v>205</v>
      </c>
      <c r="X193" s="92"/>
      <c r="Y193" s="352" t="s">
        <v>205</v>
      </c>
      <c r="Z193" s="142" t="str">
        <f t="shared" si="7"/>
        <v>C</v>
      </c>
      <c r="AA193" s="226" t="str">
        <f t="shared" si="8"/>
        <v>UTILIZOU O PDA CORRETAMENTE</v>
      </c>
      <c r="AB193" s="9" t="s">
        <v>205</v>
      </c>
      <c r="AC193" s="162" t="s">
        <v>6</v>
      </c>
      <c r="AD193" s="150" t="str">
        <f t="shared" si="9"/>
        <v>SÃO PAULO</v>
      </c>
      <c r="AE193" s="95" t="s">
        <v>64</v>
      </c>
    </row>
    <row r="194" spans="1:31" s="55" customFormat="1" ht="30" customHeight="1">
      <c r="A194" s="215" t="s">
        <v>198</v>
      </c>
      <c r="B194" s="215">
        <v>2692912872</v>
      </c>
      <c r="C194" s="215" t="s">
        <v>132</v>
      </c>
      <c r="D194" s="215" t="s">
        <v>64</v>
      </c>
      <c r="E194" s="215" t="s">
        <v>5</v>
      </c>
      <c r="F194" s="215" t="s">
        <v>255</v>
      </c>
      <c r="G194" s="215">
        <v>1139</v>
      </c>
      <c r="H194" s="215" t="s">
        <v>226</v>
      </c>
      <c r="I194" s="215" t="s">
        <v>257</v>
      </c>
      <c r="J194" s="215" t="s">
        <v>1898</v>
      </c>
      <c r="K194" s="215"/>
      <c r="L194" s="216">
        <v>46270.67291666667</v>
      </c>
      <c r="M194" s="216">
        <v>46270.678472222222</v>
      </c>
      <c r="N194" s="215" t="s">
        <v>2073</v>
      </c>
      <c r="O194" s="180" t="s">
        <v>205</v>
      </c>
      <c r="P194" s="92"/>
      <c r="Q194" s="164" t="s">
        <v>205</v>
      </c>
      <c r="R194" s="92"/>
      <c r="S194" s="164" t="s">
        <v>205</v>
      </c>
      <c r="T194" s="92"/>
      <c r="U194" s="145" t="s">
        <v>205</v>
      </c>
      <c r="V194" s="92"/>
      <c r="W194" s="145" t="s">
        <v>205</v>
      </c>
      <c r="X194" s="92"/>
      <c r="Y194" s="352" t="s">
        <v>205</v>
      </c>
      <c r="Z194" s="142" t="str">
        <f t="shared" si="7"/>
        <v>C</v>
      </c>
      <c r="AA194" s="226" t="str">
        <f t="shared" si="8"/>
        <v>UTILIZOU O PDA CORRETAMENTE</v>
      </c>
      <c r="AB194" s="9" t="s">
        <v>205</v>
      </c>
      <c r="AC194" s="162" t="s">
        <v>6</v>
      </c>
      <c r="AD194" s="150" t="str">
        <f t="shared" si="9"/>
        <v>SÃO PAULO</v>
      </c>
      <c r="AE194" s="95" t="s">
        <v>64</v>
      </c>
    </row>
    <row r="195" spans="1:31" s="55" customFormat="1" ht="30" customHeight="1">
      <c r="A195" s="215" t="s">
        <v>198</v>
      </c>
      <c r="B195" s="215">
        <v>2692911429</v>
      </c>
      <c r="C195" s="215" t="s">
        <v>128</v>
      </c>
      <c r="D195" s="215" t="s">
        <v>64</v>
      </c>
      <c r="E195" s="215" t="s">
        <v>5</v>
      </c>
      <c r="F195" s="215" t="s">
        <v>2082</v>
      </c>
      <c r="G195" s="215">
        <v>31</v>
      </c>
      <c r="H195" s="215" t="s">
        <v>200</v>
      </c>
      <c r="I195" s="215" t="s">
        <v>2083</v>
      </c>
      <c r="J195" s="215" t="s">
        <v>1898</v>
      </c>
      <c r="K195" s="215" t="s">
        <v>200</v>
      </c>
      <c r="L195" s="216">
        <v>46270.696527777778</v>
      </c>
      <c r="M195" s="216">
        <v>46270.697222222225</v>
      </c>
      <c r="N195" s="215" t="s">
        <v>1947</v>
      </c>
      <c r="O195" s="180" t="s">
        <v>205</v>
      </c>
      <c r="P195" s="92"/>
      <c r="Q195" s="164" t="s">
        <v>205</v>
      </c>
      <c r="R195" s="92"/>
      <c r="S195" s="164" t="s">
        <v>205</v>
      </c>
      <c r="T195" s="92"/>
      <c r="U195" s="145" t="s">
        <v>205</v>
      </c>
      <c r="V195" s="92"/>
      <c r="W195" s="145" t="s">
        <v>205</v>
      </c>
      <c r="X195" s="92"/>
      <c r="Y195" s="352" t="s">
        <v>205</v>
      </c>
      <c r="Z195" s="142" t="str">
        <f t="shared" ref="Z195:Z258" si="10">IF(AND(O195="",Q195="",S195="",U195="",W195=""),"",IF(OR(AND(O195&lt;&gt;"NA",O195&lt;&gt;"C",O195&lt;&gt;"NC",O195&lt;&gt;"SF",O195&lt;&gt;""),AND(Q195&lt;&gt;"NA",Q195&lt;&gt;"C",Q195&lt;&gt;"NC",Q195&lt;&gt;"SF",Q195&lt;&gt;""),AND(S195&lt;&gt;"NA",S195&lt;&gt;"C",S195&lt;&gt;"NC",S195&lt;&gt;"SF",S195&lt;&gt;""),AND(U195&lt;&gt;"NA",U195&lt;&gt;"C",U195&lt;&gt;"NC",U195&lt;&gt;"SF",U195&lt;&gt;""),AND(W195&lt;&gt;"NA",W195&lt;&gt;"C",W195&lt;&gt;"NC",W195&lt;&gt;"SF",W195&lt;&gt;"")),"FALSO",IF(AND(O195="NA",Q195="NA",S195="NA",U195="NA",W195="NA"),"NA",IF(OR(O195="NC",Q195="NC",S195="NC",U195="NC",W195="NC",O195="SF",Q195="SF",S195="SF",U195="SF",W195="SF"),"NC",IF(OR(O195="C",Q195="C",S195="C",U195="C",W195="C"),"C","")))))</f>
        <v>C</v>
      </c>
      <c r="AA195" s="226" t="str">
        <f t="shared" ref="AA195:AA258" si="11">IF(AND(Y195="C",Z195="C"),"UTILIZOU O PDA CORRETAMENTE",IF(AND(Y195="C",Z195="NC"),"UTILIZOU O PDA CORRETAMENTE. NÃO HÁ FOTOS DE TODAS AS ETAPAS",IF(AND(Y195="NC",Z195="NC"),"NÃO UTILIZOU O PDA",IF(AND(Y195="NA",Z195="NA"),"NÃO AVALIADO POR FALHA DE SINCRONISMO"))))</f>
        <v>UTILIZOU O PDA CORRETAMENTE</v>
      </c>
      <c r="AB195" s="9" t="s">
        <v>205</v>
      </c>
      <c r="AC195" s="162" t="s">
        <v>6</v>
      </c>
      <c r="AD195" s="150" t="str">
        <f t="shared" ref="AD195:AD258" si="12">E195</f>
        <v>SÃO PAULO</v>
      </c>
      <c r="AE195" s="95" t="s">
        <v>64</v>
      </c>
    </row>
    <row r="196" spans="1:31" s="55" customFormat="1" ht="30" customHeight="1">
      <c r="A196" s="215" t="s">
        <v>198</v>
      </c>
      <c r="B196" s="215">
        <v>2619484135</v>
      </c>
      <c r="C196" s="215" t="s">
        <v>131</v>
      </c>
      <c r="D196" s="215" t="s">
        <v>64</v>
      </c>
      <c r="E196" s="215" t="s">
        <v>5</v>
      </c>
      <c r="F196" s="215" t="s">
        <v>462</v>
      </c>
      <c r="G196" s="215">
        <v>39</v>
      </c>
      <c r="H196" s="215" t="s">
        <v>226</v>
      </c>
      <c r="I196" s="215" t="s">
        <v>419</v>
      </c>
      <c r="J196" s="215" t="s">
        <v>1898</v>
      </c>
      <c r="K196" s="215"/>
      <c r="L196" s="216">
        <v>46270.697222222225</v>
      </c>
      <c r="M196" s="216">
        <v>46270.727777777778</v>
      </c>
      <c r="N196" s="215" t="s">
        <v>1947</v>
      </c>
      <c r="O196" s="180" t="s">
        <v>205</v>
      </c>
      <c r="P196" s="92"/>
      <c r="Q196" s="164" t="s">
        <v>205</v>
      </c>
      <c r="R196" s="92"/>
      <c r="S196" s="164" t="s">
        <v>205</v>
      </c>
      <c r="T196" s="92"/>
      <c r="U196" s="145" t="s">
        <v>205</v>
      </c>
      <c r="V196" s="92"/>
      <c r="W196" s="145" t="s">
        <v>205</v>
      </c>
      <c r="X196" s="92"/>
      <c r="Y196" s="352" t="s">
        <v>205</v>
      </c>
      <c r="Z196" s="142" t="str">
        <f t="shared" si="10"/>
        <v>C</v>
      </c>
      <c r="AA196" s="226" t="str">
        <f t="shared" si="11"/>
        <v>UTILIZOU O PDA CORRETAMENTE</v>
      </c>
      <c r="AB196" s="9" t="s">
        <v>205</v>
      </c>
      <c r="AC196" s="162" t="s">
        <v>6</v>
      </c>
      <c r="AD196" s="150" t="str">
        <f t="shared" si="12"/>
        <v>SÃO PAULO</v>
      </c>
      <c r="AE196" s="95" t="s">
        <v>64</v>
      </c>
    </row>
    <row r="197" spans="1:31" s="55" customFormat="1" ht="30" customHeight="1">
      <c r="A197" s="215" t="s">
        <v>198</v>
      </c>
      <c r="B197" s="215">
        <v>2619515649</v>
      </c>
      <c r="C197" s="215" t="s">
        <v>131</v>
      </c>
      <c r="D197" s="215" t="s">
        <v>64</v>
      </c>
      <c r="E197" s="215" t="s">
        <v>5</v>
      </c>
      <c r="F197" s="215" t="s">
        <v>307</v>
      </c>
      <c r="G197" s="215">
        <v>365</v>
      </c>
      <c r="H197" s="215" t="s">
        <v>318</v>
      </c>
      <c r="I197" s="215" t="s">
        <v>308</v>
      </c>
      <c r="J197" s="215" t="s">
        <v>1908</v>
      </c>
      <c r="K197" s="215" t="s">
        <v>2084</v>
      </c>
      <c r="L197" s="216">
        <v>46270.636111111111</v>
      </c>
      <c r="M197" s="216">
        <v>46270.637499999997</v>
      </c>
      <c r="N197" s="215" t="s">
        <v>2073</v>
      </c>
      <c r="O197" s="180" t="s">
        <v>205</v>
      </c>
      <c r="P197" s="92"/>
      <c r="Q197" s="164" t="s">
        <v>205</v>
      </c>
      <c r="R197" s="92"/>
      <c r="S197" s="164" t="s">
        <v>205</v>
      </c>
      <c r="T197" s="92"/>
      <c r="U197" s="145" t="s">
        <v>205</v>
      </c>
      <c r="V197" s="92"/>
      <c r="W197" s="145" t="s">
        <v>205</v>
      </c>
      <c r="X197" s="92"/>
      <c r="Y197" s="352" t="s">
        <v>205</v>
      </c>
      <c r="Z197" s="142" t="str">
        <f t="shared" si="10"/>
        <v>C</v>
      </c>
      <c r="AA197" s="226" t="str">
        <f t="shared" si="11"/>
        <v>UTILIZOU O PDA CORRETAMENTE</v>
      </c>
      <c r="AB197" s="9" t="s">
        <v>205</v>
      </c>
      <c r="AC197" s="162" t="s">
        <v>6</v>
      </c>
      <c r="AD197" s="150" t="str">
        <f t="shared" si="12"/>
        <v>SÃO PAULO</v>
      </c>
      <c r="AE197" s="95" t="s">
        <v>64</v>
      </c>
    </row>
    <row r="198" spans="1:31" s="55" customFormat="1" ht="30" customHeight="1">
      <c r="A198" s="215" t="s">
        <v>198</v>
      </c>
      <c r="B198" s="215">
        <v>2619468243</v>
      </c>
      <c r="C198" s="215" t="s">
        <v>128</v>
      </c>
      <c r="D198" s="215" t="s">
        <v>64</v>
      </c>
      <c r="E198" s="215" t="s">
        <v>5</v>
      </c>
      <c r="F198" s="215" t="s">
        <v>2085</v>
      </c>
      <c r="G198" s="215">
        <v>154</v>
      </c>
      <c r="H198" s="215" t="s">
        <v>200</v>
      </c>
      <c r="I198" s="215" t="s">
        <v>592</v>
      </c>
      <c r="J198" s="215" t="s">
        <v>1898</v>
      </c>
      <c r="K198" s="215" t="s">
        <v>200</v>
      </c>
      <c r="L198" s="216">
        <v>46300.375</v>
      </c>
      <c r="M198" s="216">
        <v>46300.378472222219</v>
      </c>
      <c r="N198" s="215" t="s">
        <v>1956</v>
      </c>
      <c r="O198" s="157" t="s">
        <v>206</v>
      </c>
      <c r="P198" s="92"/>
      <c r="Q198" s="145" t="s">
        <v>206</v>
      </c>
      <c r="R198" s="92"/>
      <c r="S198" s="145" t="s">
        <v>206</v>
      </c>
      <c r="T198" s="92"/>
      <c r="U198" s="145" t="s">
        <v>206</v>
      </c>
      <c r="V198" s="92"/>
      <c r="W198" s="145" t="s">
        <v>206</v>
      </c>
      <c r="X198" s="92"/>
      <c r="Y198" s="352" t="s">
        <v>239</v>
      </c>
      <c r="Z198" s="142" t="str">
        <f t="shared" si="10"/>
        <v>NC</v>
      </c>
      <c r="AA198" s="226" t="str">
        <f t="shared" si="11"/>
        <v>NÃO UTILIZOU O PDA</v>
      </c>
      <c r="AB198" s="9" t="s">
        <v>205</v>
      </c>
      <c r="AC198" s="162" t="s">
        <v>6</v>
      </c>
      <c r="AD198" s="150" t="str">
        <f t="shared" si="12"/>
        <v>SÃO PAULO</v>
      </c>
      <c r="AE198" s="95" t="s">
        <v>64</v>
      </c>
    </row>
    <row r="199" spans="1:31" s="55" customFormat="1" ht="30" customHeight="1">
      <c r="A199" s="215" t="s">
        <v>198</v>
      </c>
      <c r="B199" s="215">
        <v>2619477802</v>
      </c>
      <c r="C199" s="215" t="s">
        <v>128</v>
      </c>
      <c r="D199" s="215" t="s">
        <v>64</v>
      </c>
      <c r="E199" s="215" t="s">
        <v>5</v>
      </c>
      <c r="F199" s="215" t="s">
        <v>2086</v>
      </c>
      <c r="G199" s="215">
        <v>259</v>
      </c>
      <c r="H199" s="215"/>
      <c r="I199" s="215" t="s">
        <v>497</v>
      </c>
      <c r="J199" s="215" t="s">
        <v>1898</v>
      </c>
      <c r="K199" s="215" t="s">
        <v>2087</v>
      </c>
      <c r="L199" s="216">
        <v>46300.425694444442</v>
      </c>
      <c r="M199" s="216">
        <v>46300.426388888889</v>
      </c>
      <c r="N199" s="215" t="s">
        <v>1956</v>
      </c>
      <c r="O199" s="157" t="s">
        <v>206</v>
      </c>
      <c r="P199" s="92"/>
      <c r="Q199" s="145" t="s">
        <v>206</v>
      </c>
      <c r="R199" s="92"/>
      <c r="S199" s="145" t="s">
        <v>206</v>
      </c>
      <c r="T199" s="92"/>
      <c r="U199" s="145" t="s">
        <v>206</v>
      </c>
      <c r="V199" s="92"/>
      <c r="W199" s="145" t="s">
        <v>206</v>
      </c>
      <c r="X199" s="92"/>
      <c r="Y199" s="352" t="s">
        <v>239</v>
      </c>
      <c r="Z199" s="142" t="str">
        <f t="shared" si="10"/>
        <v>NC</v>
      </c>
      <c r="AA199" s="226" t="str">
        <f t="shared" si="11"/>
        <v>NÃO UTILIZOU O PDA</v>
      </c>
      <c r="AB199" s="9" t="s">
        <v>205</v>
      </c>
      <c r="AC199" s="162" t="s">
        <v>6</v>
      </c>
      <c r="AD199" s="150" t="str">
        <f t="shared" si="12"/>
        <v>SÃO PAULO</v>
      </c>
      <c r="AE199" s="95" t="s">
        <v>64</v>
      </c>
    </row>
    <row r="200" spans="1:31" s="55" customFormat="1" ht="30" customHeight="1">
      <c r="A200" s="215" t="s">
        <v>198</v>
      </c>
      <c r="B200" s="215">
        <v>2692922281</v>
      </c>
      <c r="C200" s="215" t="s">
        <v>128</v>
      </c>
      <c r="D200" s="215" t="s">
        <v>64</v>
      </c>
      <c r="E200" s="215" t="s">
        <v>5</v>
      </c>
      <c r="F200" s="215" t="s">
        <v>2088</v>
      </c>
      <c r="G200" s="215">
        <v>16</v>
      </c>
      <c r="H200" s="215" t="s">
        <v>200</v>
      </c>
      <c r="I200" s="215" t="s">
        <v>2089</v>
      </c>
      <c r="J200" s="215" t="s">
        <v>1900</v>
      </c>
      <c r="K200" s="215" t="s">
        <v>200</v>
      </c>
      <c r="L200" s="216">
        <v>46300.331944444442</v>
      </c>
      <c r="M200" s="216">
        <v>46300.340277777781</v>
      </c>
      <c r="N200" s="215" t="s">
        <v>590</v>
      </c>
      <c r="O200" s="180" t="s">
        <v>205</v>
      </c>
      <c r="P200" s="92"/>
      <c r="Q200" s="164" t="s">
        <v>205</v>
      </c>
      <c r="R200" s="92"/>
      <c r="S200" s="164" t="s">
        <v>205</v>
      </c>
      <c r="T200" s="92"/>
      <c r="U200" s="145" t="s">
        <v>205</v>
      </c>
      <c r="V200" s="92"/>
      <c r="W200" s="145" t="s">
        <v>205</v>
      </c>
      <c r="X200" s="92"/>
      <c r="Y200" s="352" t="s">
        <v>205</v>
      </c>
      <c r="Z200" s="142" t="str">
        <f t="shared" si="10"/>
        <v>C</v>
      </c>
      <c r="AA200" s="226" t="str">
        <f t="shared" si="11"/>
        <v>UTILIZOU O PDA CORRETAMENTE</v>
      </c>
      <c r="AB200" s="9" t="s">
        <v>205</v>
      </c>
      <c r="AC200" s="162" t="s">
        <v>6</v>
      </c>
      <c r="AD200" s="150" t="str">
        <f t="shared" si="12"/>
        <v>SÃO PAULO</v>
      </c>
      <c r="AE200" s="95" t="s">
        <v>64</v>
      </c>
    </row>
    <row r="201" spans="1:31" s="55" customFormat="1" ht="30" customHeight="1">
      <c r="A201" s="215" t="s">
        <v>198</v>
      </c>
      <c r="B201" s="215">
        <v>2692911603</v>
      </c>
      <c r="C201" s="215" t="s">
        <v>128</v>
      </c>
      <c r="D201" s="215" t="s">
        <v>64</v>
      </c>
      <c r="E201" s="215" t="s">
        <v>5</v>
      </c>
      <c r="F201" s="215" t="s">
        <v>2090</v>
      </c>
      <c r="G201" s="215">
        <v>193</v>
      </c>
      <c r="H201" s="215" t="s">
        <v>481</v>
      </c>
      <c r="I201" s="215" t="s">
        <v>260</v>
      </c>
      <c r="J201" s="215" t="s">
        <v>1898</v>
      </c>
      <c r="K201" s="215" t="s">
        <v>2087</v>
      </c>
      <c r="L201" s="216">
        <v>46300.467361111114</v>
      </c>
      <c r="M201" s="216">
        <v>46300.470138888886</v>
      </c>
      <c r="N201" s="215" t="s">
        <v>1956</v>
      </c>
      <c r="O201" s="157" t="s">
        <v>206</v>
      </c>
      <c r="P201" s="92"/>
      <c r="Q201" s="145" t="s">
        <v>206</v>
      </c>
      <c r="R201" s="92"/>
      <c r="S201" s="145" t="s">
        <v>206</v>
      </c>
      <c r="T201" s="92"/>
      <c r="U201" s="145" t="s">
        <v>206</v>
      </c>
      <c r="V201" s="92"/>
      <c r="W201" s="145" t="s">
        <v>206</v>
      </c>
      <c r="X201" s="92"/>
      <c r="Y201" s="352" t="s">
        <v>239</v>
      </c>
      <c r="Z201" s="142" t="str">
        <f t="shared" si="10"/>
        <v>NC</v>
      </c>
      <c r="AA201" s="226" t="str">
        <f t="shared" si="11"/>
        <v>NÃO UTILIZOU O PDA</v>
      </c>
      <c r="AB201" s="9" t="s">
        <v>205</v>
      </c>
      <c r="AC201" s="162" t="s">
        <v>6</v>
      </c>
      <c r="AD201" s="150" t="str">
        <f t="shared" si="12"/>
        <v>SÃO PAULO</v>
      </c>
      <c r="AE201" s="95" t="s">
        <v>64</v>
      </c>
    </row>
    <row r="202" spans="1:31" s="55" customFormat="1" ht="30" customHeight="1">
      <c r="A202" s="215" t="s">
        <v>198</v>
      </c>
      <c r="B202" s="215">
        <v>2692918320</v>
      </c>
      <c r="C202" s="215" t="s">
        <v>128</v>
      </c>
      <c r="D202" s="215" t="s">
        <v>64</v>
      </c>
      <c r="E202" s="215" t="s">
        <v>5</v>
      </c>
      <c r="F202" s="215" t="s">
        <v>2091</v>
      </c>
      <c r="G202" s="215">
        <v>71</v>
      </c>
      <c r="H202" s="215" t="s">
        <v>200</v>
      </c>
      <c r="I202" s="215" t="s">
        <v>1457</v>
      </c>
      <c r="J202" s="215" t="s">
        <v>1898</v>
      </c>
      <c r="K202" s="215" t="s">
        <v>200</v>
      </c>
      <c r="L202" s="216">
        <v>46300.622916666667</v>
      </c>
      <c r="M202" s="216">
        <v>46300.623611111114</v>
      </c>
      <c r="N202" s="215" t="s">
        <v>1947</v>
      </c>
      <c r="O202" s="180" t="s">
        <v>205</v>
      </c>
      <c r="P202" s="92"/>
      <c r="Q202" s="164" t="s">
        <v>205</v>
      </c>
      <c r="R202" s="92"/>
      <c r="S202" s="164" t="s">
        <v>205</v>
      </c>
      <c r="T202" s="92"/>
      <c r="U202" s="145" t="s">
        <v>205</v>
      </c>
      <c r="V202" s="92"/>
      <c r="W202" s="145" t="s">
        <v>205</v>
      </c>
      <c r="X202" s="92"/>
      <c r="Y202" s="352" t="s">
        <v>205</v>
      </c>
      <c r="Z202" s="142" t="str">
        <f t="shared" si="10"/>
        <v>C</v>
      </c>
      <c r="AA202" s="226" t="str">
        <f t="shared" si="11"/>
        <v>UTILIZOU O PDA CORRETAMENTE</v>
      </c>
      <c r="AB202" s="9" t="s">
        <v>205</v>
      </c>
      <c r="AC202" s="162" t="s">
        <v>6</v>
      </c>
      <c r="AD202" s="150" t="str">
        <f t="shared" si="12"/>
        <v>SÃO PAULO</v>
      </c>
      <c r="AE202" s="95" t="s">
        <v>64</v>
      </c>
    </row>
    <row r="203" spans="1:31" s="55" customFormat="1" ht="30" customHeight="1">
      <c r="A203" s="215" t="s">
        <v>198</v>
      </c>
      <c r="B203" s="215">
        <v>2692900551</v>
      </c>
      <c r="C203" s="215" t="s">
        <v>132</v>
      </c>
      <c r="D203" s="215" t="s">
        <v>64</v>
      </c>
      <c r="E203" s="215" t="s">
        <v>5</v>
      </c>
      <c r="F203" s="215" t="s">
        <v>2092</v>
      </c>
      <c r="G203" s="215">
        <v>84</v>
      </c>
      <c r="H203" s="215" t="s">
        <v>226</v>
      </c>
      <c r="I203" s="215" t="s">
        <v>2093</v>
      </c>
      <c r="J203" s="215" t="s">
        <v>1898</v>
      </c>
      <c r="K203" s="215"/>
      <c r="L203" s="216">
        <v>46300.333333333336</v>
      </c>
      <c r="M203" s="216">
        <v>46300.34375</v>
      </c>
      <c r="N203" s="215" t="s">
        <v>1956</v>
      </c>
      <c r="O203" s="238" t="s">
        <v>206</v>
      </c>
      <c r="P203" s="92"/>
      <c r="Q203" s="145" t="s">
        <v>206</v>
      </c>
      <c r="R203" s="92"/>
      <c r="S203" s="145" t="s">
        <v>206</v>
      </c>
      <c r="T203" s="92"/>
      <c r="U203" s="145" t="s">
        <v>206</v>
      </c>
      <c r="V203" s="92"/>
      <c r="W203" s="145" t="s">
        <v>206</v>
      </c>
      <c r="X203" s="92"/>
      <c r="Y203" s="352" t="s">
        <v>239</v>
      </c>
      <c r="Z203" s="142" t="str">
        <f t="shared" si="10"/>
        <v>NC</v>
      </c>
      <c r="AA203" s="226" t="str">
        <f t="shared" si="11"/>
        <v>NÃO UTILIZOU O PDA</v>
      </c>
      <c r="AB203" s="9" t="s">
        <v>205</v>
      </c>
      <c r="AC203" s="162" t="s">
        <v>6</v>
      </c>
      <c r="AD203" s="150" t="str">
        <f t="shared" si="12"/>
        <v>SÃO PAULO</v>
      </c>
      <c r="AE203" s="95" t="s">
        <v>64</v>
      </c>
    </row>
    <row r="204" spans="1:31" s="55" customFormat="1" ht="30" customHeight="1">
      <c r="A204" s="228" t="s">
        <v>198</v>
      </c>
      <c r="B204" s="228">
        <v>2692931216</v>
      </c>
      <c r="C204" s="228" t="s">
        <v>131</v>
      </c>
      <c r="D204" s="228" t="s">
        <v>64</v>
      </c>
      <c r="E204" s="228" t="s">
        <v>5</v>
      </c>
      <c r="F204" s="228" t="s">
        <v>2094</v>
      </c>
      <c r="G204" s="228">
        <v>78</v>
      </c>
      <c r="H204" s="228" t="s">
        <v>2095</v>
      </c>
      <c r="I204" s="228" t="s">
        <v>274</v>
      </c>
      <c r="J204" s="228" t="s">
        <v>1898</v>
      </c>
      <c r="K204" s="228" t="s">
        <v>2096</v>
      </c>
      <c r="L204" s="230">
        <v>46300.642361111109</v>
      </c>
      <c r="M204" s="230">
        <v>46300.645833333336</v>
      </c>
      <c r="N204" s="264" t="s">
        <v>359</v>
      </c>
      <c r="O204" s="180" t="s">
        <v>205</v>
      </c>
      <c r="P204" s="348"/>
      <c r="Q204" s="240" t="s">
        <v>206</v>
      </c>
      <c r="R204" s="239"/>
      <c r="S204" s="240" t="s">
        <v>206</v>
      </c>
      <c r="T204" s="239"/>
      <c r="U204" s="240" t="s">
        <v>206</v>
      </c>
      <c r="V204" s="239"/>
      <c r="W204" s="240" t="s">
        <v>205</v>
      </c>
      <c r="X204" s="239"/>
      <c r="Y204" s="353" t="s">
        <v>205</v>
      </c>
      <c r="Z204" s="142" t="str">
        <f t="shared" si="10"/>
        <v>NC</v>
      </c>
      <c r="AA204" s="226" t="str">
        <f t="shared" si="11"/>
        <v>UTILIZOU O PDA CORRETAMENTE. NÃO HÁ FOTOS DE TODAS AS ETAPAS</v>
      </c>
      <c r="AB204" s="348" t="s">
        <v>205</v>
      </c>
      <c r="AC204" s="198" t="s">
        <v>6</v>
      </c>
      <c r="AD204" s="150" t="str">
        <f t="shared" si="12"/>
        <v>SÃO PAULO</v>
      </c>
      <c r="AE204" s="179" t="s">
        <v>64</v>
      </c>
    </row>
    <row r="205" spans="1:31" s="142" customFormat="1" ht="30" customHeight="1">
      <c r="A205" s="243" t="s">
        <v>198</v>
      </c>
      <c r="B205" s="243">
        <v>2618863132</v>
      </c>
      <c r="C205" s="243" t="s">
        <v>135</v>
      </c>
      <c r="D205" s="243" t="s">
        <v>125</v>
      </c>
      <c r="E205" s="243" t="s">
        <v>5</v>
      </c>
      <c r="F205" s="243" t="s">
        <v>2097</v>
      </c>
      <c r="G205" s="243">
        <v>51</v>
      </c>
      <c r="H205" s="243" t="s">
        <v>200</v>
      </c>
      <c r="I205" s="243" t="s">
        <v>2098</v>
      </c>
      <c r="J205" s="243" t="s">
        <v>1909</v>
      </c>
      <c r="K205" s="243" t="s">
        <v>313</v>
      </c>
      <c r="L205" s="244">
        <v>46331.47152777778</v>
      </c>
      <c r="M205" s="244">
        <v>46331.536805555559</v>
      </c>
      <c r="N205" s="243" t="s">
        <v>310</v>
      </c>
      <c r="O205" s="164" t="s">
        <v>206</v>
      </c>
      <c r="P205" s="56"/>
      <c r="Q205" s="164" t="s">
        <v>205</v>
      </c>
      <c r="R205" s="56"/>
      <c r="S205" s="164" t="s">
        <v>205</v>
      </c>
      <c r="T205" s="56"/>
      <c r="U205" s="143" t="s">
        <v>205</v>
      </c>
      <c r="V205" s="56"/>
      <c r="W205" s="143" t="s">
        <v>205</v>
      </c>
      <c r="X205" s="56"/>
      <c r="Y205" s="350" t="s">
        <v>205</v>
      </c>
      <c r="Z205" s="142" t="str">
        <f t="shared" si="10"/>
        <v>NC</v>
      </c>
      <c r="AA205" s="226" t="str">
        <f t="shared" si="11"/>
        <v>UTILIZOU O PDA CORRETAMENTE. NÃO HÁ FOTOS DE TODAS AS ETAPAS</v>
      </c>
      <c r="AB205" s="166" t="s">
        <v>205</v>
      </c>
      <c r="AC205" s="242" t="s">
        <v>6</v>
      </c>
      <c r="AD205" s="235" t="str">
        <f t="shared" si="12"/>
        <v>SÃO PAULO</v>
      </c>
      <c r="AE205" s="234" t="s">
        <v>64</v>
      </c>
    </row>
    <row r="206" spans="1:31" s="142" customFormat="1" ht="30" customHeight="1">
      <c r="A206" s="243" t="s">
        <v>198</v>
      </c>
      <c r="B206" s="243">
        <v>2619779481</v>
      </c>
      <c r="C206" s="243" t="s">
        <v>128</v>
      </c>
      <c r="D206" s="243" t="s">
        <v>64</v>
      </c>
      <c r="E206" s="243" t="s">
        <v>5</v>
      </c>
      <c r="F206" s="243" t="s">
        <v>2099</v>
      </c>
      <c r="G206" s="243">
        <v>183</v>
      </c>
      <c r="H206" s="243" t="s">
        <v>226</v>
      </c>
      <c r="I206" s="243" t="s">
        <v>1516</v>
      </c>
      <c r="J206" s="243" t="s">
        <v>1898</v>
      </c>
      <c r="K206" s="243" t="s">
        <v>200</v>
      </c>
      <c r="L206" s="244">
        <v>46331.468055555553</v>
      </c>
      <c r="M206" s="244">
        <v>46331.472916666666</v>
      </c>
      <c r="N206" s="243" t="s">
        <v>1956</v>
      </c>
      <c r="O206" s="144" t="s">
        <v>62</v>
      </c>
      <c r="P206" s="56"/>
      <c r="Q206" s="143" t="s">
        <v>62</v>
      </c>
      <c r="R206" s="56"/>
      <c r="S206" s="143" t="s">
        <v>62</v>
      </c>
      <c r="T206" s="56"/>
      <c r="U206" s="143" t="s">
        <v>62</v>
      </c>
      <c r="V206" s="56"/>
      <c r="W206" s="143" t="s">
        <v>62</v>
      </c>
      <c r="X206" s="56"/>
      <c r="Y206" s="350" t="s">
        <v>62</v>
      </c>
      <c r="Z206" s="142" t="str">
        <f t="shared" si="10"/>
        <v>NA</v>
      </c>
      <c r="AA206" s="226" t="str">
        <f t="shared" si="11"/>
        <v>NÃO AVALIADO POR FALHA DE SINCRONISMO</v>
      </c>
      <c r="AB206" s="166" t="s">
        <v>205</v>
      </c>
      <c r="AC206" s="242" t="s">
        <v>6</v>
      </c>
      <c r="AD206" s="235" t="str">
        <f t="shared" si="12"/>
        <v>SÃO PAULO</v>
      </c>
      <c r="AE206" s="234" t="s">
        <v>64</v>
      </c>
    </row>
    <row r="207" spans="1:31" s="142" customFormat="1" ht="30" customHeight="1">
      <c r="A207" s="243" t="s">
        <v>198</v>
      </c>
      <c r="B207" s="243">
        <v>2692940774</v>
      </c>
      <c r="C207" s="243" t="s">
        <v>128</v>
      </c>
      <c r="D207" s="243" t="s">
        <v>64</v>
      </c>
      <c r="E207" s="243" t="s">
        <v>5</v>
      </c>
      <c r="F207" s="243" t="s">
        <v>1232</v>
      </c>
      <c r="G207" s="243">
        <v>668</v>
      </c>
      <c r="H207" s="243" t="s">
        <v>2100</v>
      </c>
      <c r="I207" s="243" t="s">
        <v>219</v>
      </c>
      <c r="J207" s="243" t="s">
        <v>1898</v>
      </c>
      <c r="K207" s="243" t="s">
        <v>2101</v>
      </c>
      <c r="L207" s="244">
        <v>46331.428472222222</v>
      </c>
      <c r="M207" s="244">
        <v>46331.431944444441</v>
      </c>
      <c r="N207" s="347" t="s">
        <v>852</v>
      </c>
      <c r="O207" s="180" t="s">
        <v>205</v>
      </c>
      <c r="P207" s="166"/>
      <c r="Q207" s="164" t="s">
        <v>205</v>
      </c>
      <c r="R207" s="56"/>
      <c r="S207" s="164" t="s">
        <v>205</v>
      </c>
      <c r="T207" s="56"/>
      <c r="U207" s="143" t="s">
        <v>205</v>
      </c>
      <c r="V207" s="56"/>
      <c r="W207" s="143" t="s">
        <v>205</v>
      </c>
      <c r="X207" s="56"/>
      <c r="Y207" s="350" t="s">
        <v>205</v>
      </c>
      <c r="Z207" s="142" t="str">
        <f t="shared" si="10"/>
        <v>C</v>
      </c>
      <c r="AA207" s="226" t="str">
        <f t="shared" si="11"/>
        <v>UTILIZOU O PDA CORRETAMENTE</v>
      </c>
      <c r="AB207" s="166" t="s">
        <v>205</v>
      </c>
      <c r="AC207" s="242" t="s">
        <v>6</v>
      </c>
      <c r="AD207" s="235" t="str">
        <f t="shared" si="12"/>
        <v>SÃO PAULO</v>
      </c>
      <c r="AE207" s="234" t="s">
        <v>64</v>
      </c>
    </row>
    <row r="208" spans="1:31" s="142" customFormat="1" ht="30" customHeight="1">
      <c r="A208" s="243" t="s">
        <v>198</v>
      </c>
      <c r="B208" s="243">
        <v>2692945801</v>
      </c>
      <c r="C208" s="243" t="s">
        <v>128</v>
      </c>
      <c r="D208" s="243" t="s">
        <v>64</v>
      </c>
      <c r="E208" s="243" t="s">
        <v>5</v>
      </c>
      <c r="F208" s="243" t="s">
        <v>266</v>
      </c>
      <c r="G208" s="243">
        <v>484</v>
      </c>
      <c r="H208" s="243" t="s">
        <v>708</v>
      </c>
      <c r="I208" s="243" t="s">
        <v>465</v>
      </c>
      <c r="J208" s="243" t="s">
        <v>1898</v>
      </c>
      <c r="K208" s="243" t="s">
        <v>200</v>
      </c>
      <c r="L208" s="244">
        <v>46331.436111111114</v>
      </c>
      <c r="M208" s="244">
        <v>46331.451388888891</v>
      </c>
      <c r="N208" s="243" t="s">
        <v>1956</v>
      </c>
      <c r="O208" s="164" t="s">
        <v>62</v>
      </c>
      <c r="P208" s="56"/>
      <c r="Q208" s="143" t="s">
        <v>62</v>
      </c>
      <c r="R208" s="56"/>
      <c r="S208" s="143" t="s">
        <v>62</v>
      </c>
      <c r="T208" s="56"/>
      <c r="U208" s="143" t="s">
        <v>62</v>
      </c>
      <c r="V208" s="56"/>
      <c r="W208" s="143" t="s">
        <v>62</v>
      </c>
      <c r="X208" s="56"/>
      <c r="Y208" s="350" t="s">
        <v>62</v>
      </c>
      <c r="Z208" s="142" t="str">
        <f t="shared" si="10"/>
        <v>NA</v>
      </c>
      <c r="AA208" s="226" t="str">
        <f t="shared" si="11"/>
        <v>NÃO AVALIADO POR FALHA DE SINCRONISMO</v>
      </c>
      <c r="AB208" s="166" t="s">
        <v>205</v>
      </c>
      <c r="AC208" s="242" t="s">
        <v>6</v>
      </c>
      <c r="AD208" s="235" t="str">
        <f t="shared" si="12"/>
        <v>SÃO PAULO</v>
      </c>
      <c r="AE208" s="234" t="s">
        <v>64</v>
      </c>
    </row>
    <row r="209" spans="1:31" s="142" customFormat="1" ht="30" customHeight="1">
      <c r="A209" s="243" t="s">
        <v>198</v>
      </c>
      <c r="B209" s="243">
        <v>2692946607</v>
      </c>
      <c r="C209" s="243" t="s">
        <v>131</v>
      </c>
      <c r="D209" s="243" t="s">
        <v>64</v>
      </c>
      <c r="E209" s="243" t="s">
        <v>5</v>
      </c>
      <c r="F209" s="243" t="s">
        <v>1095</v>
      </c>
      <c r="G209" s="243">
        <v>439</v>
      </c>
      <c r="H209" s="243"/>
      <c r="I209" s="243" t="s">
        <v>491</v>
      </c>
      <c r="J209" s="243" t="s">
        <v>1908</v>
      </c>
      <c r="K209" s="243"/>
      <c r="L209" s="244">
        <v>46331.342361111114</v>
      </c>
      <c r="M209" s="244">
        <v>46331.35</v>
      </c>
      <c r="N209" s="243" t="s">
        <v>590</v>
      </c>
      <c r="O209" s="180" t="s">
        <v>205</v>
      </c>
      <c r="P209" s="56"/>
      <c r="Q209" s="164" t="s">
        <v>205</v>
      </c>
      <c r="R209" s="56"/>
      <c r="S209" s="164" t="s">
        <v>205</v>
      </c>
      <c r="T209" s="56"/>
      <c r="U209" s="143" t="s">
        <v>205</v>
      </c>
      <c r="V209" s="56"/>
      <c r="W209" s="143" t="s">
        <v>205</v>
      </c>
      <c r="X209" s="56"/>
      <c r="Y209" s="350" t="s">
        <v>205</v>
      </c>
      <c r="Z209" s="142" t="str">
        <f t="shared" si="10"/>
        <v>C</v>
      </c>
      <c r="AA209" s="226" t="str">
        <f t="shared" si="11"/>
        <v>UTILIZOU O PDA CORRETAMENTE</v>
      </c>
      <c r="AB209" s="166" t="s">
        <v>205</v>
      </c>
      <c r="AC209" s="242" t="s">
        <v>6</v>
      </c>
      <c r="AD209" s="235" t="str">
        <f t="shared" si="12"/>
        <v>SÃO PAULO</v>
      </c>
      <c r="AE209" s="234" t="s">
        <v>64</v>
      </c>
    </row>
    <row r="210" spans="1:31" s="142" customFormat="1" ht="30" customHeight="1">
      <c r="A210" s="243" t="s">
        <v>198</v>
      </c>
      <c r="B210" s="243">
        <v>2619790678</v>
      </c>
      <c r="C210" s="243" t="s">
        <v>131</v>
      </c>
      <c r="D210" s="243" t="s">
        <v>64</v>
      </c>
      <c r="E210" s="243" t="s">
        <v>5</v>
      </c>
      <c r="F210" s="243" t="s">
        <v>517</v>
      </c>
      <c r="G210" s="243">
        <v>15</v>
      </c>
      <c r="H210" s="243" t="s">
        <v>579</v>
      </c>
      <c r="I210" s="243" t="s">
        <v>412</v>
      </c>
      <c r="J210" s="243" t="s">
        <v>1898</v>
      </c>
      <c r="K210" s="245" t="s">
        <v>2102</v>
      </c>
      <c r="L210" s="244">
        <v>46331.6</v>
      </c>
      <c r="M210" s="244">
        <v>46331.601388888892</v>
      </c>
      <c r="N210" s="243" t="s">
        <v>248</v>
      </c>
      <c r="O210" s="143" t="s">
        <v>206</v>
      </c>
      <c r="P210" s="56"/>
      <c r="Q210" s="143" t="s">
        <v>206</v>
      </c>
      <c r="R210" s="56"/>
      <c r="S210" s="143" t="s">
        <v>206</v>
      </c>
      <c r="T210" s="56"/>
      <c r="U210" s="143" t="s">
        <v>206</v>
      </c>
      <c r="V210" s="56"/>
      <c r="W210" s="143" t="s">
        <v>206</v>
      </c>
      <c r="X210" s="56"/>
      <c r="Y210" s="350" t="s">
        <v>239</v>
      </c>
      <c r="Z210" s="142" t="str">
        <f t="shared" si="10"/>
        <v>NC</v>
      </c>
      <c r="AA210" s="226" t="str">
        <f t="shared" si="11"/>
        <v>NÃO UTILIZOU O PDA</v>
      </c>
      <c r="AB210" s="166" t="s">
        <v>205</v>
      </c>
      <c r="AC210" s="242" t="s">
        <v>6</v>
      </c>
      <c r="AD210" s="235" t="str">
        <f t="shared" si="12"/>
        <v>SÃO PAULO</v>
      </c>
      <c r="AE210" s="234" t="s">
        <v>64</v>
      </c>
    </row>
    <row r="211" spans="1:31" s="142" customFormat="1" ht="30" customHeight="1">
      <c r="A211" s="243" t="s">
        <v>198</v>
      </c>
      <c r="B211" s="243">
        <v>2616174258</v>
      </c>
      <c r="C211" s="243" t="s">
        <v>135</v>
      </c>
      <c r="D211" s="243" t="s">
        <v>125</v>
      </c>
      <c r="E211" s="243" t="s">
        <v>5</v>
      </c>
      <c r="F211" s="243" t="s">
        <v>2103</v>
      </c>
      <c r="G211" s="243">
        <v>196</v>
      </c>
      <c r="H211" s="243"/>
      <c r="I211" s="243" t="s">
        <v>2104</v>
      </c>
      <c r="J211" s="243" t="s">
        <v>1909</v>
      </c>
      <c r="K211" s="243" t="s">
        <v>2105</v>
      </c>
      <c r="L211" s="244">
        <v>46331.367361111108</v>
      </c>
      <c r="M211" s="244">
        <v>46331.429166666669</v>
      </c>
      <c r="N211" s="243" t="s">
        <v>310</v>
      </c>
      <c r="O211" s="180" t="s">
        <v>205</v>
      </c>
      <c r="P211" s="56"/>
      <c r="Q211" s="164" t="s">
        <v>205</v>
      </c>
      <c r="R211" s="56"/>
      <c r="S211" s="164" t="s">
        <v>205</v>
      </c>
      <c r="T211" s="56"/>
      <c r="U211" s="143" t="s">
        <v>205</v>
      </c>
      <c r="V211" s="56"/>
      <c r="W211" s="143" t="s">
        <v>205</v>
      </c>
      <c r="X211" s="56"/>
      <c r="Y211" s="350" t="s">
        <v>205</v>
      </c>
      <c r="Z211" s="142" t="str">
        <f t="shared" si="10"/>
        <v>C</v>
      </c>
      <c r="AA211" s="226" t="str">
        <f t="shared" si="11"/>
        <v>UTILIZOU O PDA CORRETAMENTE</v>
      </c>
      <c r="AB211" s="166" t="s">
        <v>205</v>
      </c>
      <c r="AC211" s="242" t="s">
        <v>6</v>
      </c>
      <c r="AD211" s="235" t="str">
        <f t="shared" si="12"/>
        <v>SÃO PAULO</v>
      </c>
      <c r="AE211" s="234" t="s">
        <v>64</v>
      </c>
    </row>
    <row r="212" spans="1:31" s="142" customFormat="1" ht="30" customHeight="1">
      <c r="A212" s="243" t="s">
        <v>198</v>
      </c>
      <c r="B212" s="243">
        <v>2692965812</v>
      </c>
      <c r="C212" s="243" t="s">
        <v>128</v>
      </c>
      <c r="D212" s="243" t="s">
        <v>64</v>
      </c>
      <c r="E212" s="243" t="s">
        <v>5</v>
      </c>
      <c r="F212" s="243" t="s">
        <v>2106</v>
      </c>
      <c r="G212" s="243">
        <v>106</v>
      </c>
      <c r="H212" s="243" t="s">
        <v>200</v>
      </c>
      <c r="I212" s="243" t="s">
        <v>1000</v>
      </c>
      <c r="J212" s="243" t="s">
        <v>1898</v>
      </c>
      <c r="K212" s="243" t="s">
        <v>200</v>
      </c>
      <c r="L212" s="244">
        <v>46331.40625</v>
      </c>
      <c r="M212" s="244">
        <v>46331.411111111112</v>
      </c>
      <c r="N212" s="243" t="s">
        <v>1956</v>
      </c>
      <c r="O212" s="143" t="s">
        <v>239</v>
      </c>
      <c r="P212" s="56" t="s">
        <v>303</v>
      </c>
      <c r="Q212" s="143" t="s">
        <v>239</v>
      </c>
      <c r="R212" s="56" t="s">
        <v>303</v>
      </c>
      <c r="S212" s="143" t="s">
        <v>239</v>
      </c>
      <c r="T212" s="56" t="s">
        <v>303</v>
      </c>
      <c r="U212" s="143" t="s">
        <v>239</v>
      </c>
      <c r="V212" s="56" t="s">
        <v>303</v>
      </c>
      <c r="W212" s="143" t="s">
        <v>239</v>
      </c>
      <c r="X212" s="56" t="s">
        <v>303</v>
      </c>
      <c r="Y212" s="350" t="s">
        <v>239</v>
      </c>
      <c r="Z212" s="142" t="str">
        <f t="shared" si="10"/>
        <v>NC</v>
      </c>
      <c r="AA212" s="226" t="str">
        <f t="shared" si="11"/>
        <v>NÃO UTILIZOU O PDA</v>
      </c>
      <c r="AB212" s="166" t="s">
        <v>205</v>
      </c>
      <c r="AC212" s="242" t="s">
        <v>6</v>
      </c>
      <c r="AD212" s="235" t="str">
        <f t="shared" si="12"/>
        <v>SÃO PAULO</v>
      </c>
      <c r="AE212" s="234" t="s">
        <v>64</v>
      </c>
    </row>
    <row r="213" spans="1:31" s="142" customFormat="1" ht="30" customHeight="1">
      <c r="A213" s="243" t="s">
        <v>198</v>
      </c>
      <c r="B213" s="243">
        <v>2619792619</v>
      </c>
      <c r="C213" s="243" t="s">
        <v>129</v>
      </c>
      <c r="D213" s="243" t="s">
        <v>125</v>
      </c>
      <c r="E213" s="243" t="s">
        <v>5</v>
      </c>
      <c r="F213" s="243" t="s">
        <v>2107</v>
      </c>
      <c r="G213" s="243">
        <v>13</v>
      </c>
      <c r="H213" s="243" t="s">
        <v>226</v>
      </c>
      <c r="I213" s="243" t="s">
        <v>215</v>
      </c>
      <c r="J213" s="243" t="s">
        <v>1903</v>
      </c>
      <c r="K213" s="243"/>
      <c r="L213" s="244">
        <v>46331.568055555559</v>
      </c>
      <c r="M213" s="244">
        <v>46331.570833333331</v>
      </c>
      <c r="N213" s="243" t="s">
        <v>590</v>
      </c>
      <c r="O213" s="180" t="s">
        <v>205</v>
      </c>
      <c r="P213" s="56"/>
      <c r="Q213" s="164" t="s">
        <v>205</v>
      </c>
      <c r="R213" s="56"/>
      <c r="S213" s="164" t="s">
        <v>205</v>
      </c>
      <c r="T213" s="56"/>
      <c r="U213" s="143" t="s">
        <v>205</v>
      </c>
      <c r="V213" s="56"/>
      <c r="W213" s="143" t="s">
        <v>205</v>
      </c>
      <c r="X213" s="56"/>
      <c r="Y213" s="350" t="s">
        <v>205</v>
      </c>
      <c r="Z213" s="142" t="str">
        <f t="shared" si="10"/>
        <v>C</v>
      </c>
      <c r="AA213" s="226" t="str">
        <f t="shared" si="11"/>
        <v>UTILIZOU O PDA CORRETAMENTE</v>
      </c>
      <c r="AB213" s="166" t="s">
        <v>205</v>
      </c>
      <c r="AC213" s="242" t="s">
        <v>6</v>
      </c>
      <c r="AD213" s="235" t="str">
        <f t="shared" si="12"/>
        <v>SÃO PAULO</v>
      </c>
      <c r="AE213" s="234" t="s">
        <v>64</v>
      </c>
    </row>
    <row r="214" spans="1:31" s="142" customFormat="1" ht="30" customHeight="1">
      <c r="A214" s="243" t="s">
        <v>198</v>
      </c>
      <c r="B214" s="243">
        <v>2619793209</v>
      </c>
      <c r="C214" s="243" t="s">
        <v>128</v>
      </c>
      <c r="D214" s="243" t="s">
        <v>64</v>
      </c>
      <c r="E214" s="243" t="s">
        <v>5</v>
      </c>
      <c r="F214" s="243" t="s">
        <v>2108</v>
      </c>
      <c r="G214" s="243">
        <v>101</v>
      </c>
      <c r="H214" s="243" t="s">
        <v>200</v>
      </c>
      <c r="I214" s="243" t="s">
        <v>215</v>
      </c>
      <c r="J214" s="243" t="s">
        <v>1898</v>
      </c>
      <c r="K214" s="243" t="s">
        <v>200</v>
      </c>
      <c r="L214" s="244">
        <v>46331.578472222223</v>
      </c>
      <c r="M214" s="244">
        <v>46331.586805555555</v>
      </c>
      <c r="N214" s="243" t="s">
        <v>590</v>
      </c>
      <c r="O214" s="180" t="s">
        <v>205</v>
      </c>
      <c r="P214" s="56"/>
      <c r="Q214" s="164" t="s">
        <v>205</v>
      </c>
      <c r="R214" s="56"/>
      <c r="S214" s="164" t="s">
        <v>205</v>
      </c>
      <c r="T214" s="56"/>
      <c r="U214" s="143" t="s">
        <v>205</v>
      </c>
      <c r="V214" s="56"/>
      <c r="W214" s="143" t="s">
        <v>205</v>
      </c>
      <c r="X214" s="56"/>
      <c r="Y214" s="350" t="s">
        <v>205</v>
      </c>
      <c r="Z214" s="142" t="str">
        <f t="shared" si="10"/>
        <v>C</v>
      </c>
      <c r="AA214" s="226" t="str">
        <f t="shared" si="11"/>
        <v>UTILIZOU O PDA CORRETAMENTE</v>
      </c>
      <c r="AB214" s="166" t="s">
        <v>205</v>
      </c>
      <c r="AC214" s="242" t="s">
        <v>6</v>
      </c>
      <c r="AD214" s="235" t="str">
        <f t="shared" si="12"/>
        <v>SÃO PAULO</v>
      </c>
      <c r="AE214" s="234" t="s">
        <v>64</v>
      </c>
    </row>
    <row r="215" spans="1:31" s="142" customFormat="1" ht="30" customHeight="1">
      <c r="A215" s="243" t="s">
        <v>198</v>
      </c>
      <c r="B215" s="243">
        <v>2619803838</v>
      </c>
      <c r="C215" s="243" t="s">
        <v>128</v>
      </c>
      <c r="D215" s="243" t="s">
        <v>64</v>
      </c>
      <c r="E215" s="243" t="s">
        <v>5</v>
      </c>
      <c r="F215" s="243" t="s">
        <v>2109</v>
      </c>
      <c r="G215" s="243">
        <v>260</v>
      </c>
      <c r="H215" s="243"/>
      <c r="I215" s="243" t="s">
        <v>577</v>
      </c>
      <c r="J215" s="243" t="s">
        <v>1908</v>
      </c>
      <c r="K215" s="243"/>
      <c r="L215" s="244">
        <v>46331.543055555558</v>
      </c>
      <c r="M215" s="244">
        <v>46331.552777777775</v>
      </c>
      <c r="N215" s="243" t="s">
        <v>590</v>
      </c>
      <c r="O215" s="180" t="s">
        <v>205</v>
      </c>
      <c r="P215" s="56"/>
      <c r="Q215" s="164" t="s">
        <v>205</v>
      </c>
      <c r="R215" s="56"/>
      <c r="S215" s="164" t="s">
        <v>205</v>
      </c>
      <c r="T215" s="56"/>
      <c r="U215" s="143" t="s">
        <v>205</v>
      </c>
      <c r="V215" s="56"/>
      <c r="W215" s="143" t="s">
        <v>205</v>
      </c>
      <c r="X215" s="56"/>
      <c r="Y215" s="350" t="s">
        <v>205</v>
      </c>
      <c r="Z215" s="142" t="str">
        <f t="shared" si="10"/>
        <v>C</v>
      </c>
      <c r="AA215" s="226" t="str">
        <f t="shared" si="11"/>
        <v>UTILIZOU O PDA CORRETAMENTE</v>
      </c>
      <c r="AB215" s="166" t="s">
        <v>205</v>
      </c>
      <c r="AC215" s="242" t="s">
        <v>6</v>
      </c>
      <c r="AD215" s="235" t="str">
        <f t="shared" si="12"/>
        <v>SÃO PAULO</v>
      </c>
      <c r="AE215" s="234" t="s">
        <v>64</v>
      </c>
    </row>
    <row r="216" spans="1:31" s="142" customFormat="1" ht="30" customHeight="1">
      <c r="A216" s="243" t="s">
        <v>198</v>
      </c>
      <c r="B216" s="243">
        <v>2692995188</v>
      </c>
      <c r="C216" s="243" t="s">
        <v>128</v>
      </c>
      <c r="D216" s="243" t="s">
        <v>64</v>
      </c>
      <c r="E216" s="243" t="s">
        <v>5</v>
      </c>
      <c r="F216" s="243" t="s">
        <v>2110</v>
      </c>
      <c r="G216" s="243">
        <v>84</v>
      </c>
      <c r="H216" s="243" t="s">
        <v>226</v>
      </c>
      <c r="I216" s="243" t="s">
        <v>274</v>
      </c>
      <c r="J216" s="243" t="s">
        <v>1898</v>
      </c>
      <c r="K216" s="243"/>
      <c r="L216" s="244">
        <v>46331.645138888889</v>
      </c>
      <c r="M216" s="244">
        <v>46331.646527777775</v>
      </c>
      <c r="N216" s="243" t="s">
        <v>852</v>
      </c>
      <c r="O216" s="180" t="s">
        <v>205</v>
      </c>
      <c r="P216" s="56"/>
      <c r="Q216" s="164" t="s">
        <v>205</v>
      </c>
      <c r="R216" s="56"/>
      <c r="S216" s="164" t="s">
        <v>205</v>
      </c>
      <c r="T216" s="56"/>
      <c r="U216" s="143" t="s">
        <v>205</v>
      </c>
      <c r="V216" s="56"/>
      <c r="W216" s="143" t="s">
        <v>205</v>
      </c>
      <c r="X216" s="56"/>
      <c r="Y216" s="350" t="s">
        <v>205</v>
      </c>
      <c r="Z216" s="142" t="str">
        <f t="shared" si="10"/>
        <v>C</v>
      </c>
      <c r="AA216" s="226" t="str">
        <f t="shared" si="11"/>
        <v>UTILIZOU O PDA CORRETAMENTE</v>
      </c>
      <c r="AB216" s="166" t="s">
        <v>205</v>
      </c>
      <c r="AC216" s="242" t="s">
        <v>6</v>
      </c>
      <c r="AD216" s="235" t="str">
        <f t="shared" si="12"/>
        <v>SÃO PAULO</v>
      </c>
      <c r="AE216" s="234" t="s">
        <v>64</v>
      </c>
    </row>
    <row r="217" spans="1:31" s="142" customFormat="1" ht="30" customHeight="1">
      <c r="A217" s="243" t="s">
        <v>198</v>
      </c>
      <c r="B217" s="243">
        <v>2692989390</v>
      </c>
      <c r="C217" s="243" t="s">
        <v>128</v>
      </c>
      <c r="D217" s="243" t="s">
        <v>64</v>
      </c>
      <c r="E217" s="243" t="s">
        <v>5</v>
      </c>
      <c r="F217" s="243" t="s">
        <v>2111</v>
      </c>
      <c r="G217" s="243">
        <v>135</v>
      </c>
      <c r="H217" s="243" t="s">
        <v>200</v>
      </c>
      <c r="I217" s="243" t="s">
        <v>438</v>
      </c>
      <c r="J217" s="243" t="s">
        <v>1898</v>
      </c>
      <c r="K217" s="243" t="s">
        <v>200</v>
      </c>
      <c r="L217" s="244">
        <v>46331.684027777781</v>
      </c>
      <c r="M217" s="244">
        <v>46331.690972222219</v>
      </c>
      <c r="N217" s="243" t="s">
        <v>1950</v>
      </c>
      <c r="O217" s="180" t="s">
        <v>205</v>
      </c>
      <c r="P217" s="56"/>
      <c r="Q217" s="164" t="s">
        <v>205</v>
      </c>
      <c r="R217" s="56"/>
      <c r="S217" s="164" t="s">
        <v>205</v>
      </c>
      <c r="T217" s="56"/>
      <c r="U217" s="143" t="s">
        <v>205</v>
      </c>
      <c r="V217" s="56"/>
      <c r="W217" s="143" t="s">
        <v>205</v>
      </c>
      <c r="X217" s="56"/>
      <c r="Y217" s="350" t="s">
        <v>205</v>
      </c>
      <c r="Z217" s="142" t="str">
        <f t="shared" si="10"/>
        <v>C</v>
      </c>
      <c r="AA217" s="226" t="str">
        <f t="shared" si="11"/>
        <v>UTILIZOU O PDA CORRETAMENTE</v>
      </c>
      <c r="AB217" s="166" t="s">
        <v>205</v>
      </c>
      <c r="AC217" s="242" t="s">
        <v>6</v>
      </c>
      <c r="AD217" s="235" t="str">
        <f t="shared" si="12"/>
        <v>SÃO PAULO</v>
      </c>
      <c r="AE217" s="234" t="s">
        <v>64</v>
      </c>
    </row>
    <row r="218" spans="1:31" s="142" customFormat="1" ht="30" customHeight="1">
      <c r="A218" s="243" t="s">
        <v>198</v>
      </c>
      <c r="B218" s="243">
        <v>2619816853</v>
      </c>
      <c r="C218" s="243" t="s">
        <v>128</v>
      </c>
      <c r="D218" s="243" t="s">
        <v>64</v>
      </c>
      <c r="E218" s="243" t="s">
        <v>5</v>
      </c>
      <c r="F218" s="243" t="s">
        <v>2112</v>
      </c>
      <c r="G218" s="243">
        <v>445</v>
      </c>
      <c r="H218" s="243" t="s">
        <v>200</v>
      </c>
      <c r="I218" s="243" t="s">
        <v>369</v>
      </c>
      <c r="J218" s="243" t="s">
        <v>1898</v>
      </c>
      <c r="K218" s="243" t="s">
        <v>2113</v>
      </c>
      <c r="L218" s="244">
        <v>46331.604166666664</v>
      </c>
      <c r="M218" s="244">
        <v>46331.606249999997</v>
      </c>
      <c r="N218" s="243" t="s">
        <v>1947</v>
      </c>
      <c r="O218" s="180" t="s">
        <v>205</v>
      </c>
      <c r="P218" s="56"/>
      <c r="Q218" s="164" t="s">
        <v>205</v>
      </c>
      <c r="R218" s="56"/>
      <c r="S218" s="164" t="s">
        <v>205</v>
      </c>
      <c r="T218" s="56"/>
      <c r="U218" s="143" t="s">
        <v>205</v>
      </c>
      <c r="V218" s="56"/>
      <c r="W218" s="143" t="s">
        <v>205</v>
      </c>
      <c r="X218" s="56"/>
      <c r="Y218" s="350" t="s">
        <v>205</v>
      </c>
      <c r="Z218" s="142" t="str">
        <f t="shared" si="10"/>
        <v>C</v>
      </c>
      <c r="AA218" s="226" t="str">
        <f t="shared" si="11"/>
        <v>UTILIZOU O PDA CORRETAMENTE</v>
      </c>
      <c r="AB218" s="166" t="s">
        <v>205</v>
      </c>
      <c r="AC218" s="242" t="s">
        <v>6</v>
      </c>
      <c r="AD218" s="235" t="str">
        <f t="shared" si="12"/>
        <v>SÃO PAULO</v>
      </c>
      <c r="AE218" s="234" t="s">
        <v>64</v>
      </c>
    </row>
    <row r="219" spans="1:31" s="142" customFormat="1" ht="30" customHeight="1">
      <c r="A219" s="243" t="s">
        <v>198</v>
      </c>
      <c r="B219" s="243">
        <v>2693009051</v>
      </c>
      <c r="C219" s="243" t="s">
        <v>128</v>
      </c>
      <c r="D219" s="243" t="s">
        <v>64</v>
      </c>
      <c r="E219" s="243" t="s">
        <v>5</v>
      </c>
      <c r="F219" s="243" t="s">
        <v>556</v>
      </c>
      <c r="G219" s="243">
        <v>2199</v>
      </c>
      <c r="H219" s="243" t="s">
        <v>387</v>
      </c>
      <c r="I219" s="243" t="s">
        <v>375</v>
      </c>
      <c r="J219" s="243" t="s">
        <v>1898</v>
      </c>
      <c r="K219" s="243"/>
      <c r="L219" s="244">
        <v>46331.638194444444</v>
      </c>
      <c r="M219" s="244">
        <v>46331.652083333334</v>
      </c>
      <c r="N219" s="243" t="s">
        <v>1956</v>
      </c>
      <c r="O219" s="143" t="s">
        <v>62</v>
      </c>
      <c r="P219" s="56"/>
      <c r="Q219" s="143" t="s">
        <v>62</v>
      </c>
      <c r="R219" s="56"/>
      <c r="S219" s="143" t="s">
        <v>62</v>
      </c>
      <c r="T219" s="56"/>
      <c r="U219" s="143" t="s">
        <v>62</v>
      </c>
      <c r="V219" s="56"/>
      <c r="W219" s="143" t="s">
        <v>62</v>
      </c>
      <c r="X219" s="56"/>
      <c r="Y219" s="350" t="s">
        <v>62</v>
      </c>
      <c r="Z219" s="142" t="str">
        <f t="shared" si="10"/>
        <v>NA</v>
      </c>
      <c r="AA219" s="226" t="str">
        <f t="shared" si="11"/>
        <v>NÃO AVALIADO POR FALHA DE SINCRONISMO</v>
      </c>
      <c r="AB219" s="166" t="s">
        <v>205</v>
      </c>
      <c r="AC219" s="242" t="s">
        <v>6</v>
      </c>
      <c r="AD219" s="235" t="str">
        <f t="shared" si="12"/>
        <v>SÃO PAULO</v>
      </c>
      <c r="AE219" s="234" t="s">
        <v>64</v>
      </c>
    </row>
    <row r="220" spans="1:31" s="142" customFormat="1" ht="30" customHeight="1">
      <c r="A220" s="243" t="s">
        <v>198</v>
      </c>
      <c r="B220" s="243">
        <v>2693024427</v>
      </c>
      <c r="C220" s="243" t="s">
        <v>128</v>
      </c>
      <c r="D220" s="243" t="s">
        <v>64</v>
      </c>
      <c r="E220" s="243" t="s">
        <v>5</v>
      </c>
      <c r="F220" s="243" t="s">
        <v>631</v>
      </c>
      <c r="G220" s="243">
        <v>884</v>
      </c>
      <c r="H220" s="243" t="s">
        <v>226</v>
      </c>
      <c r="I220" s="243" t="s">
        <v>397</v>
      </c>
      <c r="J220" s="243" t="s">
        <v>1898</v>
      </c>
      <c r="K220" s="243" t="s">
        <v>200</v>
      </c>
      <c r="L220" s="244">
        <v>46331.652083333334</v>
      </c>
      <c r="M220" s="244">
        <v>46331.655555555553</v>
      </c>
      <c r="N220" s="243" t="s">
        <v>590</v>
      </c>
      <c r="O220" s="180" t="s">
        <v>205</v>
      </c>
      <c r="P220" s="56"/>
      <c r="Q220" s="164" t="s">
        <v>205</v>
      </c>
      <c r="R220" s="56"/>
      <c r="S220" s="164" t="s">
        <v>205</v>
      </c>
      <c r="T220" s="56"/>
      <c r="U220" s="143" t="s">
        <v>205</v>
      </c>
      <c r="V220" s="56"/>
      <c r="W220" s="143" t="s">
        <v>205</v>
      </c>
      <c r="X220" s="56"/>
      <c r="Y220" s="350" t="s">
        <v>205</v>
      </c>
      <c r="Z220" s="142" t="str">
        <f t="shared" si="10"/>
        <v>C</v>
      </c>
      <c r="AA220" s="226" t="str">
        <f t="shared" si="11"/>
        <v>UTILIZOU O PDA CORRETAMENTE</v>
      </c>
      <c r="AB220" s="166" t="s">
        <v>205</v>
      </c>
      <c r="AC220" s="242" t="s">
        <v>6</v>
      </c>
      <c r="AD220" s="235" t="str">
        <f t="shared" si="12"/>
        <v>SÃO PAULO</v>
      </c>
      <c r="AE220" s="234" t="s">
        <v>64</v>
      </c>
    </row>
    <row r="221" spans="1:31" s="142" customFormat="1" ht="30" customHeight="1">
      <c r="A221" s="243" t="s">
        <v>198</v>
      </c>
      <c r="B221" s="243">
        <v>2693021528</v>
      </c>
      <c r="C221" s="243" t="s">
        <v>128</v>
      </c>
      <c r="D221" s="243" t="s">
        <v>64</v>
      </c>
      <c r="E221" s="243" t="s">
        <v>5</v>
      </c>
      <c r="F221" s="243" t="s">
        <v>2114</v>
      </c>
      <c r="G221" s="243">
        <v>31</v>
      </c>
      <c r="H221" s="243"/>
      <c r="I221" s="243" t="s">
        <v>546</v>
      </c>
      <c r="J221" s="243" t="s">
        <v>1898</v>
      </c>
      <c r="K221" s="243"/>
      <c r="L221" s="244">
        <v>46331.626388888886</v>
      </c>
      <c r="M221" s="244">
        <v>46331.630555555559</v>
      </c>
      <c r="N221" s="243" t="s">
        <v>590</v>
      </c>
      <c r="O221" s="180" t="s">
        <v>205</v>
      </c>
      <c r="P221" s="56"/>
      <c r="Q221" s="164" t="s">
        <v>205</v>
      </c>
      <c r="R221" s="56"/>
      <c r="S221" s="164" t="s">
        <v>205</v>
      </c>
      <c r="T221" s="56"/>
      <c r="U221" s="143" t="s">
        <v>205</v>
      </c>
      <c r="V221" s="56"/>
      <c r="W221" s="143" t="s">
        <v>206</v>
      </c>
      <c r="X221" s="56"/>
      <c r="Y221" s="350" t="s">
        <v>205</v>
      </c>
      <c r="Z221" s="142" t="str">
        <f t="shared" si="10"/>
        <v>NC</v>
      </c>
      <c r="AA221" s="226" t="str">
        <f t="shared" si="11"/>
        <v>UTILIZOU O PDA CORRETAMENTE. NÃO HÁ FOTOS DE TODAS AS ETAPAS</v>
      </c>
      <c r="AB221" s="166" t="s">
        <v>205</v>
      </c>
      <c r="AC221" s="242" t="s">
        <v>6</v>
      </c>
      <c r="AD221" s="235" t="str">
        <f t="shared" si="12"/>
        <v>SÃO PAULO</v>
      </c>
      <c r="AE221" s="234" t="s">
        <v>64</v>
      </c>
    </row>
    <row r="222" spans="1:31" s="142" customFormat="1" ht="30" customHeight="1">
      <c r="A222" s="243" t="s">
        <v>198</v>
      </c>
      <c r="B222" s="243">
        <v>2693048059</v>
      </c>
      <c r="C222" s="243" t="s">
        <v>128</v>
      </c>
      <c r="D222" s="243" t="s">
        <v>64</v>
      </c>
      <c r="E222" s="243" t="s">
        <v>5</v>
      </c>
      <c r="F222" s="243" t="s">
        <v>2115</v>
      </c>
      <c r="G222" s="243">
        <v>108</v>
      </c>
      <c r="H222" s="243" t="s">
        <v>226</v>
      </c>
      <c r="I222" s="243" t="s">
        <v>448</v>
      </c>
      <c r="J222" s="243" t="s">
        <v>1898</v>
      </c>
      <c r="K222" s="243"/>
      <c r="L222" s="244">
        <v>46331.627083333333</v>
      </c>
      <c r="M222" s="244">
        <v>46331.632638888892</v>
      </c>
      <c r="N222" s="243" t="s">
        <v>852</v>
      </c>
      <c r="O222" s="180" t="s">
        <v>205</v>
      </c>
      <c r="P222" s="56"/>
      <c r="Q222" s="164" t="s">
        <v>205</v>
      </c>
      <c r="R222" s="56"/>
      <c r="S222" s="164" t="s">
        <v>205</v>
      </c>
      <c r="T222" s="56"/>
      <c r="U222" s="143" t="s">
        <v>205</v>
      </c>
      <c r="V222" s="56"/>
      <c r="W222" s="143" t="s">
        <v>205</v>
      </c>
      <c r="X222" s="56"/>
      <c r="Y222" s="350" t="s">
        <v>205</v>
      </c>
      <c r="Z222" s="142" t="str">
        <f t="shared" si="10"/>
        <v>C</v>
      </c>
      <c r="AA222" s="226" t="str">
        <f t="shared" si="11"/>
        <v>UTILIZOU O PDA CORRETAMENTE</v>
      </c>
      <c r="AB222" s="166" t="s">
        <v>205</v>
      </c>
      <c r="AC222" s="242" t="s">
        <v>6</v>
      </c>
      <c r="AD222" s="235" t="str">
        <f t="shared" si="12"/>
        <v>SÃO PAULO</v>
      </c>
      <c r="AE222" s="234" t="s">
        <v>64</v>
      </c>
    </row>
    <row r="223" spans="1:31" s="142" customFormat="1" ht="30" customHeight="1">
      <c r="A223" s="243" t="s">
        <v>198</v>
      </c>
      <c r="B223" s="243">
        <v>2619845568</v>
      </c>
      <c r="C223" s="243" t="s">
        <v>127</v>
      </c>
      <c r="D223" s="243" t="s">
        <v>64</v>
      </c>
      <c r="E223" s="243" t="s">
        <v>5</v>
      </c>
      <c r="F223" s="243" t="s">
        <v>731</v>
      </c>
      <c r="G223" s="243">
        <v>236</v>
      </c>
      <c r="H223" s="243" t="s">
        <v>318</v>
      </c>
      <c r="I223" s="243" t="s">
        <v>732</v>
      </c>
      <c r="J223" s="243" t="s">
        <v>1898</v>
      </c>
      <c r="K223" s="243" t="s">
        <v>2116</v>
      </c>
      <c r="L223" s="244">
        <v>46331.702777777777</v>
      </c>
      <c r="M223" s="244">
        <v>46331.70416666667</v>
      </c>
      <c r="N223" s="243" t="s">
        <v>1947</v>
      </c>
      <c r="O223" s="180" t="s">
        <v>205</v>
      </c>
      <c r="P223" s="56"/>
      <c r="Q223" s="164" t="s">
        <v>205</v>
      </c>
      <c r="R223" s="56"/>
      <c r="S223" s="164" t="s">
        <v>205</v>
      </c>
      <c r="T223" s="56"/>
      <c r="U223" s="143" t="s">
        <v>205</v>
      </c>
      <c r="V223" s="56"/>
      <c r="W223" s="143" t="s">
        <v>205</v>
      </c>
      <c r="X223" s="56"/>
      <c r="Y223" s="350" t="s">
        <v>205</v>
      </c>
      <c r="Z223" s="142" t="str">
        <f t="shared" si="10"/>
        <v>C</v>
      </c>
      <c r="AA223" s="226" t="str">
        <f t="shared" si="11"/>
        <v>UTILIZOU O PDA CORRETAMENTE</v>
      </c>
      <c r="AB223" s="166" t="s">
        <v>205</v>
      </c>
      <c r="AC223" s="242" t="s">
        <v>6</v>
      </c>
      <c r="AD223" s="235" t="str">
        <f t="shared" si="12"/>
        <v>SÃO PAULO</v>
      </c>
      <c r="AE223" s="234" t="s">
        <v>64</v>
      </c>
    </row>
    <row r="224" spans="1:31" s="142" customFormat="1" ht="30" customHeight="1">
      <c r="A224" s="253" t="s">
        <v>198</v>
      </c>
      <c r="B224" s="253">
        <v>2619778657</v>
      </c>
      <c r="C224" s="253" t="s">
        <v>131</v>
      </c>
      <c r="D224" s="253" t="s">
        <v>64</v>
      </c>
      <c r="E224" s="253" t="s">
        <v>5</v>
      </c>
      <c r="F224" s="253" t="s">
        <v>599</v>
      </c>
      <c r="G224" s="253">
        <v>96</v>
      </c>
      <c r="H224" s="253" t="s">
        <v>200</v>
      </c>
      <c r="I224" s="253" t="s">
        <v>412</v>
      </c>
      <c r="J224" s="253" t="s">
        <v>1908</v>
      </c>
      <c r="K224" s="253" t="s">
        <v>200</v>
      </c>
      <c r="L224" s="254">
        <v>46331.258333333331</v>
      </c>
      <c r="M224" s="254">
        <v>46331.259027777778</v>
      </c>
      <c r="N224" s="253" t="s">
        <v>248</v>
      </c>
      <c r="O224" s="180" t="s">
        <v>205</v>
      </c>
      <c r="P224" s="56"/>
      <c r="Q224" s="164" t="s">
        <v>205</v>
      </c>
      <c r="R224" s="56"/>
      <c r="S224" s="164" t="s">
        <v>205</v>
      </c>
      <c r="T224" s="56"/>
      <c r="U224" s="143" t="s">
        <v>205</v>
      </c>
      <c r="V224" s="56"/>
      <c r="W224" s="143" t="s">
        <v>205</v>
      </c>
      <c r="X224" s="56"/>
      <c r="Y224" s="350" t="s">
        <v>205</v>
      </c>
      <c r="Z224" s="142" t="str">
        <f t="shared" si="10"/>
        <v>C</v>
      </c>
      <c r="AA224" s="226" t="str">
        <f t="shared" si="11"/>
        <v>UTILIZOU O PDA CORRETAMENTE</v>
      </c>
      <c r="AB224" s="166" t="s">
        <v>205</v>
      </c>
      <c r="AC224" s="242" t="s">
        <v>6</v>
      </c>
      <c r="AD224" s="235" t="str">
        <f t="shared" si="12"/>
        <v>SÃO PAULO</v>
      </c>
      <c r="AE224" s="234" t="s">
        <v>64</v>
      </c>
    </row>
    <row r="225" spans="1:31" s="55" customFormat="1" ht="30" customHeight="1">
      <c r="A225" s="215" t="s">
        <v>198</v>
      </c>
      <c r="B225" s="215">
        <v>2619829914</v>
      </c>
      <c r="C225" s="215" t="s">
        <v>129</v>
      </c>
      <c r="D225" s="215" t="s">
        <v>125</v>
      </c>
      <c r="E225" s="215" t="s">
        <v>5</v>
      </c>
      <c r="F225" s="215" t="s">
        <v>2117</v>
      </c>
      <c r="G225" s="215">
        <v>77</v>
      </c>
      <c r="H225" s="215" t="s">
        <v>481</v>
      </c>
      <c r="I225" s="215" t="s">
        <v>486</v>
      </c>
      <c r="J225" s="215" t="s">
        <v>1903</v>
      </c>
      <c r="K225" s="215" t="s">
        <v>200</v>
      </c>
      <c r="L225" s="252">
        <v>46361.412499999999</v>
      </c>
      <c r="M225" s="252">
        <v>46361.415277777778</v>
      </c>
      <c r="N225" s="251" t="s">
        <v>1919</v>
      </c>
      <c r="O225" s="180" t="s">
        <v>205</v>
      </c>
      <c r="P225" s="225"/>
      <c r="Q225" s="164" t="s">
        <v>205</v>
      </c>
      <c r="R225" s="225"/>
      <c r="S225" s="164" t="s">
        <v>205</v>
      </c>
      <c r="T225" s="225"/>
      <c r="U225" s="224" t="s">
        <v>205</v>
      </c>
      <c r="V225" s="225"/>
      <c r="W225" s="224" t="s">
        <v>205</v>
      </c>
      <c r="X225" s="225"/>
      <c r="Y225" s="354" t="s">
        <v>205</v>
      </c>
      <c r="Z225" s="142" t="str">
        <f t="shared" si="10"/>
        <v>C</v>
      </c>
      <c r="AA225" s="226" t="str">
        <f t="shared" si="11"/>
        <v>UTILIZOU O PDA CORRETAMENTE</v>
      </c>
      <c r="AB225" s="278" t="s">
        <v>205</v>
      </c>
      <c r="AC225" s="241" t="s">
        <v>6</v>
      </c>
      <c r="AD225" s="184" t="str">
        <f t="shared" si="12"/>
        <v>SÃO PAULO</v>
      </c>
      <c r="AE225" s="214" t="s">
        <v>64</v>
      </c>
    </row>
    <row r="226" spans="1:31" s="55" customFormat="1" ht="30" customHeight="1">
      <c r="A226" s="215" t="s">
        <v>198</v>
      </c>
      <c r="B226" s="215">
        <v>2619851779</v>
      </c>
      <c r="C226" s="215" t="s">
        <v>2060</v>
      </c>
      <c r="D226" s="215" t="s">
        <v>125</v>
      </c>
      <c r="E226" s="215" t="s">
        <v>5</v>
      </c>
      <c r="F226" s="215" t="s">
        <v>2112</v>
      </c>
      <c r="G226" s="215">
        <v>445</v>
      </c>
      <c r="H226" s="215"/>
      <c r="I226" s="215" t="s">
        <v>369</v>
      </c>
      <c r="J226" s="215" t="s">
        <v>2063</v>
      </c>
      <c r="K226" s="215"/>
      <c r="L226" s="252">
        <v>46361.454861111109</v>
      </c>
      <c r="M226" s="252">
        <v>46361.456250000003</v>
      </c>
      <c r="N226" s="251" t="s">
        <v>1947</v>
      </c>
      <c r="O226" s="180" t="s">
        <v>205</v>
      </c>
      <c r="P226" s="92"/>
      <c r="Q226" s="164" t="s">
        <v>205</v>
      </c>
      <c r="R226" s="92"/>
      <c r="S226" s="164" t="s">
        <v>205</v>
      </c>
      <c r="T226" s="92"/>
      <c r="U226" s="145" t="s">
        <v>205</v>
      </c>
      <c r="V226" s="92"/>
      <c r="W226" s="145" t="s">
        <v>205</v>
      </c>
      <c r="X226" s="92"/>
      <c r="Y226" s="352" t="s">
        <v>205</v>
      </c>
      <c r="Z226" s="142" t="str">
        <f t="shared" si="10"/>
        <v>C</v>
      </c>
      <c r="AA226" s="226" t="str">
        <f t="shared" si="11"/>
        <v>UTILIZOU O PDA CORRETAMENTE</v>
      </c>
      <c r="AB226" s="9" t="s">
        <v>205</v>
      </c>
      <c r="AC226" s="162" t="s">
        <v>6</v>
      </c>
      <c r="AD226" s="150" t="str">
        <f t="shared" si="12"/>
        <v>SÃO PAULO</v>
      </c>
      <c r="AE226" s="95" t="s">
        <v>64</v>
      </c>
    </row>
    <row r="227" spans="1:31" s="55" customFormat="1" ht="30" customHeight="1">
      <c r="A227" s="215" t="s">
        <v>198</v>
      </c>
      <c r="B227" s="215">
        <v>2693112100</v>
      </c>
      <c r="C227" s="215" t="s">
        <v>131</v>
      </c>
      <c r="D227" s="215" t="s">
        <v>64</v>
      </c>
      <c r="E227" s="215" t="s">
        <v>5</v>
      </c>
      <c r="F227" s="215" t="s">
        <v>2118</v>
      </c>
      <c r="G227" s="215">
        <v>146</v>
      </c>
      <c r="H227" s="215" t="s">
        <v>387</v>
      </c>
      <c r="I227" s="215" t="s">
        <v>470</v>
      </c>
      <c r="J227" s="215" t="s">
        <v>1898</v>
      </c>
      <c r="K227" s="215"/>
      <c r="L227" s="252">
        <v>46361.537499999999</v>
      </c>
      <c r="M227" s="252">
        <v>46361.538194444445</v>
      </c>
      <c r="N227" s="251" t="s">
        <v>1947</v>
      </c>
      <c r="O227" s="180" t="s">
        <v>205</v>
      </c>
      <c r="P227" s="92"/>
      <c r="Q227" s="164" t="s">
        <v>205</v>
      </c>
      <c r="R227" s="92"/>
      <c r="S227" s="164" t="s">
        <v>205</v>
      </c>
      <c r="T227" s="92"/>
      <c r="U227" s="145" t="s">
        <v>205</v>
      </c>
      <c r="V227" s="92"/>
      <c r="W227" s="145" t="s">
        <v>205</v>
      </c>
      <c r="X227" s="92"/>
      <c r="Y227" s="352" t="s">
        <v>205</v>
      </c>
      <c r="Z227" s="142" t="str">
        <f t="shared" si="10"/>
        <v>C</v>
      </c>
      <c r="AA227" s="226" t="str">
        <f t="shared" si="11"/>
        <v>UTILIZOU O PDA CORRETAMENTE</v>
      </c>
      <c r="AB227" s="9" t="s">
        <v>205</v>
      </c>
      <c r="AC227" s="162" t="s">
        <v>6</v>
      </c>
      <c r="AD227" s="150" t="str">
        <f t="shared" si="12"/>
        <v>SÃO PAULO</v>
      </c>
      <c r="AE227" s="95" t="s">
        <v>64</v>
      </c>
    </row>
    <row r="228" spans="1:31" s="55" customFormat="1" ht="30" customHeight="1">
      <c r="A228" s="215" t="s">
        <v>198</v>
      </c>
      <c r="B228" s="215">
        <v>2693080735</v>
      </c>
      <c r="C228" s="215" t="s">
        <v>131</v>
      </c>
      <c r="D228" s="215" t="s">
        <v>64</v>
      </c>
      <c r="E228" s="215" t="s">
        <v>5</v>
      </c>
      <c r="F228" s="215" t="s">
        <v>2119</v>
      </c>
      <c r="G228" s="215">
        <v>60</v>
      </c>
      <c r="H228" s="215"/>
      <c r="I228" s="215" t="s">
        <v>491</v>
      </c>
      <c r="J228" s="215" t="s">
        <v>1908</v>
      </c>
      <c r="K228" s="215" t="s">
        <v>2120</v>
      </c>
      <c r="L228" s="252">
        <v>46361.353472222225</v>
      </c>
      <c r="M228" s="252">
        <v>46361.36041666667</v>
      </c>
      <c r="N228" s="251" t="s">
        <v>590</v>
      </c>
      <c r="O228" s="180" t="s">
        <v>205</v>
      </c>
      <c r="P228" s="92"/>
      <c r="Q228" s="164" t="s">
        <v>205</v>
      </c>
      <c r="R228" s="92"/>
      <c r="S228" s="164" t="s">
        <v>205</v>
      </c>
      <c r="T228" s="92"/>
      <c r="U228" s="145" t="s">
        <v>205</v>
      </c>
      <c r="V228" s="92"/>
      <c r="W228" s="145" t="s">
        <v>205</v>
      </c>
      <c r="X228" s="92"/>
      <c r="Y228" s="352" t="s">
        <v>205</v>
      </c>
      <c r="Z228" s="142" t="str">
        <f t="shared" si="10"/>
        <v>C</v>
      </c>
      <c r="AA228" s="226" t="str">
        <f t="shared" si="11"/>
        <v>UTILIZOU O PDA CORRETAMENTE</v>
      </c>
      <c r="AB228" s="9" t="s">
        <v>205</v>
      </c>
      <c r="AC228" s="162" t="s">
        <v>6</v>
      </c>
      <c r="AD228" s="150" t="str">
        <f t="shared" si="12"/>
        <v>SÃO PAULO</v>
      </c>
      <c r="AE228" s="95" t="s">
        <v>64</v>
      </c>
    </row>
    <row r="229" spans="1:31" s="55" customFormat="1" ht="30" customHeight="1">
      <c r="A229" s="215" t="s">
        <v>198</v>
      </c>
      <c r="B229" s="215">
        <v>2693094860</v>
      </c>
      <c r="C229" s="215" t="s">
        <v>128</v>
      </c>
      <c r="D229" s="215" t="s">
        <v>64</v>
      </c>
      <c r="E229" s="215" t="s">
        <v>5</v>
      </c>
      <c r="F229" s="215" t="s">
        <v>2121</v>
      </c>
      <c r="G229" s="215">
        <v>62</v>
      </c>
      <c r="H229" s="215" t="s">
        <v>200</v>
      </c>
      <c r="I229" s="215" t="s">
        <v>565</v>
      </c>
      <c r="J229" s="215" t="s">
        <v>1898</v>
      </c>
      <c r="K229" s="215" t="s">
        <v>200</v>
      </c>
      <c r="L229" s="252">
        <v>46361.470833333333</v>
      </c>
      <c r="M229" s="252">
        <v>46361.474999999999</v>
      </c>
      <c r="N229" s="251" t="s">
        <v>590</v>
      </c>
      <c r="O229" s="180" t="s">
        <v>205</v>
      </c>
      <c r="P229" s="92"/>
      <c r="Q229" s="164" t="s">
        <v>205</v>
      </c>
      <c r="R229" s="92"/>
      <c r="S229" s="164" t="s">
        <v>205</v>
      </c>
      <c r="T229" s="92"/>
      <c r="U229" s="145" t="s">
        <v>205</v>
      </c>
      <c r="V229" s="92"/>
      <c r="W229" s="145" t="s">
        <v>205</v>
      </c>
      <c r="X229" s="92"/>
      <c r="Y229" s="352" t="s">
        <v>205</v>
      </c>
      <c r="Z229" s="142" t="str">
        <f t="shared" si="10"/>
        <v>C</v>
      </c>
      <c r="AA229" s="226" t="str">
        <f t="shared" si="11"/>
        <v>UTILIZOU O PDA CORRETAMENTE</v>
      </c>
      <c r="AB229" s="9" t="s">
        <v>205</v>
      </c>
      <c r="AC229" s="162" t="s">
        <v>6</v>
      </c>
      <c r="AD229" s="150" t="str">
        <f t="shared" si="12"/>
        <v>SÃO PAULO</v>
      </c>
      <c r="AE229" s="95" t="s">
        <v>64</v>
      </c>
    </row>
    <row r="230" spans="1:31" s="55" customFormat="1" ht="30" customHeight="1">
      <c r="A230" s="215" t="s">
        <v>198</v>
      </c>
      <c r="B230" s="215">
        <v>2693116325</v>
      </c>
      <c r="C230" s="215" t="s">
        <v>132</v>
      </c>
      <c r="D230" s="215" t="s">
        <v>64</v>
      </c>
      <c r="E230" s="215" t="s">
        <v>5</v>
      </c>
      <c r="F230" s="215" t="s">
        <v>2122</v>
      </c>
      <c r="G230" s="215">
        <v>124</v>
      </c>
      <c r="H230" s="215" t="s">
        <v>226</v>
      </c>
      <c r="I230" s="215" t="s">
        <v>312</v>
      </c>
      <c r="J230" s="215" t="s">
        <v>1898</v>
      </c>
      <c r="K230" s="215"/>
      <c r="L230" s="252">
        <v>46361.455555555556</v>
      </c>
      <c r="M230" s="252">
        <v>46361.461805555555</v>
      </c>
      <c r="N230" s="251" t="s">
        <v>799</v>
      </c>
      <c r="O230" s="180" t="s">
        <v>205</v>
      </c>
      <c r="P230" s="92"/>
      <c r="Q230" s="164" t="s">
        <v>205</v>
      </c>
      <c r="R230" s="92"/>
      <c r="S230" s="164" t="s">
        <v>205</v>
      </c>
      <c r="T230" s="92"/>
      <c r="U230" s="145" t="s">
        <v>205</v>
      </c>
      <c r="V230" s="92"/>
      <c r="W230" s="145" t="s">
        <v>205</v>
      </c>
      <c r="X230" s="92"/>
      <c r="Y230" s="352" t="s">
        <v>205</v>
      </c>
      <c r="Z230" s="142" t="str">
        <f t="shared" si="10"/>
        <v>C</v>
      </c>
      <c r="AA230" s="226" t="str">
        <f t="shared" si="11"/>
        <v>UTILIZOU O PDA CORRETAMENTE</v>
      </c>
      <c r="AB230" s="9" t="s">
        <v>205</v>
      </c>
      <c r="AC230" s="162" t="s">
        <v>6</v>
      </c>
      <c r="AD230" s="150" t="str">
        <f t="shared" si="12"/>
        <v>SÃO PAULO</v>
      </c>
      <c r="AE230" s="95" t="s">
        <v>64</v>
      </c>
    </row>
    <row r="231" spans="1:31" s="55" customFormat="1" ht="30" customHeight="1">
      <c r="A231" s="215" t="s">
        <v>198</v>
      </c>
      <c r="B231" s="215">
        <v>2693091481</v>
      </c>
      <c r="C231" s="215" t="s">
        <v>131</v>
      </c>
      <c r="D231" s="215" t="s">
        <v>64</v>
      </c>
      <c r="E231" s="215" t="s">
        <v>5</v>
      </c>
      <c r="F231" s="215" t="s">
        <v>2123</v>
      </c>
      <c r="G231" s="215">
        <v>143</v>
      </c>
      <c r="H231" s="215" t="s">
        <v>226</v>
      </c>
      <c r="I231" s="215" t="s">
        <v>346</v>
      </c>
      <c r="J231" s="215" t="s">
        <v>1908</v>
      </c>
      <c r="K231" s="215" t="s">
        <v>200</v>
      </c>
      <c r="L231" s="252">
        <v>46361.631944444445</v>
      </c>
      <c r="M231" s="252">
        <v>46361.638888888891</v>
      </c>
      <c r="N231" s="251" t="s">
        <v>1956</v>
      </c>
      <c r="O231" s="157" t="s">
        <v>62</v>
      </c>
      <c r="P231" s="92"/>
      <c r="Q231" s="145" t="s">
        <v>62</v>
      </c>
      <c r="R231" s="92"/>
      <c r="S231" s="145" t="s">
        <v>62</v>
      </c>
      <c r="T231" s="92"/>
      <c r="U231" s="145" t="s">
        <v>62</v>
      </c>
      <c r="V231" s="92"/>
      <c r="W231" s="145" t="s">
        <v>62</v>
      </c>
      <c r="X231" s="92"/>
      <c r="Y231" s="352" t="s">
        <v>62</v>
      </c>
      <c r="Z231" s="142" t="str">
        <f t="shared" si="10"/>
        <v>NA</v>
      </c>
      <c r="AA231" s="226" t="str">
        <f t="shared" si="11"/>
        <v>NÃO AVALIADO POR FALHA DE SINCRONISMO</v>
      </c>
      <c r="AB231" s="9" t="s">
        <v>205</v>
      </c>
      <c r="AC231" s="162" t="s">
        <v>6</v>
      </c>
      <c r="AD231" s="150" t="str">
        <f t="shared" si="12"/>
        <v>SÃO PAULO</v>
      </c>
      <c r="AE231" s="95" t="s">
        <v>64</v>
      </c>
    </row>
    <row r="232" spans="1:31" s="55" customFormat="1" ht="30" customHeight="1">
      <c r="A232" s="215" t="s">
        <v>198</v>
      </c>
      <c r="B232" s="215">
        <v>2693062702</v>
      </c>
      <c r="C232" s="215" t="s">
        <v>128</v>
      </c>
      <c r="D232" s="215" t="s">
        <v>64</v>
      </c>
      <c r="E232" s="215" t="s">
        <v>5</v>
      </c>
      <c r="F232" s="215" t="s">
        <v>2124</v>
      </c>
      <c r="G232" s="215">
        <v>2</v>
      </c>
      <c r="H232" s="215" t="s">
        <v>226</v>
      </c>
      <c r="I232" s="215" t="s">
        <v>277</v>
      </c>
      <c r="J232" s="215" t="s">
        <v>1898</v>
      </c>
      <c r="K232" s="215"/>
      <c r="L232" s="252">
        <v>46361.395833333336</v>
      </c>
      <c r="M232" s="252">
        <v>46361.400694444441</v>
      </c>
      <c r="N232" s="251" t="s">
        <v>852</v>
      </c>
      <c r="O232" s="180" t="s">
        <v>205</v>
      </c>
      <c r="P232" s="92"/>
      <c r="Q232" s="164" t="s">
        <v>205</v>
      </c>
      <c r="R232" s="92"/>
      <c r="S232" s="164" t="s">
        <v>205</v>
      </c>
      <c r="T232" s="92"/>
      <c r="U232" s="145" t="s">
        <v>205</v>
      </c>
      <c r="V232" s="92"/>
      <c r="W232" s="145" t="s">
        <v>205</v>
      </c>
      <c r="X232" s="92"/>
      <c r="Y232" s="352" t="s">
        <v>205</v>
      </c>
      <c r="Z232" s="142" t="str">
        <f t="shared" si="10"/>
        <v>C</v>
      </c>
      <c r="AA232" s="226" t="str">
        <f t="shared" si="11"/>
        <v>UTILIZOU O PDA CORRETAMENTE</v>
      </c>
      <c r="AB232" s="9" t="s">
        <v>205</v>
      </c>
      <c r="AC232" s="162" t="s">
        <v>6</v>
      </c>
      <c r="AD232" s="150" t="str">
        <f t="shared" si="12"/>
        <v>SÃO PAULO</v>
      </c>
      <c r="AE232" s="95" t="s">
        <v>64</v>
      </c>
    </row>
    <row r="233" spans="1:31" s="55" customFormat="1" ht="30" customHeight="1">
      <c r="A233" s="215" t="s">
        <v>198</v>
      </c>
      <c r="B233" s="215">
        <v>2619956366</v>
      </c>
      <c r="C233" s="215" t="s">
        <v>2125</v>
      </c>
      <c r="D233" s="215" t="s">
        <v>64</v>
      </c>
      <c r="E233" s="215" t="s">
        <v>5</v>
      </c>
      <c r="F233" s="215" t="s">
        <v>2126</v>
      </c>
      <c r="G233" s="215">
        <v>308</v>
      </c>
      <c r="H233" s="215" t="s">
        <v>226</v>
      </c>
      <c r="I233" s="215" t="s">
        <v>1877</v>
      </c>
      <c r="J233" s="215" t="s">
        <v>1898</v>
      </c>
      <c r="K233" s="215" t="s">
        <v>200</v>
      </c>
      <c r="L233" s="252">
        <v>46361.638888888891</v>
      </c>
      <c r="M233" s="252">
        <v>46361.648611111108</v>
      </c>
      <c r="N233" s="251" t="s">
        <v>852</v>
      </c>
      <c r="O233" s="180" t="s">
        <v>205</v>
      </c>
      <c r="P233" s="92"/>
      <c r="Q233" s="164" t="s">
        <v>205</v>
      </c>
      <c r="R233" s="92"/>
      <c r="S233" s="164" t="s">
        <v>205</v>
      </c>
      <c r="T233" s="92"/>
      <c r="U233" s="145" t="s">
        <v>205</v>
      </c>
      <c r="V233" s="92"/>
      <c r="W233" s="145" t="s">
        <v>205</v>
      </c>
      <c r="X233" s="92"/>
      <c r="Y233" s="352" t="s">
        <v>205</v>
      </c>
      <c r="Z233" s="142" t="str">
        <f t="shared" si="10"/>
        <v>C</v>
      </c>
      <c r="AA233" s="226" t="str">
        <f t="shared" si="11"/>
        <v>UTILIZOU O PDA CORRETAMENTE</v>
      </c>
      <c r="AB233" s="9" t="s">
        <v>205</v>
      </c>
      <c r="AC233" s="162" t="s">
        <v>6</v>
      </c>
      <c r="AD233" s="150" t="str">
        <f t="shared" si="12"/>
        <v>SÃO PAULO</v>
      </c>
      <c r="AE233" s="95" t="s">
        <v>64</v>
      </c>
    </row>
    <row r="234" spans="1:31" s="55" customFormat="1" ht="30" customHeight="1">
      <c r="A234" s="215" t="s">
        <v>198</v>
      </c>
      <c r="B234" s="215">
        <v>2693124021</v>
      </c>
      <c r="C234" s="215" t="s">
        <v>128</v>
      </c>
      <c r="D234" s="215" t="s">
        <v>64</v>
      </c>
      <c r="E234" s="215" t="s">
        <v>5</v>
      </c>
      <c r="F234" s="215" t="s">
        <v>1902</v>
      </c>
      <c r="G234" s="215">
        <v>141</v>
      </c>
      <c r="H234" s="215" t="s">
        <v>226</v>
      </c>
      <c r="I234" s="215" t="s">
        <v>285</v>
      </c>
      <c r="J234" s="215" t="s">
        <v>1898</v>
      </c>
      <c r="K234" s="215" t="s">
        <v>200</v>
      </c>
      <c r="L234" s="252">
        <v>46361.648611111108</v>
      </c>
      <c r="M234" s="252">
        <v>46361.654861111114</v>
      </c>
      <c r="N234" s="251" t="s">
        <v>900</v>
      </c>
      <c r="O234" s="180" t="s">
        <v>205</v>
      </c>
      <c r="P234" s="92"/>
      <c r="Q234" s="164" t="s">
        <v>205</v>
      </c>
      <c r="R234" s="92"/>
      <c r="S234" s="164" t="s">
        <v>205</v>
      </c>
      <c r="T234" s="92"/>
      <c r="U234" s="145" t="s">
        <v>205</v>
      </c>
      <c r="V234" s="92"/>
      <c r="W234" s="145" t="s">
        <v>205</v>
      </c>
      <c r="X234" s="92"/>
      <c r="Y234" s="352" t="s">
        <v>205</v>
      </c>
      <c r="Z234" s="142" t="str">
        <f t="shared" si="10"/>
        <v>C</v>
      </c>
      <c r="AA234" s="226" t="str">
        <f t="shared" si="11"/>
        <v>UTILIZOU O PDA CORRETAMENTE</v>
      </c>
      <c r="AB234" s="9" t="s">
        <v>205</v>
      </c>
      <c r="AC234" s="162" t="s">
        <v>6</v>
      </c>
      <c r="AD234" s="150" t="str">
        <f t="shared" si="12"/>
        <v>SÃO PAULO</v>
      </c>
      <c r="AE234" s="95" t="s">
        <v>64</v>
      </c>
    </row>
    <row r="235" spans="1:31" s="55" customFormat="1" ht="30" customHeight="1">
      <c r="A235" s="215" t="s">
        <v>198</v>
      </c>
      <c r="B235" s="215">
        <v>2619943431</v>
      </c>
      <c r="C235" s="215" t="s">
        <v>128</v>
      </c>
      <c r="D235" s="215" t="s">
        <v>64</v>
      </c>
      <c r="E235" s="215" t="s">
        <v>5</v>
      </c>
      <c r="F235" s="215" t="s">
        <v>2127</v>
      </c>
      <c r="G235" s="215">
        <v>466</v>
      </c>
      <c r="H235" s="215" t="s">
        <v>226</v>
      </c>
      <c r="I235" s="215" t="s">
        <v>285</v>
      </c>
      <c r="J235" s="215" t="s">
        <v>1898</v>
      </c>
      <c r="K235" s="215"/>
      <c r="L235" s="252">
        <v>46361.662499999999</v>
      </c>
      <c r="M235" s="252">
        <v>46361.669444444444</v>
      </c>
      <c r="N235" s="251" t="s">
        <v>900</v>
      </c>
      <c r="O235" s="180" t="s">
        <v>205</v>
      </c>
      <c r="P235" s="92"/>
      <c r="Q235" s="164" t="s">
        <v>205</v>
      </c>
      <c r="R235" s="92"/>
      <c r="S235" s="164" t="s">
        <v>205</v>
      </c>
      <c r="T235" s="92"/>
      <c r="U235" s="145" t="s">
        <v>205</v>
      </c>
      <c r="V235" s="92"/>
      <c r="W235" s="145" t="s">
        <v>205</v>
      </c>
      <c r="X235" s="92"/>
      <c r="Y235" s="352" t="s">
        <v>205</v>
      </c>
      <c r="Z235" s="142" t="str">
        <f t="shared" si="10"/>
        <v>C</v>
      </c>
      <c r="AA235" s="226" t="str">
        <f t="shared" si="11"/>
        <v>UTILIZOU O PDA CORRETAMENTE</v>
      </c>
      <c r="AB235" s="9" t="s">
        <v>205</v>
      </c>
      <c r="AC235" s="162" t="s">
        <v>6</v>
      </c>
      <c r="AD235" s="150" t="str">
        <f t="shared" si="12"/>
        <v>SÃO PAULO</v>
      </c>
      <c r="AE235" s="95" t="s">
        <v>64</v>
      </c>
    </row>
    <row r="236" spans="1:31" s="55" customFormat="1" ht="30" customHeight="1">
      <c r="A236" s="215" t="s">
        <v>198</v>
      </c>
      <c r="B236" s="215">
        <v>2693136126</v>
      </c>
      <c r="C236" s="215" t="s">
        <v>128</v>
      </c>
      <c r="D236" s="215" t="s">
        <v>64</v>
      </c>
      <c r="E236" s="215" t="s">
        <v>5</v>
      </c>
      <c r="F236" s="215" t="s">
        <v>2128</v>
      </c>
      <c r="G236" s="215">
        <v>170</v>
      </c>
      <c r="H236" s="215" t="s">
        <v>409</v>
      </c>
      <c r="I236" s="215" t="s">
        <v>2129</v>
      </c>
      <c r="J236" s="215" t="s">
        <v>1898</v>
      </c>
      <c r="K236" s="215" t="s">
        <v>200</v>
      </c>
      <c r="L236" s="252">
        <v>46361.597916666666</v>
      </c>
      <c r="M236" s="252">
        <v>46361.602083333331</v>
      </c>
      <c r="N236" s="251" t="s">
        <v>1947</v>
      </c>
      <c r="O236" s="180" t="s">
        <v>205</v>
      </c>
      <c r="P236" s="92"/>
      <c r="Q236" s="164" t="s">
        <v>205</v>
      </c>
      <c r="R236" s="92"/>
      <c r="S236" s="164" t="s">
        <v>205</v>
      </c>
      <c r="T236" s="92"/>
      <c r="U236" s="145" t="s">
        <v>205</v>
      </c>
      <c r="V236" s="92"/>
      <c r="W236" s="145" t="s">
        <v>205</v>
      </c>
      <c r="X236" s="92"/>
      <c r="Y236" s="352" t="s">
        <v>205</v>
      </c>
      <c r="Z236" s="142" t="str">
        <f t="shared" si="10"/>
        <v>C</v>
      </c>
      <c r="AA236" s="226" t="str">
        <f t="shared" si="11"/>
        <v>UTILIZOU O PDA CORRETAMENTE</v>
      </c>
      <c r="AB236" s="9" t="s">
        <v>205</v>
      </c>
      <c r="AC236" s="162" t="s">
        <v>6</v>
      </c>
      <c r="AD236" s="150" t="str">
        <f t="shared" si="12"/>
        <v>SÃO PAULO</v>
      </c>
      <c r="AE236" s="95" t="s">
        <v>64</v>
      </c>
    </row>
    <row r="237" spans="1:31" s="55" customFormat="1" ht="30" customHeight="1">
      <c r="A237" s="215" t="s">
        <v>198</v>
      </c>
      <c r="B237" s="215">
        <v>2693128790</v>
      </c>
      <c r="C237" s="215" t="s">
        <v>132</v>
      </c>
      <c r="D237" s="215" t="s">
        <v>64</v>
      </c>
      <c r="E237" s="215" t="s">
        <v>5</v>
      </c>
      <c r="F237" s="215" t="s">
        <v>897</v>
      </c>
      <c r="G237" s="215">
        <v>158</v>
      </c>
      <c r="H237" s="215"/>
      <c r="I237" s="215" t="s">
        <v>251</v>
      </c>
      <c r="J237" s="215" t="s">
        <v>1898</v>
      </c>
      <c r="K237" s="215"/>
      <c r="L237" s="252">
        <v>46361.635416666664</v>
      </c>
      <c r="M237" s="252">
        <v>46361.642361111109</v>
      </c>
      <c r="N237" s="251" t="s">
        <v>1950</v>
      </c>
      <c r="O237" s="180" t="s">
        <v>205</v>
      </c>
      <c r="P237" s="92"/>
      <c r="Q237" s="164" t="s">
        <v>205</v>
      </c>
      <c r="R237" s="92"/>
      <c r="S237" s="164" t="s">
        <v>205</v>
      </c>
      <c r="T237" s="92"/>
      <c r="U237" s="145" t="s">
        <v>205</v>
      </c>
      <c r="V237" s="92"/>
      <c r="W237" s="145" t="s">
        <v>205</v>
      </c>
      <c r="X237" s="92"/>
      <c r="Y237" s="352" t="s">
        <v>205</v>
      </c>
      <c r="Z237" s="142" t="str">
        <f t="shared" si="10"/>
        <v>C</v>
      </c>
      <c r="AA237" s="226" t="str">
        <f t="shared" si="11"/>
        <v>UTILIZOU O PDA CORRETAMENTE</v>
      </c>
      <c r="AB237" s="9" t="s">
        <v>205</v>
      </c>
      <c r="AC237" s="162" t="s">
        <v>6</v>
      </c>
      <c r="AD237" s="150" t="str">
        <f t="shared" si="12"/>
        <v>SÃO PAULO</v>
      </c>
      <c r="AE237" s="95" t="s">
        <v>64</v>
      </c>
    </row>
    <row r="238" spans="1:31" s="55" customFormat="1" ht="30" customHeight="1">
      <c r="A238" s="215" t="s">
        <v>198</v>
      </c>
      <c r="B238" s="215">
        <v>2693142097</v>
      </c>
      <c r="C238" s="215" t="s">
        <v>128</v>
      </c>
      <c r="D238" s="215" t="s">
        <v>64</v>
      </c>
      <c r="E238" s="215" t="s">
        <v>5</v>
      </c>
      <c r="F238" s="215" t="s">
        <v>2130</v>
      </c>
      <c r="G238" s="215">
        <v>412</v>
      </c>
      <c r="H238" s="215" t="s">
        <v>200</v>
      </c>
      <c r="I238" s="215" t="s">
        <v>2131</v>
      </c>
      <c r="J238" s="215" t="s">
        <v>1908</v>
      </c>
      <c r="K238" s="215" t="s">
        <v>200</v>
      </c>
      <c r="L238" s="252">
        <v>46361.564583333333</v>
      </c>
      <c r="M238" s="252">
        <v>46361.579861111109</v>
      </c>
      <c r="N238" s="251" t="s">
        <v>1919</v>
      </c>
      <c r="O238" s="180" t="s">
        <v>205</v>
      </c>
      <c r="P238" s="92"/>
      <c r="Q238" s="164" t="s">
        <v>205</v>
      </c>
      <c r="R238" s="92"/>
      <c r="S238" s="164" t="s">
        <v>205</v>
      </c>
      <c r="T238" s="92"/>
      <c r="U238" s="145" t="s">
        <v>205</v>
      </c>
      <c r="V238" s="92"/>
      <c r="W238" s="145" t="s">
        <v>205</v>
      </c>
      <c r="X238" s="92"/>
      <c r="Y238" s="352" t="s">
        <v>205</v>
      </c>
      <c r="Z238" s="142" t="str">
        <f t="shared" si="10"/>
        <v>C</v>
      </c>
      <c r="AA238" s="226" t="str">
        <f t="shared" si="11"/>
        <v>UTILIZOU O PDA CORRETAMENTE</v>
      </c>
      <c r="AB238" s="9" t="s">
        <v>205</v>
      </c>
      <c r="AC238" s="162" t="s">
        <v>6</v>
      </c>
      <c r="AD238" s="150" t="str">
        <f t="shared" si="12"/>
        <v>SÃO PAULO</v>
      </c>
      <c r="AE238" s="95" t="s">
        <v>64</v>
      </c>
    </row>
    <row r="239" spans="1:31" s="55" customFormat="1" ht="30" customHeight="1">
      <c r="A239" s="215" t="s">
        <v>198</v>
      </c>
      <c r="B239" s="215">
        <v>2619958223</v>
      </c>
      <c r="C239" s="215" t="s">
        <v>132</v>
      </c>
      <c r="D239" s="215" t="s">
        <v>64</v>
      </c>
      <c r="E239" s="215" t="s">
        <v>5</v>
      </c>
      <c r="F239" s="215" t="s">
        <v>1625</v>
      </c>
      <c r="G239" s="215">
        <v>568</v>
      </c>
      <c r="H239" s="215"/>
      <c r="I239" s="215" t="s">
        <v>289</v>
      </c>
      <c r="J239" s="215" t="s">
        <v>1908</v>
      </c>
      <c r="K239" s="215" t="s">
        <v>2132</v>
      </c>
      <c r="L239" s="252">
        <v>46361.709722222222</v>
      </c>
      <c r="M239" s="252">
        <v>46361.711111111108</v>
      </c>
      <c r="N239" s="251" t="s">
        <v>1919</v>
      </c>
      <c r="O239" s="180" t="s">
        <v>205</v>
      </c>
      <c r="P239" s="92"/>
      <c r="Q239" s="164" t="s">
        <v>205</v>
      </c>
      <c r="R239" s="92"/>
      <c r="S239" s="164" t="s">
        <v>205</v>
      </c>
      <c r="T239" s="92"/>
      <c r="U239" s="145" t="s">
        <v>205</v>
      </c>
      <c r="V239" s="92"/>
      <c r="W239" s="145" t="s">
        <v>205</v>
      </c>
      <c r="X239" s="92"/>
      <c r="Y239" s="352" t="s">
        <v>205</v>
      </c>
      <c r="Z239" s="142" t="str">
        <f t="shared" si="10"/>
        <v>C</v>
      </c>
      <c r="AA239" s="226" t="str">
        <f t="shared" si="11"/>
        <v>UTILIZOU O PDA CORRETAMENTE</v>
      </c>
      <c r="AB239" s="9" t="s">
        <v>205</v>
      </c>
      <c r="AC239" s="162" t="s">
        <v>6</v>
      </c>
      <c r="AD239" s="150" t="str">
        <f t="shared" si="12"/>
        <v>SÃO PAULO</v>
      </c>
      <c r="AE239" s="95" t="s">
        <v>64</v>
      </c>
    </row>
    <row r="240" spans="1:31" s="55" customFormat="1" ht="30" customHeight="1">
      <c r="A240" s="215" t="s">
        <v>198</v>
      </c>
      <c r="B240" s="215">
        <v>2693134346</v>
      </c>
      <c r="C240" s="215" t="s">
        <v>128</v>
      </c>
      <c r="D240" s="215" t="s">
        <v>64</v>
      </c>
      <c r="E240" s="215" t="s">
        <v>5</v>
      </c>
      <c r="F240" s="215" t="s">
        <v>1468</v>
      </c>
      <c r="G240" s="215">
        <v>736</v>
      </c>
      <c r="H240" s="215" t="s">
        <v>226</v>
      </c>
      <c r="I240" s="215" t="s">
        <v>343</v>
      </c>
      <c r="J240" s="215" t="s">
        <v>1898</v>
      </c>
      <c r="K240" s="215" t="s">
        <v>200</v>
      </c>
      <c r="L240" s="252">
        <v>46361.652777777781</v>
      </c>
      <c r="M240" s="252">
        <v>46361.660416666666</v>
      </c>
      <c r="N240" s="251" t="s">
        <v>1919</v>
      </c>
      <c r="O240" s="180" t="s">
        <v>205</v>
      </c>
      <c r="P240" s="92"/>
      <c r="Q240" s="164" t="s">
        <v>205</v>
      </c>
      <c r="R240" s="92"/>
      <c r="S240" s="164" t="s">
        <v>205</v>
      </c>
      <c r="T240" s="92"/>
      <c r="U240" s="145" t="s">
        <v>205</v>
      </c>
      <c r="V240" s="92"/>
      <c r="W240" s="145" t="s">
        <v>205</v>
      </c>
      <c r="X240" s="92"/>
      <c r="Y240" s="352" t="s">
        <v>205</v>
      </c>
      <c r="Z240" s="142" t="str">
        <f t="shared" si="10"/>
        <v>C</v>
      </c>
      <c r="AA240" s="226" t="str">
        <f t="shared" si="11"/>
        <v>UTILIZOU O PDA CORRETAMENTE</v>
      </c>
      <c r="AB240" s="9" t="s">
        <v>205</v>
      </c>
      <c r="AC240" s="162" t="s">
        <v>6</v>
      </c>
      <c r="AD240" s="150" t="str">
        <f t="shared" si="12"/>
        <v>SÃO PAULO</v>
      </c>
      <c r="AE240" s="95" t="s">
        <v>64</v>
      </c>
    </row>
    <row r="241" spans="1:31" s="55" customFormat="1" ht="30" customHeight="1">
      <c r="A241" s="215" t="s">
        <v>198</v>
      </c>
      <c r="B241" s="215">
        <v>2693127800</v>
      </c>
      <c r="C241" s="215" t="s">
        <v>128</v>
      </c>
      <c r="D241" s="215" t="s">
        <v>64</v>
      </c>
      <c r="E241" s="215" t="s">
        <v>5</v>
      </c>
      <c r="F241" s="215" t="s">
        <v>598</v>
      </c>
      <c r="G241" s="215">
        <v>2451</v>
      </c>
      <c r="H241" s="215"/>
      <c r="I241" s="215" t="s">
        <v>1288</v>
      </c>
      <c r="J241" s="215" t="s">
        <v>1898</v>
      </c>
      <c r="K241" s="215"/>
      <c r="L241" s="252">
        <v>46361.652777777781</v>
      </c>
      <c r="M241" s="252">
        <v>46361.65347222222</v>
      </c>
      <c r="N241" s="251" t="s">
        <v>1947</v>
      </c>
      <c r="O241" s="180" t="s">
        <v>205</v>
      </c>
      <c r="P241" s="92"/>
      <c r="Q241" s="164" t="s">
        <v>205</v>
      </c>
      <c r="R241" s="92"/>
      <c r="S241" s="164" t="s">
        <v>205</v>
      </c>
      <c r="T241" s="92"/>
      <c r="U241" s="145" t="s">
        <v>205</v>
      </c>
      <c r="V241" s="92"/>
      <c r="W241" s="145" t="s">
        <v>205</v>
      </c>
      <c r="X241" s="92"/>
      <c r="Y241" s="352" t="s">
        <v>205</v>
      </c>
      <c r="Z241" s="142" t="str">
        <f t="shared" si="10"/>
        <v>C</v>
      </c>
      <c r="AA241" s="226" t="str">
        <f t="shared" si="11"/>
        <v>UTILIZOU O PDA CORRETAMENTE</v>
      </c>
      <c r="AB241" s="9" t="s">
        <v>205</v>
      </c>
      <c r="AC241" s="162" t="s">
        <v>6</v>
      </c>
      <c r="AD241" s="150" t="str">
        <f t="shared" si="12"/>
        <v>SÃO PAULO</v>
      </c>
      <c r="AE241" s="95" t="s">
        <v>64</v>
      </c>
    </row>
    <row r="242" spans="1:31" s="55" customFormat="1" ht="30" customHeight="1">
      <c r="A242" s="215" t="s">
        <v>198</v>
      </c>
      <c r="B242" s="215">
        <v>2693133747</v>
      </c>
      <c r="C242" s="215" t="s">
        <v>132</v>
      </c>
      <c r="D242" s="215" t="s">
        <v>64</v>
      </c>
      <c r="E242" s="215" t="s">
        <v>5</v>
      </c>
      <c r="F242" s="215" t="s">
        <v>2133</v>
      </c>
      <c r="G242" s="215">
        <v>1270</v>
      </c>
      <c r="H242" s="215" t="s">
        <v>200</v>
      </c>
      <c r="I242" s="215" t="s">
        <v>274</v>
      </c>
      <c r="J242" s="215" t="s">
        <v>1898</v>
      </c>
      <c r="K242" s="215" t="s">
        <v>200</v>
      </c>
      <c r="L242" s="252">
        <v>46361.618750000001</v>
      </c>
      <c r="M242" s="252">
        <v>46361.625694444447</v>
      </c>
      <c r="N242" s="251" t="s">
        <v>852</v>
      </c>
      <c r="O242" s="180" t="s">
        <v>205</v>
      </c>
      <c r="P242" s="92"/>
      <c r="Q242" s="164" t="s">
        <v>205</v>
      </c>
      <c r="R242" s="92"/>
      <c r="S242" s="164" t="s">
        <v>205</v>
      </c>
      <c r="T242" s="92"/>
      <c r="U242" s="145" t="s">
        <v>205</v>
      </c>
      <c r="V242" s="92"/>
      <c r="W242" s="145" t="s">
        <v>205</v>
      </c>
      <c r="X242" s="92"/>
      <c r="Y242" s="352" t="s">
        <v>205</v>
      </c>
      <c r="Z242" s="142" t="str">
        <f t="shared" si="10"/>
        <v>C</v>
      </c>
      <c r="AA242" s="226" t="str">
        <f t="shared" si="11"/>
        <v>UTILIZOU O PDA CORRETAMENTE</v>
      </c>
      <c r="AB242" s="9" t="s">
        <v>205</v>
      </c>
      <c r="AC242" s="162" t="s">
        <v>6</v>
      </c>
      <c r="AD242" s="150" t="str">
        <f t="shared" si="12"/>
        <v>SÃO PAULO</v>
      </c>
      <c r="AE242" s="95" t="s">
        <v>64</v>
      </c>
    </row>
    <row r="243" spans="1:31" s="55" customFormat="1" ht="30" customHeight="1">
      <c r="A243" s="215" t="s">
        <v>198</v>
      </c>
      <c r="B243" s="215">
        <v>2692966154</v>
      </c>
      <c r="C243" s="215" t="s">
        <v>131</v>
      </c>
      <c r="D243" s="215" t="s">
        <v>64</v>
      </c>
      <c r="E243" s="215" t="s">
        <v>5</v>
      </c>
      <c r="F243" s="215" t="s">
        <v>1163</v>
      </c>
      <c r="G243" s="215">
        <v>88</v>
      </c>
      <c r="H243" s="215"/>
      <c r="I243" s="215" t="s">
        <v>1164</v>
      </c>
      <c r="J243" s="215" t="s">
        <v>1908</v>
      </c>
      <c r="K243" s="215"/>
      <c r="L243" s="252">
        <v>46361.251388888886</v>
      </c>
      <c r="M243" s="252">
        <v>46361.252083333333</v>
      </c>
      <c r="N243" s="251" t="s">
        <v>359</v>
      </c>
      <c r="O243" s="180" t="s">
        <v>205</v>
      </c>
      <c r="P243" s="92"/>
      <c r="Q243" s="164" t="s">
        <v>205</v>
      </c>
      <c r="R243" s="92"/>
      <c r="S243" s="164" t="s">
        <v>205</v>
      </c>
      <c r="T243" s="92"/>
      <c r="U243" s="145" t="s">
        <v>205</v>
      </c>
      <c r="V243" s="92"/>
      <c r="W243" s="145" t="s">
        <v>205</v>
      </c>
      <c r="X243" s="92"/>
      <c r="Y243" s="352" t="s">
        <v>205</v>
      </c>
      <c r="Z243" s="142" t="str">
        <f t="shared" si="10"/>
        <v>C</v>
      </c>
      <c r="AA243" s="226" t="str">
        <f t="shared" si="11"/>
        <v>UTILIZOU O PDA CORRETAMENTE</v>
      </c>
      <c r="AB243" s="9" t="s">
        <v>205</v>
      </c>
      <c r="AC243" s="162" t="s">
        <v>6</v>
      </c>
      <c r="AD243" s="150" t="str">
        <f t="shared" si="12"/>
        <v>SÃO PAULO</v>
      </c>
      <c r="AE243" s="95" t="s">
        <v>64</v>
      </c>
    </row>
    <row r="244" spans="1:31" s="55" customFormat="1" ht="30" customHeight="1">
      <c r="A244" s="215" t="s">
        <v>198</v>
      </c>
      <c r="B244" s="215">
        <v>2619965837</v>
      </c>
      <c r="C244" s="215" t="s">
        <v>128</v>
      </c>
      <c r="D244" s="215" t="s">
        <v>64</v>
      </c>
      <c r="E244" s="215" t="s">
        <v>5</v>
      </c>
      <c r="F244" s="215" t="s">
        <v>2134</v>
      </c>
      <c r="G244" s="215">
        <v>12</v>
      </c>
      <c r="H244" s="215" t="s">
        <v>409</v>
      </c>
      <c r="I244" s="215" t="s">
        <v>397</v>
      </c>
      <c r="J244" s="215" t="s">
        <v>1898</v>
      </c>
      <c r="K244" s="215"/>
      <c r="L244" s="252">
        <v>46361.576388888891</v>
      </c>
      <c r="M244" s="252">
        <v>46361.580555555556</v>
      </c>
      <c r="N244" s="251" t="s">
        <v>590</v>
      </c>
      <c r="O244" s="180" t="s">
        <v>205</v>
      </c>
      <c r="P244" s="92"/>
      <c r="Q244" s="145" t="s">
        <v>206</v>
      </c>
      <c r="R244" s="92"/>
      <c r="S244" s="164" t="s">
        <v>205</v>
      </c>
      <c r="T244" s="92"/>
      <c r="U244" s="145" t="s">
        <v>205</v>
      </c>
      <c r="V244" s="92"/>
      <c r="W244" s="145" t="s">
        <v>205</v>
      </c>
      <c r="X244" s="92"/>
      <c r="Y244" s="352" t="s">
        <v>205</v>
      </c>
      <c r="Z244" s="142" t="str">
        <f t="shared" si="10"/>
        <v>NC</v>
      </c>
      <c r="AA244" s="226" t="str">
        <f t="shared" si="11"/>
        <v>UTILIZOU O PDA CORRETAMENTE. NÃO HÁ FOTOS DE TODAS AS ETAPAS</v>
      </c>
      <c r="AB244" s="9" t="s">
        <v>205</v>
      </c>
      <c r="AC244" s="162" t="s">
        <v>6</v>
      </c>
      <c r="AD244" s="150" t="str">
        <f t="shared" si="12"/>
        <v>SÃO PAULO</v>
      </c>
      <c r="AE244" s="95" t="s">
        <v>64</v>
      </c>
    </row>
    <row r="245" spans="1:31" s="55" customFormat="1" ht="30" customHeight="1">
      <c r="A245" s="215" t="s">
        <v>198</v>
      </c>
      <c r="B245" s="215">
        <v>2693144351</v>
      </c>
      <c r="C245" s="215" t="s">
        <v>132</v>
      </c>
      <c r="D245" s="215" t="s">
        <v>64</v>
      </c>
      <c r="E245" s="215" t="s">
        <v>5</v>
      </c>
      <c r="F245" s="215" t="s">
        <v>455</v>
      </c>
      <c r="G245" s="215">
        <v>556</v>
      </c>
      <c r="H245" s="215"/>
      <c r="I245" s="215" t="s">
        <v>299</v>
      </c>
      <c r="J245" s="215" t="s">
        <v>1898</v>
      </c>
      <c r="K245" s="215"/>
      <c r="L245" s="252">
        <v>46361.655555555553</v>
      </c>
      <c r="M245" s="252">
        <v>46361.658333333333</v>
      </c>
      <c r="N245" s="251" t="s">
        <v>852</v>
      </c>
      <c r="O245" s="180" t="s">
        <v>205</v>
      </c>
      <c r="P245" s="92"/>
      <c r="Q245" s="164" t="s">
        <v>205</v>
      </c>
      <c r="R245" s="92"/>
      <c r="S245" s="164" t="s">
        <v>205</v>
      </c>
      <c r="T245" s="92"/>
      <c r="U245" s="145" t="s">
        <v>205</v>
      </c>
      <c r="V245" s="92"/>
      <c r="W245" s="145" t="s">
        <v>205</v>
      </c>
      <c r="X245" s="92"/>
      <c r="Y245" s="352" t="s">
        <v>205</v>
      </c>
      <c r="Z245" s="142" t="str">
        <f t="shared" si="10"/>
        <v>C</v>
      </c>
      <c r="AA245" s="226" t="str">
        <f t="shared" si="11"/>
        <v>UTILIZOU O PDA CORRETAMENTE</v>
      </c>
      <c r="AB245" s="9" t="s">
        <v>205</v>
      </c>
      <c r="AC245" s="162" t="s">
        <v>6</v>
      </c>
      <c r="AD245" s="150" t="str">
        <f t="shared" si="12"/>
        <v>SÃO PAULO</v>
      </c>
      <c r="AE245" s="95" t="s">
        <v>64</v>
      </c>
    </row>
    <row r="246" spans="1:31" s="55" customFormat="1" ht="30" customHeight="1">
      <c r="A246" s="215" t="s">
        <v>198</v>
      </c>
      <c r="B246" s="215">
        <v>2619989256</v>
      </c>
      <c r="C246" s="215" t="s">
        <v>127</v>
      </c>
      <c r="D246" s="215" t="s">
        <v>64</v>
      </c>
      <c r="E246" s="215" t="s">
        <v>5</v>
      </c>
      <c r="F246" s="215" t="s">
        <v>2135</v>
      </c>
      <c r="G246" s="215">
        <v>212</v>
      </c>
      <c r="H246" s="215" t="s">
        <v>200</v>
      </c>
      <c r="I246" s="215" t="s">
        <v>810</v>
      </c>
      <c r="J246" s="215" t="s">
        <v>1908</v>
      </c>
      <c r="K246" s="215" t="s">
        <v>200</v>
      </c>
      <c r="L246" s="252">
        <v>46361.624305555553</v>
      </c>
      <c r="M246" s="252">
        <v>46361.632638888892</v>
      </c>
      <c r="N246" s="251" t="s">
        <v>1919</v>
      </c>
      <c r="O246" s="180" t="s">
        <v>205</v>
      </c>
      <c r="P246" s="92"/>
      <c r="Q246" s="164" t="s">
        <v>205</v>
      </c>
      <c r="R246" s="92"/>
      <c r="S246" s="164" t="s">
        <v>205</v>
      </c>
      <c r="T246" s="92"/>
      <c r="U246" s="145" t="s">
        <v>205</v>
      </c>
      <c r="V246" s="92"/>
      <c r="W246" s="145" t="s">
        <v>205</v>
      </c>
      <c r="X246" s="92"/>
      <c r="Y246" s="352" t="s">
        <v>205</v>
      </c>
      <c r="Z246" s="142" t="str">
        <f t="shared" si="10"/>
        <v>C</v>
      </c>
      <c r="AA246" s="226" t="str">
        <f t="shared" si="11"/>
        <v>UTILIZOU O PDA CORRETAMENTE</v>
      </c>
      <c r="AB246" s="9" t="s">
        <v>205</v>
      </c>
      <c r="AC246" s="162" t="s">
        <v>6</v>
      </c>
      <c r="AD246" s="150" t="str">
        <f t="shared" si="12"/>
        <v>SÃO PAULO</v>
      </c>
      <c r="AE246" s="95" t="s">
        <v>64</v>
      </c>
    </row>
    <row r="247" spans="1:31" s="55" customFormat="1" ht="30" customHeight="1">
      <c r="A247" s="228" t="s">
        <v>198</v>
      </c>
      <c r="B247" s="228">
        <v>2693168396</v>
      </c>
      <c r="C247" s="228" t="s">
        <v>128</v>
      </c>
      <c r="D247" s="228" t="s">
        <v>64</v>
      </c>
      <c r="E247" s="228" t="s">
        <v>5</v>
      </c>
      <c r="F247" s="228" t="s">
        <v>2136</v>
      </c>
      <c r="G247" s="228">
        <v>481</v>
      </c>
      <c r="H247" s="228" t="s">
        <v>226</v>
      </c>
      <c r="I247" s="228" t="s">
        <v>470</v>
      </c>
      <c r="J247" s="228" t="s">
        <v>1908</v>
      </c>
      <c r="K247" s="228"/>
      <c r="L247" s="255">
        <v>46361.654861111114</v>
      </c>
      <c r="M247" s="255">
        <v>46361.663194444445</v>
      </c>
      <c r="N247" s="256" t="s">
        <v>799</v>
      </c>
      <c r="O247" s="180" t="s">
        <v>205</v>
      </c>
      <c r="P247" s="92"/>
      <c r="Q247" s="164" t="s">
        <v>205</v>
      </c>
      <c r="R247" s="92"/>
      <c r="S247" s="164" t="s">
        <v>205</v>
      </c>
      <c r="T247" s="92"/>
      <c r="U247" s="145" t="s">
        <v>205</v>
      </c>
      <c r="V247" s="92"/>
      <c r="W247" s="145" t="s">
        <v>205</v>
      </c>
      <c r="X247" s="92"/>
      <c r="Y247" s="352" t="s">
        <v>205</v>
      </c>
      <c r="Z247" s="142" t="str">
        <f t="shared" si="10"/>
        <v>C</v>
      </c>
      <c r="AA247" s="226" t="str">
        <f t="shared" si="11"/>
        <v>UTILIZOU O PDA CORRETAMENTE</v>
      </c>
      <c r="AB247" s="9" t="s">
        <v>205</v>
      </c>
      <c r="AC247" s="162" t="s">
        <v>6</v>
      </c>
      <c r="AD247" s="150" t="str">
        <f t="shared" si="12"/>
        <v>SÃO PAULO</v>
      </c>
      <c r="AE247" s="95" t="s">
        <v>64</v>
      </c>
    </row>
    <row r="248" spans="1:31" s="268" customFormat="1" ht="30" customHeight="1">
      <c r="A248" s="265" t="s">
        <v>198</v>
      </c>
      <c r="B248" s="265">
        <v>2619818870</v>
      </c>
      <c r="C248" s="265" t="s">
        <v>135</v>
      </c>
      <c r="D248" s="265" t="s">
        <v>125</v>
      </c>
      <c r="E248" s="265" t="s">
        <v>5</v>
      </c>
      <c r="F248" s="265" t="s">
        <v>2137</v>
      </c>
      <c r="G248" s="265">
        <v>206</v>
      </c>
      <c r="H248" s="265" t="s">
        <v>200</v>
      </c>
      <c r="I248" s="265" t="s">
        <v>1317</v>
      </c>
      <c r="J248" s="265" t="s">
        <v>1909</v>
      </c>
      <c r="K248" s="265" t="s">
        <v>399</v>
      </c>
      <c r="L248" s="265" t="s">
        <v>1608</v>
      </c>
      <c r="M248" s="265" t="s">
        <v>2138</v>
      </c>
      <c r="N248" s="265" t="s">
        <v>254</v>
      </c>
      <c r="O248" s="180" t="s">
        <v>205</v>
      </c>
      <c r="P248" s="266"/>
      <c r="Q248" s="164" t="s">
        <v>205</v>
      </c>
      <c r="R248" s="266"/>
      <c r="S248" s="164" t="s">
        <v>205</v>
      </c>
      <c r="T248" s="266"/>
      <c r="U248" s="267" t="s">
        <v>205</v>
      </c>
      <c r="V248" s="266"/>
      <c r="W248" s="267" t="s">
        <v>205</v>
      </c>
      <c r="X248" s="266"/>
      <c r="Y248" s="355" t="s">
        <v>205</v>
      </c>
      <c r="Z248" s="142" t="str">
        <f t="shared" si="10"/>
        <v>C</v>
      </c>
      <c r="AA248" s="226" t="str">
        <f t="shared" si="11"/>
        <v>UTILIZOU O PDA CORRETAMENTE</v>
      </c>
      <c r="AB248" s="357" t="s">
        <v>205</v>
      </c>
      <c r="AC248" s="162" t="s">
        <v>6</v>
      </c>
      <c r="AD248" s="150" t="str">
        <f t="shared" si="12"/>
        <v>SÃO PAULO</v>
      </c>
      <c r="AE248" s="95" t="s">
        <v>64</v>
      </c>
    </row>
    <row r="249" spans="1:31" s="55" customFormat="1" ht="30" customHeight="1">
      <c r="A249" s="215" t="s">
        <v>198</v>
      </c>
      <c r="B249" s="215">
        <v>2619968665</v>
      </c>
      <c r="C249" s="215" t="s">
        <v>127</v>
      </c>
      <c r="D249" s="215" t="s">
        <v>64</v>
      </c>
      <c r="E249" s="215" t="s">
        <v>5</v>
      </c>
      <c r="F249" s="215" t="s">
        <v>1478</v>
      </c>
      <c r="G249" s="215">
        <v>742</v>
      </c>
      <c r="H249" s="215"/>
      <c r="I249" s="215" t="s">
        <v>465</v>
      </c>
      <c r="J249" s="215" t="s">
        <v>1908</v>
      </c>
      <c r="K249" s="215"/>
      <c r="L249" s="215" t="s">
        <v>2139</v>
      </c>
      <c r="M249" s="215" t="s">
        <v>2140</v>
      </c>
      <c r="N249" s="215" t="s">
        <v>1956</v>
      </c>
      <c r="O249" s="180" t="s">
        <v>205</v>
      </c>
      <c r="P249" s="92"/>
      <c r="Q249" s="164" t="s">
        <v>205</v>
      </c>
      <c r="R249" s="92"/>
      <c r="S249" s="164" t="s">
        <v>205</v>
      </c>
      <c r="T249" s="92"/>
      <c r="U249" s="145" t="s">
        <v>205</v>
      </c>
      <c r="V249" s="92"/>
      <c r="W249" s="145" t="s">
        <v>205</v>
      </c>
      <c r="X249" s="92"/>
      <c r="Y249" s="352" t="s">
        <v>205</v>
      </c>
      <c r="Z249" s="142" t="str">
        <f t="shared" si="10"/>
        <v>C</v>
      </c>
      <c r="AA249" s="226" t="str">
        <f t="shared" si="11"/>
        <v>UTILIZOU O PDA CORRETAMENTE</v>
      </c>
      <c r="AB249" s="9" t="s">
        <v>205</v>
      </c>
      <c r="AC249" s="162" t="s">
        <v>6</v>
      </c>
      <c r="AD249" s="150" t="str">
        <f t="shared" si="12"/>
        <v>SÃO PAULO</v>
      </c>
      <c r="AE249" s="95" t="s">
        <v>64</v>
      </c>
    </row>
    <row r="250" spans="1:31" s="55" customFormat="1" ht="30" customHeight="1">
      <c r="A250" s="215" t="s">
        <v>198</v>
      </c>
      <c r="B250" s="215">
        <v>2619997080</v>
      </c>
      <c r="C250" s="215" t="s">
        <v>132</v>
      </c>
      <c r="D250" s="215" t="s">
        <v>64</v>
      </c>
      <c r="E250" s="215" t="s">
        <v>5</v>
      </c>
      <c r="F250" s="215" t="s">
        <v>2141</v>
      </c>
      <c r="G250" s="215">
        <v>203</v>
      </c>
      <c r="H250" s="215" t="s">
        <v>226</v>
      </c>
      <c r="I250" s="215" t="s">
        <v>320</v>
      </c>
      <c r="J250" s="215" t="s">
        <v>1898</v>
      </c>
      <c r="K250" s="215" t="s">
        <v>200</v>
      </c>
      <c r="L250" s="215" t="s">
        <v>2142</v>
      </c>
      <c r="M250" s="215" t="s">
        <v>2143</v>
      </c>
      <c r="N250" s="215" t="s">
        <v>852</v>
      </c>
      <c r="O250" s="180" t="s">
        <v>205</v>
      </c>
      <c r="P250" s="92"/>
      <c r="Q250" s="164" t="s">
        <v>205</v>
      </c>
      <c r="R250" s="92"/>
      <c r="S250" s="164" t="s">
        <v>205</v>
      </c>
      <c r="T250" s="92"/>
      <c r="U250" s="145" t="s">
        <v>205</v>
      </c>
      <c r="V250" s="92"/>
      <c r="W250" s="145" t="s">
        <v>205</v>
      </c>
      <c r="X250" s="92"/>
      <c r="Y250" s="352" t="s">
        <v>205</v>
      </c>
      <c r="Z250" s="142" t="str">
        <f t="shared" si="10"/>
        <v>C</v>
      </c>
      <c r="AA250" s="226" t="str">
        <f t="shared" si="11"/>
        <v>UTILIZOU O PDA CORRETAMENTE</v>
      </c>
      <c r="AB250" s="9" t="s">
        <v>205</v>
      </c>
      <c r="AC250" s="162" t="s">
        <v>6</v>
      </c>
      <c r="AD250" s="150" t="str">
        <f t="shared" si="12"/>
        <v>SÃO PAULO</v>
      </c>
      <c r="AE250" s="95" t="s">
        <v>64</v>
      </c>
    </row>
    <row r="251" spans="1:31" s="55" customFormat="1" ht="30" customHeight="1">
      <c r="A251" s="215" t="s">
        <v>198</v>
      </c>
      <c r="B251" s="215">
        <v>2619982633</v>
      </c>
      <c r="C251" s="215" t="s">
        <v>127</v>
      </c>
      <c r="D251" s="215" t="s">
        <v>64</v>
      </c>
      <c r="E251" s="215" t="s">
        <v>5</v>
      </c>
      <c r="F251" s="215" t="s">
        <v>2144</v>
      </c>
      <c r="G251" s="215">
        <v>258</v>
      </c>
      <c r="H251" s="215" t="s">
        <v>200</v>
      </c>
      <c r="I251" s="215" t="s">
        <v>1375</v>
      </c>
      <c r="J251" s="215" t="s">
        <v>1908</v>
      </c>
      <c r="K251" s="215" t="s">
        <v>200</v>
      </c>
      <c r="L251" s="215" t="s">
        <v>1580</v>
      </c>
      <c r="M251" s="215" t="s">
        <v>2145</v>
      </c>
      <c r="N251" s="215" t="s">
        <v>1919</v>
      </c>
      <c r="O251" s="180" t="s">
        <v>205</v>
      </c>
      <c r="P251" s="92"/>
      <c r="Q251" s="164" t="s">
        <v>205</v>
      </c>
      <c r="R251" s="92"/>
      <c r="S251" s="164" t="s">
        <v>205</v>
      </c>
      <c r="T251" s="92"/>
      <c r="U251" s="145" t="s">
        <v>205</v>
      </c>
      <c r="V251" s="92"/>
      <c r="W251" s="145" t="s">
        <v>205</v>
      </c>
      <c r="X251" s="92"/>
      <c r="Y251" s="352" t="s">
        <v>205</v>
      </c>
      <c r="Z251" s="142" t="str">
        <f t="shared" si="10"/>
        <v>C</v>
      </c>
      <c r="AA251" s="226" t="str">
        <f t="shared" si="11"/>
        <v>UTILIZOU O PDA CORRETAMENTE</v>
      </c>
      <c r="AB251" s="9" t="s">
        <v>205</v>
      </c>
      <c r="AC251" s="162" t="s">
        <v>6</v>
      </c>
      <c r="AD251" s="150" t="str">
        <f t="shared" si="12"/>
        <v>SÃO PAULO</v>
      </c>
      <c r="AE251" s="95" t="s">
        <v>64</v>
      </c>
    </row>
    <row r="252" spans="1:31" s="55" customFormat="1" ht="30" customHeight="1">
      <c r="A252" s="215" t="s">
        <v>198</v>
      </c>
      <c r="B252" s="215">
        <v>2620126603</v>
      </c>
      <c r="C252" s="215" t="s">
        <v>128</v>
      </c>
      <c r="D252" s="215" t="s">
        <v>64</v>
      </c>
      <c r="E252" s="215" t="s">
        <v>5</v>
      </c>
      <c r="F252" s="215" t="s">
        <v>2146</v>
      </c>
      <c r="G252" s="215">
        <v>19</v>
      </c>
      <c r="H252" s="215" t="s">
        <v>318</v>
      </c>
      <c r="I252" s="215" t="s">
        <v>2078</v>
      </c>
      <c r="J252" s="215" t="s">
        <v>1898</v>
      </c>
      <c r="K252" s="215"/>
      <c r="L252" s="215" t="s">
        <v>2147</v>
      </c>
      <c r="M252" s="215" t="s">
        <v>2148</v>
      </c>
      <c r="N252" s="215" t="s">
        <v>852</v>
      </c>
      <c r="O252" s="180" t="s">
        <v>205</v>
      </c>
      <c r="P252" s="92"/>
      <c r="Q252" s="164" t="s">
        <v>205</v>
      </c>
      <c r="R252" s="92"/>
      <c r="S252" s="164" t="s">
        <v>205</v>
      </c>
      <c r="T252" s="92"/>
      <c r="U252" s="145" t="s">
        <v>205</v>
      </c>
      <c r="V252" s="92"/>
      <c r="W252" s="145" t="s">
        <v>205</v>
      </c>
      <c r="X252" s="92"/>
      <c r="Y252" s="352" t="s">
        <v>205</v>
      </c>
      <c r="Z252" s="142" t="str">
        <f t="shared" si="10"/>
        <v>C</v>
      </c>
      <c r="AA252" s="226" t="str">
        <f t="shared" si="11"/>
        <v>UTILIZOU O PDA CORRETAMENTE</v>
      </c>
      <c r="AB252" s="9" t="s">
        <v>205</v>
      </c>
      <c r="AC252" s="162" t="s">
        <v>6</v>
      </c>
      <c r="AD252" s="150" t="str">
        <f t="shared" si="12"/>
        <v>SÃO PAULO</v>
      </c>
      <c r="AE252" s="95" t="s">
        <v>64</v>
      </c>
    </row>
    <row r="253" spans="1:31" s="55" customFormat="1" ht="30" customHeight="1">
      <c r="A253" s="215" t="s">
        <v>198</v>
      </c>
      <c r="B253" s="215">
        <v>2620036606</v>
      </c>
      <c r="C253" s="215" t="s">
        <v>128</v>
      </c>
      <c r="D253" s="215" t="s">
        <v>64</v>
      </c>
      <c r="E253" s="215" t="s">
        <v>5</v>
      </c>
      <c r="F253" s="215" t="s">
        <v>1625</v>
      </c>
      <c r="G253" s="215">
        <v>568</v>
      </c>
      <c r="H253" s="215"/>
      <c r="I253" s="215" t="s">
        <v>289</v>
      </c>
      <c r="J253" s="215" t="s">
        <v>1898</v>
      </c>
      <c r="K253" s="215"/>
      <c r="L253" s="215" t="s">
        <v>2149</v>
      </c>
      <c r="M253" s="215" t="s">
        <v>2150</v>
      </c>
      <c r="N253" s="215" t="s">
        <v>1950</v>
      </c>
      <c r="O253" s="180" t="s">
        <v>205</v>
      </c>
      <c r="P253" s="92"/>
      <c r="Q253" s="145" t="s">
        <v>206</v>
      </c>
      <c r="R253" s="92"/>
      <c r="S253" s="164" t="s">
        <v>205</v>
      </c>
      <c r="T253" s="92"/>
      <c r="U253" s="145" t="s">
        <v>205</v>
      </c>
      <c r="V253" s="92"/>
      <c r="W253" s="145" t="s">
        <v>205</v>
      </c>
      <c r="X253" s="92"/>
      <c r="Y253" s="352" t="s">
        <v>205</v>
      </c>
      <c r="Z253" s="142" t="str">
        <f t="shared" si="10"/>
        <v>NC</v>
      </c>
      <c r="AA253" s="226" t="str">
        <f t="shared" si="11"/>
        <v>UTILIZOU O PDA CORRETAMENTE. NÃO HÁ FOTOS DE TODAS AS ETAPAS</v>
      </c>
      <c r="AB253" s="9" t="s">
        <v>205</v>
      </c>
      <c r="AC253" s="162" t="s">
        <v>6</v>
      </c>
      <c r="AD253" s="150" t="str">
        <f t="shared" si="12"/>
        <v>SÃO PAULO</v>
      </c>
      <c r="AE253" s="95" t="s">
        <v>64</v>
      </c>
    </row>
    <row r="254" spans="1:31" s="55" customFormat="1" ht="30" customHeight="1">
      <c r="A254" s="215" t="s">
        <v>198</v>
      </c>
      <c r="B254" s="215">
        <v>2693142297</v>
      </c>
      <c r="C254" s="215" t="s">
        <v>128</v>
      </c>
      <c r="D254" s="215" t="s">
        <v>64</v>
      </c>
      <c r="E254" s="215" t="s">
        <v>5</v>
      </c>
      <c r="F254" s="215" t="s">
        <v>323</v>
      </c>
      <c r="G254" s="215">
        <v>22</v>
      </c>
      <c r="H254" s="215" t="s">
        <v>226</v>
      </c>
      <c r="I254" s="215" t="s">
        <v>324</v>
      </c>
      <c r="J254" s="215" t="s">
        <v>1900</v>
      </c>
      <c r="K254" s="215"/>
      <c r="L254" s="215" t="s">
        <v>654</v>
      </c>
      <c r="M254" s="215" t="s">
        <v>2151</v>
      </c>
      <c r="N254" s="215" t="s">
        <v>1919</v>
      </c>
      <c r="O254" s="180" t="s">
        <v>205</v>
      </c>
      <c r="P254" s="92"/>
      <c r="Q254" s="164" t="s">
        <v>205</v>
      </c>
      <c r="R254" s="92"/>
      <c r="S254" s="164" t="s">
        <v>205</v>
      </c>
      <c r="T254" s="92"/>
      <c r="U254" s="145" t="s">
        <v>205</v>
      </c>
      <c r="V254" s="92"/>
      <c r="W254" s="145" t="s">
        <v>205</v>
      </c>
      <c r="X254" s="92"/>
      <c r="Y254" s="352" t="s">
        <v>205</v>
      </c>
      <c r="Z254" s="142" t="str">
        <f t="shared" si="10"/>
        <v>C</v>
      </c>
      <c r="AA254" s="226" t="str">
        <f t="shared" si="11"/>
        <v>UTILIZOU O PDA CORRETAMENTE</v>
      </c>
      <c r="AB254" s="9" t="s">
        <v>205</v>
      </c>
      <c r="AC254" s="162" t="s">
        <v>6</v>
      </c>
      <c r="AD254" s="150" t="str">
        <f t="shared" si="12"/>
        <v>SÃO PAULO</v>
      </c>
      <c r="AE254" s="95" t="s">
        <v>64</v>
      </c>
    </row>
    <row r="255" spans="1:31" s="55" customFormat="1" ht="30" customHeight="1">
      <c r="A255" s="215" t="s">
        <v>198</v>
      </c>
      <c r="B255" s="215">
        <v>2693180728</v>
      </c>
      <c r="C255" s="215" t="s">
        <v>128</v>
      </c>
      <c r="D255" s="215" t="s">
        <v>64</v>
      </c>
      <c r="E255" s="215" t="s">
        <v>5</v>
      </c>
      <c r="F255" s="215" t="s">
        <v>1351</v>
      </c>
      <c r="G255" s="215">
        <v>367</v>
      </c>
      <c r="H255" s="215" t="s">
        <v>2152</v>
      </c>
      <c r="I255" s="215" t="s">
        <v>2153</v>
      </c>
      <c r="J255" s="215" t="s">
        <v>1900</v>
      </c>
      <c r="K255" s="215" t="s">
        <v>200</v>
      </c>
      <c r="L255" s="215" t="s">
        <v>2154</v>
      </c>
      <c r="M255" s="215" t="s">
        <v>2155</v>
      </c>
      <c r="N255" s="215" t="s">
        <v>1919</v>
      </c>
      <c r="O255" s="180" t="s">
        <v>205</v>
      </c>
      <c r="P255" s="92"/>
      <c r="Q255" s="164" t="s">
        <v>205</v>
      </c>
      <c r="R255" s="92"/>
      <c r="S255" s="164" t="s">
        <v>205</v>
      </c>
      <c r="T255" s="92"/>
      <c r="U255" s="145" t="s">
        <v>205</v>
      </c>
      <c r="V255" s="92"/>
      <c r="W255" s="145" t="s">
        <v>205</v>
      </c>
      <c r="X255" s="92"/>
      <c r="Y255" s="352" t="s">
        <v>205</v>
      </c>
      <c r="Z255" s="142" t="str">
        <f t="shared" si="10"/>
        <v>C</v>
      </c>
      <c r="AA255" s="226" t="str">
        <f t="shared" si="11"/>
        <v>UTILIZOU O PDA CORRETAMENTE</v>
      </c>
      <c r="AB255" s="9" t="s">
        <v>205</v>
      </c>
      <c r="AC255" s="162" t="s">
        <v>6</v>
      </c>
      <c r="AD255" s="150" t="str">
        <f t="shared" si="12"/>
        <v>SÃO PAULO</v>
      </c>
      <c r="AE255" s="95" t="s">
        <v>64</v>
      </c>
    </row>
    <row r="256" spans="1:31" s="55" customFormat="1" ht="30" customHeight="1">
      <c r="A256" s="215" t="s">
        <v>198</v>
      </c>
      <c r="B256" s="215">
        <v>2693162162</v>
      </c>
      <c r="C256" s="215" t="s">
        <v>128</v>
      </c>
      <c r="D256" s="215" t="s">
        <v>64</v>
      </c>
      <c r="E256" s="215" t="s">
        <v>5</v>
      </c>
      <c r="F256" s="215" t="s">
        <v>2156</v>
      </c>
      <c r="G256" s="215">
        <v>157</v>
      </c>
      <c r="H256" s="215" t="s">
        <v>226</v>
      </c>
      <c r="I256" s="215" t="s">
        <v>308</v>
      </c>
      <c r="J256" s="215" t="s">
        <v>1898</v>
      </c>
      <c r="K256" s="215"/>
      <c r="L256" s="215" t="s">
        <v>2157</v>
      </c>
      <c r="M256" s="215" t="s">
        <v>2158</v>
      </c>
      <c r="N256" s="215" t="s">
        <v>1950</v>
      </c>
      <c r="O256" s="180" t="s">
        <v>205</v>
      </c>
      <c r="P256" s="92"/>
      <c r="Q256" s="164" t="s">
        <v>205</v>
      </c>
      <c r="R256" s="92"/>
      <c r="S256" s="164" t="s">
        <v>205</v>
      </c>
      <c r="T256" s="92"/>
      <c r="U256" s="145" t="s">
        <v>205</v>
      </c>
      <c r="V256" s="92"/>
      <c r="W256" s="145" t="s">
        <v>205</v>
      </c>
      <c r="X256" s="92"/>
      <c r="Y256" s="352" t="s">
        <v>205</v>
      </c>
      <c r="Z256" s="142" t="str">
        <f t="shared" si="10"/>
        <v>C</v>
      </c>
      <c r="AA256" s="226" t="str">
        <f t="shared" si="11"/>
        <v>UTILIZOU O PDA CORRETAMENTE</v>
      </c>
      <c r="AB256" s="9" t="s">
        <v>205</v>
      </c>
      <c r="AC256" s="162" t="s">
        <v>6</v>
      </c>
      <c r="AD256" s="150" t="str">
        <f t="shared" si="12"/>
        <v>SÃO PAULO</v>
      </c>
      <c r="AE256" s="95" t="s">
        <v>64</v>
      </c>
    </row>
    <row r="257" spans="1:31" s="55" customFormat="1" ht="30" customHeight="1">
      <c r="A257" s="215" t="s">
        <v>198</v>
      </c>
      <c r="B257" s="215">
        <v>2693189850</v>
      </c>
      <c r="C257" s="215" t="s">
        <v>132</v>
      </c>
      <c r="D257" s="215" t="s">
        <v>64</v>
      </c>
      <c r="E257" s="215" t="s">
        <v>5</v>
      </c>
      <c r="F257" s="215" t="s">
        <v>2159</v>
      </c>
      <c r="G257" s="215">
        <v>16</v>
      </c>
      <c r="H257" s="215" t="s">
        <v>318</v>
      </c>
      <c r="I257" s="215" t="s">
        <v>620</v>
      </c>
      <c r="J257" s="215" t="s">
        <v>1908</v>
      </c>
      <c r="K257" s="215" t="s">
        <v>200</v>
      </c>
      <c r="L257" s="215" t="s">
        <v>2145</v>
      </c>
      <c r="M257" s="215" t="s">
        <v>2160</v>
      </c>
      <c r="N257" s="215" t="s">
        <v>590</v>
      </c>
      <c r="O257" s="180" t="s">
        <v>205</v>
      </c>
      <c r="P257" s="92"/>
      <c r="Q257" s="164" t="s">
        <v>205</v>
      </c>
      <c r="R257" s="92"/>
      <c r="S257" s="164" t="s">
        <v>205</v>
      </c>
      <c r="T257" s="92"/>
      <c r="U257" s="145" t="s">
        <v>205</v>
      </c>
      <c r="V257" s="92"/>
      <c r="W257" s="145" t="s">
        <v>205</v>
      </c>
      <c r="X257" s="92"/>
      <c r="Y257" s="352" t="s">
        <v>205</v>
      </c>
      <c r="Z257" s="142" t="str">
        <f t="shared" si="10"/>
        <v>C</v>
      </c>
      <c r="AA257" s="226" t="str">
        <f t="shared" si="11"/>
        <v>UTILIZOU O PDA CORRETAMENTE</v>
      </c>
      <c r="AB257" s="9" t="s">
        <v>205</v>
      </c>
      <c r="AC257" s="162" t="s">
        <v>6</v>
      </c>
      <c r="AD257" s="150" t="str">
        <f t="shared" si="12"/>
        <v>SÃO PAULO</v>
      </c>
      <c r="AE257" s="95" t="s">
        <v>64</v>
      </c>
    </row>
    <row r="258" spans="1:31" s="55" customFormat="1" ht="30" customHeight="1">
      <c r="A258" s="215" t="s">
        <v>198</v>
      </c>
      <c r="B258" s="215">
        <v>2693186090</v>
      </c>
      <c r="C258" s="215" t="s">
        <v>128</v>
      </c>
      <c r="D258" s="215" t="s">
        <v>64</v>
      </c>
      <c r="E258" s="215" t="s">
        <v>5</v>
      </c>
      <c r="F258" s="215" t="s">
        <v>1135</v>
      </c>
      <c r="G258" s="215">
        <v>222</v>
      </c>
      <c r="H258" s="215" t="s">
        <v>318</v>
      </c>
      <c r="I258" s="215" t="s">
        <v>215</v>
      </c>
      <c r="J258" s="215" t="s">
        <v>1900</v>
      </c>
      <c r="K258" s="215"/>
      <c r="L258" s="215" t="s">
        <v>2161</v>
      </c>
      <c r="M258" s="215" t="s">
        <v>2162</v>
      </c>
      <c r="N258" s="215" t="s">
        <v>590</v>
      </c>
      <c r="O258" s="180" t="s">
        <v>205</v>
      </c>
      <c r="P258" s="92"/>
      <c r="Q258" s="164" t="s">
        <v>205</v>
      </c>
      <c r="R258" s="92"/>
      <c r="S258" s="164" t="s">
        <v>205</v>
      </c>
      <c r="T258" s="92"/>
      <c r="U258" s="145" t="s">
        <v>205</v>
      </c>
      <c r="V258" s="92"/>
      <c r="W258" s="145" t="s">
        <v>205</v>
      </c>
      <c r="X258" s="92"/>
      <c r="Y258" s="352" t="s">
        <v>205</v>
      </c>
      <c r="Z258" s="142" t="str">
        <f t="shared" si="10"/>
        <v>C</v>
      </c>
      <c r="AA258" s="226" t="str">
        <f t="shared" si="11"/>
        <v>UTILIZOU O PDA CORRETAMENTE</v>
      </c>
      <c r="AB258" s="9" t="s">
        <v>205</v>
      </c>
      <c r="AC258" s="162" t="s">
        <v>6</v>
      </c>
      <c r="AD258" s="150" t="str">
        <f t="shared" si="12"/>
        <v>SÃO PAULO</v>
      </c>
      <c r="AE258" s="95" t="s">
        <v>64</v>
      </c>
    </row>
    <row r="259" spans="1:31" s="55" customFormat="1" ht="30" customHeight="1">
      <c r="A259" s="215" t="s">
        <v>198</v>
      </c>
      <c r="B259" s="215">
        <v>2620066785</v>
      </c>
      <c r="C259" s="215" t="s">
        <v>128</v>
      </c>
      <c r="D259" s="215" t="s">
        <v>64</v>
      </c>
      <c r="E259" s="215" t="s">
        <v>5</v>
      </c>
      <c r="F259" s="215" t="s">
        <v>2163</v>
      </c>
      <c r="G259" s="215">
        <v>213</v>
      </c>
      <c r="H259" s="215" t="s">
        <v>200</v>
      </c>
      <c r="I259" s="215" t="s">
        <v>448</v>
      </c>
      <c r="J259" s="215" t="s">
        <v>1898</v>
      </c>
      <c r="K259" s="215" t="s">
        <v>200</v>
      </c>
      <c r="L259" s="215" t="s">
        <v>2164</v>
      </c>
      <c r="M259" s="215" t="s">
        <v>2165</v>
      </c>
      <c r="N259" s="215" t="s">
        <v>852</v>
      </c>
      <c r="O259" s="180" t="s">
        <v>205</v>
      </c>
      <c r="P259" s="92"/>
      <c r="Q259" s="164" t="s">
        <v>205</v>
      </c>
      <c r="R259" s="92"/>
      <c r="S259" s="164" t="s">
        <v>205</v>
      </c>
      <c r="T259" s="92"/>
      <c r="U259" s="145" t="s">
        <v>205</v>
      </c>
      <c r="V259" s="92"/>
      <c r="W259" s="145" t="s">
        <v>205</v>
      </c>
      <c r="X259" s="92"/>
      <c r="Y259" s="352" t="s">
        <v>205</v>
      </c>
      <c r="Z259" s="142" t="str">
        <f t="shared" ref="Z259:Z322" si="13">IF(AND(O259="",Q259="",S259="",U259="",W259=""),"",IF(OR(AND(O259&lt;&gt;"NA",O259&lt;&gt;"C",O259&lt;&gt;"NC",O259&lt;&gt;"SF",O259&lt;&gt;""),AND(Q259&lt;&gt;"NA",Q259&lt;&gt;"C",Q259&lt;&gt;"NC",Q259&lt;&gt;"SF",Q259&lt;&gt;""),AND(S259&lt;&gt;"NA",S259&lt;&gt;"C",S259&lt;&gt;"NC",S259&lt;&gt;"SF",S259&lt;&gt;""),AND(U259&lt;&gt;"NA",U259&lt;&gt;"C",U259&lt;&gt;"NC",U259&lt;&gt;"SF",U259&lt;&gt;""),AND(W259&lt;&gt;"NA",W259&lt;&gt;"C",W259&lt;&gt;"NC",W259&lt;&gt;"SF",W259&lt;&gt;"")),"FALSO",IF(AND(O259="NA",Q259="NA",S259="NA",U259="NA",W259="NA"),"NA",IF(OR(O259="NC",Q259="NC",S259="NC",U259="NC",W259="NC",O259="SF",Q259="SF",S259="SF",U259="SF",W259="SF"),"NC",IF(OR(O259="C",Q259="C",S259="C",U259="C",W259="C"),"C","")))))</f>
        <v>C</v>
      </c>
      <c r="AA259" s="226" t="str">
        <f t="shared" ref="AA259:AA322" si="14">IF(AND(Y259="C",Z259="C"),"UTILIZOU O PDA CORRETAMENTE",IF(AND(Y259="C",Z259="NC"),"UTILIZOU O PDA CORRETAMENTE. NÃO HÁ FOTOS DE TODAS AS ETAPAS",IF(AND(Y259="NC",Z259="NC"),"NÃO UTILIZOU O PDA",IF(AND(Y259="NA",Z259="NA"),"NÃO AVALIADO POR FALHA DE SINCRONISMO"))))</f>
        <v>UTILIZOU O PDA CORRETAMENTE</v>
      </c>
      <c r="AB259" s="9" t="s">
        <v>205</v>
      </c>
      <c r="AC259" s="162" t="s">
        <v>6</v>
      </c>
      <c r="AD259" s="150" t="str">
        <f t="shared" ref="AD259:AD303" si="15">E259</f>
        <v>SÃO PAULO</v>
      </c>
      <c r="AE259" s="95" t="s">
        <v>64</v>
      </c>
    </row>
    <row r="260" spans="1:31" s="55" customFormat="1" ht="30" customHeight="1">
      <c r="A260" s="215" t="s">
        <v>198</v>
      </c>
      <c r="B260" s="215">
        <v>2693199262</v>
      </c>
      <c r="C260" s="215" t="s">
        <v>128</v>
      </c>
      <c r="D260" s="215" t="s">
        <v>64</v>
      </c>
      <c r="E260" s="215" t="s">
        <v>5</v>
      </c>
      <c r="F260" s="215" t="s">
        <v>2166</v>
      </c>
      <c r="G260" s="215">
        <v>252</v>
      </c>
      <c r="H260" s="215" t="s">
        <v>226</v>
      </c>
      <c r="I260" s="215" t="s">
        <v>1505</v>
      </c>
      <c r="J260" s="215" t="s">
        <v>1898</v>
      </c>
      <c r="K260" s="215"/>
      <c r="L260" s="215" t="s">
        <v>2167</v>
      </c>
      <c r="M260" s="215" t="s">
        <v>658</v>
      </c>
      <c r="N260" s="215" t="s">
        <v>852</v>
      </c>
      <c r="O260" s="180" t="s">
        <v>205</v>
      </c>
      <c r="P260" s="92"/>
      <c r="Q260" s="164" t="s">
        <v>205</v>
      </c>
      <c r="R260" s="92"/>
      <c r="S260" s="164" t="s">
        <v>205</v>
      </c>
      <c r="T260" s="92"/>
      <c r="U260" s="145" t="s">
        <v>205</v>
      </c>
      <c r="V260" s="92"/>
      <c r="W260" s="145" t="s">
        <v>205</v>
      </c>
      <c r="X260" s="92"/>
      <c r="Y260" s="352" t="s">
        <v>205</v>
      </c>
      <c r="Z260" s="142" t="str">
        <f t="shared" si="13"/>
        <v>C</v>
      </c>
      <c r="AA260" s="226" t="str">
        <f t="shared" si="14"/>
        <v>UTILIZOU O PDA CORRETAMENTE</v>
      </c>
      <c r="AB260" s="9" t="s">
        <v>205</v>
      </c>
      <c r="AC260" s="162" t="s">
        <v>6</v>
      </c>
      <c r="AD260" s="150" t="str">
        <f t="shared" si="15"/>
        <v>SÃO PAULO</v>
      </c>
      <c r="AE260" s="95" t="s">
        <v>64</v>
      </c>
    </row>
    <row r="261" spans="1:31" s="55" customFormat="1" ht="30" customHeight="1">
      <c r="A261" s="215" t="s">
        <v>198</v>
      </c>
      <c r="B261" s="215">
        <v>2693187096</v>
      </c>
      <c r="C261" s="215" t="s">
        <v>128</v>
      </c>
      <c r="D261" s="215" t="s">
        <v>64</v>
      </c>
      <c r="E261" s="215" t="s">
        <v>5</v>
      </c>
      <c r="F261" s="215" t="s">
        <v>2168</v>
      </c>
      <c r="G261" s="215">
        <v>552</v>
      </c>
      <c r="H261" s="215" t="s">
        <v>200</v>
      </c>
      <c r="I261" s="215" t="s">
        <v>415</v>
      </c>
      <c r="J261" s="215" t="s">
        <v>1908</v>
      </c>
      <c r="K261" s="215" t="s">
        <v>200</v>
      </c>
      <c r="L261" s="215" t="s">
        <v>2160</v>
      </c>
      <c r="M261" s="215" t="s">
        <v>2169</v>
      </c>
      <c r="N261" s="215" t="s">
        <v>799</v>
      </c>
      <c r="O261" s="180" t="s">
        <v>205</v>
      </c>
      <c r="P261" s="92"/>
      <c r="Q261" s="164" t="s">
        <v>205</v>
      </c>
      <c r="R261" s="92"/>
      <c r="S261" s="164" t="s">
        <v>205</v>
      </c>
      <c r="T261" s="92"/>
      <c r="U261" s="145" t="s">
        <v>205</v>
      </c>
      <c r="V261" s="92"/>
      <c r="W261" s="145" t="s">
        <v>205</v>
      </c>
      <c r="X261" s="92"/>
      <c r="Y261" s="352" t="s">
        <v>205</v>
      </c>
      <c r="Z261" s="142" t="str">
        <f t="shared" si="13"/>
        <v>C</v>
      </c>
      <c r="AA261" s="226" t="str">
        <f t="shared" si="14"/>
        <v>UTILIZOU O PDA CORRETAMENTE</v>
      </c>
      <c r="AB261" s="9" t="s">
        <v>205</v>
      </c>
      <c r="AC261" s="162" t="s">
        <v>6</v>
      </c>
      <c r="AD261" s="150" t="str">
        <f t="shared" si="15"/>
        <v>SÃO PAULO</v>
      </c>
      <c r="AE261" s="95" t="s">
        <v>64</v>
      </c>
    </row>
    <row r="262" spans="1:31" s="55" customFormat="1" ht="30" customHeight="1">
      <c r="A262" s="215" t="s">
        <v>198</v>
      </c>
      <c r="B262" s="215">
        <v>2693129698</v>
      </c>
      <c r="C262" s="215" t="s">
        <v>128</v>
      </c>
      <c r="D262" s="215" t="s">
        <v>64</v>
      </c>
      <c r="E262" s="215" t="s">
        <v>5</v>
      </c>
      <c r="F262" s="215" t="s">
        <v>2170</v>
      </c>
      <c r="G262" s="215">
        <v>70</v>
      </c>
      <c r="H262" s="215"/>
      <c r="I262" s="215" t="s">
        <v>391</v>
      </c>
      <c r="J262" s="215" t="s">
        <v>1908</v>
      </c>
      <c r="K262" s="215"/>
      <c r="L262" s="215" t="s">
        <v>696</v>
      </c>
      <c r="M262" s="215" t="s">
        <v>2171</v>
      </c>
      <c r="N262" s="215" t="s">
        <v>1956</v>
      </c>
      <c r="O262" s="180" t="s">
        <v>205</v>
      </c>
      <c r="P262" s="92"/>
      <c r="Q262" s="164" t="s">
        <v>205</v>
      </c>
      <c r="R262" s="92"/>
      <c r="S262" s="164" t="s">
        <v>205</v>
      </c>
      <c r="T262" s="92"/>
      <c r="U262" s="145" t="s">
        <v>205</v>
      </c>
      <c r="V262" s="92"/>
      <c r="W262" s="145" t="s">
        <v>205</v>
      </c>
      <c r="X262" s="92"/>
      <c r="Y262" s="352" t="s">
        <v>205</v>
      </c>
      <c r="Z262" s="142" t="str">
        <f t="shared" si="13"/>
        <v>C</v>
      </c>
      <c r="AA262" s="226" t="str">
        <f t="shared" si="14"/>
        <v>UTILIZOU O PDA CORRETAMENTE</v>
      </c>
      <c r="AB262" s="9" t="s">
        <v>205</v>
      </c>
      <c r="AC262" s="162" t="s">
        <v>6</v>
      </c>
      <c r="AD262" s="150" t="str">
        <f t="shared" si="15"/>
        <v>SÃO PAULO</v>
      </c>
      <c r="AE262" s="95" t="s">
        <v>64</v>
      </c>
    </row>
    <row r="263" spans="1:31" s="55" customFormat="1" ht="30" customHeight="1">
      <c r="A263" s="215" t="s">
        <v>198</v>
      </c>
      <c r="B263" s="215">
        <v>2693208401</v>
      </c>
      <c r="C263" s="215" t="s">
        <v>128</v>
      </c>
      <c r="D263" s="215" t="s">
        <v>64</v>
      </c>
      <c r="E263" s="215" t="s">
        <v>5</v>
      </c>
      <c r="F263" s="215" t="s">
        <v>2172</v>
      </c>
      <c r="G263" s="215">
        <v>45</v>
      </c>
      <c r="H263" s="215" t="s">
        <v>226</v>
      </c>
      <c r="I263" s="215" t="s">
        <v>1706</v>
      </c>
      <c r="J263" s="215" t="s">
        <v>1898</v>
      </c>
      <c r="K263" s="215"/>
      <c r="L263" s="215" t="s">
        <v>2173</v>
      </c>
      <c r="M263" s="215" t="s">
        <v>2174</v>
      </c>
      <c r="N263" s="215" t="s">
        <v>1950</v>
      </c>
      <c r="O263" s="180" t="s">
        <v>205</v>
      </c>
      <c r="P263" s="92"/>
      <c r="Q263" s="145" t="s">
        <v>206</v>
      </c>
      <c r="R263" s="92"/>
      <c r="S263" s="164" t="s">
        <v>205</v>
      </c>
      <c r="T263" s="92"/>
      <c r="U263" s="145" t="s">
        <v>205</v>
      </c>
      <c r="V263" s="92"/>
      <c r="W263" s="145" t="s">
        <v>205</v>
      </c>
      <c r="X263" s="92"/>
      <c r="Y263" s="352" t="s">
        <v>205</v>
      </c>
      <c r="Z263" s="142" t="str">
        <f t="shared" si="13"/>
        <v>NC</v>
      </c>
      <c r="AA263" s="226" t="str">
        <f t="shared" si="14"/>
        <v>UTILIZOU O PDA CORRETAMENTE. NÃO HÁ FOTOS DE TODAS AS ETAPAS</v>
      </c>
      <c r="AB263" s="9" t="s">
        <v>205</v>
      </c>
      <c r="AC263" s="162" t="s">
        <v>6</v>
      </c>
      <c r="AD263" s="150" t="str">
        <f t="shared" si="15"/>
        <v>SÃO PAULO</v>
      </c>
      <c r="AE263" s="95" t="s">
        <v>64</v>
      </c>
    </row>
    <row r="264" spans="1:31" s="55" customFormat="1" ht="30" customHeight="1">
      <c r="A264" s="215" t="s">
        <v>198</v>
      </c>
      <c r="B264" s="215">
        <v>2620185248</v>
      </c>
      <c r="C264" s="215" t="s">
        <v>128</v>
      </c>
      <c r="D264" s="215" t="s">
        <v>64</v>
      </c>
      <c r="E264" s="215" t="s">
        <v>5</v>
      </c>
      <c r="F264" s="215" t="s">
        <v>2175</v>
      </c>
      <c r="G264" s="215">
        <v>9</v>
      </c>
      <c r="H264" s="215" t="s">
        <v>673</v>
      </c>
      <c r="I264" s="215" t="s">
        <v>394</v>
      </c>
      <c r="J264" s="215" t="s">
        <v>1898</v>
      </c>
      <c r="K264" s="215"/>
      <c r="L264" s="215" t="s">
        <v>2176</v>
      </c>
      <c r="M264" s="215" t="s">
        <v>719</v>
      </c>
      <c r="N264" s="215" t="s">
        <v>1947</v>
      </c>
      <c r="O264" s="180" t="s">
        <v>205</v>
      </c>
      <c r="P264" s="92"/>
      <c r="Q264" s="164" t="s">
        <v>205</v>
      </c>
      <c r="R264" s="92"/>
      <c r="S264" s="164" t="s">
        <v>205</v>
      </c>
      <c r="T264" s="92"/>
      <c r="U264" s="145" t="s">
        <v>205</v>
      </c>
      <c r="V264" s="92"/>
      <c r="W264" s="145" t="s">
        <v>205</v>
      </c>
      <c r="X264" s="92"/>
      <c r="Y264" s="352" t="s">
        <v>205</v>
      </c>
      <c r="Z264" s="142" t="str">
        <f t="shared" si="13"/>
        <v>C</v>
      </c>
      <c r="AA264" s="226" t="str">
        <f t="shared" si="14"/>
        <v>UTILIZOU O PDA CORRETAMENTE</v>
      </c>
      <c r="AB264" s="9" t="s">
        <v>205</v>
      </c>
      <c r="AC264" s="162" t="s">
        <v>6</v>
      </c>
      <c r="AD264" s="150" t="str">
        <f t="shared" si="15"/>
        <v>SÃO PAULO</v>
      </c>
      <c r="AE264" s="95" t="s">
        <v>64</v>
      </c>
    </row>
    <row r="265" spans="1:31" s="55" customFormat="1" ht="30" customHeight="1">
      <c r="A265" s="215" t="s">
        <v>198</v>
      </c>
      <c r="B265" s="215">
        <v>2620186124</v>
      </c>
      <c r="C265" s="215" t="s">
        <v>128</v>
      </c>
      <c r="D265" s="215" t="s">
        <v>64</v>
      </c>
      <c r="E265" s="215" t="s">
        <v>5</v>
      </c>
      <c r="F265" s="215" t="s">
        <v>2177</v>
      </c>
      <c r="G265" s="215">
        <v>55</v>
      </c>
      <c r="H265" s="215" t="s">
        <v>318</v>
      </c>
      <c r="I265" s="215" t="s">
        <v>589</v>
      </c>
      <c r="J265" s="215" t="s">
        <v>1898</v>
      </c>
      <c r="K265" s="215"/>
      <c r="L265" s="215" t="s">
        <v>779</v>
      </c>
      <c r="M265" s="215" t="s">
        <v>2162</v>
      </c>
      <c r="N265" s="215" t="s">
        <v>1947</v>
      </c>
      <c r="O265" s="180" t="s">
        <v>205</v>
      </c>
      <c r="P265" s="92"/>
      <c r="Q265" s="164" t="s">
        <v>205</v>
      </c>
      <c r="R265" s="92"/>
      <c r="S265" s="164" t="s">
        <v>205</v>
      </c>
      <c r="T265" s="92"/>
      <c r="U265" s="145" t="s">
        <v>205</v>
      </c>
      <c r="V265" s="92"/>
      <c r="W265" s="145" t="s">
        <v>205</v>
      </c>
      <c r="X265" s="92"/>
      <c r="Y265" s="352" t="s">
        <v>205</v>
      </c>
      <c r="Z265" s="142" t="str">
        <f t="shared" si="13"/>
        <v>C</v>
      </c>
      <c r="AA265" s="226" t="str">
        <f t="shared" si="14"/>
        <v>UTILIZOU O PDA CORRETAMENTE</v>
      </c>
      <c r="AB265" s="9" t="s">
        <v>205</v>
      </c>
      <c r="AC265" s="162" t="s">
        <v>6</v>
      </c>
      <c r="AD265" s="150" t="str">
        <f t="shared" si="15"/>
        <v>SÃO PAULO</v>
      </c>
      <c r="AE265" s="95" t="s">
        <v>64</v>
      </c>
    </row>
    <row r="266" spans="1:31" s="55" customFormat="1" ht="30" customHeight="1">
      <c r="A266" s="215" t="s">
        <v>198</v>
      </c>
      <c r="B266" s="215">
        <v>2620188753</v>
      </c>
      <c r="C266" s="215" t="s">
        <v>129</v>
      </c>
      <c r="D266" s="215" t="s">
        <v>125</v>
      </c>
      <c r="E266" s="215" t="s">
        <v>5</v>
      </c>
      <c r="F266" s="215" t="s">
        <v>2178</v>
      </c>
      <c r="G266" s="215">
        <v>134</v>
      </c>
      <c r="H266" s="215" t="s">
        <v>2179</v>
      </c>
      <c r="I266" s="215" t="s">
        <v>274</v>
      </c>
      <c r="J266" s="215" t="s">
        <v>1903</v>
      </c>
      <c r="K266" s="215" t="s">
        <v>200</v>
      </c>
      <c r="L266" s="215" t="s">
        <v>2180</v>
      </c>
      <c r="M266" s="215" t="s">
        <v>2181</v>
      </c>
      <c r="N266" s="215" t="s">
        <v>852</v>
      </c>
      <c r="O266" s="180" t="s">
        <v>205</v>
      </c>
      <c r="P266" s="92"/>
      <c r="Q266" s="164" t="s">
        <v>205</v>
      </c>
      <c r="R266" s="92"/>
      <c r="S266" s="164" t="s">
        <v>205</v>
      </c>
      <c r="T266" s="92"/>
      <c r="U266" s="145" t="s">
        <v>205</v>
      </c>
      <c r="V266" s="92"/>
      <c r="W266" s="145" t="s">
        <v>205</v>
      </c>
      <c r="X266" s="92"/>
      <c r="Y266" s="352" t="s">
        <v>205</v>
      </c>
      <c r="Z266" s="142" t="str">
        <f t="shared" si="13"/>
        <v>C</v>
      </c>
      <c r="AA266" s="226" t="str">
        <f t="shared" si="14"/>
        <v>UTILIZOU O PDA CORRETAMENTE</v>
      </c>
      <c r="AB266" s="9" t="s">
        <v>205</v>
      </c>
      <c r="AC266" s="162" t="s">
        <v>6</v>
      </c>
      <c r="AD266" s="150" t="str">
        <f t="shared" si="15"/>
        <v>SÃO PAULO</v>
      </c>
      <c r="AE266" s="95" t="s">
        <v>64</v>
      </c>
    </row>
    <row r="267" spans="1:31" s="55" customFormat="1" ht="30" customHeight="1">
      <c r="A267" s="215" t="s">
        <v>198</v>
      </c>
      <c r="B267" s="215">
        <v>2620192099</v>
      </c>
      <c r="C267" s="215" t="s">
        <v>132</v>
      </c>
      <c r="D267" s="215" t="s">
        <v>64</v>
      </c>
      <c r="E267" s="215" t="s">
        <v>5</v>
      </c>
      <c r="F267" s="215" t="s">
        <v>2182</v>
      </c>
      <c r="G267" s="215">
        <v>186</v>
      </c>
      <c r="H267" s="215" t="s">
        <v>226</v>
      </c>
      <c r="I267" s="215" t="s">
        <v>2183</v>
      </c>
      <c r="J267" s="215" t="s">
        <v>1908</v>
      </c>
      <c r="K267" s="215"/>
      <c r="L267" s="215" t="s">
        <v>2180</v>
      </c>
      <c r="M267" s="215" t="s">
        <v>1617</v>
      </c>
      <c r="N267" s="215" t="s">
        <v>799</v>
      </c>
      <c r="O267" s="180" t="s">
        <v>205</v>
      </c>
      <c r="P267" s="92"/>
      <c r="Q267" s="164" t="s">
        <v>205</v>
      </c>
      <c r="R267" s="92"/>
      <c r="S267" s="164" t="s">
        <v>205</v>
      </c>
      <c r="T267" s="92"/>
      <c r="U267" s="145" t="s">
        <v>205</v>
      </c>
      <c r="V267" s="92"/>
      <c r="W267" s="145" t="s">
        <v>205</v>
      </c>
      <c r="X267" s="92"/>
      <c r="Y267" s="352" t="s">
        <v>205</v>
      </c>
      <c r="Z267" s="142" t="str">
        <f t="shared" si="13"/>
        <v>C</v>
      </c>
      <c r="AA267" s="226" t="str">
        <f t="shared" si="14"/>
        <v>UTILIZOU O PDA CORRETAMENTE</v>
      </c>
      <c r="AB267" s="9" t="s">
        <v>205</v>
      </c>
      <c r="AC267" s="162" t="s">
        <v>6</v>
      </c>
      <c r="AD267" s="150" t="str">
        <f t="shared" si="15"/>
        <v>SÃO PAULO</v>
      </c>
      <c r="AE267" s="95" t="s">
        <v>64</v>
      </c>
    </row>
    <row r="268" spans="1:31" s="55" customFormat="1" ht="30" customHeight="1">
      <c r="A268" s="215" t="s">
        <v>198</v>
      </c>
      <c r="B268" s="215">
        <v>2693218103</v>
      </c>
      <c r="C268" s="215" t="s">
        <v>132</v>
      </c>
      <c r="D268" s="215" t="s">
        <v>64</v>
      </c>
      <c r="E268" s="215" t="s">
        <v>5</v>
      </c>
      <c r="F268" s="215" t="s">
        <v>1316</v>
      </c>
      <c r="G268" s="215">
        <v>391</v>
      </c>
      <c r="H268" s="215" t="s">
        <v>200</v>
      </c>
      <c r="I268" s="215" t="s">
        <v>1317</v>
      </c>
      <c r="J268" s="215" t="s">
        <v>1898</v>
      </c>
      <c r="K268" s="215" t="s">
        <v>200</v>
      </c>
      <c r="L268" s="215" t="s">
        <v>2184</v>
      </c>
      <c r="M268" s="215" t="s">
        <v>2185</v>
      </c>
      <c r="N268" s="215" t="s">
        <v>900</v>
      </c>
      <c r="O268" s="180" t="s">
        <v>205</v>
      </c>
      <c r="P268" s="92"/>
      <c r="Q268" s="164" t="s">
        <v>205</v>
      </c>
      <c r="R268" s="92"/>
      <c r="S268" s="164" t="s">
        <v>205</v>
      </c>
      <c r="T268" s="92"/>
      <c r="U268" s="145" t="s">
        <v>205</v>
      </c>
      <c r="V268" s="92"/>
      <c r="W268" s="145" t="s">
        <v>205</v>
      </c>
      <c r="X268" s="92"/>
      <c r="Y268" s="352" t="s">
        <v>205</v>
      </c>
      <c r="Z268" s="142" t="str">
        <f t="shared" si="13"/>
        <v>C</v>
      </c>
      <c r="AA268" s="226" t="str">
        <f t="shared" si="14"/>
        <v>UTILIZOU O PDA CORRETAMENTE</v>
      </c>
      <c r="AB268" s="9" t="s">
        <v>205</v>
      </c>
      <c r="AC268" s="162" t="s">
        <v>6</v>
      </c>
      <c r="AD268" s="150" t="str">
        <f t="shared" si="15"/>
        <v>SÃO PAULO</v>
      </c>
      <c r="AE268" s="95" t="s">
        <v>64</v>
      </c>
    </row>
    <row r="269" spans="1:31" s="55" customFormat="1" ht="30" customHeight="1">
      <c r="A269" s="215" t="s">
        <v>198</v>
      </c>
      <c r="B269" s="215">
        <v>2693221920</v>
      </c>
      <c r="C269" s="215" t="s">
        <v>128</v>
      </c>
      <c r="D269" s="215" t="s">
        <v>64</v>
      </c>
      <c r="E269" s="215" t="s">
        <v>5</v>
      </c>
      <c r="F269" s="215" t="s">
        <v>2186</v>
      </c>
      <c r="G269" s="215">
        <v>99</v>
      </c>
      <c r="H269" s="215" t="s">
        <v>318</v>
      </c>
      <c r="I269" s="215" t="s">
        <v>1876</v>
      </c>
      <c r="J269" s="215" t="s">
        <v>1898</v>
      </c>
      <c r="K269" s="215"/>
      <c r="L269" s="215" t="s">
        <v>2187</v>
      </c>
      <c r="M269" s="215" t="s">
        <v>764</v>
      </c>
      <c r="N269" s="215" t="s">
        <v>1919</v>
      </c>
      <c r="O269" s="180" t="s">
        <v>205</v>
      </c>
      <c r="P269" s="92"/>
      <c r="Q269" s="164" t="s">
        <v>205</v>
      </c>
      <c r="R269" s="92"/>
      <c r="S269" s="164" t="s">
        <v>205</v>
      </c>
      <c r="T269" s="92"/>
      <c r="U269" s="145" t="s">
        <v>205</v>
      </c>
      <c r="V269" s="92"/>
      <c r="W269" s="145" t="s">
        <v>205</v>
      </c>
      <c r="X269" s="92"/>
      <c r="Y269" s="352" t="s">
        <v>205</v>
      </c>
      <c r="Z269" s="142" t="str">
        <f t="shared" si="13"/>
        <v>C</v>
      </c>
      <c r="AA269" s="226" t="str">
        <f t="shared" si="14"/>
        <v>UTILIZOU O PDA CORRETAMENTE</v>
      </c>
      <c r="AB269" s="9" t="s">
        <v>205</v>
      </c>
      <c r="AC269" s="162" t="s">
        <v>6</v>
      </c>
      <c r="AD269" s="150" t="str">
        <f t="shared" si="15"/>
        <v>SÃO PAULO</v>
      </c>
      <c r="AE269" s="95" t="s">
        <v>64</v>
      </c>
    </row>
    <row r="270" spans="1:31" s="55" customFormat="1" ht="30" customHeight="1">
      <c r="A270" s="215" t="s">
        <v>198</v>
      </c>
      <c r="B270" s="215">
        <v>2693223194</v>
      </c>
      <c r="C270" s="215" t="s">
        <v>128</v>
      </c>
      <c r="D270" s="215" t="s">
        <v>64</v>
      </c>
      <c r="E270" s="215" t="s">
        <v>5</v>
      </c>
      <c r="F270" s="215" t="s">
        <v>2188</v>
      </c>
      <c r="G270" s="215">
        <v>293</v>
      </c>
      <c r="H270" s="215" t="s">
        <v>200</v>
      </c>
      <c r="I270" s="215" t="s">
        <v>289</v>
      </c>
      <c r="J270" s="215" t="s">
        <v>1898</v>
      </c>
      <c r="K270" s="215" t="s">
        <v>200</v>
      </c>
      <c r="L270" s="215" t="s">
        <v>2189</v>
      </c>
      <c r="M270" s="215" t="s">
        <v>2190</v>
      </c>
      <c r="N270" s="215" t="s">
        <v>852</v>
      </c>
      <c r="O270" s="180" t="s">
        <v>205</v>
      </c>
      <c r="P270" s="92"/>
      <c r="Q270" s="164" t="s">
        <v>205</v>
      </c>
      <c r="R270" s="92"/>
      <c r="S270" s="164" t="s">
        <v>205</v>
      </c>
      <c r="T270" s="92"/>
      <c r="U270" s="145" t="s">
        <v>205</v>
      </c>
      <c r="V270" s="92"/>
      <c r="W270" s="145" t="s">
        <v>205</v>
      </c>
      <c r="X270" s="92"/>
      <c r="Y270" s="352" t="s">
        <v>205</v>
      </c>
      <c r="Z270" s="142" t="str">
        <f t="shared" si="13"/>
        <v>C</v>
      </c>
      <c r="AA270" s="226" t="str">
        <f t="shared" si="14"/>
        <v>UTILIZOU O PDA CORRETAMENTE</v>
      </c>
      <c r="AB270" s="9" t="s">
        <v>205</v>
      </c>
      <c r="AC270" s="162" t="s">
        <v>6</v>
      </c>
      <c r="AD270" s="150" t="str">
        <f t="shared" si="15"/>
        <v>SÃO PAULO</v>
      </c>
      <c r="AE270" s="95" t="s">
        <v>64</v>
      </c>
    </row>
    <row r="271" spans="1:31" s="268" customFormat="1" ht="30" customHeight="1">
      <c r="A271" s="265" t="s">
        <v>198</v>
      </c>
      <c r="B271" s="265">
        <v>2620204920</v>
      </c>
      <c r="C271" s="265" t="s">
        <v>128</v>
      </c>
      <c r="D271" s="265" t="s">
        <v>64</v>
      </c>
      <c r="E271" s="265" t="s">
        <v>5</v>
      </c>
      <c r="F271" s="265" t="s">
        <v>1979</v>
      </c>
      <c r="G271" s="265">
        <v>454</v>
      </c>
      <c r="H271" s="265"/>
      <c r="I271" s="265" t="s">
        <v>914</v>
      </c>
      <c r="J271" s="265" t="s">
        <v>1908</v>
      </c>
      <c r="K271" s="265"/>
      <c r="L271" s="265" t="s">
        <v>2181</v>
      </c>
      <c r="M271" s="265" t="s">
        <v>2191</v>
      </c>
      <c r="N271" s="265" t="s">
        <v>1956</v>
      </c>
      <c r="O271" s="180" t="s">
        <v>205</v>
      </c>
      <c r="P271" s="266"/>
      <c r="Q271" s="267" t="s">
        <v>206</v>
      </c>
      <c r="R271" s="266"/>
      <c r="S271" s="164" t="s">
        <v>205</v>
      </c>
      <c r="T271" s="266"/>
      <c r="U271" s="267" t="s">
        <v>205</v>
      </c>
      <c r="V271" s="266"/>
      <c r="W271" s="267" t="s">
        <v>205</v>
      </c>
      <c r="X271" s="266"/>
      <c r="Y271" s="355" t="s">
        <v>205</v>
      </c>
      <c r="Z271" s="142" t="str">
        <f t="shared" si="13"/>
        <v>NC</v>
      </c>
      <c r="AA271" s="226" t="str">
        <f t="shared" si="14"/>
        <v>UTILIZOU O PDA CORRETAMENTE. NÃO HÁ FOTOS DE TODAS AS ETAPAS</v>
      </c>
      <c r="AB271" s="357" t="s">
        <v>205</v>
      </c>
      <c r="AC271" s="162" t="s">
        <v>6</v>
      </c>
      <c r="AD271" s="150" t="str">
        <f t="shared" si="15"/>
        <v>SÃO PAULO</v>
      </c>
      <c r="AE271" s="95" t="s">
        <v>64</v>
      </c>
    </row>
    <row r="272" spans="1:31" s="55" customFormat="1" ht="30" customHeight="1">
      <c r="A272" s="215" t="s">
        <v>198</v>
      </c>
      <c r="B272" s="215">
        <v>2620196144</v>
      </c>
      <c r="C272" s="215" t="s">
        <v>128</v>
      </c>
      <c r="D272" s="215" t="s">
        <v>64</v>
      </c>
      <c r="E272" s="215" t="s">
        <v>5</v>
      </c>
      <c r="F272" s="215" t="s">
        <v>940</v>
      </c>
      <c r="G272" s="215">
        <v>4486</v>
      </c>
      <c r="H272" s="215" t="s">
        <v>226</v>
      </c>
      <c r="I272" s="215" t="s">
        <v>1173</v>
      </c>
      <c r="J272" s="215" t="s">
        <v>1898</v>
      </c>
      <c r="K272" s="215" t="s">
        <v>2192</v>
      </c>
      <c r="L272" s="215" t="s">
        <v>2193</v>
      </c>
      <c r="M272" s="215" t="s">
        <v>2194</v>
      </c>
      <c r="N272" s="215" t="s">
        <v>1950</v>
      </c>
      <c r="O272" s="180" t="s">
        <v>205</v>
      </c>
      <c r="P272" s="92"/>
      <c r="Q272" s="164" t="s">
        <v>205</v>
      </c>
      <c r="R272" s="92"/>
      <c r="S272" s="164" t="s">
        <v>205</v>
      </c>
      <c r="T272" s="92"/>
      <c r="U272" s="145" t="s">
        <v>205</v>
      </c>
      <c r="V272" s="92"/>
      <c r="W272" s="145" t="s">
        <v>205</v>
      </c>
      <c r="X272" s="92"/>
      <c r="Y272" s="352" t="s">
        <v>205</v>
      </c>
      <c r="Z272" s="142" t="str">
        <f t="shared" si="13"/>
        <v>C</v>
      </c>
      <c r="AA272" s="226" t="str">
        <f t="shared" si="14"/>
        <v>UTILIZOU O PDA CORRETAMENTE</v>
      </c>
      <c r="AB272" s="9" t="s">
        <v>205</v>
      </c>
      <c r="AC272" s="162" t="s">
        <v>6</v>
      </c>
      <c r="AD272" s="150" t="str">
        <f t="shared" si="15"/>
        <v>SÃO PAULO</v>
      </c>
      <c r="AE272" s="95" t="s">
        <v>64</v>
      </c>
    </row>
    <row r="273" spans="1:31" s="55" customFormat="1" ht="30" customHeight="1">
      <c r="A273" s="215" t="s">
        <v>198</v>
      </c>
      <c r="B273" s="215">
        <v>2620204716</v>
      </c>
      <c r="C273" s="215" t="s">
        <v>131</v>
      </c>
      <c r="D273" s="215" t="s">
        <v>64</v>
      </c>
      <c r="E273" s="215" t="s">
        <v>5</v>
      </c>
      <c r="F273" s="215" t="s">
        <v>1864</v>
      </c>
      <c r="G273" s="215">
        <v>28</v>
      </c>
      <c r="H273" s="215" t="s">
        <v>318</v>
      </c>
      <c r="I273" s="215" t="s">
        <v>2195</v>
      </c>
      <c r="J273" s="215" t="s">
        <v>1908</v>
      </c>
      <c r="K273" s="215"/>
      <c r="L273" s="215" t="s">
        <v>2196</v>
      </c>
      <c r="M273" s="215" t="s">
        <v>2197</v>
      </c>
      <c r="N273" s="215" t="s">
        <v>1956</v>
      </c>
      <c r="O273" s="180" t="s">
        <v>205</v>
      </c>
      <c r="P273" s="92"/>
      <c r="Q273" s="164" t="s">
        <v>205</v>
      </c>
      <c r="R273" s="92"/>
      <c r="S273" s="164" t="s">
        <v>205</v>
      </c>
      <c r="T273" s="92"/>
      <c r="U273" s="145" t="s">
        <v>205</v>
      </c>
      <c r="V273" s="92"/>
      <c r="W273" s="145" t="s">
        <v>206</v>
      </c>
      <c r="X273" s="92"/>
      <c r="Y273" s="352" t="s">
        <v>205</v>
      </c>
      <c r="Z273" s="142" t="str">
        <f t="shared" si="13"/>
        <v>NC</v>
      </c>
      <c r="AA273" s="226" t="str">
        <f t="shared" si="14"/>
        <v>UTILIZOU O PDA CORRETAMENTE. NÃO HÁ FOTOS DE TODAS AS ETAPAS</v>
      </c>
      <c r="AB273" s="9" t="s">
        <v>205</v>
      </c>
      <c r="AC273" s="162" t="s">
        <v>6</v>
      </c>
      <c r="AD273" s="150" t="str">
        <f t="shared" si="15"/>
        <v>SÃO PAULO</v>
      </c>
      <c r="AE273" s="95" t="s">
        <v>64</v>
      </c>
    </row>
    <row r="274" spans="1:31" s="55" customFormat="1" ht="30" customHeight="1">
      <c r="A274" s="215" t="s">
        <v>198</v>
      </c>
      <c r="B274" s="215">
        <v>2693230384</v>
      </c>
      <c r="C274" s="215" t="s">
        <v>131</v>
      </c>
      <c r="D274" s="215" t="s">
        <v>64</v>
      </c>
      <c r="E274" s="215" t="s">
        <v>5</v>
      </c>
      <c r="F274" s="215" t="s">
        <v>513</v>
      </c>
      <c r="G274" s="215">
        <v>2046</v>
      </c>
      <c r="H274" s="215" t="s">
        <v>409</v>
      </c>
      <c r="I274" s="215" t="s">
        <v>251</v>
      </c>
      <c r="J274" s="215" t="s">
        <v>1898</v>
      </c>
      <c r="K274" s="215" t="s">
        <v>200</v>
      </c>
      <c r="L274" s="215" t="s">
        <v>663</v>
      </c>
      <c r="M274" s="215" t="s">
        <v>2198</v>
      </c>
      <c r="N274" s="215" t="s">
        <v>590</v>
      </c>
      <c r="O274" s="180" t="s">
        <v>205</v>
      </c>
      <c r="P274" s="92"/>
      <c r="Q274" s="164" t="s">
        <v>205</v>
      </c>
      <c r="R274" s="92"/>
      <c r="S274" s="164" t="s">
        <v>205</v>
      </c>
      <c r="T274" s="92"/>
      <c r="U274" s="145" t="s">
        <v>205</v>
      </c>
      <c r="V274" s="92"/>
      <c r="W274" s="145" t="s">
        <v>205</v>
      </c>
      <c r="X274" s="92"/>
      <c r="Y274" s="352" t="s">
        <v>205</v>
      </c>
      <c r="Z274" s="142" t="str">
        <f t="shared" si="13"/>
        <v>C</v>
      </c>
      <c r="AA274" s="226" t="str">
        <f t="shared" si="14"/>
        <v>UTILIZOU O PDA CORRETAMENTE</v>
      </c>
      <c r="AB274" s="9" t="s">
        <v>205</v>
      </c>
      <c r="AC274" s="162" t="s">
        <v>6</v>
      </c>
      <c r="AD274" s="150" t="str">
        <f t="shared" si="15"/>
        <v>SÃO PAULO</v>
      </c>
      <c r="AE274" s="95" t="s">
        <v>64</v>
      </c>
    </row>
    <row r="275" spans="1:31" s="55" customFormat="1" ht="30" customHeight="1">
      <c r="A275" s="215" t="s">
        <v>198</v>
      </c>
      <c r="B275" s="215">
        <v>2620206730</v>
      </c>
      <c r="C275" s="215" t="s">
        <v>128</v>
      </c>
      <c r="D275" s="215" t="s">
        <v>64</v>
      </c>
      <c r="E275" s="215" t="s">
        <v>5</v>
      </c>
      <c r="F275" s="215" t="s">
        <v>2199</v>
      </c>
      <c r="G275" s="215">
        <v>16</v>
      </c>
      <c r="H275" s="215" t="s">
        <v>318</v>
      </c>
      <c r="I275" s="215" t="s">
        <v>577</v>
      </c>
      <c r="J275" s="215" t="s">
        <v>1898</v>
      </c>
      <c r="K275" s="215"/>
      <c r="L275" s="215" t="s">
        <v>2200</v>
      </c>
      <c r="M275" s="215" t="s">
        <v>1583</v>
      </c>
      <c r="N275" s="215" t="s">
        <v>900</v>
      </c>
      <c r="O275" s="180" t="s">
        <v>205</v>
      </c>
      <c r="P275" s="92"/>
      <c r="Q275" s="164" t="s">
        <v>205</v>
      </c>
      <c r="R275" s="92"/>
      <c r="S275" s="164" t="s">
        <v>205</v>
      </c>
      <c r="T275" s="92"/>
      <c r="U275" s="145" t="s">
        <v>205</v>
      </c>
      <c r="V275" s="92"/>
      <c r="W275" s="145" t="s">
        <v>205</v>
      </c>
      <c r="X275" s="92"/>
      <c r="Y275" s="352" t="s">
        <v>205</v>
      </c>
      <c r="Z275" s="142" t="str">
        <f t="shared" si="13"/>
        <v>C</v>
      </c>
      <c r="AA275" s="226" t="str">
        <f t="shared" si="14"/>
        <v>UTILIZOU O PDA CORRETAMENTE</v>
      </c>
      <c r="AB275" s="9" t="s">
        <v>205</v>
      </c>
      <c r="AC275" s="162" t="s">
        <v>6</v>
      </c>
      <c r="AD275" s="150" t="str">
        <f t="shared" si="15"/>
        <v>SÃO PAULO</v>
      </c>
      <c r="AE275" s="95" t="s">
        <v>64</v>
      </c>
    </row>
    <row r="276" spans="1:31" s="55" customFormat="1" ht="30" customHeight="1">
      <c r="A276" s="215" t="s">
        <v>198</v>
      </c>
      <c r="B276" s="215">
        <v>2620208628</v>
      </c>
      <c r="C276" s="215" t="s">
        <v>127</v>
      </c>
      <c r="D276" s="215" t="s">
        <v>64</v>
      </c>
      <c r="E276" s="215" t="s">
        <v>5</v>
      </c>
      <c r="F276" s="215" t="s">
        <v>940</v>
      </c>
      <c r="G276" s="215">
        <v>3465</v>
      </c>
      <c r="H276" s="215" t="s">
        <v>200</v>
      </c>
      <c r="I276" s="215" t="s">
        <v>1173</v>
      </c>
      <c r="J276" s="215" t="s">
        <v>1898</v>
      </c>
      <c r="K276" s="215" t="s">
        <v>200</v>
      </c>
      <c r="L276" s="215" t="s">
        <v>2201</v>
      </c>
      <c r="M276" s="215" t="s">
        <v>2181</v>
      </c>
      <c r="N276" s="215" t="s">
        <v>1950</v>
      </c>
      <c r="O276" s="180" t="s">
        <v>205</v>
      </c>
      <c r="P276" s="92"/>
      <c r="Q276" s="164" t="s">
        <v>205</v>
      </c>
      <c r="R276" s="92"/>
      <c r="S276" s="164" t="s">
        <v>205</v>
      </c>
      <c r="T276" s="92"/>
      <c r="U276" s="145" t="s">
        <v>205</v>
      </c>
      <c r="V276" s="92"/>
      <c r="W276" s="145" t="s">
        <v>205</v>
      </c>
      <c r="X276" s="92"/>
      <c r="Y276" s="352" t="s">
        <v>205</v>
      </c>
      <c r="Z276" s="142" t="str">
        <f t="shared" si="13"/>
        <v>C</v>
      </c>
      <c r="AA276" s="226" t="str">
        <f t="shared" si="14"/>
        <v>UTILIZOU O PDA CORRETAMENTE</v>
      </c>
      <c r="AB276" s="9" t="s">
        <v>205</v>
      </c>
      <c r="AC276" s="162" t="s">
        <v>6</v>
      </c>
      <c r="AD276" s="150" t="str">
        <f t="shared" si="15"/>
        <v>SÃO PAULO</v>
      </c>
      <c r="AE276" s="95" t="s">
        <v>64</v>
      </c>
    </row>
    <row r="277" spans="1:31" s="55" customFormat="1" ht="30" customHeight="1">
      <c r="A277" s="215" t="s">
        <v>198</v>
      </c>
      <c r="B277" s="215">
        <v>2693165991</v>
      </c>
      <c r="C277" s="215" t="s">
        <v>130</v>
      </c>
      <c r="D277" s="215" t="s">
        <v>125</v>
      </c>
      <c r="E277" s="215" t="s">
        <v>5</v>
      </c>
      <c r="F277" s="215" t="s">
        <v>311</v>
      </c>
      <c r="G277" s="215">
        <v>71</v>
      </c>
      <c r="H277" s="215" t="s">
        <v>318</v>
      </c>
      <c r="I277" s="215" t="s">
        <v>1207</v>
      </c>
      <c r="J277" s="215" t="s">
        <v>1934</v>
      </c>
      <c r="K277" s="215"/>
      <c r="L277" s="215" t="s">
        <v>2202</v>
      </c>
      <c r="M277" s="215" t="s">
        <v>2203</v>
      </c>
      <c r="N277" s="215" t="s">
        <v>799</v>
      </c>
      <c r="O277" s="180" t="s">
        <v>205</v>
      </c>
      <c r="P277" s="92"/>
      <c r="Q277" s="164" t="s">
        <v>205</v>
      </c>
      <c r="R277" s="92"/>
      <c r="S277" s="164" t="s">
        <v>205</v>
      </c>
      <c r="T277" s="92"/>
      <c r="U277" s="145" t="s">
        <v>205</v>
      </c>
      <c r="V277" s="92"/>
      <c r="W277" s="145" t="s">
        <v>205</v>
      </c>
      <c r="X277" s="92"/>
      <c r="Y277" s="352" t="s">
        <v>205</v>
      </c>
      <c r="Z277" s="142" t="str">
        <f t="shared" si="13"/>
        <v>C</v>
      </c>
      <c r="AA277" s="226" t="str">
        <f t="shared" si="14"/>
        <v>UTILIZOU O PDA CORRETAMENTE</v>
      </c>
      <c r="AB277" s="9" t="s">
        <v>205</v>
      </c>
      <c r="AC277" s="162" t="s">
        <v>6</v>
      </c>
      <c r="AD277" s="150" t="str">
        <f t="shared" si="15"/>
        <v>SÃO PAULO</v>
      </c>
      <c r="AE277" s="95" t="s">
        <v>64</v>
      </c>
    </row>
    <row r="278" spans="1:31" s="55" customFormat="1" ht="30" customHeight="1">
      <c r="A278" s="215" t="s">
        <v>198</v>
      </c>
      <c r="B278" s="215">
        <v>2693123582</v>
      </c>
      <c r="C278" s="215" t="s">
        <v>131</v>
      </c>
      <c r="D278" s="215" t="s">
        <v>64</v>
      </c>
      <c r="E278" s="215" t="s">
        <v>5</v>
      </c>
      <c r="F278" s="215" t="s">
        <v>765</v>
      </c>
      <c r="G278" s="215">
        <v>40</v>
      </c>
      <c r="H278" s="215" t="s">
        <v>200</v>
      </c>
      <c r="I278" s="215" t="s">
        <v>593</v>
      </c>
      <c r="J278" s="215" t="s">
        <v>1908</v>
      </c>
      <c r="K278" s="215" t="s">
        <v>200</v>
      </c>
      <c r="L278" s="215" t="s">
        <v>2204</v>
      </c>
      <c r="M278" s="215" t="s">
        <v>2205</v>
      </c>
      <c r="N278" s="215" t="s">
        <v>248</v>
      </c>
      <c r="O278" s="180" t="s">
        <v>205</v>
      </c>
      <c r="P278" s="92"/>
      <c r="Q278" s="164" t="s">
        <v>205</v>
      </c>
      <c r="R278" s="92"/>
      <c r="S278" s="164" t="s">
        <v>205</v>
      </c>
      <c r="T278" s="92"/>
      <c r="U278" s="145" t="s">
        <v>205</v>
      </c>
      <c r="V278" s="92"/>
      <c r="W278" s="145" t="s">
        <v>205</v>
      </c>
      <c r="X278" s="92"/>
      <c r="Y278" s="352" t="s">
        <v>205</v>
      </c>
      <c r="Z278" s="142" t="str">
        <f t="shared" si="13"/>
        <v>C</v>
      </c>
      <c r="AA278" s="226" t="str">
        <f t="shared" si="14"/>
        <v>UTILIZOU O PDA CORRETAMENTE</v>
      </c>
      <c r="AB278" s="9" t="s">
        <v>205</v>
      </c>
      <c r="AC278" s="162" t="s">
        <v>6</v>
      </c>
      <c r="AD278" s="150" t="str">
        <f t="shared" si="15"/>
        <v>SÃO PAULO</v>
      </c>
      <c r="AE278" s="95" t="s">
        <v>64</v>
      </c>
    </row>
    <row r="279" spans="1:31" s="55" customFormat="1" ht="30" customHeight="1">
      <c r="A279" s="228" t="s">
        <v>198</v>
      </c>
      <c r="B279" s="228">
        <v>2620097658</v>
      </c>
      <c r="C279" s="228" t="s">
        <v>131</v>
      </c>
      <c r="D279" s="228" t="s">
        <v>64</v>
      </c>
      <c r="E279" s="228" t="s">
        <v>5</v>
      </c>
      <c r="F279" s="228" t="s">
        <v>2206</v>
      </c>
      <c r="G279" s="228">
        <v>1</v>
      </c>
      <c r="H279" s="228"/>
      <c r="I279" s="228" t="s">
        <v>1369</v>
      </c>
      <c r="J279" s="228" t="s">
        <v>1908</v>
      </c>
      <c r="K279" s="228" t="s">
        <v>2207</v>
      </c>
      <c r="L279" s="228" t="s">
        <v>750</v>
      </c>
      <c r="M279" s="228" t="s">
        <v>751</v>
      </c>
      <c r="N279" s="228" t="s">
        <v>341</v>
      </c>
      <c r="O279" s="180" t="s">
        <v>205</v>
      </c>
      <c r="P279" s="92"/>
      <c r="Q279" s="164" t="s">
        <v>205</v>
      </c>
      <c r="R279" s="92"/>
      <c r="S279" s="145" t="s">
        <v>62</v>
      </c>
      <c r="T279" s="92"/>
      <c r="U279" s="145" t="s">
        <v>62</v>
      </c>
      <c r="V279" s="92"/>
      <c r="W279" s="145" t="s">
        <v>62</v>
      </c>
      <c r="X279" s="92" t="s">
        <v>2208</v>
      </c>
      <c r="Y279" s="352" t="s">
        <v>205</v>
      </c>
      <c r="Z279" s="142" t="str">
        <f t="shared" si="13"/>
        <v>C</v>
      </c>
      <c r="AA279" s="226" t="str">
        <f t="shared" si="14"/>
        <v>UTILIZOU O PDA CORRETAMENTE</v>
      </c>
      <c r="AB279" s="9"/>
      <c r="AC279" s="162" t="s">
        <v>6</v>
      </c>
      <c r="AD279" s="150" t="str">
        <f t="shared" si="15"/>
        <v>SÃO PAULO</v>
      </c>
      <c r="AE279" s="95" t="s">
        <v>64</v>
      </c>
    </row>
    <row r="280" spans="1:31" s="55" customFormat="1" ht="30" customHeight="1">
      <c r="A280" s="215" t="s">
        <v>198</v>
      </c>
      <c r="B280" s="215">
        <v>2620291733</v>
      </c>
      <c r="C280" s="215" t="s">
        <v>128</v>
      </c>
      <c r="D280" s="215" t="s">
        <v>64</v>
      </c>
      <c r="E280" s="215" t="s">
        <v>5</v>
      </c>
      <c r="F280" s="215" t="s">
        <v>940</v>
      </c>
      <c r="G280" s="215">
        <v>4389</v>
      </c>
      <c r="H280" s="215" t="s">
        <v>318</v>
      </c>
      <c r="I280" s="215" t="s">
        <v>289</v>
      </c>
      <c r="J280" s="215" t="s">
        <v>1898</v>
      </c>
      <c r="K280" s="215" t="s">
        <v>200</v>
      </c>
      <c r="L280" s="215" t="s">
        <v>2209</v>
      </c>
      <c r="M280" s="215" t="s">
        <v>2210</v>
      </c>
      <c r="N280" s="215" t="s">
        <v>1950</v>
      </c>
      <c r="O280" s="180" t="s">
        <v>205</v>
      </c>
      <c r="P280" s="92"/>
      <c r="Q280" s="164" t="s">
        <v>205</v>
      </c>
      <c r="R280" s="92"/>
      <c r="S280" s="145" t="s">
        <v>206</v>
      </c>
      <c r="T280" s="92"/>
      <c r="U280" s="145" t="s">
        <v>206</v>
      </c>
      <c r="V280" s="92"/>
      <c r="W280" s="145" t="s">
        <v>206</v>
      </c>
      <c r="X280" s="92"/>
      <c r="Y280" s="352" t="s">
        <v>239</v>
      </c>
      <c r="Z280" s="142" t="str">
        <f t="shared" si="13"/>
        <v>NC</v>
      </c>
      <c r="AA280" s="226" t="str">
        <f t="shared" si="14"/>
        <v>NÃO UTILIZOU O PDA</v>
      </c>
      <c r="AB280" s="9" t="s">
        <v>205</v>
      </c>
      <c r="AC280" s="162" t="s">
        <v>6</v>
      </c>
      <c r="AD280" s="150" t="str">
        <f t="shared" si="15"/>
        <v>SÃO PAULO</v>
      </c>
      <c r="AE280" s="95" t="s">
        <v>64</v>
      </c>
    </row>
    <row r="281" spans="1:31" s="55" customFormat="1" ht="30" customHeight="1">
      <c r="A281" s="215" t="s">
        <v>198</v>
      </c>
      <c r="B281" s="215">
        <v>2620259044</v>
      </c>
      <c r="C281" s="215" t="s">
        <v>128</v>
      </c>
      <c r="D281" s="215" t="s">
        <v>64</v>
      </c>
      <c r="E281" s="215" t="s">
        <v>5</v>
      </c>
      <c r="F281" s="215" t="s">
        <v>2206</v>
      </c>
      <c r="G281" s="215">
        <v>1</v>
      </c>
      <c r="H281" s="215"/>
      <c r="I281" s="215" t="s">
        <v>1369</v>
      </c>
      <c r="J281" s="215" t="s">
        <v>1898</v>
      </c>
      <c r="K281" s="215"/>
      <c r="L281" s="215" t="s">
        <v>838</v>
      </c>
      <c r="M281" s="215" t="s">
        <v>2211</v>
      </c>
      <c r="N281" s="215" t="s">
        <v>1950</v>
      </c>
      <c r="O281" s="180" t="s">
        <v>205</v>
      </c>
      <c r="P281" s="92"/>
      <c r="Q281" s="164" t="s">
        <v>205</v>
      </c>
      <c r="R281" s="92"/>
      <c r="S281" s="145" t="s">
        <v>206</v>
      </c>
      <c r="T281" s="92"/>
      <c r="U281" s="145" t="s">
        <v>206</v>
      </c>
      <c r="V281" s="92"/>
      <c r="W281" s="145" t="s">
        <v>206</v>
      </c>
      <c r="X281" s="92"/>
      <c r="Y281" s="352" t="s">
        <v>239</v>
      </c>
      <c r="Z281" s="142" t="str">
        <f t="shared" si="13"/>
        <v>NC</v>
      </c>
      <c r="AA281" s="226" t="str">
        <f t="shared" si="14"/>
        <v>NÃO UTILIZOU O PDA</v>
      </c>
      <c r="AB281" s="9"/>
      <c r="AC281" s="162" t="s">
        <v>6</v>
      </c>
      <c r="AD281" s="150" t="str">
        <f t="shared" si="15"/>
        <v>SÃO PAULO</v>
      </c>
      <c r="AE281" s="95" t="s">
        <v>64</v>
      </c>
    </row>
    <row r="282" spans="1:31" s="55" customFormat="1" ht="30" customHeight="1">
      <c r="A282" s="215" t="s">
        <v>198</v>
      </c>
      <c r="B282" s="215">
        <v>2693263766</v>
      </c>
      <c r="C282" s="215" t="s">
        <v>128</v>
      </c>
      <c r="D282" s="215" t="s">
        <v>64</v>
      </c>
      <c r="E282" s="215" t="s">
        <v>5</v>
      </c>
      <c r="F282" s="215" t="s">
        <v>2212</v>
      </c>
      <c r="G282" s="215">
        <v>12</v>
      </c>
      <c r="H282" s="215" t="s">
        <v>200</v>
      </c>
      <c r="I282" s="215" t="s">
        <v>1876</v>
      </c>
      <c r="J282" s="215" t="s">
        <v>1908</v>
      </c>
      <c r="K282" s="215" t="s">
        <v>200</v>
      </c>
      <c r="L282" s="215" t="s">
        <v>2213</v>
      </c>
      <c r="M282" s="215" t="s">
        <v>2214</v>
      </c>
      <c r="N282" s="215" t="s">
        <v>1919</v>
      </c>
      <c r="O282" s="180" t="s">
        <v>205</v>
      </c>
      <c r="P282" s="92"/>
      <c r="Q282" s="164" t="s">
        <v>205</v>
      </c>
      <c r="R282" s="92"/>
      <c r="S282" s="164" t="s">
        <v>205</v>
      </c>
      <c r="T282" s="92"/>
      <c r="U282" s="145" t="s">
        <v>205</v>
      </c>
      <c r="V282" s="92"/>
      <c r="W282" s="145" t="s">
        <v>205</v>
      </c>
      <c r="X282" s="92"/>
      <c r="Y282" s="352" t="s">
        <v>205</v>
      </c>
      <c r="Z282" s="142" t="str">
        <f t="shared" si="13"/>
        <v>C</v>
      </c>
      <c r="AA282" s="226" t="str">
        <f t="shared" si="14"/>
        <v>UTILIZOU O PDA CORRETAMENTE</v>
      </c>
      <c r="AB282" s="9" t="s">
        <v>205</v>
      </c>
      <c r="AC282" s="162" t="s">
        <v>6</v>
      </c>
      <c r="AD282" s="150" t="str">
        <f t="shared" si="15"/>
        <v>SÃO PAULO</v>
      </c>
      <c r="AE282" s="95" t="s">
        <v>64</v>
      </c>
    </row>
    <row r="283" spans="1:31" s="55" customFormat="1" ht="30" customHeight="1">
      <c r="A283" s="215" t="s">
        <v>198</v>
      </c>
      <c r="B283" s="215">
        <v>2693235390</v>
      </c>
      <c r="C283" s="215" t="s">
        <v>131</v>
      </c>
      <c r="D283" s="215" t="s">
        <v>64</v>
      </c>
      <c r="E283" s="215" t="s">
        <v>5</v>
      </c>
      <c r="F283" s="215" t="s">
        <v>2215</v>
      </c>
      <c r="G283" s="215">
        <v>191</v>
      </c>
      <c r="H283" s="215"/>
      <c r="I283" s="215" t="s">
        <v>2131</v>
      </c>
      <c r="J283" s="215" t="s">
        <v>1908</v>
      </c>
      <c r="K283" s="215"/>
      <c r="L283" s="215" t="s">
        <v>2216</v>
      </c>
      <c r="M283" s="215" t="s">
        <v>2217</v>
      </c>
      <c r="N283" s="215" t="s">
        <v>1919</v>
      </c>
      <c r="O283" s="180" t="s">
        <v>205</v>
      </c>
      <c r="P283" s="92"/>
      <c r="Q283" s="164" t="s">
        <v>205</v>
      </c>
      <c r="R283" s="92"/>
      <c r="S283" s="164" t="s">
        <v>205</v>
      </c>
      <c r="T283" s="92"/>
      <c r="U283" s="145" t="s">
        <v>205</v>
      </c>
      <c r="V283" s="92"/>
      <c r="W283" s="145" t="s">
        <v>205</v>
      </c>
      <c r="X283" s="92"/>
      <c r="Y283" s="352" t="s">
        <v>205</v>
      </c>
      <c r="Z283" s="142" t="str">
        <f t="shared" si="13"/>
        <v>C</v>
      </c>
      <c r="AA283" s="226" t="str">
        <f t="shared" si="14"/>
        <v>UTILIZOU O PDA CORRETAMENTE</v>
      </c>
      <c r="AB283" s="9" t="s">
        <v>205</v>
      </c>
      <c r="AC283" s="162" t="s">
        <v>6</v>
      </c>
      <c r="AD283" s="150" t="str">
        <f t="shared" si="15"/>
        <v>SÃO PAULO</v>
      </c>
      <c r="AE283" s="95" t="s">
        <v>64</v>
      </c>
    </row>
    <row r="284" spans="1:31" s="55" customFormat="1" ht="30" customHeight="1">
      <c r="A284" s="215" t="s">
        <v>198</v>
      </c>
      <c r="B284" s="215">
        <v>2693241197</v>
      </c>
      <c r="C284" s="215" t="s">
        <v>131</v>
      </c>
      <c r="D284" s="215" t="s">
        <v>64</v>
      </c>
      <c r="E284" s="215" t="s">
        <v>5</v>
      </c>
      <c r="F284" s="215" t="s">
        <v>2088</v>
      </c>
      <c r="G284" s="215">
        <v>21</v>
      </c>
      <c r="H284" s="215" t="s">
        <v>318</v>
      </c>
      <c r="I284" s="215" t="s">
        <v>2089</v>
      </c>
      <c r="J284" s="215" t="s">
        <v>1898</v>
      </c>
      <c r="K284" s="215" t="s">
        <v>200</v>
      </c>
      <c r="L284" s="215" t="s">
        <v>2218</v>
      </c>
      <c r="M284" s="215" t="s">
        <v>2219</v>
      </c>
      <c r="N284" s="215" t="s">
        <v>1950</v>
      </c>
      <c r="O284" s="180" t="s">
        <v>205</v>
      </c>
      <c r="P284" s="92"/>
      <c r="Q284" s="164" t="s">
        <v>205</v>
      </c>
      <c r="R284" s="92"/>
      <c r="S284" s="164" t="s">
        <v>205</v>
      </c>
      <c r="T284" s="92"/>
      <c r="U284" s="145" t="s">
        <v>205</v>
      </c>
      <c r="V284" s="92"/>
      <c r="W284" s="145" t="s">
        <v>205</v>
      </c>
      <c r="X284" s="92"/>
      <c r="Y284" s="352" t="s">
        <v>205</v>
      </c>
      <c r="Z284" s="142" t="str">
        <f t="shared" si="13"/>
        <v>C</v>
      </c>
      <c r="AA284" s="226" t="str">
        <f t="shared" si="14"/>
        <v>UTILIZOU O PDA CORRETAMENTE</v>
      </c>
      <c r="AB284" s="9"/>
      <c r="AC284" s="162" t="s">
        <v>6</v>
      </c>
      <c r="AD284" s="150" t="str">
        <f t="shared" si="15"/>
        <v>SÃO PAULO</v>
      </c>
      <c r="AE284" s="95" t="s">
        <v>64</v>
      </c>
    </row>
    <row r="285" spans="1:31" s="55" customFormat="1" ht="30" customHeight="1">
      <c r="A285" s="215" t="s">
        <v>198</v>
      </c>
      <c r="B285" s="215">
        <v>2693268071</v>
      </c>
      <c r="C285" s="215" t="s">
        <v>128</v>
      </c>
      <c r="D285" s="215" t="s">
        <v>64</v>
      </c>
      <c r="E285" s="215" t="s">
        <v>5</v>
      </c>
      <c r="F285" s="215" t="s">
        <v>2220</v>
      </c>
      <c r="G285" s="215">
        <v>444</v>
      </c>
      <c r="H285" s="215"/>
      <c r="I285" s="215" t="s">
        <v>419</v>
      </c>
      <c r="J285" s="215" t="s">
        <v>1898</v>
      </c>
      <c r="K285" s="215"/>
      <c r="L285" s="215" t="s">
        <v>828</v>
      </c>
      <c r="M285" s="215" t="s">
        <v>2221</v>
      </c>
      <c r="N285" s="215" t="s">
        <v>1947</v>
      </c>
      <c r="O285" s="180" t="s">
        <v>205</v>
      </c>
      <c r="P285" s="92"/>
      <c r="Q285" s="164" t="s">
        <v>205</v>
      </c>
      <c r="R285" s="92"/>
      <c r="S285" s="164" t="s">
        <v>205</v>
      </c>
      <c r="T285" s="92"/>
      <c r="U285" s="145" t="s">
        <v>205</v>
      </c>
      <c r="V285" s="92"/>
      <c r="W285" s="145" t="s">
        <v>205</v>
      </c>
      <c r="X285" s="92"/>
      <c r="Y285" s="352" t="s">
        <v>205</v>
      </c>
      <c r="Z285" s="142" t="str">
        <f t="shared" si="13"/>
        <v>C</v>
      </c>
      <c r="AA285" s="226" t="str">
        <f t="shared" si="14"/>
        <v>UTILIZOU O PDA CORRETAMENTE</v>
      </c>
      <c r="AB285" s="9" t="s">
        <v>205</v>
      </c>
      <c r="AC285" s="162" t="s">
        <v>6</v>
      </c>
      <c r="AD285" s="150" t="str">
        <f t="shared" si="15"/>
        <v>SÃO PAULO</v>
      </c>
      <c r="AE285" s="95" t="s">
        <v>64</v>
      </c>
    </row>
    <row r="286" spans="1:31" s="55" customFormat="1" ht="30" customHeight="1">
      <c r="A286" s="215" t="s">
        <v>198</v>
      </c>
      <c r="B286" s="215">
        <v>2693273339</v>
      </c>
      <c r="C286" s="215" t="s">
        <v>128</v>
      </c>
      <c r="D286" s="215" t="s">
        <v>64</v>
      </c>
      <c r="E286" s="215" t="s">
        <v>5</v>
      </c>
      <c r="F286" s="215" t="s">
        <v>2222</v>
      </c>
      <c r="G286" s="215">
        <v>71</v>
      </c>
      <c r="H286" s="215" t="s">
        <v>387</v>
      </c>
      <c r="I286" s="215" t="s">
        <v>1016</v>
      </c>
      <c r="J286" s="215" t="s">
        <v>1898</v>
      </c>
      <c r="K286" s="215" t="s">
        <v>200</v>
      </c>
      <c r="L286" s="215" t="s">
        <v>2223</v>
      </c>
      <c r="M286" s="215" t="s">
        <v>2224</v>
      </c>
      <c r="N286" s="215" t="s">
        <v>1947</v>
      </c>
      <c r="O286" s="180" t="s">
        <v>205</v>
      </c>
      <c r="P286" s="92"/>
      <c r="Q286" s="164" t="s">
        <v>205</v>
      </c>
      <c r="R286" s="92"/>
      <c r="S286" s="164" t="s">
        <v>205</v>
      </c>
      <c r="T286" s="92"/>
      <c r="U286" s="145" t="s">
        <v>205</v>
      </c>
      <c r="V286" s="92"/>
      <c r="W286" s="145" t="s">
        <v>205</v>
      </c>
      <c r="X286" s="92"/>
      <c r="Y286" s="352" t="s">
        <v>205</v>
      </c>
      <c r="Z286" s="142" t="str">
        <f t="shared" si="13"/>
        <v>C</v>
      </c>
      <c r="AA286" s="226" t="str">
        <f t="shared" si="14"/>
        <v>UTILIZOU O PDA CORRETAMENTE</v>
      </c>
      <c r="AB286" s="9" t="s">
        <v>205</v>
      </c>
      <c r="AC286" s="162" t="s">
        <v>6</v>
      </c>
      <c r="AD286" s="150" t="str">
        <f t="shared" si="15"/>
        <v>SÃO PAULO</v>
      </c>
      <c r="AE286" s="95" t="s">
        <v>64</v>
      </c>
    </row>
    <row r="287" spans="1:31" s="55" customFormat="1" ht="30" customHeight="1">
      <c r="A287" s="215" t="s">
        <v>198</v>
      </c>
      <c r="B287" s="215">
        <v>2693253978</v>
      </c>
      <c r="C287" s="215" t="s">
        <v>128</v>
      </c>
      <c r="D287" s="215" t="s">
        <v>64</v>
      </c>
      <c r="E287" s="215" t="s">
        <v>5</v>
      </c>
      <c r="F287" s="215" t="s">
        <v>2225</v>
      </c>
      <c r="G287" s="215">
        <v>103</v>
      </c>
      <c r="H287" s="215" t="s">
        <v>226</v>
      </c>
      <c r="I287" s="215" t="s">
        <v>2226</v>
      </c>
      <c r="J287" s="215" t="s">
        <v>1898</v>
      </c>
      <c r="K287" s="215" t="s">
        <v>2227</v>
      </c>
      <c r="L287" s="215" t="s">
        <v>2228</v>
      </c>
      <c r="M287" s="215" t="s">
        <v>814</v>
      </c>
      <c r="N287" s="215" t="s">
        <v>1947</v>
      </c>
      <c r="O287" s="180" t="s">
        <v>205</v>
      </c>
      <c r="P287" s="92"/>
      <c r="Q287" s="164" t="s">
        <v>205</v>
      </c>
      <c r="R287" s="92"/>
      <c r="S287" s="164" t="s">
        <v>205</v>
      </c>
      <c r="T287" s="92"/>
      <c r="U287" s="145" t="s">
        <v>205</v>
      </c>
      <c r="V287" s="92"/>
      <c r="W287" s="145" t="s">
        <v>205</v>
      </c>
      <c r="X287" s="92"/>
      <c r="Y287" s="352" t="s">
        <v>205</v>
      </c>
      <c r="Z287" s="142" t="str">
        <f t="shared" si="13"/>
        <v>C</v>
      </c>
      <c r="AA287" s="226" t="str">
        <f t="shared" si="14"/>
        <v>UTILIZOU O PDA CORRETAMENTE</v>
      </c>
      <c r="AB287" s="9" t="s">
        <v>205</v>
      </c>
      <c r="AC287" s="162" t="s">
        <v>6</v>
      </c>
      <c r="AD287" s="150" t="str">
        <f t="shared" si="15"/>
        <v>SÃO PAULO</v>
      </c>
      <c r="AE287" s="95" t="s">
        <v>64</v>
      </c>
    </row>
    <row r="288" spans="1:31" s="55" customFormat="1" ht="30" customHeight="1">
      <c r="A288" s="215" t="s">
        <v>198</v>
      </c>
      <c r="B288" s="215">
        <v>2693270613</v>
      </c>
      <c r="C288" s="215" t="s">
        <v>128</v>
      </c>
      <c r="D288" s="215" t="s">
        <v>64</v>
      </c>
      <c r="E288" s="215" t="s">
        <v>5</v>
      </c>
      <c r="F288" s="215" t="s">
        <v>2229</v>
      </c>
      <c r="G288" s="215">
        <v>31</v>
      </c>
      <c r="H288" s="215" t="s">
        <v>481</v>
      </c>
      <c r="I288" s="215" t="s">
        <v>2083</v>
      </c>
      <c r="J288" s="215" t="s">
        <v>1898</v>
      </c>
      <c r="K288" s="215" t="s">
        <v>200</v>
      </c>
      <c r="L288" s="215" t="s">
        <v>2216</v>
      </c>
      <c r="M288" s="215" t="s">
        <v>2217</v>
      </c>
      <c r="N288" s="215" t="s">
        <v>1947</v>
      </c>
      <c r="O288" s="180" t="s">
        <v>205</v>
      </c>
      <c r="P288" s="92"/>
      <c r="Q288" s="164" t="s">
        <v>205</v>
      </c>
      <c r="R288" s="92"/>
      <c r="S288" s="164" t="s">
        <v>205</v>
      </c>
      <c r="T288" s="92"/>
      <c r="U288" s="145" t="s">
        <v>205</v>
      </c>
      <c r="V288" s="92"/>
      <c r="W288" s="145" t="s">
        <v>205</v>
      </c>
      <c r="X288" s="92"/>
      <c r="Y288" s="352" t="s">
        <v>205</v>
      </c>
      <c r="Z288" s="142" t="str">
        <f t="shared" si="13"/>
        <v>C</v>
      </c>
      <c r="AA288" s="226" t="str">
        <f t="shared" si="14"/>
        <v>UTILIZOU O PDA CORRETAMENTE</v>
      </c>
      <c r="AB288" s="9" t="s">
        <v>205</v>
      </c>
      <c r="AC288" s="162" t="s">
        <v>6</v>
      </c>
      <c r="AD288" s="150" t="str">
        <f t="shared" si="15"/>
        <v>SÃO PAULO</v>
      </c>
      <c r="AE288" s="95" t="s">
        <v>64</v>
      </c>
    </row>
    <row r="289" spans="1:31" s="55" customFormat="1" ht="30" customHeight="1">
      <c r="A289" s="215" t="s">
        <v>198</v>
      </c>
      <c r="B289" s="215">
        <v>2620190604</v>
      </c>
      <c r="C289" s="215" t="s">
        <v>132</v>
      </c>
      <c r="D289" s="215" t="s">
        <v>64</v>
      </c>
      <c r="E289" s="215" t="s">
        <v>5</v>
      </c>
      <c r="F289" s="215" t="s">
        <v>2230</v>
      </c>
      <c r="G289" s="215">
        <v>131</v>
      </c>
      <c r="H289" s="215"/>
      <c r="I289" s="215" t="s">
        <v>394</v>
      </c>
      <c r="J289" s="215" t="s">
        <v>1898</v>
      </c>
      <c r="K289" s="215"/>
      <c r="L289" s="215" t="s">
        <v>2231</v>
      </c>
      <c r="M289" s="215" t="s">
        <v>2232</v>
      </c>
      <c r="N289" s="215" t="s">
        <v>1947</v>
      </c>
      <c r="O289" s="180" t="s">
        <v>205</v>
      </c>
      <c r="P289" s="92"/>
      <c r="Q289" s="164" t="s">
        <v>205</v>
      </c>
      <c r="R289" s="92"/>
      <c r="S289" s="164" t="s">
        <v>205</v>
      </c>
      <c r="T289" s="92"/>
      <c r="U289" s="145" t="s">
        <v>205</v>
      </c>
      <c r="V289" s="92"/>
      <c r="W289" s="145" t="s">
        <v>205</v>
      </c>
      <c r="X289" s="92"/>
      <c r="Y289" s="352" t="s">
        <v>205</v>
      </c>
      <c r="Z289" s="142" t="str">
        <f t="shared" si="13"/>
        <v>C</v>
      </c>
      <c r="AA289" s="226" t="str">
        <f t="shared" si="14"/>
        <v>UTILIZOU O PDA CORRETAMENTE</v>
      </c>
      <c r="AB289" s="9" t="s">
        <v>205</v>
      </c>
      <c r="AC289" s="162" t="s">
        <v>6</v>
      </c>
      <c r="AD289" s="150" t="str">
        <f t="shared" si="15"/>
        <v>SÃO PAULO</v>
      </c>
      <c r="AE289" s="95" t="s">
        <v>64</v>
      </c>
    </row>
    <row r="290" spans="1:31" s="55" customFormat="1" ht="30" customHeight="1">
      <c r="A290" s="215" t="s">
        <v>198</v>
      </c>
      <c r="B290" s="215">
        <v>2693285633</v>
      </c>
      <c r="C290" s="215" t="s">
        <v>128</v>
      </c>
      <c r="D290" s="215" t="s">
        <v>64</v>
      </c>
      <c r="E290" s="215" t="s">
        <v>5</v>
      </c>
      <c r="F290" s="215" t="s">
        <v>2233</v>
      </c>
      <c r="G290" s="215">
        <v>50</v>
      </c>
      <c r="H290" s="215" t="s">
        <v>200</v>
      </c>
      <c r="I290" s="215" t="s">
        <v>274</v>
      </c>
      <c r="J290" s="215" t="s">
        <v>1898</v>
      </c>
      <c r="K290" s="215" t="s">
        <v>200</v>
      </c>
      <c r="L290" s="215" t="s">
        <v>2234</v>
      </c>
      <c r="M290" s="215" t="s">
        <v>2235</v>
      </c>
      <c r="N290" s="215" t="s">
        <v>852</v>
      </c>
      <c r="O290" s="180" t="s">
        <v>205</v>
      </c>
      <c r="P290" s="92"/>
      <c r="Q290" s="164" t="s">
        <v>205</v>
      </c>
      <c r="R290" s="92"/>
      <c r="S290" s="164" t="s">
        <v>205</v>
      </c>
      <c r="T290" s="92"/>
      <c r="U290" s="145" t="s">
        <v>205</v>
      </c>
      <c r="V290" s="92"/>
      <c r="W290" s="145" t="s">
        <v>205</v>
      </c>
      <c r="X290" s="92"/>
      <c r="Y290" s="352" t="s">
        <v>205</v>
      </c>
      <c r="Z290" s="142" t="str">
        <f t="shared" si="13"/>
        <v>C</v>
      </c>
      <c r="AA290" s="226" t="str">
        <f t="shared" si="14"/>
        <v>UTILIZOU O PDA CORRETAMENTE</v>
      </c>
      <c r="AB290" s="9" t="s">
        <v>205</v>
      </c>
      <c r="AC290" s="162" t="s">
        <v>6</v>
      </c>
      <c r="AD290" s="150" t="str">
        <f t="shared" si="15"/>
        <v>SÃO PAULO</v>
      </c>
      <c r="AE290" s="95" t="s">
        <v>64</v>
      </c>
    </row>
    <row r="291" spans="1:31" s="55" customFormat="1" ht="30" customHeight="1">
      <c r="A291" s="215" t="s">
        <v>198</v>
      </c>
      <c r="B291" s="215">
        <v>2693240937</v>
      </c>
      <c r="C291" s="215" t="s">
        <v>132</v>
      </c>
      <c r="D291" s="215" t="s">
        <v>64</v>
      </c>
      <c r="E291" s="215" t="s">
        <v>5</v>
      </c>
      <c r="F291" s="215" t="s">
        <v>2146</v>
      </c>
      <c r="G291" s="215">
        <v>19</v>
      </c>
      <c r="H291" s="215" t="s">
        <v>226</v>
      </c>
      <c r="I291" s="215" t="s">
        <v>2078</v>
      </c>
      <c r="J291" s="215" t="s">
        <v>1898</v>
      </c>
      <c r="K291" s="215"/>
      <c r="L291" s="215" t="s">
        <v>2236</v>
      </c>
      <c r="M291" s="215" t="s">
        <v>2217</v>
      </c>
      <c r="N291" s="215" t="s">
        <v>852</v>
      </c>
      <c r="O291" s="180" t="s">
        <v>205</v>
      </c>
      <c r="P291" s="92"/>
      <c r="Q291" s="164" t="s">
        <v>205</v>
      </c>
      <c r="R291" s="92"/>
      <c r="S291" s="164" t="s">
        <v>205</v>
      </c>
      <c r="T291" s="92"/>
      <c r="U291" s="145" t="s">
        <v>205</v>
      </c>
      <c r="V291" s="92"/>
      <c r="W291" s="145" t="s">
        <v>205</v>
      </c>
      <c r="X291" s="92"/>
      <c r="Y291" s="352" t="s">
        <v>205</v>
      </c>
      <c r="Z291" s="142" t="str">
        <f t="shared" si="13"/>
        <v>C</v>
      </c>
      <c r="AA291" s="226" t="str">
        <f t="shared" si="14"/>
        <v>UTILIZOU O PDA CORRETAMENTE</v>
      </c>
      <c r="AB291" s="9" t="s">
        <v>205</v>
      </c>
      <c r="AC291" s="162" t="s">
        <v>6</v>
      </c>
      <c r="AD291" s="150" t="str">
        <f t="shared" si="15"/>
        <v>SÃO PAULO</v>
      </c>
      <c r="AE291" s="95" t="s">
        <v>64</v>
      </c>
    </row>
    <row r="292" spans="1:31" s="55" customFormat="1" ht="30" customHeight="1">
      <c r="A292" s="215" t="s">
        <v>198</v>
      </c>
      <c r="B292" s="215">
        <v>2620251375</v>
      </c>
      <c r="C292" s="215" t="s">
        <v>129</v>
      </c>
      <c r="D292" s="215" t="s">
        <v>125</v>
      </c>
      <c r="E292" s="215" t="s">
        <v>5</v>
      </c>
      <c r="F292" s="215" t="s">
        <v>2237</v>
      </c>
      <c r="G292" s="215">
        <v>476</v>
      </c>
      <c r="H292" s="215" t="s">
        <v>318</v>
      </c>
      <c r="I292" s="215" t="s">
        <v>410</v>
      </c>
      <c r="J292" s="215" t="s">
        <v>1903</v>
      </c>
      <c r="K292" s="215" t="s">
        <v>200</v>
      </c>
      <c r="L292" s="215" t="s">
        <v>2238</v>
      </c>
      <c r="M292" s="215" t="s">
        <v>2239</v>
      </c>
      <c r="N292" s="215" t="s">
        <v>900</v>
      </c>
      <c r="O292" s="180" t="s">
        <v>205</v>
      </c>
      <c r="P292" s="92"/>
      <c r="Q292" s="164" t="s">
        <v>205</v>
      </c>
      <c r="R292" s="92"/>
      <c r="S292" s="164" t="s">
        <v>205</v>
      </c>
      <c r="T292" s="92"/>
      <c r="U292" s="145" t="s">
        <v>205</v>
      </c>
      <c r="V292" s="92"/>
      <c r="W292" s="145" t="s">
        <v>205</v>
      </c>
      <c r="X292" s="92"/>
      <c r="Y292" s="352" t="s">
        <v>205</v>
      </c>
      <c r="Z292" s="142" t="str">
        <f t="shared" si="13"/>
        <v>C</v>
      </c>
      <c r="AA292" s="226" t="str">
        <f t="shared" si="14"/>
        <v>UTILIZOU O PDA CORRETAMENTE</v>
      </c>
      <c r="AB292" s="9" t="s">
        <v>205</v>
      </c>
      <c r="AC292" s="162" t="s">
        <v>6</v>
      </c>
      <c r="AD292" s="150" t="str">
        <f t="shared" si="15"/>
        <v>SÃO PAULO</v>
      </c>
      <c r="AE292" s="95" t="s">
        <v>64</v>
      </c>
    </row>
    <row r="293" spans="1:31" s="55" customFormat="1" ht="30" customHeight="1">
      <c r="A293" s="215" t="s">
        <v>198</v>
      </c>
      <c r="B293" s="215">
        <v>2693264563</v>
      </c>
      <c r="C293" s="215" t="s">
        <v>128</v>
      </c>
      <c r="D293" s="215" t="s">
        <v>64</v>
      </c>
      <c r="E293" s="215" t="s">
        <v>5</v>
      </c>
      <c r="F293" s="215" t="s">
        <v>2240</v>
      </c>
      <c r="G293" s="215">
        <v>32</v>
      </c>
      <c r="H293" s="215" t="s">
        <v>387</v>
      </c>
      <c r="I293" s="215" t="s">
        <v>415</v>
      </c>
      <c r="J293" s="215" t="s">
        <v>1898</v>
      </c>
      <c r="K293" s="215" t="s">
        <v>200</v>
      </c>
      <c r="L293" s="215" t="s">
        <v>2241</v>
      </c>
      <c r="M293" s="215" t="s">
        <v>2242</v>
      </c>
      <c r="N293" s="215" t="s">
        <v>799</v>
      </c>
      <c r="O293" s="180" t="s">
        <v>205</v>
      </c>
      <c r="P293" s="92"/>
      <c r="Q293" s="164" t="s">
        <v>205</v>
      </c>
      <c r="R293" s="92"/>
      <c r="S293" s="164" t="s">
        <v>205</v>
      </c>
      <c r="T293" s="92"/>
      <c r="U293" s="145" t="s">
        <v>205</v>
      </c>
      <c r="V293" s="92"/>
      <c r="W293" s="145" t="s">
        <v>205</v>
      </c>
      <c r="X293" s="92"/>
      <c r="Y293" s="352" t="s">
        <v>205</v>
      </c>
      <c r="Z293" s="142" t="str">
        <f t="shared" si="13"/>
        <v>C</v>
      </c>
      <c r="AA293" s="226" t="str">
        <f t="shared" si="14"/>
        <v>UTILIZOU O PDA CORRETAMENTE</v>
      </c>
      <c r="AB293" s="9" t="s">
        <v>205</v>
      </c>
      <c r="AC293" s="162" t="s">
        <v>6</v>
      </c>
      <c r="AD293" s="150" t="str">
        <f t="shared" si="15"/>
        <v>SÃO PAULO</v>
      </c>
      <c r="AE293" s="95" t="s">
        <v>64</v>
      </c>
    </row>
    <row r="294" spans="1:31" s="55" customFormat="1" ht="30" customHeight="1">
      <c r="A294" s="215" t="s">
        <v>198</v>
      </c>
      <c r="B294" s="215">
        <v>2693252929</v>
      </c>
      <c r="C294" s="215" t="s">
        <v>132</v>
      </c>
      <c r="D294" s="215" t="s">
        <v>64</v>
      </c>
      <c r="E294" s="215" t="s">
        <v>5</v>
      </c>
      <c r="F294" s="215" t="s">
        <v>2243</v>
      </c>
      <c r="G294" s="215">
        <v>542</v>
      </c>
      <c r="H294" s="215" t="s">
        <v>226</v>
      </c>
      <c r="I294" s="215" t="s">
        <v>280</v>
      </c>
      <c r="J294" s="215" t="s">
        <v>1955</v>
      </c>
      <c r="K294" s="215" t="s">
        <v>2244</v>
      </c>
      <c r="L294" s="215" t="s">
        <v>2245</v>
      </c>
      <c r="M294" s="215" t="s">
        <v>2246</v>
      </c>
      <c r="N294" s="215" t="s">
        <v>1956</v>
      </c>
      <c r="O294" s="180" t="s">
        <v>205</v>
      </c>
      <c r="P294" s="92"/>
      <c r="Q294" s="164" t="s">
        <v>205</v>
      </c>
      <c r="R294" s="92"/>
      <c r="S294" s="145" t="s">
        <v>206</v>
      </c>
      <c r="T294" s="161"/>
      <c r="U294" s="160" t="s">
        <v>205</v>
      </c>
      <c r="V294" s="92"/>
      <c r="W294" s="145" t="s">
        <v>206</v>
      </c>
      <c r="X294" s="92"/>
      <c r="Y294" s="352" t="s">
        <v>239</v>
      </c>
      <c r="Z294" s="142" t="str">
        <f t="shared" si="13"/>
        <v>NC</v>
      </c>
      <c r="AA294" s="226" t="str">
        <f t="shared" si="14"/>
        <v>NÃO UTILIZOU O PDA</v>
      </c>
      <c r="AB294" s="9" t="s">
        <v>205</v>
      </c>
      <c r="AC294" s="162" t="s">
        <v>6</v>
      </c>
      <c r="AD294" s="150" t="str">
        <f t="shared" si="15"/>
        <v>SÃO PAULO</v>
      </c>
      <c r="AE294" s="95" t="s">
        <v>64</v>
      </c>
    </row>
    <row r="295" spans="1:31" s="55" customFormat="1" ht="30" customHeight="1">
      <c r="A295" s="215" t="s">
        <v>198</v>
      </c>
      <c r="B295" s="215">
        <v>2693299298</v>
      </c>
      <c r="C295" s="215" t="s">
        <v>132</v>
      </c>
      <c r="D295" s="215" t="s">
        <v>64</v>
      </c>
      <c r="E295" s="215" t="s">
        <v>5</v>
      </c>
      <c r="F295" s="215" t="s">
        <v>2247</v>
      </c>
      <c r="G295" s="215">
        <v>45</v>
      </c>
      <c r="H295" s="215" t="s">
        <v>200</v>
      </c>
      <c r="I295" s="215" t="s">
        <v>277</v>
      </c>
      <c r="J295" s="215" t="s">
        <v>1898</v>
      </c>
      <c r="K295" s="215" t="s">
        <v>200</v>
      </c>
      <c r="L295" s="215" t="s">
        <v>2248</v>
      </c>
      <c r="M295" s="215" t="s">
        <v>2249</v>
      </c>
      <c r="N295" s="215" t="s">
        <v>852</v>
      </c>
      <c r="O295" s="180" t="s">
        <v>205</v>
      </c>
      <c r="P295" s="92"/>
      <c r="Q295" s="164" t="s">
        <v>205</v>
      </c>
      <c r="R295" s="92"/>
      <c r="S295" s="164" t="s">
        <v>205</v>
      </c>
      <c r="T295" s="92"/>
      <c r="U295" s="145" t="s">
        <v>205</v>
      </c>
      <c r="V295" s="92"/>
      <c r="W295" s="145" t="s">
        <v>205</v>
      </c>
      <c r="X295" s="92"/>
      <c r="Y295" s="352" t="s">
        <v>205</v>
      </c>
      <c r="Z295" s="142" t="str">
        <f t="shared" si="13"/>
        <v>C</v>
      </c>
      <c r="AA295" s="226" t="str">
        <f t="shared" si="14"/>
        <v>UTILIZOU O PDA CORRETAMENTE</v>
      </c>
      <c r="AB295" s="9" t="s">
        <v>205</v>
      </c>
      <c r="AC295" s="162" t="s">
        <v>6</v>
      </c>
      <c r="AD295" s="150" t="str">
        <f t="shared" si="15"/>
        <v>SÃO PAULO</v>
      </c>
      <c r="AE295" s="95" t="s">
        <v>64</v>
      </c>
    </row>
    <row r="296" spans="1:31" s="55" customFormat="1" ht="30" customHeight="1">
      <c r="A296" s="215" t="s">
        <v>198</v>
      </c>
      <c r="B296" s="215">
        <v>2693300135</v>
      </c>
      <c r="C296" s="215" t="s">
        <v>132</v>
      </c>
      <c r="D296" s="215" t="s">
        <v>64</v>
      </c>
      <c r="E296" s="215" t="s">
        <v>5</v>
      </c>
      <c r="F296" s="215" t="s">
        <v>2133</v>
      </c>
      <c r="G296" s="215">
        <v>1467</v>
      </c>
      <c r="H296" s="215" t="s">
        <v>250</v>
      </c>
      <c r="I296" s="215" t="s">
        <v>274</v>
      </c>
      <c r="J296" s="215" t="s">
        <v>1898</v>
      </c>
      <c r="K296" s="215"/>
      <c r="L296" s="215" t="s">
        <v>2250</v>
      </c>
      <c r="M296" s="215" t="s">
        <v>2251</v>
      </c>
      <c r="N296" s="215" t="s">
        <v>852</v>
      </c>
      <c r="O296" s="180" t="s">
        <v>205</v>
      </c>
      <c r="P296" s="92"/>
      <c r="Q296" s="164" t="s">
        <v>205</v>
      </c>
      <c r="R296" s="92"/>
      <c r="S296" s="164" t="s">
        <v>205</v>
      </c>
      <c r="T296" s="92"/>
      <c r="U296" s="145" t="s">
        <v>205</v>
      </c>
      <c r="V296" s="92"/>
      <c r="W296" s="145" t="s">
        <v>205</v>
      </c>
      <c r="X296" s="92"/>
      <c r="Y296" s="352" t="s">
        <v>205</v>
      </c>
      <c r="Z296" s="142" t="str">
        <f t="shared" si="13"/>
        <v>C</v>
      </c>
      <c r="AA296" s="226" t="str">
        <f t="shared" si="14"/>
        <v>UTILIZOU O PDA CORRETAMENTE</v>
      </c>
      <c r="AB296" s="9" t="s">
        <v>205</v>
      </c>
      <c r="AC296" s="162" t="s">
        <v>6</v>
      </c>
      <c r="AD296" s="150" t="str">
        <f t="shared" si="15"/>
        <v>SÃO PAULO</v>
      </c>
      <c r="AE296" s="95" t="s">
        <v>64</v>
      </c>
    </row>
    <row r="297" spans="1:31" s="55" customFormat="1" ht="30" customHeight="1">
      <c r="A297" s="215" t="s">
        <v>198</v>
      </c>
      <c r="B297" s="215">
        <v>2620323873</v>
      </c>
      <c r="C297" s="215" t="s">
        <v>127</v>
      </c>
      <c r="D297" s="215" t="s">
        <v>64</v>
      </c>
      <c r="E297" s="215" t="s">
        <v>5</v>
      </c>
      <c r="F297" s="215" t="s">
        <v>2252</v>
      </c>
      <c r="G297" s="215">
        <v>106</v>
      </c>
      <c r="H297" s="215" t="s">
        <v>200</v>
      </c>
      <c r="I297" s="215" t="s">
        <v>2253</v>
      </c>
      <c r="J297" s="215" t="s">
        <v>1898</v>
      </c>
      <c r="K297" s="215" t="s">
        <v>200</v>
      </c>
      <c r="L297" s="215" t="s">
        <v>2254</v>
      </c>
      <c r="M297" s="215" t="s">
        <v>2255</v>
      </c>
      <c r="N297" s="215" t="s">
        <v>1919</v>
      </c>
      <c r="O297" s="180" t="s">
        <v>205</v>
      </c>
      <c r="P297" s="92"/>
      <c r="Q297" s="164" t="s">
        <v>205</v>
      </c>
      <c r="R297" s="92"/>
      <c r="S297" s="164" t="s">
        <v>205</v>
      </c>
      <c r="T297" s="92"/>
      <c r="U297" s="145" t="s">
        <v>205</v>
      </c>
      <c r="V297" s="92"/>
      <c r="W297" s="145" t="s">
        <v>205</v>
      </c>
      <c r="X297" s="92"/>
      <c r="Y297" s="352" t="s">
        <v>205</v>
      </c>
      <c r="Z297" s="142" t="str">
        <f t="shared" si="13"/>
        <v>C</v>
      </c>
      <c r="AA297" s="226" t="str">
        <f t="shared" si="14"/>
        <v>UTILIZOU O PDA CORRETAMENTE</v>
      </c>
      <c r="AB297" s="9" t="s">
        <v>205</v>
      </c>
      <c r="AC297" s="162" t="s">
        <v>6</v>
      </c>
      <c r="AD297" s="150" t="str">
        <f t="shared" si="15"/>
        <v>SÃO PAULO</v>
      </c>
      <c r="AE297" s="95" t="s">
        <v>64</v>
      </c>
    </row>
    <row r="298" spans="1:31" s="55" customFormat="1" ht="30" customHeight="1">
      <c r="A298" s="215" t="s">
        <v>198</v>
      </c>
      <c r="B298" s="215">
        <v>2620332297</v>
      </c>
      <c r="C298" s="215" t="s">
        <v>128</v>
      </c>
      <c r="D298" s="215" t="s">
        <v>64</v>
      </c>
      <c r="E298" s="215" t="s">
        <v>5</v>
      </c>
      <c r="F298" s="215" t="s">
        <v>2256</v>
      </c>
      <c r="G298" s="215">
        <v>249</v>
      </c>
      <c r="H298" s="215" t="s">
        <v>226</v>
      </c>
      <c r="I298" s="215" t="s">
        <v>2226</v>
      </c>
      <c r="J298" s="215" t="s">
        <v>1898</v>
      </c>
      <c r="K298" s="215" t="s">
        <v>200</v>
      </c>
      <c r="L298" s="215" t="s">
        <v>2257</v>
      </c>
      <c r="M298" s="215" t="s">
        <v>2258</v>
      </c>
      <c r="N298" s="215" t="s">
        <v>1947</v>
      </c>
      <c r="O298" s="180" t="s">
        <v>205</v>
      </c>
      <c r="P298" s="92"/>
      <c r="Q298" s="164" t="s">
        <v>205</v>
      </c>
      <c r="R298" s="92"/>
      <c r="S298" s="164" t="s">
        <v>205</v>
      </c>
      <c r="T298" s="92"/>
      <c r="U298" s="145" t="s">
        <v>205</v>
      </c>
      <c r="V298" s="92"/>
      <c r="W298" s="145" t="s">
        <v>205</v>
      </c>
      <c r="X298" s="92"/>
      <c r="Y298" s="352" t="s">
        <v>205</v>
      </c>
      <c r="Z298" s="142" t="str">
        <f t="shared" si="13"/>
        <v>C</v>
      </c>
      <c r="AA298" s="226" t="str">
        <f t="shared" si="14"/>
        <v>UTILIZOU O PDA CORRETAMENTE</v>
      </c>
      <c r="AB298" s="9" t="s">
        <v>205</v>
      </c>
      <c r="AC298" s="162" t="s">
        <v>6</v>
      </c>
      <c r="AD298" s="150" t="str">
        <f t="shared" si="15"/>
        <v>SÃO PAULO</v>
      </c>
      <c r="AE298" s="95" t="s">
        <v>64</v>
      </c>
    </row>
    <row r="299" spans="1:31" s="55" customFormat="1" ht="30" customHeight="1">
      <c r="A299" s="215" t="s">
        <v>198</v>
      </c>
      <c r="B299" s="215">
        <v>2620337378</v>
      </c>
      <c r="C299" s="215" t="s">
        <v>129</v>
      </c>
      <c r="D299" s="215" t="s">
        <v>125</v>
      </c>
      <c r="E299" s="215" t="s">
        <v>5</v>
      </c>
      <c r="F299" s="215" t="s">
        <v>1766</v>
      </c>
      <c r="G299" s="215">
        <v>28</v>
      </c>
      <c r="H299" s="215"/>
      <c r="I299" s="215" t="s">
        <v>232</v>
      </c>
      <c r="J299" s="215" t="s">
        <v>1903</v>
      </c>
      <c r="K299" s="215"/>
      <c r="L299" s="215" t="s">
        <v>2259</v>
      </c>
      <c r="M299" s="215" t="s">
        <v>2260</v>
      </c>
      <c r="N299" s="215" t="s">
        <v>1919</v>
      </c>
      <c r="O299" s="180" t="s">
        <v>205</v>
      </c>
      <c r="P299" s="92"/>
      <c r="Q299" s="164" t="s">
        <v>205</v>
      </c>
      <c r="R299" s="92"/>
      <c r="S299" s="164" t="s">
        <v>205</v>
      </c>
      <c r="T299" s="92"/>
      <c r="U299" s="145" t="s">
        <v>205</v>
      </c>
      <c r="V299" s="92"/>
      <c r="W299" s="145" t="s">
        <v>206</v>
      </c>
      <c r="X299" s="92"/>
      <c r="Y299" s="352" t="s">
        <v>205</v>
      </c>
      <c r="Z299" s="142" t="str">
        <f t="shared" si="13"/>
        <v>NC</v>
      </c>
      <c r="AA299" s="226" t="str">
        <f t="shared" si="14"/>
        <v>UTILIZOU O PDA CORRETAMENTE. NÃO HÁ FOTOS DE TODAS AS ETAPAS</v>
      </c>
      <c r="AB299" s="9" t="s">
        <v>205</v>
      </c>
      <c r="AC299" s="162" t="s">
        <v>6</v>
      </c>
      <c r="AD299" s="150" t="str">
        <f t="shared" si="15"/>
        <v>SÃO PAULO</v>
      </c>
      <c r="AE299" s="95" t="s">
        <v>64</v>
      </c>
    </row>
    <row r="300" spans="1:31" s="55" customFormat="1" ht="30" customHeight="1">
      <c r="A300" s="215" t="s">
        <v>198</v>
      </c>
      <c r="B300" s="215">
        <v>2620339541</v>
      </c>
      <c r="C300" s="215" t="s">
        <v>132</v>
      </c>
      <c r="D300" s="215" t="s">
        <v>64</v>
      </c>
      <c r="E300" s="215" t="s">
        <v>5</v>
      </c>
      <c r="F300" s="215" t="s">
        <v>2261</v>
      </c>
      <c r="G300" s="215">
        <v>169</v>
      </c>
      <c r="H300" s="215" t="s">
        <v>200</v>
      </c>
      <c r="I300" s="215" t="s">
        <v>849</v>
      </c>
      <c r="J300" s="215" t="s">
        <v>1898</v>
      </c>
      <c r="K300" s="215" t="s">
        <v>200</v>
      </c>
      <c r="L300" s="215" t="s">
        <v>2262</v>
      </c>
      <c r="M300" s="215" t="s">
        <v>2263</v>
      </c>
      <c r="N300" s="215" t="s">
        <v>900</v>
      </c>
      <c r="O300" s="180" t="s">
        <v>205</v>
      </c>
      <c r="P300" s="92"/>
      <c r="Q300" s="164" t="s">
        <v>205</v>
      </c>
      <c r="R300" s="92"/>
      <c r="S300" s="164" t="s">
        <v>205</v>
      </c>
      <c r="T300" s="92"/>
      <c r="U300" s="145" t="s">
        <v>205</v>
      </c>
      <c r="V300" s="92"/>
      <c r="W300" s="145" t="s">
        <v>205</v>
      </c>
      <c r="X300" s="92"/>
      <c r="Y300" s="352" t="s">
        <v>205</v>
      </c>
      <c r="Z300" s="142" t="str">
        <f t="shared" si="13"/>
        <v>C</v>
      </c>
      <c r="AA300" s="226" t="str">
        <f t="shared" si="14"/>
        <v>UTILIZOU O PDA CORRETAMENTE</v>
      </c>
      <c r="AB300" s="9" t="s">
        <v>205</v>
      </c>
      <c r="AC300" s="162" t="s">
        <v>6</v>
      </c>
      <c r="AD300" s="150" t="str">
        <f t="shared" si="15"/>
        <v>SÃO PAULO</v>
      </c>
      <c r="AE300" s="95" t="s">
        <v>64</v>
      </c>
    </row>
    <row r="301" spans="1:31" s="268" customFormat="1" ht="30" customHeight="1">
      <c r="A301" s="265" t="s">
        <v>198</v>
      </c>
      <c r="B301" s="265">
        <v>2693318977</v>
      </c>
      <c r="C301" s="265" t="s">
        <v>128</v>
      </c>
      <c r="D301" s="265" t="s">
        <v>64</v>
      </c>
      <c r="E301" s="265" t="s">
        <v>5</v>
      </c>
      <c r="F301" s="265" t="s">
        <v>2264</v>
      </c>
      <c r="G301" s="265">
        <v>501</v>
      </c>
      <c r="H301" s="265"/>
      <c r="I301" s="265" t="s">
        <v>914</v>
      </c>
      <c r="J301" s="265" t="s">
        <v>1898</v>
      </c>
      <c r="K301" s="265"/>
      <c r="L301" s="265" t="s">
        <v>2265</v>
      </c>
      <c r="M301" s="265" t="s">
        <v>2266</v>
      </c>
      <c r="N301" s="265" t="s">
        <v>1956</v>
      </c>
      <c r="O301" s="180" t="s">
        <v>205</v>
      </c>
      <c r="P301" s="266"/>
      <c r="Q301" s="164" t="s">
        <v>205</v>
      </c>
      <c r="R301" s="266"/>
      <c r="S301" s="164" t="s">
        <v>205</v>
      </c>
      <c r="T301" s="266"/>
      <c r="U301" s="267" t="s">
        <v>205</v>
      </c>
      <c r="V301" s="266"/>
      <c r="W301" s="267" t="s">
        <v>205</v>
      </c>
      <c r="X301" s="266"/>
      <c r="Y301" s="355" t="s">
        <v>205</v>
      </c>
      <c r="Z301" s="142" t="str">
        <f t="shared" si="13"/>
        <v>C</v>
      </c>
      <c r="AA301" s="226" t="str">
        <f t="shared" si="14"/>
        <v>UTILIZOU O PDA CORRETAMENTE</v>
      </c>
      <c r="AB301" s="357" t="s">
        <v>205</v>
      </c>
      <c r="AC301" s="162" t="s">
        <v>6</v>
      </c>
      <c r="AD301" s="150" t="str">
        <f t="shared" si="15"/>
        <v>SÃO PAULO</v>
      </c>
      <c r="AE301" s="95" t="s">
        <v>64</v>
      </c>
    </row>
    <row r="302" spans="1:31" s="55" customFormat="1" ht="30" customHeight="1">
      <c r="A302" s="215" t="s">
        <v>198</v>
      </c>
      <c r="B302" s="215">
        <v>2620187848</v>
      </c>
      <c r="C302" s="215" t="s">
        <v>131</v>
      </c>
      <c r="D302" s="215" t="s">
        <v>64</v>
      </c>
      <c r="E302" s="215" t="s">
        <v>5</v>
      </c>
      <c r="F302" s="215" t="s">
        <v>2267</v>
      </c>
      <c r="G302" s="215">
        <v>25</v>
      </c>
      <c r="H302" s="215" t="s">
        <v>200</v>
      </c>
      <c r="I302" s="215" t="s">
        <v>324</v>
      </c>
      <c r="J302" s="215" t="s">
        <v>1908</v>
      </c>
      <c r="K302" s="215" t="s">
        <v>2268</v>
      </c>
      <c r="L302" s="215" t="s">
        <v>836</v>
      </c>
      <c r="M302" s="215" t="s">
        <v>2269</v>
      </c>
      <c r="N302" s="215" t="s">
        <v>310</v>
      </c>
      <c r="O302" s="180" t="s">
        <v>205</v>
      </c>
      <c r="P302" s="92"/>
      <c r="Q302" s="164" t="s">
        <v>205</v>
      </c>
      <c r="R302" s="92"/>
      <c r="S302" s="164" t="s">
        <v>205</v>
      </c>
      <c r="T302" s="92"/>
      <c r="U302" s="145" t="s">
        <v>205</v>
      </c>
      <c r="V302" s="92"/>
      <c r="W302" s="145" t="s">
        <v>206</v>
      </c>
      <c r="X302" s="92"/>
      <c r="Y302" s="352" t="s">
        <v>205</v>
      </c>
      <c r="Z302" s="142" t="str">
        <f t="shared" si="13"/>
        <v>NC</v>
      </c>
      <c r="AA302" s="226" t="str">
        <f t="shared" si="14"/>
        <v>UTILIZOU O PDA CORRETAMENTE. NÃO HÁ FOTOS DE TODAS AS ETAPAS</v>
      </c>
      <c r="AB302" s="9" t="s">
        <v>205</v>
      </c>
      <c r="AC302" s="162" t="s">
        <v>6</v>
      </c>
      <c r="AD302" s="150" t="str">
        <f t="shared" si="15"/>
        <v>SÃO PAULO</v>
      </c>
      <c r="AE302" s="95" t="s">
        <v>64</v>
      </c>
    </row>
    <row r="303" spans="1:31" s="55" customFormat="1" ht="30" customHeight="1">
      <c r="A303" s="215" t="s">
        <v>198</v>
      </c>
      <c r="B303" s="215">
        <v>2693334919</v>
      </c>
      <c r="C303" s="215" t="s">
        <v>128</v>
      </c>
      <c r="D303" s="215" t="s">
        <v>64</v>
      </c>
      <c r="E303" s="215" t="s">
        <v>5</v>
      </c>
      <c r="F303" s="215" t="s">
        <v>2270</v>
      </c>
      <c r="G303" s="215">
        <v>38</v>
      </c>
      <c r="H303" s="215" t="s">
        <v>226</v>
      </c>
      <c r="I303" s="215" t="s">
        <v>1394</v>
      </c>
      <c r="J303" s="215" t="s">
        <v>1898</v>
      </c>
      <c r="K303" s="215"/>
      <c r="L303" s="215" t="s">
        <v>1660</v>
      </c>
      <c r="M303" s="215" t="s">
        <v>1662</v>
      </c>
      <c r="N303" s="215" t="s">
        <v>900</v>
      </c>
      <c r="O303" s="180" t="s">
        <v>205</v>
      </c>
      <c r="P303" s="92"/>
      <c r="Q303" s="164" t="s">
        <v>205</v>
      </c>
      <c r="R303" s="92"/>
      <c r="S303" s="164" t="s">
        <v>205</v>
      </c>
      <c r="T303" s="92"/>
      <c r="U303" s="145" t="s">
        <v>205</v>
      </c>
      <c r="V303" s="92"/>
      <c r="W303" s="145" t="s">
        <v>205</v>
      </c>
      <c r="X303" s="92"/>
      <c r="Y303" s="352" t="s">
        <v>205</v>
      </c>
      <c r="Z303" s="142" t="str">
        <f t="shared" si="13"/>
        <v>C</v>
      </c>
      <c r="AA303" s="226" t="str">
        <f t="shared" si="14"/>
        <v>UTILIZOU O PDA CORRETAMENTE</v>
      </c>
      <c r="AB303" s="9" t="s">
        <v>205</v>
      </c>
      <c r="AC303" s="162" t="s">
        <v>6</v>
      </c>
      <c r="AD303" s="150" t="str">
        <f t="shared" si="15"/>
        <v>SÃO PAULO</v>
      </c>
      <c r="AE303" s="95" t="s">
        <v>64</v>
      </c>
    </row>
    <row r="304" spans="1:31" s="55" customFormat="1" ht="30" customHeight="1">
      <c r="A304" s="215" t="s">
        <v>198</v>
      </c>
      <c r="B304" s="215">
        <v>2618738168</v>
      </c>
      <c r="C304" s="215" t="s">
        <v>135</v>
      </c>
      <c r="D304" s="215" t="s">
        <v>125</v>
      </c>
      <c r="E304" s="215" t="s">
        <v>5</v>
      </c>
      <c r="F304" s="215" t="s">
        <v>2271</v>
      </c>
      <c r="G304" s="215">
        <v>64</v>
      </c>
      <c r="H304" s="215" t="s">
        <v>318</v>
      </c>
      <c r="I304" s="215" t="s">
        <v>2272</v>
      </c>
      <c r="J304" s="215" t="s">
        <v>1909</v>
      </c>
      <c r="K304" s="215" t="s">
        <v>200</v>
      </c>
      <c r="L304" s="215" t="s">
        <v>2273</v>
      </c>
      <c r="M304" s="215" t="s">
        <v>2274</v>
      </c>
      <c r="N304" s="215" t="s">
        <v>310</v>
      </c>
      <c r="O304" s="180" t="s">
        <v>205</v>
      </c>
      <c r="P304" s="92"/>
      <c r="Q304" s="164" t="s">
        <v>205</v>
      </c>
      <c r="R304" s="92"/>
      <c r="S304" s="164" t="s">
        <v>205</v>
      </c>
      <c r="T304" s="92"/>
      <c r="U304" s="145" t="s">
        <v>205</v>
      </c>
      <c r="V304" s="92"/>
      <c r="W304" s="145" t="s">
        <v>205</v>
      </c>
      <c r="X304" s="92"/>
      <c r="Y304" s="352" t="s">
        <v>205</v>
      </c>
      <c r="Z304" s="142" t="str">
        <f t="shared" si="13"/>
        <v>C</v>
      </c>
      <c r="AA304" s="226" t="str">
        <f t="shared" si="14"/>
        <v>UTILIZOU O PDA CORRETAMENTE</v>
      </c>
      <c r="AB304" s="9" t="s">
        <v>205</v>
      </c>
      <c r="AC304" s="162" t="s">
        <v>6</v>
      </c>
      <c r="AD304" s="150" t="str">
        <f t="shared" ref="AD304:AD327" si="16">E304</f>
        <v>SÃO PAULO</v>
      </c>
      <c r="AE304" s="95" t="s">
        <v>64</v>
      </c>
    </row>
    <row r="305" spans="1:31" s="55" customFormat="1" ht="30" customHeight="1">
      <c r="A305" s="215" t="s">
        <v>198</v>
      </c>
      <c r="B305" s="215">
        <v>2619843658</v>
      </c>
      <c r="C305" s="215" t="s">
        <v>135</v>
      </c>
      <c r="D305" s="215" t="s">
        <v>125</v>
      </c>
      <c r="E305" s="215" t="s">
        <v>5</v>
      </c>
      <c r="F305" s="215" t="s">
        <v>2271</v>
      </c>
      <c r="G305" s="215">
        <v>64</v>
      </c>
      <c r="H305" s="215" t="s">
        <v>226</v>
      </c>
      <c r="I305" s="215" t="s">
        <v>2272</v>
      </c>
      <c r="J305" s="215" t="s">
        <v>1909</v>
      </c>
      <c r="K305" s="215"/>
      <c r="L305" s="215" t="s">
        <v>2275</v>
      </c>
      <c r="M305" s="215" t="s">
        <v>2276</v>
      </c>
      <c r="N305" s="215" t="s">
        <v>310</v>
      </c>
      <c r="O305" s="180" t="s">
        <v>205</v>
      </c>
      <c r="P305" s="92"/>
      <c r="Q305" s="164" t="s">
        <v>205</v>
      </c>
      <c r="R305" s="92"/>
      <c r="S305" s="164" t="s">
        <v>205</v>
      </c>
      <c r="T305" s="92"/>
      <c r="U305" s="145" t="s">
        <v>205</v>
      </c>
      <c r="V305" s="92"/>
      <c r="W305" s="145" t="s">
        <v>205</v>
      </c>
      <c r="X305" s="92"/>
      <c r="Y305" s="352" t="s">
        <v>205</v>
      </c>
      <c r="Z305" s="142" t="str">
        <f t="shared" si="13"/>
        <v>C</v>
      </c>
      <c r="AA305" s="226" t="str">
        <f t="shared" si="14"/>
        <v>UTILIZOU O PDA CORRETAMENTE</v>
      </c>
      <c r="AB305" s="9" t="s">
        <v>205</v>
      </c>
      <c r="AC305" s="162" t="s">
        <v>6</v>
      </c>
      <c r="AD305" s="150" t="str">
        <f t="shared" si="16"/>
        <v>SÃO PAULO</v>
      </c>
      <c r="AE305" s="95" t="s">
        <v>64</v>
      </c>
    </row>
    <row r="306" spans="1:31" s="55" customFormat="1" ht="30" customHeight="1">
      <c r="A306" s="215" t="s">
        <v>198</v>
      </c>
      <c r="B306" s="215">
        <v>2693347233</v>
      </c>
      <c r="C306" s="215" t="s">
        <v>128</v>
      </c>
      <c r="D306" s="215" t="s">
        <v>64</v>
      </c>
      <c r="E306" s="215" t="s">
        <v>5</v>
      </c>
      <c r="F306" s="215" t="s">
        <v>2277</v>
      </c>
      <c r="G306" s="215">
        <v>215</v>
      </c>
      <c r="H306" s="215" t="s">
        <v>481</v>
      </c>
      <c r="I306" s="215" t="s">
        <v>215</v>
      </c>
      <c r="J306" s="215" t="s">
        <v>1908</v>
      </c>
      <c r="K306" s="215" t="s">
        <v>200</v>
      </c>
      <c r="L306" s="215" t="s">
        <v>2278</v>
      </c>
      <c r="M306" s="215" t="s">
        <v>2273</v>
      </c>
      <c r="N306" s="215" t="s">
        <v>590</v>
      </c>
      <c r="O306" s="180" t="s">
        <v>205</v>
      </c>
      <c r="P306" s="92"/>
      <c r="Q306" s="164" t="s">
        <v>205</v>
      </c>
      <c r="R306" s="92"/>
      <c r="S306" s="164" t="s">
        <v>205</v>
      </c>
      <c r="T306" s="92"/>
      <c r="U306" s="145" t="s">
        <v>205</v>
      </c>
      <c r="V306" s="92"/>
      <c r="W306" s="145" t="s">
        <v>205</v>
      </c>
      <c r="X306" s="92"/>
      <c r="Y306" s="352" t="s">
        <v>205</v>
      </c>
      <c r="Z306" s="142" t="str">
        <f t="shared" si="13"/>
        <v>C</v>
      </c>
      <c r="AA306" s="226" t="str">
        <f t="shared" si="14"/>
        <v>UTILIZOU O PDA CORRETAMENTE</v>
      </c>
      <c r="AB306" s="9" t="s">
        <v>205</v>
      </c>
      <c r="AC306" s="162" t="s">
        <v>6</v>
      </c>
      <c r="AD306" s="150" t="str">
        <f t="shared" si="16"/>
        <v>SÃO PAULO</v>
      </c>
      <c r="AE306" s="95" t="s">
        <v>64</v>
      </c>
    </row>
    <row r="307" spans="1:31" s="268" customFormat="1" ht="30" customHeight="1">
      <c r="A307" s="265" t="s">
        <v>198</v>
      </c>
      <c r="B307" s="265">
        <v>2618861684</v>
      </c>
      <c r="C307" s="265" t="s">
        <v>135</v>
      </c>
      <c r="D307" s="265" t="s">
        <v>125</v>
      </c>
      <c r="E307" s="265" t="s">
        <v>5</v>
      </c>
      <c r="F307" s="265" t="s">
        <v>829</v>
      </c>
      <c r="G307" s="265">
        <v>270</v>
      </c>
      <c r="H307" s="265"/>
      <c r="I307" s="265" t="s">
        <v>830</v>
      </c>
      <c r="J307" s="265" t="s">
        <v>1909</v>
      </c>
      <c r="K307" s="265" t="s">
        <v>399</v>
      </c>
      <c r="L307" s="265" t="s">
        <v>835</v>
      </c>
      <c r="M307" s="265" t="s">
        <v>833</v>
      </c>
      <c r="N307" s="265" t="s">
        <v>254</v>
      </c>
      <c r="O307" s="180" t="s">
        <v>205</v>
      </c>
      <c r="P307" s="266"/>
      <c r="Q307" s="164" t="s">
        <v>205</v>
      </c>
      <c r="R307" s="266"/>
      <c r="S307" s="164" t="s">
        <v>205</v>
      </c>
      <c r="T307" s="266"/>
      <c r="U307" s="267" t="s">
        <v>205</v>
      </c>
      <c r="V307" s="266"/>
      <c r="W307" s="267" t="s">
        <v>205</v>
      </c>
      <c r="X307" s="266"/>
      <c r="Y307" s="355" t="s">
        <v>205</v>
      </c>
      <c r="Z307" s="142" t="str">
        <f t="shared" si="13"/>
        <v>C</v>
      </c>
      <c r="AA307" s="226" t="str">
        <f t="shared" si="14"/>
        <v>UTILIZOU O PDA CORRETAMENTE</v>
      </c>
      <c r="AB307" s="357" t="s">
        <v>205</v>
      </c>
      <c r="AC307" s="162" t="s">
        <v>6</v>
      </c>
      <c r="AD307" s="150" t="str">
        <f t="shared" si="16"/>
        <v>SÃO PAULO</v>
      </c>
      <c r="AE307" s="95" t="s">
        <v>64</v>
      </c>
    </row>
    <row r="308" spans="1:31" s="55" customFormat="1" ht="30" customHeight="1">
      <c r="A308" s="215" t="s">
        <v>198</v>
      </c>
      <c r="B308" s="215">
        <v>2620380283</v>
      </c>
      <c r="C308" s="215" t="s">
        <v>131</v>
      </c>
      <c r="D308" s="215" t="s">
        <v>64</v>
      </c>
      <c r="E308" s="215" t="s">
        <v>5</v>
      </c>
      <c r="F308" s="215" t="s">
        <v>631</v>
      </c>
      <c r="G308" s="215">
        <v>265</v>
      </c>
      <c r="H308" s="215" t="s">
        <v>200</v>
      </c>
      <c r="I308" s="215" t="s">
        <v>397</v>
      </c>
      <c r="J308" s="215" t="s">
        <v>1908</v>
      </c>
      <c r="K308" s="215" t="s">
        <v>2279</v>
      </c>
      <c r="L308" s="215" t="s">
        <v>2280</v>
      </c>
      <c r="M308" s="215" t="s">
        <v>2257</v>
      </c>
      <c r="N308" s="215" t="s">
        <v>254</v>
      </c>
      <c r="O308" s="157" t="s">
        <v>62</v>
      </c>
      <c r="P308" s="92"/>
      <c r="Q308" s="145" t="s">
        <v>62</v>
      </c>
      <c r="R308" s="92"/>
      <c r="S308" s="145" t="s">
        <v>62</v>
      </c>
      <c r="T308" s="92"/>
      <c r="U308" s="145" t="s">
        <v>62</v>
      </c>
      <c r="V308" s="92"/>
      <c r="W308" s="145" t="s">
        <v>62</v>
      </c>
      <c r="X308" s="92"/>
      <c r="Y308" s="352" t="s">
        <v>62</v>
      </c>
      <c r="Z308" s="142" t="str">
        <f t="shared" si="13"/>
        <v>NA</v>
      </c>
      <c r="AA308" s="226" t="str">
        <f t="shared" si="14"/>
        <v>NÃO AVALIADO POR FALHA DE SINCRONISMO</v>
      </c>
      <c r="AB308" s="9" t="s">
        <v>205</v>
      </c>
      <c r="AC308" s="162" t="s">
        <v>6</v>
      </c>
      <c r="AD308" s="150" t="str">
        <f t="shared" si="16"/>
        <v>SÃO PAULO</v>
      </c>
      <c r="AE308" s="95" t="s">
        <v>64</v>
      </c>
    </row>
    <row r="309" spans="1:31" s="55" customFormat="1" ht="30" customHeight="1">
      <c r="A309" s="215" t="s">
        <v>198</v>
      </c>
      <c r="B309" s="215">
        <v>2693303735</v>
      </c>
      <c r="C309" s="215" t="s">
        <v>128</v>
      </c>
      <c r="D309" s="215" t="s">
        <v>64</v>
      </c>
      <c r="E309" s="215" t="s">
        <v>5</v>
      </c>
      <c r="F309" s="215" t="s">
        <v>2168</v>
      </c>
      <c r="G309" s="215">
        <v>481</v>
      </c>
      <c r="H309" s="215" t="s">
        <v>226</v>
      </c>
      <c r="I309" s="215" t="s">
        <v>312</v>
      </c>
      <c r="J309" s="215" t="s">
        <v>1898</v>
      </c>
      <c r="K309" s="215" t="s">
        <v>2281</v>
      </c>
      <c r="L309" s="215" t="s">
        <v>2282</v>
      </c>
      <c r="M309" s="215" t="s">
        <v>2283</v>
      </c>
      <c r="N309" s="215" t="s">
        <v>254</v>
      </c>
      <c r="O309" s="157" t="s">
        <v>62</v>
      </c>
      <c r="P309" s="92"/>
      <c r="Q309" s="145" t="s">
        <v>62</v>
      </c>
      <c r="R309" s="92"/>
      <c r="S309" s="145" t="s">
        <v>62</v>
      </c>
      <c r="T309" s="92"/>
      <c r="U309" s="145" t="s">
        <v>62</v>
      </c>
      <c r="V309" s="92"/>
      <c r="W309" s="145" t="s">
        <v>62</v>
      </c>
      <c r="X309" s="92"/>
      <c r="Y309" s="352" t="s">
        <v>62</v>
      </c>
      <c r="Z309" s="142" t="str">
        <f t="shared" si="13"/>
        <v>NA</v>
      </c>
      <c r="AA309" s="226" t="str">
        <f t="shared" si="14"/>
        <v>NÃO AVALIADO POR FALHA DE SINCRONISMO</v>
      </c>
      <c r="AB309" s="9" t="s">
        <v>205</v>
      </c>
      <c r="AC309" s="162" t="s">
        <v>6</v>
      </c>
      <c r="AD309" s="150" t="str">
        <f t="shared" si="16"/>
        <v>SÃO PAULO</v>
      </c>
      <c r="AE309" s="95" t="s">
        <v>64</v>
      </c>
    </row>
    <row r="310" spans="1:31" s="55" customFormat="1" ht="30" customHeight="1">
      <c r="A310" s="228" t="s">
        <v>198</v>
      </c>
      <c r="B310" s="228">
        <v>2693260797</v>
      </c>
      <c r="C310" s="228" t="s">
        <v>130</v>
      </c>
      <c r="D310" s="228" t="s">
        <v>125</v>
      </c>
      <c r="E310" s="228" t="s">
        <v>5</v>
      </c>
      <c r="F310" s="228" t="s">
        <v>371</v>
      </c>
      <c r="G310" s="228">
        <v>231</v>
      </c>
      <c r="H310" s="228" t="s">
        <v>200</v>
      </c>
      <c r="I310" s="228" t="s">
        <v>372</v>
      </c>
      <c r="J310" s="228" t="s">
        <v>1934</v>
      </c>
      <c r="K310" s="228" t="s">
        <v>200</v>
      </c>
      <c r="L310" s="228" t="s">
        <v>2219</v>
      </c>
      <c r="M310" s="228" t="s">
        <v>807</v>
      </c>
      <c r="N310" s="228" t="s">
        <v>1919</v>
      </c>
      <c r="O310" s="180" t="s">
        <v>205</v>
      </c>
      <c r="P310" s="92"/>
      <c r="Q310" s="164" t="s">
        <v>205</v>
      </c>
      <c r="R310" s="92"/>
      <c r="S310" s="164" t="s">
        <v>205</v>
      </c>
      <c r="T310" s="92"/>
      <c r="U310" s="145" t="s">
        <v>205</v>
      </c>
      <c r="V310" s="92"/>
      <c r="W310" s="145" t="s">
        <v>205</v>
      </c>
      <c r="X310" s="92"/>
      <c r="Y310" s="352" t="s">
        <v>205</v>
      </c>
      <c r="Z310" s="142" t="str">
        <f t="shared" si="13"/>
        <v>C</v>
      </c>
      <c r="AA310" s="226" t="str">
        <f t="shared" si="14"/>
        <v>UTILIZOU O PDA CORRETAMENTE</v>
      </c>
      <c r="AB310" s="9" t="s">
        <v>205</v>
      </c>
      <c r="AC310" s="162" t="s">
        <v>6</v>
      </c>
      <c r="AD310" s="150" t="str">
        <f t="shared" si="16"/>
        <v>SÃO PAULO</v>
      </c>
      <c r="AE310" s="95" t="s">
        <v>64</v>
      </c>
    </row>
    <row r="311" spans="1:31" s="55" customFormat="1" ht="30" customHeight="1">
      <c r="A311" s="215" t="s">
        <v>198</v>
      </c>
      <c r="B311" s="215">
        <v>2620465421</v>
      </c>
      <c r="C311" s="215" t="s">
        <v>131</v>
      </c>
      <c r="D311" s="215" t="s">
        <v>64</v>
      </c>
      <c r="E311" s="215" t="s">
        <v>5</v>
      </c>
      <c r="F311" s="215" t="s">
        <v>2284</v>
      </c>
      <c r="G311" s="215">
        <v>218</v>
      </c>
      <c r="H311" s="215" t="s">
        <v>200</v>
      </c>
      <c r="I311" s="215" t="s">
        <v>257</v>
      </c>
      <c r="J311" s="215" t="s">
        <v>1908</v>
      </c>
      <c r="K311" s="215" t="s">
        <v>2285</v>
      </c>
      <c r="L311" s="215" t="s">
        <v>2286</v>
      </c>
      <c r="M311" s="215" t="s">
        <v>2287</v>
      </c>
      <c r="N311" s="215" t="s">
        <v>1919</v>
      </c>
      <c r="O311" s="180" t="s">
        <v>205</v>
      </c>
      <c r="P311" s="92"/>
      <c r="Q311" s="164" t="s">
        <v>205</v>
      </c>
      <c r="R311" s="92"/>
      <c r="S311" s="164" t="s">
        <v>205</v>
      </c>
      <c r="T311" s="92"/>
      <c r="U311" s="145" t="s">
        <v>205</v>
      </c>
      <c r="V311" s="92"/>
      <c r="W311" s="145" t="s">
        <v>205</v>
      </c>
      <c r="X311" s="92"/>
      <c r="Y311" s="352" t="s">
        <v>205</v>
      </c>
      <c r="Z311" s="142" t="str">
        <f t="shared" si="13"/>
        <v>C</v>
      </c>
      <c r="AA311" s="226" t="str">
        <f t="shared" si="14"/>
        <v>UTILIZOU O PDA CORRETAMENTE</v>
      </c>
      <c r="AB311" s="9" t="s">
        <v>205</v>
      </c>
      <c r="AC311" s="162" t="s">
        <v>6</v>
      </c>
      <c r="AD311" s="150" t="str">
        <f t="shared" si="16"/>
        <v>SÃO PAULO</v>
      </c>
      <c r="AE311" s="95" t="s">
        <v>64</v>
      </c>
    </row>
    <row r="312" spans="1:31" s="55" customFormat="1" ht="30" customHeight="1">
      <c r="A312" s="215" t="s">
        <v>198</v>
      </c>
      <c r="B312" s="215">
        <v>2620474491</v>
      </c>
      <c r="C312" s="215" t="s">
        <v>128</v>
      </c>
      <c r="D312" s="215" t="s">
        <v>64</v>
      </c>
      <c r="E312" s="215" t="s">
        <v>5</v>
      </c>
      <c r="F312" s="215" t="s">
        <v>2288</v>
      </c>
      <c r="G312" s="215">
        <v>236</v>
      </c>
      <c r="H312" s="215" t="s">
        <v>226</v>
      </c>
      <c r="I312" s="215" t="s">
        <v>277</v>
      </c>
      <c r="J312" s="215" t="s">
        <v>1898</v>
      </c>
      <c r="K312" s="215" t="s">
        <v>2289</v>
      </c>
      <c r="L312" s="215" t="s">
        <v>889</v>
      </c>
      <c r="M312" s="215" t="s">
        <v>2290</v>
      </c>
      <c r="N312" s="215" t="s">
        <v>852</v>
      </c>
      <c r="O312" s="157" t="s">
        <v>206</v>
      </c>
      <c r="P312" s="92"/>
      <c r="Q312" s="145" t="s">
        <v>206</v>
      </c>
      <c r="R312" s="92"/>
      <c r="S312" s="145" t="s">
        <v>206</v>
      </c>
      <c r="T312" s="92"/>
      <c r="U312" s="145" t="s">
        <v>206</v>
      </c>
      <c r="V312" s="92"/>
      <c r="W312" s="145" t="s">
        <v>206</v>
      </c>
      <c r="X312" s="92"/>
      <c r="Y312" s="352" t="s">
        <v>205</v>
      </c>
      <c r="Z312" s="142" t="str">
        <f t="shared" si="13"/>
        <v>NC</v>
      </c>
      <c r="AA312" s="226" t="str">
        <f t="shared" si="14"/>
        <v>UTILIZOU O PDA CORRETAMENTE. NÃO HÁ FOTOS DE TODAS AS ETAPAS</v>
      </c>
      <c r="AB312" s="9" t="s">
        <v>205</v>
      </c>
      <c r="AC312" s="162" t="s">
        <v>6</v>
      </c>
      <c r="AD312" s="150" t="str">
        <f t="shared" si="16"/>
        <v>SÃO PAULO</v>
      </c>
      <c r="AE312" s="95" t="s">
        <v>64</v>
      </c>
    </row>
    <row r="313" spans="1:31" s="55" customFormat="1" ht="30" customHeight="1">
      <c r="A313" s="215" t="s">
        <v>198</v>
      </c>
      <c r="B313" s="215">
        <v>2620339232</v>
      </c>
      <c r="C313" s="215" t="s">
        <v>128</v>
      </c>
      <c r="D313" s="215" t="s">
        <v>64</v>
      </c>
      <c r="E313" s="215" t="s">
        <v>5</v>
      </c>
      <c r="F313" s="215" t="s">
        <v>2291</v>
      </c>
      <c r="G313" s="215">
        <v>95</v>
      </c>
      <c r="H313" s="215"/>
      <c r="I313" s="215" t="s">
        <v>1288</v>
      </c>
      <c r="J313" s="215" t="s">
        <v>1898</v>
      </c>
      <c r="K313" s="215"/>
      <c r="L313" s="215" t="s">
        <v>2292</v>
      </c>
      <c r="M313" s="215" t="s">
        <v>2293</v>
      </c>
      <c r="N313" s="215" t="s">
        <v>799</v>
      </c>
      <c r="O313" s="180" t="s">
        <v>205</v>
      </c>
      <c r="P313" s="92"/>
      <c r="Q313" s="164" t="s">
        <v>205</v>
      </c>
      <c r="R313" s="92"/>
      <c r="S313" s="164" t="s">
        <v>205</v>
      </c>
      <c r="T313" s="92"/>
      <c r="U313" s="145" t="s">
        <v>205</v>
      </c>
      <c r="V313" s="92"/>
      <c r="W313" s="145" t="s">
        <v>205</v>
      </c>
      <c r="X313" s="92"/>
      <c r="Y313" s="352" t="s">
        <v>205</v>
      </c>
      <c r="Z313" s="142" t="str">
        <f t="shared" si="13"/>
        <v>C</v>
      </c>
      <c r="AA313" s="226" t="str">
        <f t="shared" si="14"/>
        <v>UTILIZOU O PDA CORRETAMENTE</v>
      </c>
      <c r="AB313" s="9" t="s">
        <v>205</v>
      </c>
      <c r="AC313" s="162" t="s">
        <v>6</v>
      </c>
      <c r="AD313" s="150" t="str">
        <f t="shared" si="16"/>
        <v>SÃO PAULO</v>
      </c>
      <c r="AE313" s="95" t="s">
        <v>64</v>
      </c>
    </row>
    <row r="314" spans="1:31" s="55" customFormat="1" ht="30" customHeight="1">
      <c r="A314" s="215" t="s">
        <v>198</v>
      </c>
      <c r="B314" s="215">
        <v>2693355052</v>
      </c>
      <c r="C314" s="215" t="s">
        <v>128</v>
      </c>
      <c r="D314" s="215" t="s">
        <v>64</v>
      </c>
      <c r="E314" s="215" t="s">
        <v>5</v>
      </c>
      <c r="F314" s="215" t="s">
        <v>2294</v>
      </c>
      <c r="G314" s="215">
        <v>380</v>
      </c>
      <c r="H314" s="215"/>
      <c r="I314" s="215" t="s">
        <v>2131</v>
      </c>
      <c r="J314" s="215" t="s">
        <v>1908</v>
      </c>
      <c r="K314" s="215" t="s">
        <v>2295</v>
      </c>
      <c r="L314" s="215" t="s">
        <v>2296</v>
      </c>
      <c r="M314" s="215" t="s">
        <v>2297</v>
      </c>
      <c r="N314" s="215" t="s">
        <v>1919</v>
      </c>
      <c r="O314" s="157" t="s">
        <v>206</v>
      </c>
      <c r="P314" s="92"/>
      <c r="Q314" s="145" t="s">
        <v>206</v>
      </c>
      <c r="R314" s="92"/>
      <c r="S314" s="145" t="s">
        <v>206</v>
      </c>
      <c r="T314" s="92"/>
      <c r="U314" s="145" t="s">
        <v>206</v>
      </c>
      <c r="V314" s="92"/>
      <c r="W314" s="145" t="s">
        <v>206</v>
      </c>
      <c r="X314" s="92"/>
      <c r="Y314" s="352" t="s">
        <v>239</v>
      </c>
      <c r="Z314" s="142" t="str">
        <f t="shared" si="13"/>
        <v>NC</v>
      </c>
      <c r="AA314" s="226" t="str">
        <f t="shared" si="14"/>
        <v>NÃO UTILIZOU O PDA</v>
      </c>
      <c r="AB314" s="9" t="s">
        <v>205</v>
      </c>
      <c r="AC314" s="162" t="s">
        <v>6</v>
      </c>
      <c r="AD314" s="150" t="str">
        <f t="shared" si="16"/>
        <v>SÃO PAULO</v>
      </c>
      <c r="AE314" s="95" t="s">
        <v>64</v>
      </c>
    </row>
    <row r="315" spans="1:31" s="55" customFormat="1" ht="30" customHeight="1">
      <c r="A315" s="215" t="s">
        <v>198</v>
      </c>
      <c r="B315" s="215">
        <v>2693359611</v>
      </c>
      <c r="C315" s="215" t="s">
        <v>132</v>
      </c>
      <c r="D315" s="215" t="s">
        <v>64</v>
      </c>
      <c r="E315" s="215" t="s">
        <v>5</v>
      </c>
      <c r="F315" s="215" t="s">
        <v>2298</v>
      </c>
      <c r="G315" s="215">
        <v>143</v>
      </c>
      <c r="H315" s="215" t="s">
        <v>200</v>
      </c>
      <c r="I315" s="215" t="s">
        <v>343</v>
      </c>
      <c r="J315" s="215" t="s">
        <v>1898</v>
      </c>
      <c r="K315" s="215" t="s">
        <v>2299</v>
      </c>
      <c r="L315" s="215" t="s">
        <v>2300</v>
      </c>
      <c r="M315" s="215" t="s">
        <v>2301</v>
      </c>
      <c r="N315" s="215" t="s">
        <v>1919</v>
      </c>
      <c r="O315" s="180" t="s">
        <v>205</v>
      </c>
      <c r="P315" s="92"/>
      <c r="Q315" s="164" t="s">
        <v>205</v>
      </c>
      <c r="R315" s="92"/>
      <c r="S315" s="164" t="s">
        <v>205</v>
      </c>
      <c r="T315" s="92"/>
      <c r="U315" s="145" t="s">
        <v>205</v>
      </c>
      <c r="V315" s="92"/>
      <c r="W315" s="145" t="s">
        <v>205</v>
      </c>
      <c r="X315" s="92"/>
      <c r="Y315" s="352" t="s">
        <v>205</v>
      </c>
      <c r="Z315" s="142" t="str">
        <f t="shared" si="13"/>
        <v>C</v>
      </c>
      <c r="AA315" s="226" t="str">
        <f t="shared" si="14"/>
        <v>UTILIZOU O PDA CORRETAMENTE</v>
      </c>
      <c r="AB315" s="9" t="s">
        <v>205</v>
      </c>
      <c r="AC315" s="162" t="s">
        <v>6</v>
      </c>
      <c r="AD315" s="150" t="str">
        <f t="shared" si="16"/>
        <v>SÃO PAULO</v>
      </c>
      <c r="AE315" s="95" t="s">
        <v>64</v>
      </c>
    </row>
    <row r="316" spans="1:31" s="55" customFormat="1" ht="30" customHeight="1">
      <c r="A316" s="215" t="s">
        <v>198</v>
      </c>
      <c r="B316" s="215">
        <v>2620380087</v>
      </c>
      <c r="C316" s="215" t="s">
        <v>2060</v>
      </c>
      <c r="D316" s="215" t="s">
        <v>125</v>
      </c>
      <c r="E316" s="215" t="s">
        <v>5</v>
      </c>
      <c r="F316" s="215" t="s">
        <v>467</v>
      </c>
      <c r="G316" s="215">
        <v>10</v>
      </c>
      <c r="H316" s="215"/>
      <c r="I316" s="215" t="s">
        <v>227</v>
      </c>
      <c r="J316" s="215" t="s">
        <v>2063</v>
      </c>
      <c r="K316" s="215" t="s">
        <v>2302</v>
      </c>
      <c r="L316" s="215" t="s">
        <v>2303</v>
      </c>
      <c r="M316" s="215" t="s">
        <v>2304</v>
      </c>
      <c r="N316" s="215" t="s">
        <v>1919</v>
      </c>
      <c r="O316" s="157" t="s">
        <v>206</v>
      </c>
      <c r="P316" s="92"/>
      <c r="Q316" s="145" t="s">
        <v>206</v>
      </c>
      <c r="R316" s="92"/>
      <c r="S316" s="145" t="s">
        <v>206</v>
      </c>
      <c r="T316" s="92"/>
      <c r="U316" s="145" t="s">
        <v>206</v>
      </c>
      <c r="V316" s="92"/>
      <c r="W316" s="145" t="s">
        <v>206</v>
      </c>
      <c r="X316" s="92"/>
      <c r="Y316" s="352" t="s">
        <v>239</v>
      </c>
      <c r="Z316" s="142" t="str">
        <f t="shared" si="13"/>
        <v>NC</v>
      </c>
      <c r="AA316" s="226" t="str">
        <f t="shared" si="14"/>
        <v>NÃO UTILIZOU O PDA</v>
      </c>
      <c r="AB316" s="9" t="s">
        <v>205</v>
      </c>
      <c r="AC316" s="162" t="s">
        <v>6</v>
      </c>
      <c r="AD316" s="150" t="str">
        <f t="shared" si="16"/>
        <v>SÃO PAULO</v>
      </c>
      <c r="AE316" s="95" t="s">
        <v>64</v>
      </c>
    </row>
    <row r="317" spans="1:31" s="55" customFormat="1" ht="30" customHeight="1">
      <c r="A317" s="215" t="s">
        <v>198</v>
      </c>
      <c r="B317" s="215">
        <v>2693336147</v>
      </c>
      <c r="C317" s="215" t="s">
        <v>128</v>
      </c>
      <c r="D317" s="215" t="s">
        <v>64</v>
      </c>
      <c r="E317" s="215" t="s">
        <v>5</v>
      </c>
      <c r="F317" s="215" t="s">
        <v>2305</v>
      </c>
      <c r="G317" s="215">
        <v>14</v>
      </c>
      <c r="H317" s="215" t="s">
        <v>226</v>
      </c>
      <c r="I317" s="215" t="s">
        <v>1341</v>
      </c>
      <c r="J317" s="215" t="s">
        <v>1908</v>
      </c>
      <c r="K317" s="215" t="s">
        <v>200</v>
      </c>
      <c r="L317" s="215" t="s">
        <v>2306</v>
      </c>
      <c r="M317" s="215" t="s">
        <v>2290</v>
      </c>
      <c r="N317" s="215" t="s">
        <v>1919</v>
      </c>
      <c r="O317" s="180" t="s">
        <v>205</v>
      </c>
      <c r="P317" s="92"/>
      <c r="Q317" s="164" t="s">
        <v>205</v>
      </c>
      <c r="R317" s="92"/>
      <c r="S317" s="164" t="s">
        <v>205</v>
      </c>
      <c r="T317" s="92"/>
      <c r="U317" s="145" t="s">
        <v>205</v>
      </c>
      <c r="V317" s="92"/>
      <c r="W317" s="145" t="s">
        <v>205</v>
      </c>
      <c r="X317" s="92"/>
      <c r="Y317" s="352" t="s">
        <v>205</v>
      </c>
      <c r="Z317" s="142" t="str">
        <f t="shared" si="13"/>
        <v>C</v>
      </c>
      <c r="AA317" s="226" t="str">
        <f t="shared" si="14"/>
        <v>UTILIZOU O PDA CORRETAMENTE</v>
      </c>
      <c r="AB317" s="9" t="s">
        <v>205</v>
      </c>
      <c r="AC317" s="162" t="s">
        <v>6</v>
      </c>
      <c r="AD317" s="150" t="str">
        <f t="shared" si="16"/>
        <v>SÃO PAULO</v>
      </c>
      <c r="AE317" s="95" t="s">
        <v>64</v>
      </c>
    </row>
    <row r="318" spans="1:31" s="55" customFormat="1" ht="30" customHeight="1">
      <c r="A318" s="215" t="s">
        <v>198</v>
      </c>
      <c r="B318" s="215">
        <v>2693345428</v>
      </c>
      <c r="C318" s="215" t="s">
        <v>128</v>
      </c>
      <c r="D318" s="215" t="s">
        <v>64</v>
      </c>
      <c r="E318" s="215" t="s">
        <v>5</v>
      </c>
      <c r="F318" s="215" t="s">
        <v>2307</v>
      </c>
      <c r="G318" s="215">
        <v>289</v>
      </c>
      <c r="H318" s="215"/>
      <c r="I318" s="215" t="s">
        <v>2308</v>
      </c>
      <c r="J318" s="215" t="s">
        <v>1908</v>
      </c>
      <c r="K318" s="215"/>
      <c r="L318" s="215" t="s">
        <v>2309</v>
      </c>
      <c r="M318" s="215" t="s">
        <v>2310</v>
      </c>
      <c r="N318" s="215" t="s">
        <v>1919</v>
      </c>
      <c r="O318" s="180" t="s">
        <v>205</v>
      </c>
      <c r="P318" s="92"/>
      <c r="Q318" s="164" t="s">
        <v>205</v>
      </c>
      <c r="R318" s="92"/>
      <c r="S318" s="164" t="s">
        <v>205</v>
      </c>
      <c r="T318" s="92"/>
      <c r="U318" s="145" t="s">
        <v>205</v>
      </c>
      <c r="V318" s="92"/>
      <c r="W318" s="145" t="s">
        <v>205</v>
      </c>
      <c r="X318" s="92"/>
      <c r="Y318" s="352" t="s">
        <v>205</v>
      </c>
      <c r="Z318" s="142" t="str">
        <f t="shared" si="13"/>
        <v>C</v>
      </c>
      <c r="AA318" s="226" t="str">
        <f t="shared" si="14"/>
        <v>UTILIZOU O PDA CORRETAMENTE</v>
      </c>
      <c r="AB318" s="9" t="s">
        <v>205</v>
      </c>
      <c r="AC318" s="162" t="s">
        <v>6</v>
      </c>
      <c r="AD318" s="150" t="str">
        <f t="shared" si="16"/>
        <v>SÃO PAULO</v>
      </c>
      <c r="AE318" s="95" t="s">
        <v>64</v>
      </c>
    </row>
    <row r="319" spans="1:31" s="55" customFormat="1" ht="30" customHeight="1">
      <c r="A319" s="215" t="s">
        <v>198</v>
      </c>
      <c r="B319" s="215">
        <v>2693355859</v>
      </c>
      <c r="C319" s="215" t="s">
        <v>128</v>
      </c>
      <c r="D319" s="215" t="s">
        <v>64</v>
      </c>
      <c r="E319" s="215" t="s">
        <v>5</v>
      </c>
      <c r="F319" s="215" t="s">
        <v>2311</v>
      </c>
      <c r="G319" s="215">
        <v>806</v>
      </c>
      <c r="H319" s="215" t="s">
        <v>226</v>
      </c>
      <c r="I319" s="215" t="s">
        <v>369</v>
      </c>
      <c r="J319" s="215" t="s">
        <v>1898</v>
      </c>
      <c r="K319" s="215" t="s">
        <v>2312</v>
      </c>
      <c r="L319" s="215" t="s">
        <v>2313</v>
      </c>
      <c r="M319" s="215" t="s">
        <v>2314</v>
      </c>
      <c r="N319" s="215" t="s">
        <v>900</v>
      </c>
      <c r="O319" s="157" t="s">
        <v>206</v>
      </c>
      <c r="P319" s="92"/>
      <c r="Q319" s="145" t="s">
        <v>206</v>
      </c>
      <c r="R319" s="92"/>
      <c r="S319" s="145" t="s">
        <v>206</v>
      </c>
      <c r="T319" s="92"/>
      <c r="U319" s="145" t="s">
        <v>206</v>
      </c>
      <c r="V319" s="92"/>
      <c r="W319" s="145" t="s">
        <v>206</v>
      </c>
      <c r="X319" s="92"/>
      <c r="Y319" s="352" t="s">
        <v>239</v>
      </c>
      <c r="Z319" s="142" t="str">
        <f t="shared" si="13"/>
        <v>NC</v>
      </c>
      <c r="AA319" s="226" t="str">
        <f t="shared" si="14"/>
        <v>NÃO UTILIZOU O PDA</v>
      </c>
      <c r="AB319" s="9" t="s">
        <v>205</v>
      </c>
      <c r="AC319" s="162" t="s">
        <v>6</v>
      </c>
      <c r="AD319" s="150" t="str">
        <f t="shared" si="16"/>
        <v>SÃO PAULO</v>
      </c>
      <c r="AE319" s="95" t="s">
        <v>64</v>
      </c>
    </row>
    <row r="320" spans="1:31" s="55" customFormat="1" ht="30" customHeight="1">
      <c r="A320" s="215" t="s">
        <v>198</v>
      </c>
      <c r="B320" s="215">
        <v>2693343447</v>
      </c>
      <c r="C320" s="215" t="s">
        <v>131</v>
      </c>
      <c r="D320" s="215" t="s">
        <v>64</v>
      </c>
      <c r="E320" s="215" t="s">
        <v>5</v>
      </c>
      <c r="F320" s="215" t="s">
        <v>469</v>
      </c>
      <c r="G320" s="215">
        <v>412</v>
      </c>
      <c r="H320" s="215" t="s">
        <v>387</v>
      </c>
      <c r="I320" s="215" t="s">
        <v>470</v>
      </c>
      <c r="J320" s="215" t="s">
        <v>1908</v>
      </c>
      <c r="K320" s="215"/>
      <c r="L320" s="215" t="s">
        <v>2315</v>
      </c>
      <c r="M320" s="215" t="s">
        <v>2316</v>
      </c>
      <c r="N320" s="215" t="s">
        <v>799</v>
      </c>
      <c r="O320" s="180" t="s">
        <v>205</v>
      </c>
      <c r="P320" s="92"/>
      <c r="Q320" s="164" t="s">
        <v>205</v>
      </c>
      <c r="R320" s="92"/>
      <c r="S320" s="164" t="s">
        <v>205</v>
      </c>
      <c r="T320" s="92"/>
      <c r="U320" s="145" t="s">
        <v>205</v>
      </c>
      <c r="V320" s="92"/>
      <c r="W320" s="145" t="s">
        <v>205</v>
      </c>
      <c r="X320" s="92"/>
      <c r="Y320" s="352" t="s">
        <v>205</v>
      </c>
      <c r="Z320" s="142" t="str">
        <f t="shared" si="13"/>
        <v>C</v>
      </c>
      <c r="AA320" s="226" t="str">
        <f t="shared" si="14"/>
        <v>UTILIZOU O PDA CORRETAMENTE</v>
      </c>
      <c r="AB320" s="9" t="s">
        <v>205</v>
      </c>
      <c r="AC320" s="162" t="s">
        <v>6</v>
      </c>
      <c r="AD320" s="150" t="str">
        <f t="shared" si="16"/>
        <v>SÃO PAULO</v>
      </c>
      <c r="AE320" s="95" t="s">
        <v>64</v>
      </c>
    </row>
    <row r="321" spans="1:31" s="55" customFormat="1" ht="30" customHeight="1">
      <c r="A321" s="215" t="s">
        <v>198</v>
      </c>
      <c r="B321" s="215">
        <v>2693343164</v>
      </c>
      <c r="C321" s="215" t="s">
        <v>128</v>
      </c>
      <c r="D321" s="215" t="s">
        <v>64</v>
      </c>
      <c r="E321" s="215" t="s">
        <v>5</v>
      </c>
      <c r="F321" s="215" t="s">
        <v>2317</v>
      </c>
      <c r="G321" s="215">
        <v>28</v>
      </c>
      <c r="H321" s="215" t="s">
        <v>318</v>
      </c>
      <c r="I321" s="215" t="s">
        <v>215</v>
      </c>
      <c r="J321" s="215" t="s">
        <v>1898</v>
      </c>
      <c r="K321" s="215" t="s">
        <v>200</v>
      </c>
      <c r="L321" s="215" t="s">
        <v>2287</v>
      </c>
      <c r="M321" s="215" t="s">
        <v>2318</v>
      </c>
      <c r="N321" s="215" t="s">
        <v>590</v>
      </c>
      <c r="O321" s="180" t="s">
        <v>205</v>
      </c>
      <c r="P321" s="92"/>
      <c r="Q321" s="164" t="s">
        <v>205</v>
      </c>
      <c r="R321" s="92"/>
      <c r="S321" s="164" t="s">
        <v>205</v>
      </c>
      <c r="T321" s="92"/>
      <c r="U321" s="145" t="s">
        <v>205</v>
      </c>
      <c r="V321" s="92"/>
      <c r="W321" s="145" t="s">
        <v>205</v>
      </c>
      <c r="X321" s="92"/>
      <c r="Y321" s="352" t="s">
        <v>205</v>
      </c>
      <c r="Z321" s="142" t="str">
        <f t="shared" si="13"/>
        <v>C</v>
      </c>
      <c r="AA321" s="226" t="str">
        <f t="shared" si="14"/>
        <v>UTILIZOU O PDA CORRETAMENTE</v>
      </c>
      <c r="AB321" s="9" t="s">
        <v>205</v>
      </c>
      <c r="AC321" s="162" t="s">
        <v>6</v>
      </c>
      <c r="AD321" s="150" t="str">
        <f t="shared" si="16"/>
        <v>SÃO PAULO</v>
      </c>
      <c r="AE321" s="95" t="s">
        <v>64</v>
      </c>
    </row>
    <row r="322" spans="1:31" s="55" customFormat="1" ht="30" customHeight="1">
      <c r="A322" s="215" t="s">
        <v>198</v>
      </c>
      <c r="B322" s="215">
        <v>2620383073</v>
      </c>
      <c r="C322" s="215" t="s">
        <v>131</v>
      </c>
      <c r="D322" s="215" t="s">
        <v>64</v>
      </c>
      <c r="E322" s="215" t="s">
        <v>5</v>
      </c>
      <c r="F322" s="215" t="s">
        <v>1984</v>
      </c>
      <c r="G322" s="215">
        <v>85</v>
      </c>
      <c r="H322" s="215" t="s">
        <v>226</v>
      </c>
      <c r="I322" s="215" t="s">
        <v>546</v>
      </c>
      <c r="J322" s="215" t="s">
        <v>1908</v>
      </c>
      <c r="K322" s="215"/>
      <c r="L322" s="215" t="s">
        <v>2319</v>
      </c>
      <c r="M322" s="215" t="s">
        <v>2320</v>
      </c>
      <c r="N322" s="215" t="s">
        <v>590</v>
      </c>
      <c r="O322" s="180" t="s">
        <v>205</v>
      </c>
      <c r="P322" s="92"/>
      <c r="Q322" s="164" t="s">
        <v>205</v>
      </c>
      <c r="R322" s="92"/>
      <c r="S322" s="164" t="s">
        <v>205</v>
      </c>
      <c r="T322" s="92"/>
      <c r="U322" s="145" t="s">
        <v>205</v>
      </c>
      <c r="V322" s="92"/>
      <c r="W322" s="145" t="s">
        <v>205</v>
      </c>
      <c r="X322" s="92"/>
      <c r="Y322" s="352" t="s">
        <v>205</v>
      </c>
      <c r="Z322" s="142" t="str">
        <f t="shared" si="13"/>
        <v>C</v>
      </c>
      <c r="AA322" s="226" t="str">
        <f t="shared" si="14"/>
        <v>UTILIZOU O PDA CORRETAMENTE</v>
      </c>
      <c r="AB322" s="9" t="s">
        <v>205</v>
      </c>
      <c r="AC322" s="162" t="s">
        <v>6</v>
      </c>
      <c r="AD322" s="150" t="str">
        <f t="shared" si="16"/>
        <v>SÃO PAULO</v>
      </c>
      <c r="AE322" s="95" t="s">
        <v>64</v>
      </c>
    </row>
    <row r="323" spans="1:31" s="55" customFormat="1" ht="30" customHeight="1">
      <c r="A323" s="215" t="s">
        <v>198</v>
      </c>
      <c r="B323" s="215">
        <v>2620476441</v>
      </c>
      <c r="C323" s="215" t="s">
        <v>131</v>
      </c>
      <c r="D323" s="215" t="s">
        <v>64</v>
      </c>
      <c r="E323" s="215" t="s">
        <v>5</v>
      </c>
      <c r="F323" s="215" t="s">
        <v>2321</v>
      </c>
      <c r="G323" s="215">
        <v>24</v>
      </c>
      <c r="H323" s="215" t="s">
        <v>318</v>
      </c>
      <c r="I323" s="215" t="s">
        <v>215</v>
      </c>
      <c r="J323" s="215" t="s">
        <v>1908</v>
      </c>
      <c r="K323" s="215" t="s">
        <v>200</v>
      </c>
      <c r="L323" s="215" t="s">
        <v>2322</v>
      </c>
      <c r="M323" s="215" t="s">
        <v>2323</v>
      </c>
      <c r="N323" s="215" t="s">
        <v>590</v>
      </c>
      <c r="O323" s="180" t="s">
        <v>205</v>
      </c>
      <c r="P323" s="92"/>
      <c r="Q323" s="164" t="s">
        <v>205</v>
      </c>
      <c r="R323" s="92"/>
      <c r="S323" s="164" t="s">
        <v>205</v>
      </c>
      <c r="T323" s="92"/>
      <c r="U323" s="145" t="s">
        <v>205</v>
      </c>
      <c r="V323" s="92"/>
      <c r="W323" s="145" t="s">
        <v>205</v>
      </c>
      <c r="X323" s="92"/>
      <c r="Y323" s="352" t="s">
        <v>205</v>
      </c>
      <c r="Z323" s="142" t="str">
        <f t="shared" ref="Z323:Z378" si="17">IF(AND(O323="",Q323="",S323="",U323="",W323=""),"",IF(OR(AND(O323&lt;&gt;"NA",O323&lt;&gt;"C",O323&lt;&gt;"NC",O323&lt;&gt;"SF",O323&lt;&gt;""),AND(Q323&lt;&gt;"NA",Q323&lt;&gt;"C",Q323&lt;&gt;"NC",Q323&lt;&gt;"SF",Q323&lt;&gt;""),AND(S323&lt;&gt;"NA",S323&lt;&gt;"C",S323&lt;&gt;"NC",S323&lt;&gt;"SF",S323&lt;&gt;""),AND(U323&lt;&gt;"NA",U323&lt;&gt;"C",U323&lt;&gt;"NC",U323&lt;&gt;"SF",U323&lt;&gt;""),AND(W323&lt;&gt;"NA",W323&lt;&gt;"C",W323&lt;&gt;"NC",W323&lt;&gt;"SF",W323&lt;&gt;"")),"FALSO",IF(AND(O323="NA",Q323="NA",S323="NA",U323="NA",W323="NA"),"NA",IF(OR(O323="NC",Q323="NC",S323="NC",U323="NC",W323="NC",O323="SF",Q323="SF",S323="SF",U323="SF",W323="SF"),"NC",IF(OR(O323="C",Q323="C",S323="C",U323="C",W323="C"),"C","")))))</f>
        <v>C</v>
      </c>
      <c r="AA323" s="226" t="str">
        <f t="shared" ref="AA323:AA378" si="18">IF(AND(Y323="C",Z323="C"),"UTILIZOU O PDA CORRETAMENTE",IF(AND(Y323="C",Z323="NC"),"UTILIZOU O PDA CORRETAMENTE. NÃO HÁ FOTOS DE TODAS AS ETAPAS",IF(AND(Y323="NC",Z323="NC"),"NÃO UTILIZOU O PDA",IF(AND(Y323="NA",Z323="NA"),"NÃO AVALIADO POR FALHA DE SINCRONISMO"))))</f>
        <v>UTILIZOU O PDA CORRETAMENTE</v>
      </c>
      <c r="AB323" s="9" t="s">
        <v>205</v>
      </c>
      <c r="AC323" s="162" t="s">
        <v>6</v>
      </c>
      <c r="AD323" s="150" t="str">
        <f t="shared" si="16"/>
        <v>SÃO PAULO</v>
      </c>
      <c r="AE323" s="95" t="s">
        <v>64</v>
      </c>
    </row>
    <row r="324" spans="1:31" s="55" customFormat="1" ht="30" customHeight="1">
      <c r="A324" s="215" t="s">
        <v>198</v>
      </c>
      <c r="B324" s="215">
        <v>2693357085</v>
      </c>
      <c r="C324" s="215" t="s">
        <v>128</v>
      </c>
      <c r="D324" s="215" t="s">
        <v>64</v>
      </c>
      <c r="E324" s="215" t="s">
        <v>5</v>
      </c>
      <c r="F324" s="215" t="s">
        <v>2324</v>
      </c>
      <c r="G324" s="215">
        <v>803</v>
      </c>
      <c r="H324" s="215" t="s">
        <v>2325</v>
      </c>
      <c r="I324" s="215" t="s">
        <v>215</v>
      </c>
      <c r="J324" s="215" t="s">
        <v>1898</v>
      </c>
      <c r="K324" s="215"/>
      <c r="L324" s="215" t="s">
        <v>2326</v>
      </c>
      <c r="M324" s="215" t="s">
        <v>2327</v>
      </c>
      <c r="N324" s="215" t="s">
        <v>590</v>
      </c>
      <c r="O324" s="180" t="s">
        <v>205</v>
      </c>
      <c r="P324" s="92"/>
      <c r="Q324" s="164" t="s">
        <v>205</v>
      </c>
      <c r="R324" s="92"/>
      <c r="S324" s="164" t="s">
        <v>205</v>
      </c>
      <c r="T324" s="92"/>
      <c r="U324" s="145" t="s">
        <v>205</v>
      </c>
      <c r="V324" s="92"/>
      <c r="W324" s="145" t="s">
        <v>205</v>
      </c>
      <c r="X324" s="92"/>
      <c r="Y324" s="352" t="s">
        <v>205</v>
      </c>
      <c r="Z324" s="142" t="str">
        <f t="shared" si="17"/>
        <v>C</v>
      </c>
      <c r="AA324" s="226" t="str">
        <f t="shared" si="18"/>
        <v>UTILIZOU O PDA CORRETAMENTE</v>
      </c>
      <c r="AB324" s="9" t="s">
        <v>205</v>
      </c>
      <c r="AC324" s="162" t="s">
        <v>6</v>
      </c>
      <c r="AD324" s="150" t="str">
        <f t="shared" si="16"/>
        <v>SÃO PAULO</v>
      </c>
      <c r="AE324" s="95" t="s">
        <v>64</v>
      </c>
    </row>
    <row r="325" spans="1:31" s="55" customFormat="1" ht="30" customHeight="1">
      <c r="A325" s="215" t="s">
        <v>198</v>
      </c>
      <c r="B325" s="215">
        <v>2693331344</v>
      </c>
      <c r="C325" s="215" t="s">
        <v>132</v>
      </c>
      <c r="D325" s="215" t="s">
        <v>64</v>
      </c>
      <c r="E325" s="215" t="s">
        <v>5</v>
      </c>
      <c r="F325" s="215" t="s">
        <v>1259</v>
      </c>
      <c r="G325" s="215">
        <v>31</v>
      </c>
      <c r="H325" s="215" t="s">
        <v>200</v>
      </c>
      <c r="I325" s="215" t="s">
        <v>293</v>
      </c>
      <c r="J325" s="215" t="s">
        <v>1898</v>
      </c>
      <c r="K325" s="215" t="s">
        <v>200</v>
      </c>
      <c r="L325" s="215" t="s">
        <v>2328</v>
      </c>
      <c r="M325" s="215" t="s">
        <v>2329</v>
      </c>
      <c r="N325" s="215" t="s">
        <v>852</v>
      </c>
      <c r="O325" s="180" t="s">
        <v>205</v>
      </c>
      <c r="P325" s="92"/>
      <c r="Q325" s="164" t="s">
        <v>205</v>
      </c>
      <c r="R325" s="92"/>
      <c r="S325" s="164" t="s">
        <v>205</v>
      </c>
      <c r="T325" s="92"/>
      <c r="U325" s="145" t="s">
        <v>205</v>
      </c>
      <c r="V325" s="92"/>
      <c r="W325" s="145" t="s">
        <v>205</v>
      </c>
      <c r="X325" s="92"/>
      <c r="Y325" s="352" t="s">
        <v>205</v>
      </c>
      <c r="Z325" s="142" t="str">
        <f t="shared" si="17"/>
        <v>C</v>
      </c>
      <c r="AA325" s="226" t="str">
        <f t="shared" si="18"/>
        <v>UTILIZOU O PDA CORRETAMENTE</v>
      </c>
      <c r="AB325" s="9" t="s">
        <v>205</v>
      </c>
      <c r="AC325" s="162" t="s">
        <v>6</v>
      </c>
      <c r="AD325" s="150" t="str">
        <f t="shared" si="16"/>
        <v>SÃO PAULO</v>
      </c>
      <c r="AE325" s="95" t="s">
        <v>64</v>
      </c>
    </row>
    <row r="326" spans="1:31" s="55" customFormat="1" ht="30" customHeight="1">
      <c r="A326" s="215" t="s">
        <v>198</v>
      </c>
      <c r="B326" s="215">
        <v>2693355574</v>
      </c>
      <c r="C326" s="215" t="s">
        <v>128</v>
      </c>
      <c r="D326" s="215" t="s">
        <v>64</v>
      </c>
      <c r="E326" s="215" t="s">
        <v>5</v>
      </c>
      <c r="F326" s="215" t="s">
        <v>1296</v>
      </c>
      <c r="G326" s="215">
        <v>210</v>
      </c>
      <c r="H326" s="215" t="s">
        <v>481</v>
      </c>
      <c r="I326" s="215" t="s">
        <v>1297</v>
      </c>
      <c r="J326" s="215" t="s">
        <v>1898</v>
      </c>
      <c r="K326" s="215"/>
      <c r="L326" s="215" t="s">
        <v>2330</v>
      </c>
      <c r="M326" s="215" t="s">
        <v>875</v>
      </c>
      <c r="N326" s="215" t="s">
        <v>852</v>
      </c>
      <c r="O326" s="180" t="s">
        <v>205</v>
      </c>
      <c r="P326" s="92"/>
      <c r="Q326" s="164" t="s">
        <v>205</v>
      </c>
      <c r="R326" s="92"/>
      <c r="S326" s="164" t="s">
        <v>205</v>
      </c>
      <c r="T326" s="92"/>
      <c r="U326" s="145" t="s">
        <v>205</v>
      </c>
      <c r="V326" s="92"/>
      <c r="W326" s="145" t="s">
        <v>205</v>
      </c>
      <c r="X326" s="92"/>
      <c r="Y326" s="352" t="s">
        <v>205</v>
      </c>
      <c r="Z326" s="142" t="str">
        <f t="shared" si="17"/>
        <v>C</v>
      </c>
      <c r="AA326" s="226" t="str">
        <f t="shared" si="18"/>
        <v>UTILIZOU O PDA CORRETAMENTE</v>
      </c>
      <c r="AB326" s="9" t="s">
        <v>205</v>
      </c>
      <c r="AC326" s="162" t="s">
        <v>6</v>
      </c>
      <c r="AD326" s="150" t="str">
        <f t="shared" si="16"/>
        <v>SÃO PAULO</v>
      </c>
      <c r="AE326" s="95" t="s">
        <v>64</v>
      </c>
    </row>
    <row r="327" spans="1:31" s="55" customFormat="1" ht="30" customHeight="1">
      <c r="A327" s="215" t="s">
        <v>198</v>
      </c>
      <c r="B327" s="215">
        <v>2693377196</v>
      </c>
      <c r="C327" s="215" t="s">
        <v>128</v>
      </c>
      <c r="D327" s="215" t="s">
        <v>64</v>
      </c>
      <c r="E327" s="215" t="s">
        <v>5</v>
      </c>
      <c r="F327" s="215" t="s">
        <v>1019</v>
      </c>
      <c r="G327" s="215">
        <v>95</v>
      </c>
      <c r="H327" s="215" t="s">
        <v>481</v>
      </c>
      <c r="I327" s="215" t="s">
        <v>589</v>
      </c>
      <c r="J327" s="215" t="s">
        <v>1900</v>
      </c>
      <c r="K327" s="215" t="s">
        <v>2312</v>
      </c>
      <c r="L327" s="215" t="s">
        <v>2331</v>
      </c>
      <c r="M327" s="215" t="s">
        <v>2332</v>
      </c>
      <c r="N327" s="215" t="s">
        <v>900</v>
      </c>
      <c r="O327" s="157" t="s">
        <v>206</v>
      </c>
      <c r="P327" s="92"/>
      <c r="Q327" s="145" t="s">
        <v>206</v>
      </c>
      <c r="R327" s="92"/>
      <c r="S327" s="145" t="s">
        <v>206</v>
      </c>
      <c r="T327" s="92"/>
      <c r="U327" s="145" t="s">
        <v>206</v>
      </c>
      <c r="V327" s="92"/>
      <c r="W327" s="145" t="s">
        <v>206</v>
      </c>
      <c r="X327" s="92"/>
      <c r="Y327" s="352" t="s">
        <v>239</v>
      </c>
      <c r="Z327" s="142" t="str">
        <f t="shared" si="17"/>
        <v>NC</v>
      </c>
      <c r="AA327" s="226" t="str">
        <f t="shared" si="18"/>
        <v>NÃO UTILIZOU O PDA</v>
      </c>
      <c r="AB327" s="9" t="s">
        <v>205</v>
      </c>
      <c r="AC327" s="162" t="s">
        <v>6</v>
      </c>
      <c r="AD327" s="150" t="str">
        <f t="shared" si="16"/>
        <v>SÃO PAULO</v>
      </c>
      <c r="AE327" s="95" t="s">
        <v>64</v>
      </c>
    </row>
    <row r="328" spans="1:31" s="55" customFormat="1" ht="30" customHeight="1">
      <c r="A328" s="215" t="s">
        <v>198</v>
      </c>
      <c r="B328" s="215">
        <v>2693329686</v>
      </c>
      <c r="C328" s="215" t="s">
        <v>132</v>
      </c>
      <c r="D328" s="215" t="s">
        <v>64</v>
      </c>
      <c r="E328" s="215" t="s">
        <v>5</v>
      </c>
      <c r="F328" s="215" t="s">
        <v>1737</v>
      </c>
      <c r="G328" s="215">
        <v>157</v>
      </c>
      <c r="H328" s="215"/>
      <c r="I328" s="215" t="s">
        <v>246</v>
      </c>
      <c r="J328" s="215" t="s">
        <v>1898</v>
      </c>
      <c r="K328" s="215" t="s">
        <v>2333</v>
      </c>
      <c r="L328" s="215" t="s">
        <v>2292</v>
      </c>
      <c r="M328" s="215" t="s">
        <v>2334</v>
      </c>
      <c r="N328" s="215" t="s">
        <v>1956</v>
      </c>
      <c r="O328" s="157" t="s">
        <v>62</v>
      </c>
      <c r="P328" s="92"/>
      <c r="Q328" s="145" t="s">
        <v>62</v>
      </c>
      <c r="R328" s="92"/>
      <c r="S328" s="145" t="s">
        <v>62</v>
      </c>
      <c r="T328" s="92"/>
      <c r="U328" s="145" t="s">
        <v>62</v>
      </c>
      <c r="V328" s="92"/>
      <c r="W328" s="145" t="s">
        <v>62</v>
      </c>
      <c r="X328" s="92"/>
      <c r="Y328" s="352" t="s">
        <v>62</v>
      </c>
      <c r="Z328" s="142" t="str">
        <f t="shared" si="17"/>
        <v>NA</v>
      </c>
      <c r="AA328" s="226" t="str">
        <f t="shared" si="18"/>
        <v>NÃO AVALIADO POR FALHA DE SINCRONISMO</v>
      </c>
      <c r="AB328" s="9" t="s">
        <v>205</v>
      </c>
      <c r="AC328" s="162" t="s">
        <v>6</v>
      </c>
      <c r="AD328" s="150" t="str">
        <f t="shared" ref="AD328:AD353" si="19">E328</f>
        <v>SÃO PAULO</v>
      </c>
      <c r="AE328" s="95" t="s">
        <v>64</v>
      </c>
    </row>
    <row r="329" spans="1:31" s="55" customFormat="1" ht="30" customHeight="1">
      <c r="A329" s="215" t="s">
        <v>198</v>
      </c>
      <c r="B329" s="215">
        <v>2693311276</v>
      </c>
      <c r="C329" s="215" t="s">
        <v>132</v>
      </c>
      <c r="D329" s="215" t="s">
        <v>64</v>
      </c>
      <c r="E329" s="215" t="s">
        <v>5</v>
      </c>
      <c r="F329" s="215" t="s">
        <v>2168</v>
      </c>
      <c r="G329" s="215">
        <v>784</v>
      </c>
      <c r="H329" s="215" t="s">
        <v>200</v>
      </c>
      <c r="I329" s="215" t="s">
        <v>312</v>
      </c>
      <c r="J329" s="215" t="s">
        <v>1908</v>
      </c>
      <c r="K329" s="215" t="s">
        <v>2335</v>
      </c>
      <c r="L329" s="215" t="s">
        <v>2336</v>
      </c>
      <c r="M329" s="215" t="s">
        <v>1692</v>
      </c>
      <c r="N329" s="215" t="s">
        <v>1956</v>
      </c>
      <c r="O329" s="180" t="s">
        <v>205</v>
      </c>
      <c r="P329" s="92"/>
      <c r="Q329" s="164" t="s">
        <v>205</v>
      </c>
      <c r="R329" s="92"/>
      <c r="S329" s="164" t="s">
        <v>205</v>
      </c>
      <c r="T329" s="92"/>
      <c r="U329" s="145" t="s">
        <v>205</v>
      </c>
      <c r="V329" s="92"/>
      <c r="W329" s="145" t="s">
        <v>205</v>
      </c>
      <c r="X329" s="92"/>
      <c r="Y329" s="352" t="s">
        <v>205</v>
      </c>
      <c r="Z329" s="142" t="str">
        <f t="shared" si="17"/>
        <v>C</v>
      </c>
      <c r="AA329" s="226" t="str">
        <f t="shared" si="18"/>
        <v>UTILIZOU O PDA CORRETAMENTE</v>
      </c>
      <c r="AB329" s="9" t="s">
        <v>205</v>
      </c>
      <c r="AC329" s="162" t="s">
        <v>6</v>
      </c>
      <c r="AD329" s="150" t="str">
        <f t="shared" si="19"/>
        <v>SÃO PAULO</v>
      </c>
      <c r="AE329" s="95" t="s">
        <v>64</v>
      </c>
    </row>
    <row r="330" spans="1:31" s="55" customFormat="1" ht="30" customHeight="1">
      <c r="A330" s="215" t="s">
        <v>198</v>
      </c>
      <c r="B330" s="215">
        <v>2619143373</v>
      </c>
      <c r="C330" s="215" t="s">
        <v>135</v>
      </c>
      <c r="D330" s="215" t="s">
        <v>125</v>
      </c>
      <c r="E330" s="215" t="s">
        <v>5</v>
      </c>
      <c r="F330" s="215" t="s">
        <v>2337</v>
      </c>
      <c r="G330" s="215">
        <v>238</v>
      </c>
      <c r="H330" s="215"/>
      <c r="I330" s="215" t="s">
        <v>215</v>
      </c>
      <c r="J330" s="215" t="s">
        <v>1909</v>
      </c>
      <c r="K330" s="215" t="s">
        <v>2338</v>
      </c>
      <c r="L330" s="215" t="s">
        <v>2306</v>
      </c>
      <c r="M330" s="215" t="s">
        <v>2339</v>
      </c>
      <c r="N330" s="215" t="s">
        <v>235</v>
      </c>
      <c r="O330" s="180" t="s">
        <v>205</v>
      </c>
      <c r="P330" s="92"/>
      <c r="Q330" s="164" t="s">
        <v>205</v>
      </c>
      <c r="R330" s="92"/>
      <c r="S330" s="164" t="s">
        <v>205</v>
      </c>
      <c r="T330" s="92"/>
      <c r="U330" s="145" t="s">
        <v>205</v>
      </c>
      <c r="V330" s="92"/>
      <c r="W330" s="145" t="s">
        <v>205</v>
      </c>
      <c r="X330" s="92"/>
      <c r="Y330" s="352" t="s">
        <v>205</v>
      </c>
      <c r="Z330" s="142" t="str">
        <f t="shared" si="17"/>
        <v>C</v>
      </c>
      <c r="AA330" s="226" t="str">
        <f t="shared" si="18"/>
        <v>UTILIZOU O PDA CORRETAMENTE</v>
      </c>
      <c r="AB330" s="9" t="s">
        <v>205</v>
      </c>
      <c r="AC330" s="162" t="s">
        <v>6</v>
      </c>
      <c r="AD330" s="150" t="str">
        <f t="shared" si="19"/>
        <v>SÃO PAULO</v>
      </c>
      <c r="AE330" s="95" t="s">
        <v>64</v>
      </c>
    </row>
    <row r="331" spans="1:31" s="55" customFormat="1" ht="30" customHeight="1">
      <c r="A331" s="215" t="s">
        <v>198</v>
      </c>
      <c r="B331" s="215">
        <v>2693394959</v>
      </c>
      <c r="C331" s="215" t="s">
        <v>128</v>
      </c>
      <c r="D331" s="215" t="s">
        <v>64</v>
      </c>
      <c r="E331" s="215" t="s">
        <v>5</v>
      </c>
      <c r="F331" s="215" t="s">
        <v>1363</v>
      </c>
      <c r="G331" s="215">
        <v>165</v>
      </c>
      <c r="H331" s="215" t="s">
        <v>226</v>
      </c>
      <c r="I331" s="215" t="s">
        <v>305</v>
      </c>
      <c r="J331" s="215" t="s">
        <v>1898</v>
      </c>
      <c r="K331" s="215" t="s">
        <v>2302</v>
      </c>
      <c r="L331" s="215" t="s">
        <v>2340</v>
      </c>
      <c r="M331" s="215" t="s">
        <v>2341</v>
      </c>
      <c r="N331" s="215" t="s">
        <v>1919</v>
      </c>
      <c r="O331" s="180" t="s">
        <v>205</v>
      </c>
      <c r="P331" s="92"/>
      <c r="Q331" s="145" t="s">
        <v>206</v>
      </c>
      <c r="R331" s="92"/>
      <c r="S331" s="145" t="s">
        <v>206</v>
      </c>
      <c r="T331" s="92"/>
      <c r="U331" s="145" t="s">
        <v>206</v>
      </c>
      <c r="V331" s="92"/>
      <c r="W331" s="145" t="s">
        <v>206</v>
      </c>
      <c r="X331" s="92"/>
      <c r="Y331" s="352" t="s">
        <v>205</v>
      </c>
      <c r="Z331" s="142" t="str">
        <f t="shared" si="17"/>
        <v>NC</v>
      </c>
      <c r="AA331" s="226" t="str">
        <f t="shared" si="18"/>
        <v>UTILIZOU O PDA CORRETAMENTE. NÃO HÁ FOTOS DE TODAS AS ETAPAS</v>
      </c>
      <c r="AB331" s="9" t="s">
        <v>205</v>
      </c>
      <c r="AC331" s="162" t="s">
        <v>6</v>
      </c>
      <c r="AD331" s="150" t="str">
        <f t="shared" si="19"/>
        <v>SÃO PAULO</v>
      </c>
      <c r="AE331" s="95" t="s">
        <v>64</v>
      </c>
    </row>
    <row r="332" spans="1:31" s="55" customFormat="1" ht="30" customHeight="1">
      <c r="A332" s="215" t="s">
        <v>198</v>
      </c>
      <c r="B332" s="215">
        <v>2620538420</v>
      </c>
      <c r="C332" s="215" t="s">
        <v>129</v>
      </c>
      <c r="D332" s="215" t="s">
        <v>125</v>
      </c>
      <c r="E332" s="215" t="s">
        <v>5</v>
      </c>
      <c r="F332" s="215" t="s">
        <v>2342</v>
      </c>
      <c r="G332" s="215">
        <v>79</v>
      </c>
      <c r="H332" s="215" t="s">
        <v>481</v>
      </c>
      <c r="I332" s="215" t="s">
        <v>914</v>
      </c>
      <c r="J332" s="215" t="s">
        <v>1903</v>
      </c>
      <c r="K332" s="215" t="s">
        <v>2087</v>
      </c>
      <c r="L332" s="215" t="s">
        <v>2343</v>
      </c>
      <c r="M332" s="215" t="s">
        <v>2343</v>
      </c>
      <c r="N332" s="215" t="s">
        <v>1956</v>
      </c>
      <c r="O332" s="157" t="s">
        <v>206</v>
      </c>
      <c r="P332" s="92"/>
      <c r="Q332" s="145" t="s">
        <v>206</v>
      </c>
      <c r="R332" s="92"/>
      <c r="S332" s="145" t="s">
        <v>206</v>
      </c>
      <c r="T332" s="92"/>
      <c r="U332" s="145" t="s">
        <v>206</v>
      </c>
      <c r="V332" s="92"/>
      <c r="W332" s="145" t="s">
        <v>206</v>
      </c>
      <c r="X332" s="92"/>
      <c r="Y332" s="352" t="s">
        <v>239</v>
      </c>
      <c r="Z332" s="142" t="str">
        <f t="shared" si="17"/>
        <v>NC</v>
      </c>
      <c r="AA332" s="226" t="str">
        <f t="shared" si="18"/>
        <v>NÃO UTILIZOU O PDA</v>
      </c>
      <c r="AB332" s="9" t="s">
        <v>205</v>
      </c>
      <c r="AC332" s="162" t="s">
        <v>6</v>
      </c>
      <c r="AD332" s="150" t="str">
        <f t="shared" si="19"/>
        <v>SÃO PAULO</v>
      </c>
      <c r="AE332" s="95" t="s">
        <v>64</v>
      </c>
    </row>
    <row r="333" spans="1:31" s="55" customFormat="1" ht="30" customHeight="1">
      <c r="A333" s="215" t="s">
        <v>198</v>
      </c>
      <c r="B333" s="215">
        <v>2620534561</v>
      </c>
      <c r="C333" s="215" t="s">
        <v>129</v>
      </c>
      <c r="D333" s="215" t="s">
        <v>125</v>
      </c>
      <c r="E333" s="215" t="s">
        <v>5</v>
      </c>
      <c r="F333" s="215" t="s">
        <v>2342</v>
      </c>
      <c r="G333" s="215">
        <v>79</v>
      </c>
      <c r="H333" s="215" t="s">
        <v>363</v>
      </c>
      <c r="I333" s="215" t="s">
        <v>914</v>
      </c>
      <c r="J333" s="215" t="s">
        <v>1903</v>
      </c>
      <c r="K333" s="215" t="s">
        <v>2087</v>
      </c>
      <c r="L333" s="215" t="s">
        <v>2344</v>
      </c>
      <c r="M333" s="215" t="s">
        <v>2343</v>
      </c>
      <c r="N333" s="215" t="s">
        <v>1956</v>
      </c>
      <c r="O333" s="157" t="s">
        <v>206</v>
      </c>
      <c r="P333" s="92"/>
      <c r="Q333" s="145" t="s">
        <v>206</v>
      </c>
      <c r="R333" s="92"/>
      <c r="S333" s="145" t="s">
        <v>206</v>
      </c>
      <c r="T333" s="92"/>
      <c r="U333" s="145" t="s">
        <v>206</v>
      </c>
      <c r="V333" s="92"/>
      <c r="W333" s="145" t="s">
        <v>206</v>
      </c>
      <c r="X333" s="92"/>
      <c r="Y333" s="352" t="s">
        <v>239</v>
      </c>
      <c r="Z333" s="142" t="str">
        <f t="shared" si="17"/>
        <v>NC</v>
      </c>
      <c r="AA333" s="226" t="str">
        <f t="shared" si="18"/>
        <v>NÃO UTILIZOU O PDA</v>
      </c>
      <c r="AB333" s="9" t="s">
        <v>205</v>
      </c>
      <c r="AC333" s="162" t="s">
        <v>6</v>
      </c>
      <c r="AD333" s="150" t="str">
        <f t="shared" si="19"/>
        <v>SÃO PAULO</v>
      </c>
      <c r="AE333" s="95" t="s">
        <v>64</v>
      </c>
    </row>
    <row r="334" spans="1:31" s="55" customFormat="1" ht="30" customHeight="1">
      <c r="A334" s="215" t="s">
        <v>198</v>
      </c>
      <c r="B334" s="215">
        <v>2620540875</v>
      </c>
      <c r="C334" s="215" t="s">
        <v>128</v>
      </c>
      <c r="D334" s="215" t="s">
        <v>64</v>
      </c>
      <c r="E334" s="215" t="s">
        <v>5</v>
      </c>
      <c r="F334" s="215" t="s">
        <v>2345</v>
      </c>
      <c r="G334" s="215">
        <v>459</v>
      </c>
      <c r="H334" s="215" t="s">
        <v>481</v>
      </c>
      <c r="I334" s="215" t="s">
        <v>369</v>
      </c>
      <c r="J334" s="215" t="s">
        <v>1898</v>
      </c>
      <c r="K334" s="215"/>
      <c r="L334" s="215" t="s">
        <v>2346</v>
      </c>
      <c r="M334" s="215" t="s">
        <v>2347</v>
      </c>
      <c r="N334" s="215" t="s">
        <v>1947</v>
      </c>
      <c r="O334" s="180" t="s">
        <v>205</v>
      </c>
      <c r="P334" s="92"/>
      <c r="Q334" s="164" t="s">
        <v>205</v>
      </c>
      <c r="R334" s="92"/>
      <c r="S334" s="164" t="s">
        <v>205</v>
      </c>
      <c r="T334" s="92"/>
      <c r="U334" s="145" t="s">
        <v>205</v>
      </c>
      <c r="V334" s="92"/>
      <c r="W334" s="145" t="s">
        <v>205</v>
      </c>
      <c r="X334" s="92"/>
      <c r="Y334" s="352" t="s">
        <v>205</v>
      </c>
      <c r="Z334" s="142" t="str">
        <f t="shared" si="17"/>
        <v>C</v>
      </c>
      <c r="AA334" s="226" t="str">
        <f t="shared" si="18"/>
        <v>UTILIZOU O PDA CORRETAMENTE</v>
      </c>
      <c r="AB334" s="9" t="s">
        <v>205</v>
      </c>
      <c r="AC334" s="162" t="s">
        <v>6</v>
      </c>
      <c r="AD334" s="150" t="str">
        <f t="shared" si="19"/>
        <v>SÃO PAULO</v>
      </c>
      <c r="AE334" s="95" t="s">
        <v>64</v>
      </c>
    </row>
    <row r="335" spans="1:31" s="55" customFormat="1" ht="30" customHeight="1">
      <c r="A335" s="215" t="s">
        <v>198</v>
      </c>
      <c r="B335" s="215">
        <v>2693401040</v>
      </c>
      <c r="C335" s="215" t="s">
        <v>128</v>
      </c>
      <c r="D335" s="215" t="s">
        <v>64</v>
      </c>
      <c r="E335" s="215" t="s">
        <v>5</v>
      </c>
      <c r="F335" s="215" t="s">
        <v>2348</v>
      </c>
      <c r="G335" s="215">
        <v>8</v>
      </c>
      <c r="H335" s="215" t="s">
        <v>226</v>
      </c>
      <c r="I335" s="215" t="s">
        <v>1971</v>
      </c>
      <c r="J335" s="215" t="s">
        <v>1900</v>
      </c>
      <c r="K335" s="215" t="s">
        <v>2087</v>
      </c>
      <c r="L335" s="215" t="s">
        <v>2349</v>
      </c>
      <c r="M335" s="215" t="s">
        <v>2349</v>
      </c>
      <c r="N335" s="215" t="s">
        <v>1956</v>
      </c>
      <c r="O335" s="157" t="s">
        <v>206</v>
      </c>
      <c r="P335" s="92"/>
      <c r="Q335" s="145" t="s">
        <v>206</v>
      </c>
      <c r="R335" s="92"/>
      <c r="S335" s="145" t="s">
        <v>206</v>
      </c>
      <c r="T335" s="92"/>
      <c r="U335" s="145" t="s">
        <v>206</v>
      </c>
      <c r="V335" s="92"/>
      <c r="W335" s="145" t="s">
        <v>206</v>
      </c>
      <c r="X335" s="92"/>
      <c r="Y335" s="352" t="s">
        <v>239</v>
      </c>
      <c r="Z335" s="142" t="str">
        <f t="shared" si="17"/>
        <v>NC</v>
      </c>
      <c r="AA335" s="226" t="str">
        <f t="shared" si="18"/>
        <v>NÃO UTILIZOU O PDA</v>
      </c>
      <c r="AB335" s="9" t="s">
        <v>205</v>
      </c>
      <c r="AC335" s="162" t="s">
        <v>6</v>
      </c>
      <c r="AD335" s="150" t="str">
        <f t="shared" si="19"/>
        <v>SÃO PAULO</v>
      </c>
      <c r="AE335" s="95" t="s">
        <v>64</v>
      </c>
    </row>
    <row r="336" spans="1:31" s="55" customFormat="1" ht="30" customHeight="1">
      <c r="A336" s="215" t="s">
        <v>198</v>
      </c>
      <c r="B336" s="215">
        <v>2693408744</v>
      </c>
      <c r="C336" s="215" t="s">
        <v>128</v>
      </c>
      <c r="D336" s="215" t="s">
        <v>64</v>
      </c>
      <c r="E336" s="215" t="s">
        <v>5</v>
      </c>
      <c r="F336" s="215" t="s">
        <v>1283</v>
      </c>
      <c r="G336" s="215">
        <v>645</v>
      </c>
      <c r="H336" s="215"/>
      <c r="I336" s="215" t="s">
        <v>227</v>
      </c>
      <c r="J336" s="215" t="s">
        <v>1908</v>
      </c>
      <c r="K336" s="215" t="s">
        <v>2302</v>
      </c>
      <c r="L336" s="215" t="s">
        <v>2350</v>
      </c>
      <c r="M336" s="215" t="s">
        <v>2351</v>
      </c>
      <c r="N336" s="215" t="s">
        <v>1919</v>
      </c>
      <c r="O336" s="157" t="s">
        <v>206</v>
      </c>
      <c r="P336" s="92"/>
      <c r="Q336" s="145" t="s">
        <v>206</v>
      </c>
      <c r="R336" s="92"/>
      <c r="S336" s="145" t="s">
        <v>206</v>
      </c>
      <c r="T336" s="92"/>
      <c r="U336" s="145" t="s">
        <v>206</v>
      </c>
      <c r="V336" s="92"/>
      <c r="W336" s="145" t="s">
        <v>206</v>
      </c>
      <c r="X336" s="92"/>
      <c r="Y336" s="352" t="s">
        <v>239</v>
      </c>
      <c r="Z336" s="142" t="str">
        <f t="shared" si="17"/>
        <v>NC</v>
      </c>
      <c r="AA336" s="226" t="str">
        <f t="shared" si="18"/>
        <v>NÃO UTILIZOU O PDA</v>
      </c>
      <c r="AB336" s="9" t="s">
        <v>205</v>
      </c>
      <c r="AC336" s="162" t="s">
        <v>6</v>
      </c>
      <c r="AD336" s="150" t="str">
        <f t="shared" si="19"/>
        <v>SÃO PAULO</v>
      </c>
      <c r="AE336" s="95" t="s">
        <v>64</v>
      </c>
    </row>
    <row r="337" spans="1:31" s="55" customFormat="1" ht="30" customHeight="1">
      <c r="A337" s="215" t="s">
        <v>198</v>
      </c>
      <c r="B337" s="215">
        <v>2693421412</v>
      </c>
      <c r="C337" s="215" t="s">
        <v>128</v>
      </c>
      <c r="D337" s="215" t="s">
        <v>64</v>
      </c>
      <c r="E337" s="215" t="s">
        <v>5</v>
      </c>
      <c r="F337" s="215" t="s">
        <v>513</v>
      </c>
      <c r="G337" s="215">
        <v>980</v>
      </c>
      <c r="H337" s="215" t="s">
        <v>200</v>
      </c>
      <c r="I337" s="215" t="s">
        <v>251</v>
      </c>
      <c r="J337" s="215" t="s">
        <v>1898</v>
      </c>
      <c r="K337" s="215" t="s">
        <v>200</v>
      </c>
      <c r="L337" s="215" t="s">
        <v>2352</v>
      </c>
      <c r="M337" s="215" t="s">
        <v>2349</v>
      </c>
      <c r="N337" s="215" t="s">
        <v>590</v>
      </c>
      <c r="O337" s="180" t="s">
        <v>205</v>
      </c>
      <c r="P337" s="92"/>
      <c r="Q337" s="164" t="s">
        <v>205</v>
      </c>
      <c r="R337" s="92"/>
      <c r="S337" s="164" t="s">
        <v>205</v>
      </c>
      <c r="T337" s="92"/>
      <c r="U337" s="145" t="s">
        <v>205</v>
      </c>
      <c r="V337" s="92"/>
      <c r="W337" s="145" t="s">
        <v>205</v>
      </c>
      <c r="X337" s="92"/>
      <c r="Y337" s="352" t="s">
        <v>205</v>
      </c>
      <c r="Z337" s="142" t="str">
        <f t="shared" si="17"/>
        <v>C</v>
      </c>
      <c r="AA337" s="226" t="str">
        <f t="shared" si="18"/>
        <v>UTILIZOU O PDA CORRETAMENTE</v>
      </c>
      <c r="AB337" s="9" t="s">
        <v>205</v>
      </c>
      <c r="AC337" s="162" t="s">
        <v>6</v>
      </c>
      <c r="AD337" s="150" t="str">
        <f t="shared" si="19"/>
        <v>SÃO PAULO</v>
      </c>
      <c r="AE337" s="95" t="s">
        <v>64</v>
      </c>
    </row>
    <row r="338" spans="1:31" s="55" customFormat="1" ht="30" customHeight="1">
      <c r="A338" s="215" t="s">
        <v>198</v>
      </c>
      <c r="B338" s="215">
        <v>2620555896</v>
      </c>
      <c r="C338" s="215" t="s">
        <v>129</v>
      </c>
      <c r="D338" s="215" t="s">
        <v>125</v>
      </c>
      <c r="E338" s="215" t="s">
        <v>5</v>
      </c>
      <c r="F338" s="215" t="s">
        <v>2353</v>
      </c>
      <c r="G338" s="215">
        <v>107</v>
      </c>
      <c r="H338" s="215"/>
      <c r="I338" s="215" t="s">
        <v>215</v>
      </c>
      <c r="J338" s="215" t="s">
        <v>1903</v>
      </c>
      <c r="K338" s="215"/>
      <c r="L338" s="215" t="s">
        <v>2354</v>
      </c>
      <c r="M338" s="215" t="s">
        <v>2350</v>
      </c>
      <c r="N338" s="215" t="s">
        <v>590</v>
      </c>
      <c r="O338" s="180" t="s">
        <v>205</v>
      </c>
      <c r="P338" s="92"/>
      <c r="Q338" s="164" t="s">
        <v>205</v>
      </c>
      <c r="R338" s="92"/>
      <c r="S338" s="164" t="s">
        <v>205</v>
      </c>
      <c r="T338" s="92"/>
      <c r="U338" s="145" t="s">
        <v>205</v>
      </c>
      <c r="V338" s="92"/>
      <c r="W338" s="145" t="s">
        <v>239</v>
      </c>
      <c r="X338" s="92" t="s">
        <v>2355</v>
      </c>
      <c r="Y338" s="352" t="s">
        <v>205</v>
      </c>
      <c r="Z338" s="142" t="str">
        <f t="shared" si="17"/>
        <v>NC</v>
      </c>
      <c r="AA338" s="226" t="str">
        <f t="shared" si="18"/>
        <v>UTILIZOU O PDA CORRETAMENTE. NÃO HÁ FOTOS DE TODAS AS ETAPAS</v>
      </c>
      <c r="AB338" s="9" t="s">
        <v>205</v>
      </c>
      <c r="AC338" s="162" t="s">
        <v>6</v>
      </c>
      <c r="AD338" s="150" t="str">
        <f t="shared" si="19"/>
        <v>SÃO PAULO</v>
      </c>
      <c r="AE338" s="95" t="s">
        <v>64</v>
      </c>
    </row>
    <row r="339" spans="1:31" s="55" customFormat="1" ht="30" customHeight="1">
      <c r="A339" s="215" t="s">
        <v>198</v>
      </c>
      <c r="B339" s="215">
        <v>2620555741</v>
      </c>
      <c r="C339" s="215" t="s">
        <v>129</v>
      </c>
      <c r="D339" s="215" t="s">
        <v>125</v>
      </c>
      <c r="E339" s="215" t="s">
        <v>5</v>
      </c>
      <c r="F339" s="215" t="s">
        <v>2356</v>
      </c>
      <c r="G339" s="215">
        <v>43</v>
      </c>
      <c r="H339" s="215" t="s">
        <v>200</v>
      </c>
      <c r="I339" s="215" t="s">
        <v>215</v>
      </c>
      <c r="J339" s="215" t="s">
        <v>1903</v>
      </c>
      <c r="K339" s="215" t="s">
        <v>200</v>
      </c>
      <c r="L339" s="215" t="s">
        <v>2357</v>
      </c>
      <c r="M339" s="215" t="s">
        <v>2358</v>
      </c>
      <c r="N339" s="215" t="s">
        <v>590</v>
      </c>
      <c r="O339" s="180" t="s">
        <v>205</v>
      </c>
      <c r="P339" s="92"/>
      <c r="Q339" s="164" t="s">
        <v>205</v>
      </c>
      <c r="R339" s="92"/>
      <c r="S339" s="164" t="s">
        <v>205</v>
      </c>
      <c r="T339" s="92"/>
      <c r="U339" s="145" t="s">
        <v>205</v>
      </c>
      <c r="V339" s="92"/>
      <c r="W339" s="145" t="s">
        <v>205</v>
      </c>
      <c r="X339" s="92"/>
      <c r="Y339" s="352" t="s">
        <v>205</v>
      </c>
      <c r="Z339" s="142" t="str">
        <f t="shared" si="17"/>
        <v>C</v>
      </c>
      <c r="AA339" s="226" t="str">
        <f t="shared" si="18"/>
        <v>UTILIZOU O PDA CORRETAMENTE</v>
      </c>
      <c r="AB339" s="9" t="s">
        <v>205</v>
      </c>
      <c r="AC339" s="162" t="s">
        <v>6</v>
      </c>
      <c r="AD339" s="150" t="str">
        <f t="shared" si="19"/>
        <v>SÃO PAULO</v>
      </c>
      <c r="AE339" s="95" t="s">
        <v>64</v>
      </c>
    </row>
    <row r="340" spans="1:31" s="55" customFormat="1" ht="30" customHeight="1">
      <c r="A340" s="215" t="s">
        <v>198</v>
      </c>
      <c r="B340" s="215">
        <v>2620563725</v>
      </c>
      <c r="C340" s="215" t="s">
        <v>128</v>
      </c>
      <c r="D340" s="215" t="s">
        <v>64</v>
      </c>
      <c r="E340" s="215" t="s">
        <v>5</v>
      </c>
      <c r="F340" s="215" t="s">
        <v>2065</v>
      </c>
      <c r="G340" s="215">
        <v>24</v>
      </c>
      <c r="H340" s="215"/>
      <c r="I340" s="215" t="s">
        <v>1332</v>
      </c>
      <c r="J340" s="215" t="s">
        <v>1898</v>
      </c>
      <c r="K340" s="215"/>
      <c r="L340" s="215" t="s">
        <v>2359</v>
      </c>
      <c r="M340" s="215" t="s">
        <v>1712</v>
      </c>
      <c r="N340" s="215" t="s">
        <v>799</v>
      </c>
      <c r="O340" s="180" t="s">
        <v>205</v>
      </c>
      <c r="P340" s="92"/>
      <c r="Q340" s="145" t="s">
        <v>206</v>
      </c>
      <c r="R340" s="92"/>
      <c r="S340" s="164" t="s">
        <v>205</v>
      </c>
      <c r="T340" s="92"/>
      <c r="U340" s="145" t="s">
        <v>205</v>
      </c>
      <c r="V340" s="92"/>
      <c r="W340" s="145" t="s">
        <v>205</v>
      </c>
      <c r="X340" s="92"/>
      <c r="Y340" s="352" t="s">
        <v>205</v>
      </c>
      <c r="Z340" s="142" t="str">
        <f t="shared" si="17"/>
        <v>NC</v>
      </c>
      <c r="AA340" s="226" t="str">
        <f t="shared" si="18"/>
        <v>UTILIZOU O PDA CORRETAMENTE. NÃO HÁ FOTOS DE TODAS AS ETAPAS</v>
      </c>
      <c r="AB340" s="9" t="s">
        <v>205</v>
      </c>
      <c r="AC340" s="162" t="s">
        <v>6</v>
      </c>
      <c r="AD340" s="150" t="str">
        <f t="shared" si="19"/>
        <v>SÃO PAULO</v>
      </c>
      <c r="AE340" s="95" t="s">
        <v>64</v>
      </c>
    </row>
    <row r="341" spans="1:31" s="55" customFormat="1" ht="30" customHeight="1">
      <c r="A341" s="215" t="s">
        <v>198</v>
      </c>
      <c r="B341" s="215">
        <v>2620653557</v>
      </c>
      <c r="C341" s="215" t="s">
        <v>129</v>
      </c>
      <c r="D341" s="215" t="s">
        <v>125</v>
      </c>
      <c r="E341" s="215" t="s">
        <v>5</v>
      </c>
      <c r="F341" s="215" t="s">
        <v>1346</v>
      </c>
      <c r="G341" s="215">
        <v>824</v>
      </c>
      <c r="H341" s="215" t="s">
        <v>200</v>
      </c>
      <c r="I341" s="215" t="s">
        <v>277</v>
      </c>
      <c r="J341" s="215" t="s">
        <v>1903</v>
      </c>
      <c r="K341" s="215" t="s">
        <v>200</v>
      </c>
      <c r="L341" s="215" t="s">
        <v>2360</v>
      </c>
      <c r="M341" s="215" t="s">
        <v>2361</v>
      </c>
      <c r="N341" s="215" t="s">
        <v>794</v>
      </c>
      <c r="O341" s="180" t="s">
        <v>205</v>
      </c>
      <c r="P341" s="92"/>
      <c r="Q341" s="164" t="s">
        <v>205</v>
      </c>
      <c r="R341" s="92"/>
      <c r="S341" s="164" t="s">
        <v>205</v>
      </c>
      <c r="T341" s="92"/>
      <c r="U341" s="145" t="s">
        <v>205</v>
      </c>
      <c r="V341" s="92"/>
      <c r="W341" s="145" t="s">
        <v>205</v>
      </c>
      <c r="X341" s="92"/>
      <c r="Y341" s="352" t="s">
        <v>205</v>
      </c>
      <c r="Z341" s="142" t="str">
        <f t="shared" si="17"/>
        <v>C</v>
      </c>
      <c r="AA341" s="226" t="str">
        <f t="shared" si="18"/>
        <v>UTILIZOU O PDA CORRETAMENTE</v>
      </c>
      <c r="AB341" s="9" t="s">
        <v>205</v>
      </c>
      <c r="AC341" s="162" t="s">
        <v>6</v>
      </c>
      <c r="AD341" s="150" t="str">
        <f t="shared" si="19"/>
        <v>SÃO PAULO</v>
      </c>
      <c r="AE341" s="95" t="s">
        <v>64</v>
      </c>
    </row>
    <row r="342" spans="1:31" s="55" customFormat="1" ht="30" customHeight="1">
      <c r="A342" s="215" t="s">
        <v>198</v>
      </c>
      <c r="B342" s="215">
        <v>2693413708</v>
      </c>
      <c r="C342" s="215" t="s">
        <v>131</v>
      </c>
      <c r="D342" s="215" t="s">
        <v>64</v>
      </c>
      <c r="E342" s="215" t="s">
        <v>5</v>
      </c>
      <c r="F342" s="215" t="s">
        <v>2362</v>
      </c>
      <c r="G342" s="215">
        <v>161</v>
      </c>
      <c r="H342" s="215"/>
      <c r="I342" s="215" t="s">
        <v>299</v>
      </c>
      <c r="J342" s="215" t="s">
        <v>1898</v>
      </c>
      <c r="K342" s="215"/>
      <c r="L342" s="215" t="s">
        <v>2363</v>
      </c>
      <c r="M342" s="215" t="s">
        <v>2364</v>
      </c>
      <c r="N342" s="215" t="s">
        <v>794</v>
      </c>
      <c r="O342" s="180" t="s">
        <v>205</v>
      </c>
      <c r="P342" s="92"/>
      <c r="Q342" s="164" t="s">
        <v>205</v>
      </c>
      <c r="R342" s="92"/>
      <c r="S342" s="164" t="s">
        <v>205</v>
      </c>
      <c r="T342" s="92"/>
      <c r="U342" s="145" t="s">
        <v>205</v>
      </c>
      <c r="V342" s="92"/>
      <c r="W342" s="145" t="s">
        <v>205</v>
      </c>
      <c r="X342" s="92"/>
      <c r="Y342" s="352" t="s">
        <v>205</v>
      </c>
      <c r="Z342" s="142" t="str">
        <f t="shared" si="17"/>
        <v>C</v>
      </c>
      <c r="AA342" s="226" t="str">
        <f t="shared" si="18"/>
        <v>UTILIZOU O PDA CORRETAMENTE</v>
      </c>
      <c r="AB342" s="9" t="s">
        <v>205</v>
      </c>
      <c r="AC342" s="162" t="s">
        <v>6</v>
      </c>
      <c r="AD342" s="150" t="str">
        <f t="shared" si="19"/>
        <v>SÃO PAULO</v>
      </c>
      <c r="AE342" s="95" t="s">
        <v>64</v>
      </c>
    </row>
    <row r="343" spans="1:31" s="55" customFormat="1" ht="30" customHeight="1">
      <c r="A343" s="215" t="s">
        <v>198</v>
      </c>
      <c r="B343" s="215">
        <v>2620571044</v>
      </c>
      <c r="C343" s="215" t="s">
        <v>128</v>
      </c>
      <c r="D343" s="215" t="s">
        <v>64</v>
      </c>
      <c r="E343" s="215" t="s">
        <v>5</v>
      </c>
      <c r="F343" s="215" t="s">
        <v>2362</v>
      </c>
      <c r="G343" s="215">
        <v>209</v>
      </c>
      <c r="H343" s="215" t="s">
        <v>200</v>
      </c>
      <c r="I343" s="215" t="s">
        <v>299</v>
      </c>
      <c r="J343" s="215" t="s">
        <v>1898</v>
      </c>
      <c r="K343" s="215" t="s">
        <v>200</v>
      </c>
      <c r="L343" s="215" t="s">
        <v>2365</v>
      </c>
      <c r="M343" s="215" t="s">
        <v>2366</v>
      </c>
      <c r="N343" s="215" t="s">
        <v>794</v>
      </c>
      <c r="O343" s="180" t="s">
        <v>205</v>
      </c>
      <c r="P343" s="92"/>
      <c r="Q343" s="164" t="s">
        <v>205</v>
      </c>
      <c r="R343" s="92"/>
      <c r="S343" s="164" t="s">
        <v>205</v>
      </c>
      <c r="T343" s="92"/>
      <c r="U343" s="145" t="s">
        <v>205</v>
      </c>
      <c r="V343" s="92"/>
      <c r="W343" s="145" t="s">
        <v>205</v>
      </c>
      <c r="X343" s="92"/>
      <c r="Y343" s="352" t="s">
        <v>205</v>
      </c>
      <c r="Z343" s="142" t="str">
        <f t="shared" si="17"/>
        <v>C</v>
      </c>
      <c r="AA343" s="226" t="str">
        <f t="shared" si="18"/>
        <v>UTILIZOU O PDA CORRETAMENTE</v>
      </c>
      <c r="AB343" s="9" t="s">
        <v>205</v>
      </c>
      <c r="AC343" s="162" t="s">
        <v>6</v>
      </c>
      <c r="AD343" s="150" t="str">
        <f t="shared" si="19"/>
        <v>SÃO PAULO</v>
      </c>
      <c r="AE343" s="95" t="s">
        <v>64</v>
      </c>
    </row>
    <row r="344" spans="1:31" s="55" customFormat="1" ht="30" customHeight="1">
      <c r="A344" s="215" t="s">
        <v>198</v>
      </c>
      <c r="B344" s="215">
        <v>2620570387</v>
      </c>
      <c r="C344" s="215" t="s">
        <v>132</v>
      </c>
      <c r="D344" s="215" t="s">
        <v>64</v>
      </c>
      <c r="E344" s="215" t="s">
        <v>5</v>
      </c>
      <c r="F344" s="215" t="s">
        <v>1572</v>
      </c>
      <c r="G344" s="215">
        <v>305</v>
      </c>
      <c r="H344" s="215"/>
      <c r="I344" s="215" t="s">
        <v>1519</v>
      </c>
      <c r="J344" s="215" t="s">
        <v>1898</v>
      </c>
      <c r="K344" s="215"/>
      <c r="L344" s="215" t="s">
        <v>2367</v>
      </c>
      <c r="M344" s="215" t="s">
        <v>2368</v>
      </c>
      <c r="N344" s="215" t="s">
        <v>794</v>
      </c>
      <c r="O344" s="180" t="s">
        <v>205</v>
      </c>
      <c r="P344" s="92"/>
      <c r="Q344" s="164" t="s">
        <v>205</v>
      </c>
      <c r="R344" s="92"/>
      <c r="S344" s="164" t="s">
        <v>205</v>
      </c>
      <c r="T344" s="92"/>
      <c r="U344" s="145" t="s">
        <v>205</v>
      </c>
      <c r="V344" s="92"/>
      <c r="W344" s="145" t="s">
        <v>205</v>
      </c>
      <c r="X344" s="92"/>
      <c r="Y344" s="352" t="s">
        <v>205</v>
      </c>
      <c r="Z344" s="142" t="str">
        <f t="shared" si="17"/>
        <v>C</v>
      </c>
      <c r="AA344" s="226" t="str">
        <f t="shared" si="18"/>
        <v>UTILIZOU O PDA CORRETAMENTE</v>
      </c>
      <c r="AB344" s="9" t="s">
        <v>205</v>
      </c>
      <c r="AC344" s="162" t="s">
        <v>6</v>
      </c>
      <c r="AD344" s="150" t="str">
        <f t="shared" si="19"/>
        <v>SÃO PAULO</v>
      </c>
      <c r="AE344" s="95" t="s">
        <v>64</v>
      </c>
    </row>
    <row r="345" spans="1:31" s="55" customFormat="1" ht="30" customHeight="1">
      <c r="A345" s="215" t="s">
        <v>198</v>
      </c>
      <c r="B345" s="215">
        <v>2693440968</v>
      </c>
      <c r="C345" s="215" t="s">
        <v>132</v>
      </c>
      <c r="D345" s="215" t="s">
        <v>64</v>
      </c>
      <c r="E345" s="215" t="s">
        <v>5</v>
      </c>
      <c r="F345" s="215" t="s">
        <v>996</v>
      </c>
      <c r="G345" s="215">
        <v>536</v>
      </c>
      <c r="H345" s="215" t="s">
        <v>200</v>
      </c>
      <c r="I345" s="215" t="s">
        <v>589</v>
      </c>
      <c r="J345" s="215" t="s">
        <v>1898</v>
      </c>
      <c r="K345" s="215" t="s">
        <v>200</v>
      </c>
      <c r="L345" s="215" t="s">
        <v>2369</v>
      </c>
      <c r="M345" s="215" t="s">
        <v>2370</v>
      </c>
      <c r="N345" s="215" t="s">
        <v>900</v>
      </c>
      <c r="O345" s="180" t="s">
        <v>205</v>
      </c>
      <c r="P345" s="92"/>
      <c r="Q345" s="164" t="s">
        <v>205</v>
      </c>
      <c r="R345" s="92"/>
      <c r="S345" s="164" t="s">
        <v>205</v>
      </c>
      <c r="T345" s="92"/>
      <c r="U345" s="145" t="s">
        <v>205</v>
      </c>
      <c r="V345" s="92"/>
      <c r="W345" s="145" t="s">
        <v>205</v>
      </c>
      <c r="X345" s="92"/>
      <c r="Y345" s="352" t="s">
        <v>205</v>
      </c>
      <c r="Z345" s="142" t="str">
        <f t="shared" si="17"/>
        <v>C</v>
      </c>
      <c r="AA345" s="226" t="str">
        <f t="shared" si="18"/>
        <v>UTILIZOU O PDA CORRETAMENTE</v>
      </c>
      <c r="AB345" s="9" t="s">
        <v>205</v>
      </c>
      <c r="AC345" s="162" t="s">
        <v>6</v>
      </c>
      <c r="AD345" s="150" t="str">
        <f t="shared" si="19"/>
        <v>SÃO PAULO</v>
      </c>
      <c r="AE345" s="95" t="s">
        <v>64</v>
      </c>
    </row>
    <row r="346" spans="1:31" s="55" customFormat="1" ht="30" customHeight="1">
      <c r="A346" s="215" t="s">
        <v>198</v>
      </c>
      <c r="B346" s="215">
        <v>2693442642</v>
      </c>
      <c r="C346" s="215" t="s">
        <v>131</v>
      </c>
      <c r="D346" s="215" t="s">
        <v>64</v>
      </c>
      <c r="E346" s="215" t="s">
        <v>5</v>
      </c>
      <c r="F346" s="215" t="s">
        <v>2371</v>
      </c>
      <c r="G346" s="215">
        <v>6</v>
      </c>
      <c r="H346" s="215" t="s">
        <v>318</v>
      </c>
      <c r="I346" s="215" t="s">
        <v>565</v>
      </c>
      <c r="J346" s="215" t="s">
        <v>1898</v>
      </c>
      <c r="K346" s="215"/>
      <c r="L346" s="215" t="s">
        <v>2372</v>
      </c>
      <c r="M346" s="215" t="s">
        <v>2373</v>
      </c>
      <c r="N346" s="215" t="s">
        <v>900</v>
      </c>
      <c r="O346" s="180" t="s">
        <v>205</v>
      </c>
      <c r="P346" s="92"/>
      <c r="Q346" s="164" t="s">
        <v>205</v>
      </c>
      <c r="R346" s="92"/>
      <c r="S346" s="164" t="s">
        <v>205</v>
      </c>
      <c r="T346" s="92"/>
      <c r="U346" s="145" t="s">
        <v>205</v>
      </c>
      <c r="V346" s="92"/>
      <c r="W346" s="145" t="s">
        <v>205</v>
      </c>
      <c r="X346" s="92"/>
      <c r="Y346" s="352" t="s">
        <v>205</v>
      </c>
      <c r="Z346" s="142" t="str">
        <f t="shared" si="17"/>
        <v>C</v>
      </c>
      <c r="AA346" s="226" t="str">
        <f t="shared" si="18"/>
        <v>UTILIZOU O PDA CORRETAMENTE</v>
      </c>
      <c r="AB346" s="9" t="s">
        <v>205</v>
      </c>
      <c r="AC346" s="162" t="s">
        <v>6</v>
      </c>
      <c r="AD346" s="150" t="str">
        <f t="shared" si="19"/>
        <v>SÃO PAULO</v>
      </c>
      <c r="AE346" s="95" t="s">
        <v>64</v>
      </c>
    </row>
    <row r="347" spans="1:31" s="55" customFormat="1" ht="30" customHeight="1">
      <c r="A347" s="215" t="s">
        <v>198</v>
      </c>
      <c r="B347" s="215">
        <v>2693413679</v>
      </c>
      <c r="C347" s="215" t="s">
        <v>128</v>
      </c>
      <c r="D347" s="215" t="s">
        <v>64</v>
      </c>
      <c r="E347" s="215" t="s">
        <v>5</v>
      </c>
      <c r="F347" s="215" t="s">
        <v>1140</v>
      </c>
      <c r="G347" s="215">
        <v>97</v>
      </c>
      <c r="H347" s="215" t="s">
        <v>200</v>
      </c>
      <c r="I347" s="215" t="s">
        <v>1049</v>
      </c>
      <c r="J347" s="215" t="s">
        <v>1898</v>
      </c>
      <c r="K347" s="215" t="s">
        <v>200</v>
      </c>
      <c r="L347" s="215" t="s">
        <v>2374</v>
      </c>
      <c r="M347" s="215" t="s">
        <v>2375</v>
      </c>
      <c r="N347" s="215" t="s">
        <v>900</v>
      </c>
      <c r="O347" s="180" t="s">
        <v>205</v>
      </c>
      <c r="P347" s="92"/>
      <c r="Q347" s="164" t="s">
        <v>205</v>
      </c>
      <c r="R347" s="92"/>
      <c r="S347" s="164" t="s">
        <v>205</v>
      </c>
      <c r="T347" s="92"/>
      <c r="U347" s="145" t="s">
        <v>205</v>
      </c>
      <c r="V347" s="92"/>
      <c r="W347" s="145" t="s">
        <v>205</v>
      </c>
      <c r="X347" s="92"/>
      <c r="Y347" s="352" t="s">
        <v>205</v>
      </c>
      <c r="Z347" s="142" t="str">
        <f t="shared" si="17"/>
        <v>C</v>
      </c>
      <c r="AA347" s="226" t="str">
        <f t="shared" si="18"/>
        <v>UTILIZOU O PDA CORRETAMENTE</v>
      </c>
      <c r="AB347" s="9" t="s">
        <v>205</v>
      </c>
      <c r="AC347" s="162" t="s">
        <v>6</v>
      </c>
      <c r="AD347" s="150" t="str">
        <f t="shared" si="19"/>
        <v>SÃO PAULO</v>
      </c>
      <c r="AE347" s="95" t="s">
        <v>64</v>
      </c>
    </row>
    <row r="348" spans="1:31" s="55" customFormat="1" ht="30" customHeight="1">
      <c r="A348" s="215" t="s">
        <v>198</v>
      </c>
      <c r="B348" s="215">
        <v>2693461796</v>
      </c>
      <c r="C348" s="215" t="s">
        <v>128</v>
      </c>
      <c r="D348" s="215" t="s">
        <v>64</v>
      </c>
      <c r="E348" s="215" t="s">
        <v>5</v>
      </c>
      <c r="F348" s="215" t="s">
        <v>2222</v>
      </c>
      <c r="G348" s="215">
        <v>71</v>
      </c>
      <c r="H348" s="215" t="s">
        <v>387</v>
      </c>
      <c r="I348" s="215" t="s">
        <v>1016</v>
      </c>
      <c r="J348" s="215" t="s">
        <v>1898</v>
      </c>
      <c r="K348" s="215"/>
      <c r="L348" s="215" t="s">
        <v>2376</v>
      </c>
      <c r="M348" s="215" t="s">
        <v>2377</v>
      </c>
      <c r="N348" s="215" t="s">
        <v>852</v>
      </c>
      <c r="O348" s="180" t="s">
        <v>205</v>
      </c>
      <c r="P348" s="92"/>
      <c r="Q348" s="164" t="s">
        <v>205</v>
      </c>
      <c r="R348" s="92"/>
      <c r="S348" s="164" t="s">
        <v>205</v>
      </c>
      <c r="T348" s="92"/>
      <c r="U348" s="145" t="s">
        <v>205</v>
      </c>
      <c r="V348" s="92"/>
      <c r="W348" s="145" t="s">
        <v>205</v>
      </c>
      <c r="X348" s="92"/>
      <c r="Y348" s="352" t="s">
        <v>205</v>
      </c>
      <c r="Z348" s="142" t="str">
        <f t="shared" si="17"/>
        <v>C</v>
      </c>
      <c r="AA348" s="226" t="str">
        <f t="shared" si="18"/>
        <v>UTILIZOU O PDA CORRETAMENTE</v>
      </c>
      <c r="AB348" s="9" t="s">
        <v>205</v>
      </c>
      <c r="AC348" s="162" t="s">
        <v>6</v>
      </c>
      <c r="AD348" s="150" t="str">
        <f t="shared" si="19"/>
        <v>SÃO PAULO</v>
      </c>
      <c r="AE348" s="95" t="s">
        <v>64</v>
      </c>
    </row>
    <row r="349" spans="1:31" s="55" customFormat="1" ht="30" customHeight="1">
      <c r="A349" s="215" t="s">
        <v>198</v>
      </c>
      <c r="B349" s="215">
        <v>2693414116</v>
      </c>
      <c r="C349" s="215" t="s">
        <v>128</v>
      </c>
      <c r="D349" s="215" t="s">
        <v>64</v>
      </c>
      <c r="E349" s="215" t="s">
        <v>5</v>
      </c>
      <c r="F349" s="215" t="s">
        <v>2378</v>
      </c>
      <c r="G349" s="215">
        <v>176</v>
      </c>
      <c r="H349" s="215" t="s">
        <v>226</v>
      </c>
      <c r="I349" s="215" t="s">
        <v>209</v>
      </c>
      <c r="J349" s="215" t="s">
        <v>1898</v>
      </c>
      <c r="K349" s="215" t="s">
        <v>200</v>
      </c>
      <c r="L349" s="215" t="s">
        <v>2379</v>
      </c>
      <c r="M349" s="215" t="s">
        <v>2380</v>
      </c>
      <c r="N349" s="215" t="s">
        <v>799</v>
      </c>
      <c r="O349" s="180" t="s">
        <v>205</v>
      </c>
      <c r="P349" s="92"/>
      <c r="Q349" s="164" t="s">
        <v>205</v>
      </c>
      <c r="R349" s="92"/>
      <c r="S349" s="164" t="s">
        <v>205</v>
      </c>
      <c r="T349" s="92"/>
      <c r="U349" s="145" t="s">
        <v>205</v>
      </c>
      <c r="V349" s="92"/>
      <c r="W349" s="145" t="s">
        <v>205</v>
      </c>
      <c r="X349" s="92"/>
      <c r="Y349" s="352" t="s">
        <v>205</v>
      </c>
      <c r="Z349" s="142" t="str">
        <f t="shared" si="17"/>
        <v>C</v>
      </c>
      <c r="AA349" s="226" t="str">
        <f t="shared" si="18"/>
        <v>UTILIZOU O PDA CORRETAMENTE</v>
      </c>
      <c r="AB349" s="9" t="s">
        <v>205</v>
      </c>
      <c r="AC349" s="162" t="s">
        <v>6</v>
      </c>
      <c r="AD349" s="150" t="str">
        <f t="shared" si="19"/>
        <v>SÃO PAULO</v>
      </c>
      <c r="AE349" s="95" t="s">
        <v>64</v>
      </c>
    </row>
    <row r="350" spans="1:31" s="55" customFormat="1" ht="30" customHeight="1">
      <c r="A350" s="215" t="s">
        <v>198</v>
      </c>
      <c r="B350" s="215">
        <v>2620550692</v>
      </c>
      <c r="C350" s="215" t="s">
        <v>128</v>
      </c>
      <c r="D350" s="215" t="s">
        <v>64</v>
      </c>
      <c r="E350" s="215" t="s">
        <v>5</v>
      </c>
      <c r="F350" s="215" t="s">
        <v>472</v>
      </c>
      <c r="G350" s="215">
        <v>555</v>
      </c>
      <c r="H350" s="215" t="s">
        <v>673</v>
      </c>
      <c r="I350" s="215" t="s">
        <v>215</v>
      </c>
      <c r="J350" s="215" t="s">
        <v>1898</v>
      </c>
      <c r="K350" s="215" t="s">
        <v>200</v>
      </c>
      <c r="L350" s="215" t="s">
        <v>2366</v>
      </c>
      <c r="M350" s="215" t="s">
        <v>927</v>
      </c>
      <c r="N350" s="215" t="s">
        <v>900</v>
      </c>
      <c r="O350" s="180" t="s">
        <v>205</v>
      </c>
      <c r="P350" s="92"/>
      <c r="Q350" s="164" t="s">
        <v>205</v>
      </c>
      <c r="R350" s="92"/>
      <c r="S350" s="164" t="s">
        <v>205</v>
      </c>
      <c r="T350" s="92"/>
      <c r="U350" s="145" t="s">
        <v>205</v>
      </c>
      <c r="V350" s="92"/>
      <c r="W350" s="145" t="s">
        <v>205</v>
      </c>
      <c r="X350" s="92"/>
      <c r="Y350" s="352" t="s">
        <v>205</v>
      </c>
      <c r="Z350" s="142" t="str">
        <f t="shared" si="17"/>
        <v>C</v>
      </c>
      <c r="AA350" s="226" t="str">
        <f t="shared" si="18"/>
        <v>UTILIZOU O PDA CORRETAMENTE</v>
      </c>
      <c r="AB350" s="9" t="s">
        <v>205</v>
      </c>
      <c r="AC350" s="162" t="s">
        <v>6</v>
      </c>
      <c r="AD350" s="150" t="str">
        <f t="shared" si="19"/>
        <v>SÃO PAULO</v>
      </c>
      <c r="AE350" s="95" t="s">
        <v>64</v>
      </c>
    </row>
    <row r="351" spans="1:31" s="55" customFormat="1" ht="30" customHeight="1">
      <c r="A351" s="215" t="s">
        <v>198</v>
      </c>
      <c r="B351" s="215">
        <v>2620566439</v>
      </c>
      <c r="C351" s="215" t="s">
        <v>132</v>
      </c>
      <c r="D351" s="215" t="s">
        <v>64</v>
      </c>
      <c r="E351" s="215" t="s">
        <v>5</v>
      </c>
      <c r="F351" s="215" t="s">
        <v>2381</v>
      </c>
      <c r="G351" s="215">
        <v>109</v>
      </c>
      <c r="H351" s="215" t="s">
        <v>226</v>
      </c>
      <c r="I351" s="215" t="s">
        <v>649</v>
      </c>
      <c r="J351" s="215" t="s">
        <v>1908</v>
      </c>
      <c r="K351" s="215" t="s">
        <v>2382</v>
      </c>
      <c r="L351" s="215" t="s">
        <v>2383</v>
      </c>
      <c r="M351" s="215" t="s">
        <v>2384</v>
      </c>
      <c r="N351" s="215" t="s">
        <v>1919</v>
      </c>
      <c r="O351" s="157" t="s">
        <v>206</v>
      </c>
      <c r="P351" s="92"/>
      <c r="Q351" s="145" t="s">
        <v>206</v>
      </c>
      <c r="R351" s="92"/>
      <c r="S351" s="145" t="s">
        <v>206</v>
      </c>
      <c r="T351" s="92"/>
      <c r="U351" s="145" t="s">
        <v>206</v>
      </c>
      <c r="V351" s="92"/>
      <c r="W351" s="145" t="s">
        <v>206</v>
      </c>
      <c r="X351" s="92"/>
      <c r="Y351" s="352" t="s">
        <v>239</v>
      </c>
      <c r="Z351" s="142" t="str">
        <f t="shared" si="17"/>
        <v>NC</v>
      </c>
      <c r="AA351" s="226" t="str">
        <f t="shared" si="18"/>
        <v>NÃO UTILIZOU O PDA</v>
      </c>
      <c r="AB351" s="9" t="s">
        <v>205</v>
      </c>
      <c r="AC351" s="162" t="s">
        <v>6</v>
      </c>
      <c r="AD351" s="150" t="str">
        <f t="shared" si="19"/>
        <v>SÃO PAULO</v>
      </c>
      <c r="AE351" s="95" t="s">
        <v>64</v>
      </c>
    </row>
    <row r="352" spans="1:31" s="55" customFormat="1" ht="30" customHeight="1">
      <c r="A352" s="215" t="s">
        <v>198</v>
      </c>
      <c r="B352" s="215">
        <v>2693472797</v>
      </c>
      <c r="C352" s="215" t="s">
        <v>128</v>
      </c>
      <c r="D352" s="215" t="s">
        <v>64</v>
      </c>
      <c r="E352" s="215" t="s">
        <v>5</v>
      </c>
      <c r="F352" s="215" t="s">
        <v>451</v>
      </c>
      <c r="G352" s="215">
        <v>457</v>
      </c>
      <c r="H352" s="215"/>
      <c r="I352" s="215" t="s">
        <v>237</v>
      </c>
      <c r="J352" s="215" t="s">
        <v>1898</v>
      </c>
      <c r="K352" s="215"/>
      <c r="L352" s="215" t="s">
        <v>2385</v>
      </c>
      <c r="M352" s="215" t="s">
        <v>2386</v>
      </c>
      <c r="N352" s="215" t="s">
        <v>2387</v>
      </c>
      <c r="O352" s="180" t="s">
        <v>205</v>
      </c>
      <c r="P352" s="92"/>
      <c r="Q352" s="164" t="s">
        <v>205</v>
      </c>
      <c r="R352" s="92"/>
      <c r="S352" s="164" t="s">
        <v>205</v>
      </c>
      <c r="T352" s="92"/>
      <c r="U352" s="145" t="s">
        <v>205</v>
      </c>
      <c r="V352" s="92"/>
      <c r="W352" s="145" t="s">
        <v>205</v>
      </c>
      <c r="X352" s="92"/>
      <c r="Y352" s="352" t="s">
        <v>205</v>
      </c>
      <c r="Z352" s="142" t="str">
        <f t="shared" si="17"/>
        <v>C</v>
      </c>
      <c r="AA352" s="226" t="str">
        <f t="shared" si="18"/>
        <v>UTILIZOU O PDA CORRETAMENTE</v>
      </c>
      <c r="AB352" s="9" t="s">
        <v>205</v>
      </c>
      <c r="AC352" s="162" t="s">
        <v>6</v>
      </c>
      <c r="AD352" s="150" t="str">
        <f t="shared" si="19"/>
        <v>SÃO PAULO</v>
      </c>
      <c r="AE352" s="95" t="s">
        <v>64</v>
      </c>
    </row>
    <row r="353" spans="1:31" s="55" customFormat="1" ht="30" customHeight="1">
      <c r="A353" s="215" t="s">
        <v>198</v>
      </c>
      <c r="B353" s="215">
        <v>2693470800</v>
      </c>
      <c r="C353" s="215" t="s">
        <v>131</v>
      </c>
      <c r="D353" s="215" t="s">
        <v>64</v>
      </c>
      <c r="E353" s="215" t="s">
        <v>5</v>
      </c>
      <c r="F353" s="215" t="s">
        <v>2388</v>
      </c>
      <c r="G353" s="215">
        <v>41</v>
      </c>
      <c r="H353" s="215" t="s">
        <v>200</v>
      </c>
      <c r="I353" s="215" t="s">
        <v>274</v>
      </c>
      <c r="J353" s="215" t="s">
        <v>1898</v>
      </c>
      <c r="K353" s="215" t="s">
        <v>200</v>
      </c>
      <c r="L353" s="215" t="s">
        <v>2389</v>
      </c>
      <c r="M353" s="215" t="s">
        <v>2390</v>
      </c>
      <c r="N353" s="215" t="s">
        <v>794</v>
      </c>
      <c r="O353" s="180" t="s">
        <v>205</v>
      </c>
      <c r="P353" s="92"/>
      <c r="Q353" s="164" t="s">
        <v>205</v>
      </c>
      <c r="R353" s="92"/>
      <c r="S353" s="164" t="s">
        <v>205</v>
      </c>
      <c r="T353" s="92"/>
      <c r="U353" s="145" t="s">
        <v>205</v>
      </c>
      <c r="V353" s="92"/>
      <c r="W353" s="145" t="s">
        <v>205</v>
      </c>
      <c r="X353" s="92"/>
      <c r="Y353" s="352" t="s">
        <v>205</v>
      </c>
      <c r="Z353" s="142" t="str">
        <f t="shared" si="17"/>
        <v>C</v>
      </c>
      <c r="AA353" s="226" t="str">
        <f t="shared" si="18"/>
        <v>UTILIZOU O PDA CORRETAMENTE</v>
      </c>
      <c r="AB353" s="9" t="s">
        <v>205</v>
      </c>
      <c r="AC353" s="162" t="s">
        <v>6</v>
      </c>
      <c r="AD353" s="150" t="str">
        <f t="shared" si="19"/>
        <v>SÃO PAULO</v>
      </c>
      <c r="AE353" s="95" t="s">
        <v>64</v>
      </c>
    </row>
    <row r="354" spans="1:31" s="55" customFormat="1" ht="30" customHeight="1">
      <c r="A354" s="215" t="s">
        <v>198</v>
      </c>
      <c r="B354" s="215">
        <v>2620705454</v>
      </c>
      <c r="C354" s="215" t="s">
        <v>128</v>
      </c>
      <c r="D354" s="215" t="s">
        <v>64</v>
      </c>
      <c r="E354" s="215" t="s">
        <v>5</v>
      </c>
      <c r="F354" s="215" t="s">
        <v>2391</v>
      </c>
      <c r="G354" s="215">
        <v>176</v>
      </c>
      <c r="H354" s="215"/>
      <c r="I354" s="215" t="s">
        <v>1857</v>
      </c>
      <c r="J354" s="215" t="s">
        <v>1908</v>
      </c>
      <c r="K354" s="215"/>
      <c r="L354" s="215" t="s">
        <v>2392</v>
      </c>
      <c r="M354" s="215" t="s">
        <v>850</v>
      </c>
      <c r="N354" s="215" t="s">
        <v>1919</v>
      </c>
      <c r="O354" s="180" t="s">
        <v>205</v>
      </c>
      <c r="P354" s="92"/>
      <c r="Q354" s="145" t="s">
        <v>206</v>
      </c>
      <c r="R354" s="92"/>
      <c r="S354" s="164" t="s">
        <v>205</v>
      </c>
      <c r="T354" s="92"/>
      <c r="U354" s="145" t="s">
        <v>205</v>
      </c>
      <c r="V354" s="92"/>
      <c r="W354" s="145" t="s">
        <v>205</v>
      </c>
      <c r="X354" s="92"/>
      <c r="Y354" s="352" t="s">
        <v>205</v>
      </c>
      <c r="Z354" s="142" t="str">
        <f t="shared" si="17"/>
        <v>NC</v>
      </c>
      <c r="AA354" s="226" t="str">
        <f t="shared" si="18"/>
        <v>UTILIZOU O PDA CORRETAMENTE. NÃO HÁ FOTOS DE TODAS AS ETAPAS</v>
      </c>
      <c r="AB354" s="9" t="s">
        <v>205</v>
      </c>
      <c r="AC354" s="162" t="s">
        <v>6</v>
      </c>
      <c r="AD354" s="150" t="str">
        <f t="shared" ref="AD354:AD408" si="20">E354</f>
        <v>SÃO PAULO</v>
      </c>
      <c r="AE354" s="95" t="s">
        <v>64</v>
      </c>
    </row>
    <row r="355" spans="1:31" s="55" customFormat="1" ht="30" customHeight="1">
      <c r="A355" s="215" t="s">
        <v>198</v>
      </c>
      <c r="B355" s="215">
        <v>2620713822</v>
      </c>
      <c r="C355" s="215" t="s">
        <v>131</v>
      </c>
      <c r="D355" s="215" t="s">
        <v>64</v>
      </c>
      <c r="E355" s="215" t="s">
        <v>5</v>
      </c>
      <c r="F355" s="215" t="s">
        <v>2393</v>
      </c>
      <c r="G355" s="215">
        <v>635</v>
      </c>
      <c r="H355" s="215" t="s">
        <v>200</v>
      </c>
      <c r="I355" s="215" t="s">
        <v>2394</v>
      </c>
      <c r="J355" s="215" t="s">
        <v>1908</v>
      </c>
      <c r="K355" s="215" t="s">
        <v>200</v>
      </c>
      <c r="L355" s="215" t="s">
        <v>2395</v>
      </c>
      <c r="M355" s="215" t="s">
        <v>2396</v>
      </c>
      <c r="N355" s="215" t="s">
        <v>1919</v>
      </c>
      <c r="O355" s="180" t="s">
        <v>205</v>
      </c>
      <c r="P355" s="92"/>
      <c r="Q355" s="164" t="s">
        <v>205</v>
      </c>
      <c r="R355" s="92"/>
      <c r="S355" s="164" t="s">
        <v>205</v>
      </c>
      <c r="T355" s="92"/>
      <c r="U355" s="145" t="s">
        <v>205</v>
      </c>
      <c r="V355" s="92"/>
      <c r="W355" s="145" t="s">
        <v>205</v>
      </c>
      <c r="X355" s="92"/>
      <c r="Y355" s="352" t="s">
        <v>205</v>
      </c>
      <c r="Z355" s="142" t="str">
        <f t="shared" si="17"/>
        <v>C</v>
      </c>
      <c r="AA355" s="226" t="str">
        <f t="shared" si="18"/>
        <v>UTILIZOU O PDA CORRETAMENTE</v>
      </c>
      <c r="AB355" s="9" t="s">
        <v>205</v>
      </c>
      <c r="AC355" s="162" t="s">
        <v>6</v>
      </c>
      <c r="AD355" s="150" t="str">
        <f t="shared" si="20"/>
        <v>SÃO PAULO</v>
      </c>
      <c r="AE355" s="95" t="s">
        <v>64</v>
      </c>
    </row>
    <row r="356" spans="1:31" s="55" customFormat="1" ht="30" customHeight="1">
      <c r="A356" s="215" t="s">
        <v>198</v>
      </c>
      <c r="B356" s="215">
        <v>2620713859</v>
      </c>
      <c r="C356" s="215" t="s">
        <v>132</v>
      </c>
      <c r="D356" s="215" t="s">
        <v>64</v>
      </c>
      <c r="E356" s="215" t="s">
        <v>5</v>
      </c>
      <c r="F356" s="215" t="s">
        <v>2397</v>
      </c>
      <c r="G356" s="215">
        <v>93</v>
      </c>
      <c r="H356" s="215" t="s">
        <v>481</v>
      </c>
      <c r="I356" s="215" t="s">
        <v>410</v>
      </c>
      <c r="J356" s="215" t="s">
        <v>1898</v>
      </c>
      <c r="K356" s="215"/>
      <c r="L356" s="215" t="s">
        <v>2398</v>
      </c>
      <c r="M356" s="215" t="s">
        <v>2399</v>
      </c>
      <c r="N356" s="215" t="s">
        <v>900</v>
      </c>
      <c r="O356" s="180" t="s">
        <v>205</v>
      </c>
      <c r="P356" s="92"/>
      <c r="Q356" s="164" t="s">
        <v>205</v>
      </c>
      <c r="R356" s="92"/>
      <c r="S356" s="164" t="s">
        <v>205</v>
      </c>
      <c r="T356" s="92"/>
      <c r="U356" s="145" t="s">
        <v>205</v>
      </c>
      <c r="V356" s="92"/>
      <c r="W356" s="145" t="s">
        <v>205</v>
      </c>
      <c r="X356" s="92"/>
      <c r="Y356" s="352" t="s">
        <v>205</v>
      </c>
      <c r="Z356" s="142" t="str">
        <f t="shared" si="17"/>
        <v>C</v>
      </c>
      <c r="AA356" s="226" t="str">
        <f t="shared" si="18"/>
        <v>UTILIZOU O PDA CORRETAMENTE</v>
      </c>
      <c r="AB356" s="9" t="s">
        <v>205</v>
      </c>
      <c r="AC356" s="162" t="s">
        <v>6</v>
      </c>
      <c r="AD356" s="150" t="str">
        <f t="shared" si="20"/>
        <v>SÃO PAULO</v>
      </c>
      <c r="AE356" s="95" t="s">
        <v>64</v>
      </c>
    </row>
    <row r="357" spans="1:31" s="55" customFormat="1" ht="30" customHeight="1">
      <c r="A357" s="215" t="s">
        <v>198</v>
      </c>
      <c r="B357" s="215">
        <v>2693486395</v>
      </c>
      <c r="C357" s="215" t="s">
        <v>132</v>
      </c>
      <c r="D357" s="215" t="s">
        <v>64</v>
      </c>
      <c r="E357" s="215" t="s">
        <v>5</v>
      </c>
      <c r="F357" s="215" t="s">
        <v>2400</v>
      </c>
      <c r="G357" s="215">
        <v>424</v>
      </c>
      <c r="H357" s="215" t="s">
        <v>318</v>
      </c>
      <c r="I357" s="215" t="s">
        <v>369</v>
      </c>
      <c r="J357" s="215" t="s">
        <v>1898</v>
      </c>
      <c r="K357" s="215"/>
      <c r="L357" s="215" t="s">
        <v>2401</v>
      </c>
      <c r="M357" s="215" t="s">
        <v>2402</v>
      </c>
      <c r="N357" s="215" t="s">
        <v>852</v>
      </c>
      <c r="O357" s="180" t="s">
        <v>205</v>
      </c>
      <c r="P357" s="92"/>
      <c r="Q357" s="164" t="s">
        <v>205</v>
      </c>
      <c r="R357" s="92"/>
      <c r="S357" s="164" t="s">
        <v>205</v>
      </c>
      <c r="T357" s="92"/>
      <c r="U357" s="145" t="s">
        <v>205</v>
      </c>
      <c r="V357" s="92"/>
      <c r="W357" s="145" t="s">
        <v>205</v>
      </c>
      <c r="X357" s="92"/>
      <c r="Y357" s="352" t="s">
        <v>205</v>
      </c>
      <c r="Z357" s="142" t="str">
        <f t="shared" si="17"/>
        <v>C</v>
      </c>
      <c r="AA357" s="226" t="str">
        <f t="shared" si="18"/>
        <v>UTILIZOU O PDA CORRETAMENTE</v>
      </c>
      <c r="AB357" s="9" t="s">
        <v>205</v>
      </c>
      <c r="AC357" s="162" t="s">
        <v>6</v>
      </c>
      <c r="AD357" s="150" t="str">
        <f t="shared" si="20"/>
        <v>SÃO PAULO</v>
      </c>
      <c r="AE357" s="95" t="s">
        <v>64</v>
      </c>
    </row>
    <row r="358" spans="1:31" s="55" customFormat="1" ht="30" customHeight="1">
      <c r="A358" s="215" t="s">
        <v>198</v>
      </c>
      <c r="B358" s="215">
        <v>2693493902</v>
      </c>
      <c r="C358" s="215" t="s">
        <v>128</v>
      </c>
      <c r="D358" s="215" t="s">
        <v>64</v>
      </c>
      <c r="E358" s="215" t="s">
        <v>5</v>
      </c>
      <c r="F358" s="215" t="s">
        <v>1875</v>
      </c>
      <c r="G358" s="215">
        <v>467</v>
      </c>
      <c r="H358" s="215" t="s">
        <v>318</v>
      </c>
      <c r="I358" s="215" t="s">
        <v>343</v>
      </c>
      <c r="J358" s="215" t="s">
        <v>1908</v>
      </c>
      <c r="K358" s="215" t="s">
        <v>200</v>
      </c>
      <c r="L358" s="215" t="s">
        <v>2403</v>
      </c>
      <c r="M358" s="215" t="s">
        <v>2404</v>
      </c>
      <c r="N358" s="215" t="s">
        <v>1919</v>
      </c>
      <c r="O358" s="180" t="s">
        <v>205</v>
      </c>
      <c r="P358" s="92"/>
      <c r="Q358" s="164" t="s">
        <v>205</v>
      </c>
      <c r="R358" s="92"/>
      <c r="S358" s="164" t="s">
        <v>205</v>
      </c>
      <c r="T358" s="92"/>
      <c r="U358" s="145" t="s">
        <v>205</v>
      </c>
      <c r="V358" s="92"/>
      <c r="W358" s="145" t="s">
        <v>205</v>
      </c>
      <c r="X358" s="92"/>
      <c r="Y358" s="352" t="s">
        <v>205</v>
      </c>
      <c r="Z358" s="142" t="str">
        <f t="shared" si="17"/>
        <v>C</v>
      </c>
      <c r="AA358" s="226" t="str">
        <f t="shared" si="18"/>
        <v>UTILIZOU O PDA CORRETAMENTE</v>
      </c>
      <c r="AB358" s="9" t="s">
        <v>205</v>
      </c>
      <c r="AC358" s="162" t="s">
        <v>6</v>
      </c>
      <c r="AD358" s="150" t="str">
        <f t="shared" si="20"/>
        <v>SÃO PAULO</v>
      </c>
      <c r="AE358" s="95" t="s">
        <v>64</v>
      </c>
    </row>
    <row r="359" spans="1:31" s="55" customFormat="1" ht="30" customHeight="1">
      <c r="A359" s="215" t="s">
        <v>198</v>
      </c>
      <c r="B359" s="215">
        <v>2693501935</v>
      </c>
      <c r="C359" s="215" t="s">
        <v>131</v>
      </c>
      <c r="D359" s="215" t="s">
        <v>64</v>
      </c>
      <c r="E359" s="215" t="s">
        <v>5</v>
      </c>
      <c r="F359" s="215" t="s">
        <v>284</v>
      </c>
      <c r="G359" s="215">
        <v>163</v>
      </c>
      <c r="H359" s="215" t="s">
        <v>481</v>
      </c>
      <c r="I359" s="215" t="s">
        <v>285</v>
      </c>
      <c r="J359" s="215" t="s">
        <v>1908</v>
      </c>
      <c r="K359" s="215" t="s">
        <v>200</v>
      </c>
      <c r="L359" s="215" t="s">
        <v>2405</v>
      </c>
      <c r="M359" s="215" t="s">
        <v>2406</v>
      </c>
      <c r="N359" s="215" t="s">
        <v>799</v>
      </c>
      <c r="O359" s="180" t="s">
        <v>205</v>
      </c>
      <c r="P359" s="92"/>
      <c r="Q359" s="164" t="s">
        <v>205</v>
      </c>
      <c r="R359" s="92"/>
      <c r="S359" s="164" t="s">
        <v>205</v>
      </c>
      <c r="T359" s="92"/>
      <c r="U359" s="145" t="s">
        <v>205</v>
      </c>
      <c r="V359" s="92"/>
      <c r="W359" s="145" t="s">
        <v>205</v>
      </c>
      <c r="X359" s="92"/>
      <c r="Y359" s="352" t="s">
        <v>205</v>
      </c>
      <c r="Z359" s="142" t="str">
        <f t="shared" si="17"/>
        <v>C</v>
      </c>
      <c r="AA359" s="226" t="str">
        <f t="shared" si="18"/>
        <v>UTILIZOU O PDA CORRETAMENTE</v>
      </c>
      <c r="AB359" s="9" t="s">
        <v>205</v>
      </c>
      <c r="AC359" s="162" t="s">
        <v>6</v>
      </c>
      <c r="AD359" s="150" t="str">
        <f t="shared" si="20"/>
        <v>SÃO PAULO</v>
      </c>
      <c r="AE359" s="95" t="s">
        <v>64</v>
      </c>
    </row>
    <row r="360" spans="1:31" s="55" customFormat="1" ht="30" customHeight="1">
      <c r="A360" s="215" t="s">
        <v>198</v>
      </c>
      <c r="B360" s="215">
        <v>2693502741</v>
      </c>
      <c r="C360" s="215" t="s">
        <v>128</v>
      </c>
      <c r="D360" s="215" t="s">
        <v>64</v>
      </c>
      <c r="E360" s="215" t="s">
        <v>5</v>
      </c>
      <c r="F360" s="215" t="s">
        <v>1802</v>
      </c>
      <c r="G360" s="215">
        <v>56</v>
      </c>
      <c r="H360" s="215"/>
      <c r="I360" s="215" t="s">
        <v>343</v>
      </c>
      <c r="J360" s="215" t="s">
        <v>1908</v>
      </c>
      <c r="K360" s="215"/>
      <c r="L360" s="215" t="s">
        <v>2407</v>
      </c>
      <c r="M360" s="215" t="s">
        <v>2408</v>
      </c>
      <c r="N360" s="215" t="s">
        <v>799</v>
      </c>
      <c r="O360" s="180" t="s">
        <v>205</v>
      </c>
      <c r="P360" s="92"/>
      <c r="Q360" s="145" t="s">
        <v>206</v>
      </c>
      <c r="R360" s="92"/>
      <c r="S360" s="164" t="s">
        <v>205</v>
      </c>
      <c r="T360" s="92"/>
      <c r="U360" s="145" t="s">
        <v>205</v>
      </c>
      <c r="V360" s="92"/>
      <c r="W360" s="145" t="s">
        <v>205</v>
      </c>
      <c r="X360" s="92"/>
      <c r="Y360" s="352" t="s">
        <v>205</v>
      </c>
      <c r="Z360" s="142" t="str">
        <f t="shared" si="17"/>
        <v>NC</v>
      </c>
      <c r="AA360" s="226" t="str">
        <f t="shared" si="18"/>
        <v>UTILIZOU O PDA CORRETAMENTE. NÃO HÁ FOTOS DE TODAS AS ETAPAS</v>
      </c>
      <c r="AB360" s="9" t="s">
        <v>205</v>
      </c>
      <c r="AC360" s="162" t="s">
        <v>6</v>
      </c>
      <c r="AD360" s="150" t="str">
        <f t="shared" si="20"/>
        <v>SÃO PAULO</v>
      </c>
      <c r="AE360" s="95" t="s">
        <v>64</v>
      </c>
    </row>
    <row r="361" spans="1:31" s="55" customFormat="1" ht="30" customHeight="1">
      <c r="A361" s="215" t="s">
        <v>198</v>
      </c>
      <c r="B361" s="215">
        <v>2620716891</v>
      </c>
      <c r="C361" s="215" t="s">
        <v>128</v>
      </c>
      <c r="D361" s="215" t="s">
        <v>64</v>
      </c>
      <c r="E361" s="215" t="s">
        <v>5</v>
      </c>
      <c r="F361" s="215" t="s">
        <v>2220</v>
      </c>
      <c r="G361" s="215">
        <v>473</v>
      </c>
      <c r="H361" s="215" t="s">
        <v>200</v>
      </c>
      <c r="I361" s="215" t="s">
        <v>419</v>
      </c>
      <c r="J361" s="215" t="s">
        <v>1898</v>
      </c>
      <c r="K361" s="215" t="s">
        <v>200</v>
      </c>
      <c r="L361" s="215" t="s">
        <v>2409</v>
      </c>
      <c r="M361" s="215" t="s">
        <v>2410</v>
      </c>
      <c r="N361" s="215" t="s">
        <v>2387</v>
      </c>
      <c r="O361" s="180" t="s">
        <v>205</v>
      </c>
      <c r="P361" s="92"/>
      <c r="Q361" s="164" t="s">
        <v>205</v>
      </c>
      <c r="R361" s="92"/>
      <c r="S361" s="164" t="s">
        <v>205</v>
      </c>
      <c r="T361" s="92"/>
      <c r="U361" s="145" t="s">
        <v>205</v>
      </c>
      <c r="V361" s="92"/>
      <c r="W361" s="145" t="s">
        <v>205</v>
      </c>
      <c r="X361" s="92"/>
      <c r="Y361" s="352" t="s">
        <v>205</v>
      </c>
      <c r="Z361" s="142" t="str">
        <f t="shared" si="17"/>
        <v>C</v>
      </c>
      <c r="AA361" s="226" t="str">
        <f t="shared" si="18"/>
        <v>UTILIZOU O PDA CORRETAMENTE</v>
      </c>
      <c r="AB361" s="9" t="s">
        <v>205</v>
      </c>
      <c r="AC361" s="162" t="s">
        <v>6</v>
      </c>
      <c r="AD361" s="150" t="str">
        <f t="shared" si="20"/>
        <v>SÃO PAULO</v>
      </c>
      <c r="AE361" s="95" t="s">
        <v>64</v>
      </c>
    </row>
    <row r="362" spans="1:31" s="55" customFormat="1" ht="30" customHeight="1">
      <c r="A362" s="215" t="s">
        <v>198</v>
      </c>
      <c r="B362" s="215">
        <v>2620721074</v>
      </c>
      <c r="C362" s="215" t="s">
        <v>130</v>
      </c>
      <c r="D362" s="215" t="s">
        <v>125</v>
      </c>
      <c r="E362" s="215" t="s">
        <v>5</v>
      </c>
      <c r="F362" s="215" t="s">
        <v>2411</v>
      </c>
      <c r="G362" s="215">
        <v>55</v>
      </c>
      <c r="H362" s="215" t="s">
        <v>200</v>
      </c>
      <c r="I362" s="215" t="s">
        <v>626</v>
      </c>
      <c r="J362" s="215" t="s">
        <v>1934</v>
      </c>
      <c r="K362" s="215" t="s">
        <v>200</v>
      </c>
      <c r="L362" s="215" t="s">
        <v>2412</v>
      </c>
      <c r="M362" s="215" t="s">
        <v>2413</v>
      </c>
      <c r="N362" s="215" t="s">
        <v>794</v>
      </c>
      <c r="O362" s="180" t="s">
        <v>205</v>
      </c>
      <c r="P362" s="92"/>
      <c r="Q362" s="145" t="s">
        <v>206</v>
      </c>
      <c r="R362" s="92"/>
      <c r="S362" s="164" t="s">
        <v>205</v>
      </c>
      <c r="T362" s="92"/>
      <c r="U362" s="145" t="s">
        <v>205</v>
      </c>
      <c r="V362" s="92"/>
      <c r="W362" s="145" t="s">
        <v>205</v>
      </c>
      <c r="X362" s="92"/>
      <c r="Y362" s="352" t="s">
        <v>205</v>
      </c>
      <c r="Z362" s="142" t="str">
        <f t="shared" si="17"/>
        <v>NC</v>
      </c>
      <c r="AA362" s="226" t="str">
        <f t="shared" si="18"/>
        <v>UTILIZOU O PDA CORRETAMENTE. NÃO HÁ FOTOS DE TODAS AS ETAPAS</v>
      </c>
      <c r="AB362" s="9" t="s">
        <v>205</v>
      </c>
      <c r="AC362" s="162" t="s">
        <v>6</v>
      </c>
      <c r="AD362" s="150" t="str">
        <f t="shared" si="20"/>
        <v>SÃO PAULO</v>
      </c>
      <c r="AE362" s="95" t="s">
        <v>64</v>
      </c>
    </row>
    <row r="363" spans="1:31" s="55" customFormat="1" ht="30" customHeight="1">
      <c r="A363" s="215" t="s">
        <v>198</v>
      </c>
      <c r="B363" s="215">
        <v>2693500408</v>
      </c>
      <c r="C363" s="215" t="s">
        <v>129</v>
      </c>
      <c r="D363" s="215" t="s">
        <v>125</v>
      </c>
      <c r="E363" s="215" t="s">
        <v>5</v>
      </c>
      <c r="F363" s="215" t="s">
        <v>2414</v>
      </c>
      <c r="G363" s="215">
        <v>55</v>
      </c>
      <c r="H363" s="215" t="s">
        <v>318</v>
      </c>
      <c r="I363" s="215" t="s">
        <v>296</v>
      </c>
      <c r="J363" s="215" t="s">
        <v>1903</v>
      </c>
      <c r="K363" s="215"/>
      <c r="L363" s="215" t="s">
        <v>2415</v>
      </c>
      <c r="M363" s="215" t="s">
        <v>2416</v>
      </c>
      <c r="N363" s="215" t="s">
        <v>794</v>
      </c>
      <c r="O363" s="180" t="s">
        <v>205</v>
      </c>
      <c r="P363" s="92"/>
      <c r="Q363" s="164" t="s">
        <v>205</v>
      </c>
      <c r="R363" s="92"/>
      <c r="S363" s="164" t="s">
        <v>205</v>
      </c>
      <c r="T363" s="92"/>
      <c r="U363" s="145" t="s">
        <v>205</v>
      </c>
      <c r="V363" s="92"/>
      <c r="W363" s="145" t="s">
        <v>205</v>
      </c>
      <c r="X363" s="92"/>
      <c r="Y363" s="352" t="s">
        <v>205</v>
      </c>
      <c r="Z363" s="142" t="str">
        <f t="shared" si="17"/>
        <v>C</v>
      </c>
      <c r="AA363" s="226" t="str">
        <f t="shared" si="18"/>
        <v>UTILIZOU O PDA CORRETAMENTE</v>
      </c>
      <c r="AB363" s="9" t="s">
        <v>205</v>
      </c>
      <c r="AC363" s="162" t="s">
        <v>6</v>
      </c>
      <c r="AD363" s="150" t="str">
        <f t="shared" si="20"/>
        <v>SÃO PAULO</v>
      </c>
      <c r="AE363" s="95" t="s">
        <v>64</v>
      </c>
    </row>
    <row r="364" spans="1:31" s="55" customFormat="1" ht="30" customHeight="1">
      <c r="A364" s="215" t="s">
        <v>198</v>
      </c>
      <c r="B364" s="215">
        <v>2693502862</v>
      </c>
      <c r="C364" s="215" t="s">
        <v>132</v>
      </c>
      <c r="D364" s="215" t="s">
        <v>64</v>
      </c>
      <c r="E364" s="215" t="s">
        <v>5</v>
      </c>
      <c r="F364" s="215" t="s">
        <v>1845</v>
      </c>
      <c r="G364" s="215">
        <v>530</v>
      </c>
      <c r="H364" s="215" t="s">
        <v>1233</v>
      </c>
      <c r="I364" s="215" t="s">
        <v>289</v>
      </c>
      <c r="J364" s="215" t="s">
        <v>1898</v>
      </c>
      <c r="K364" s="215" t="s">
        <v>200</v>
      </c>
      <c r="L364" s="215" t="s">
        <v>2417</v>
      </c>
      <c r="M364" s="215" t="s">
        <v>2418</v>
      </c>
      <c r="N364" s="215" t="s">
        <v>794</v>
      </c>
      <c r="O364" s="180" t="s">
        <v>205</v>
      </c>
      <c r="P364" s="92"/>
      <c r="Q364" s="145" t="s">
        <v>206</v>
      </c>
      <c r="R364" s="92"/>
      <c r="S364" s="164" t="s">
        <v>205</v>
      </c>
      <c r="T364" s="92"/>
      <c r="U364" s="145" t="s">
        <v>205</v>
      </c>
      <c r="V364" s="92"/>
      <c r="W364" s="145" t="s">
        <v>205</v>
      </c>
      <c r="X364" s="92"/>
      <c r="Y364" s="352" t="s">
        <v>205</v>
      </c>
      <c r="Z364" s="142" t="str">
        <f t="shared" si="17"/>
        <v>NC</v>
      </c>
      <c r="AA364" s="226" t="str">
        <f t="shared" si="18"/>
        <v>UTILIZOU O PDA CORRETAMENTE. NÃO HÁ FOTOS DE TODAS AS ETAPAS</v>
      </c>
      <c r="AB364" s="9" t="s">
        <v>205</v>
      </c>
      <c r="AC364" s="162" t="s">
        <v>6</v>
      </c>
      <c r="AD364" s="150" t="str">
        <f t="shared" si="20"/>
        <v>SÃO PAULO</v>
      </c>
      <c r="AE364" s="95" t="s">
        <v>64</v>
      </c>
    </row>
    <row r="365" spans="1:31" s="55" customFormat="1" ht="30" customHeight="1">
      <c r="A365" s="215" t="s">
        <v>198</v>
      </c>
      <c r="B365" s="215">
        <v>2693504907</v>
      </c>
      <c r="C365" s="215" t="s">
        <v>128</v>
      </c>
      <c r="D365" s="215" t="s">
        <v>64</v>
      </c>
      <c r="E365" s="215" t="s">
        <v>5</v>
      </c>
      <c r="F365" s="215" t="s">
        <v>451</v>
      </c>
      <c r="G365" s="215">
        <v>457</v>
      </c>
      <c r="H365" s="215"/>
      <c r="I365" s="215" t="s">
        <v>237</v>
      </c>
      <c r="J365" s="215" t="s">
        <v>1898</v>
      </c>
      <c r="K365" s="215"/>
      <c r="L365" s="215" t="s">
        <v>2419</v>
      </c>
      <c r="M365" s="215" t="s">
        <v>2420</v>
      </c>
      <c r="N365" s="215" t="s">
        <v>794</v>
      </c>
      <c r="O365" s="180" t="s">
        <v>205</v>
      </c>
      <c r="P365" s="92"/>
      <c r="Q365" s="164" t="s">
        <v>205</v>
      </c>
      <c r="R365" s="92"/>
      <c r="S365" s="164" t="s">
        <v>205</v>
      </c>
      <c r="T365" s="92"/>
      <c r="U365" s="145" t="s">
        <v>205</v>
      </c>
      <c r="V365" s="92"/>
      <c r="W365" s="145" t="s">
        <v>205</v>
      </c>
      <c r="X365" s="92"/>
      <c r="Y365" s="352" t="s">
        <v>205</v>
      </c>
      <c r="Z365" s="142" t="str">
        <f t="shared" si="17"/>
        <v>C</v>
      </c>
      <c r="AA365" s="226" t="str">
        <f t="shared" si="18"/>
        <v>UTILIZOU O PDA CORRETAMENTE</v>
      </c>
      <c r="AB365" s="9" t="s">
        <v>205</v>
      </c>
      <c r="AC365" s="162" t="s">
        <v>6</v>
      </c>
      <c r="AD365" s="150" t="str">
        <f t="shared" si="20"/>
        <v>SÃO PAULO</v>
      </c>
      <c r="AE365" s="95" t="s">
        <v>64</v>
      </c>
    </row>
    <row r="366" spans="1:31" s="55" customFormat="1" ht="30" customHeight="1">
      <c r="A366" s="215" t="s">
        <v>198</v>
      </c>
      <c r="B366" s="215">
        <v>2620778341</v>
      </c>
      <c r="C366" s="215" t="s">
        <v>131</v>
      </c>
      <c r="D366" s="215" t="s">
        <v>64</v>
      </c>
      <c r="E366" s="215" t="s">
        <v>5</v>
      </c>
      <c r="F366" s="215" t="s">
        <v>2421</v>
      </c>
      <c r="G366" s="215">
        <v>12</v>
      </c>
      <c r="H366" s="215" t="s">
        <v>387</v>
      </c>
      <c r="I366" s="215" t="s">
        <v>1519</v>
      </c>
      <c r="J366" s="215" t="s">
        <v>1898</v>
      </c>
      <c r="K366" s="215" t="s">
        <v>200</v>
      </c>
      <c r="L366" s="215" t="s">
        <v>2422</v>
      </c>
      <c r="M366" s="215" t="s">
        <v>2423</v>
      </c>
      <c r="N366" s="215" t="s">
        <v>794</v>
      </c>
      <c r="O366" s="180" t="s">
        <v>205</v>
      </c>
      <c r="P366" s="92"/>
      <c r="Q366" s="164" t="s">
        <v>205</v>
      </c>
      <c r="R366" s="92"/>
      <c r="S366" s="164" t="s">
        <v>205</v>
      </c>
      <c r="T366" s="92"/>
      <c r="U366" s="145" t="s">
        <v>205</v>
      </c>
      <c r="V366" s="92"/>
      <c r="W366" s="145" t="s">
        <v>205</v>
      </c>
      <c r="X366" s="92"/>
      <c r="Y366" s="352" t="s">
        <v>205</v>
      </c>
      <c r="Z366" s="142" t="str">
        <f t="shared" si="17"/>
        <v>C</v>
      </c>
      <c r="AA366" s="226" t="str">
        <f t="shared" si="18"/>
        <v>UTILIZOU O PDA CORRETAMENTE</v>
      </c>
      <c r="AB366" s="9" t="s">
        <v>205</v>
      </c>
      <c r="AC366" s="162" t="s">
        <v>6</v>
      </c>
      <c r="AD366" s="150" t="str">
        <f t="shared" si="20"/>
        <v>SÃO PAULO</v>
      </c>
      <c r="AE366" s="95" t="s">
        <v>64</v>
      </c>
    </row>
    <row r="367" spans="1:31" s="55" customFormat="1" ht="30" customHeight="1">
      <c r="A367" s="215" t="s">
        <v>198</v>
      </c>
      <c r="B367" s="215">
        <v>2693514819</v>
      </c>
      <c r="C367" s="215" t="s">
        <v>129</v>
      </c>
      <c r="D367" s="215" t="s">
        <v>125</v>
      </c>
      <c r="E367" s="215" t="s">
        <v>5</v>
      </c>
      <c r="F367" s="215" t="s">
        <v>2085</v>
      </c>
      <c r="G367" s="215">
        <v>527</v>
      </c>
      <c r="H367" s="215"/>
      <c r="I367" s="215" t="s">
        <v>2098</v>
      </c>
      <c r="J367" s="215" t="s">
        <v>1903</v>
      </c>
      <c r="K367" s="215"/>
      <c r="L367" s="215" t="s">
        <v>2424</v>
      </c>
      <c r="M367" s="215" t="s">
        <v>2425</v>
      </c>
      <c r="N367" s="215" t="s">
        <v>2387</v>
      </c>
      <c r="O367" s="180" t="s">
        <v>205</v>
      </c>
      <c r="P367" s="92"/>
      <c r="Q367" s="164" t="s">
        <v>205</v>
      </c>
      <c r="R367" s="92"/>
      <c r="S367" s="164" t="s">
        <v>205</v>
      </c>
      <c r="T367" s="92"/>
      <c r="U367" s="145" t="s">
        <v>205</v>
      </c>
      <c r="V367" s="92"/>
      <c r="W367" s="145" t="s">
        <v>205</v>
      </c>
      <c r="X367" s="92"/>
      <c r="Y367" s="352" t="s">
        <v>205</v>
      </c>
      <c r="Z367" s="142" t="str">
        <f t="shared" si="17"/>
        <v>C</v>
      </c>
      <c r="AA367" s="226" t="str">
        <f t="shared" si="18"/>
        <v>UTILIZOU O PDA CORRETAMENTE</v>
      </c>
      <c r="AB367" s="9" t="s">
        <v>205</v>
      </c>
      <c r="AC367" s="162" t="s">
        <v>6</v>
      </c>
      <c r="AD367" s="150" t="str">
        <f t="shared" si="20"/>
        <v>SÃO PAULO</v>
      </c>
      <c r="AE367" s="95" t="s">
        <v>64</v>
      </c>
    </row>
    <row r="368" spans="1:31" s="55" customFormat="1" ht="30" customHeight="1">
      <c r="A368" s="215" t="s">
        <v>198</v>
      </c>
      <c r="B368" s="215">
        <v>2693518141</v>
      </c>
      <c r="C368" s="215" t="s">
        <v>128</v>
      </c>
      <c r="D368" s="215" t="s">
        <v>64</v>
      </c>
      <c r="E368" s="215" t="s">
        <v>5</v>
      </c>
      <c r="F368" s="215" t="s">
        <v>2085</v>
      </c>
      <c r="G368" s="215">
        <v>527</v>
      </c>
      <c r="H368" s="215" t="s">
        <v>200</v>
      </c>
      <c r="I368" s="215" t="s">
        <v>2098</v>
      </c>
      <c r="J368" s="215" t="s">
        <v>1898</v>
      </c>
      <c r="K368" s="215" t="s">
        <v>200</v>
      </c>
      <c r="L368" s="215" t="s">
        <v>2426</v>
      </c>
      <c r="M368" s="215" t="s">
        <v>2424</v>
      </c>
      <c r="N368" s="215" t="s">
        <v>2387</v>
      </c>
      <c r="O368" s="180" t="s">
        <v>205</v>
      </c>
      <c r="P368" s="92"/>
      <c r="Q368" s="164" t="s">
        <v>205</v>
      </c>
      <c r="R368" s="92"/>
      <c r="S368" s="164" t="s">
        <v>205</v>
      </c>
      <c r="T368" s="92"/>
      <c r="U368" s="145" t="s">
        <v>205</v>
      </c>
      <c r="V368" s="92"/>
      <c r="W368" s="145" t="s">
        <v>205</v>
      </c>
      <c r="X368" s="92"/>
      <c r="Y368" s="352" t="s">
        <v>205</v>
      </c>
      <c r="Z368" s="142" t="str">
        <f t="shared" si="17"/>
        <v>C</v>
      </c>
      <c r="AA368" s="226" t="str">
        <f t="shared" si="18"/>
        <v>UTILIZOU O PDA CORRETAMENTE</v>
      </c>
      <c r="AB368" s="9" t="s">
        <v>205</v>
      </c>
      <c r="AC368" s="162" t="s">
        <v>6</v>
      </c>
      <c r="AD368" s="150" t="str">
        <f t="shared" si="20"/>
        <v>SÃO PAULO</v>
      </c>
      <c r="AE368" s="95" t="s">
        <v>64</v>
      </c>
    </row>
    <row r="369" spans="1:31" s="55" customFormat="1" ht="30" customHeight="1">
      <c r="A369" s="215" t="s">
        <v>198</v>
      </c>
      <c r="B369" s="215">
        <v>2693489524</v>
      </c>
      <c r="C369" s="215" t="s">
        <v>129</v>
      </c>
      <c r="D369" s="215" t="s">
        <v>125</v>
      </c>
      <c r="E369" s="215" t="s">
        <v>5</v>
      </c>
      <c r="F369" s="215" t="s">
        <v>2037</v>
      </c>
      <c r="G369" s="215">
        <v>58</v>
      </c>
      <c r="H369" s="215" t="s">
        <v>318</v>
      </c>
      <c r="I369" s="215" t="s">
        <v>546</v>
      </c>
      <c r="J369" s="215" t="s">
        <v>1903</v>
      </c>
      <c r="K369" s="215"/>
      <c r="L369" s="215" t="s">
        <v>2427</v>
      </c>
      <c r="M369" s="215" t="s">
        <v>2428</v>
      </c>
      <c r="N369" s="215" t="s">
        <v>799</v>
      </c>
      <c r="O369" s="180" t="s">
        <v>205</v>
      </c>
      <c r="P369" s="92"/>
      <c r="Q369" s="164" t="s">
        <v>205</v>
      </c>
      <c r="R369" s="92"/>
      <c r="S369" s="164" t="s">
        <v>205</v>
      </c>
      <c r="T369" s="92"/>
      <c r="U369" s="145" t="s">
        <v>205</v>
      </c>
      <c r="V369" s="92"/>
      <c r="W369" s="145" t="s">
        <v>205</v>
      </c>
      <c r="X369" s="92"/>
      <c r="Y369" s="352" t="s">
        <v>205</v>
      </c>
      <c r="Z369" s="142" t="str">
        <f t="shared" si="17"/>
        <v>C</v>
      </c>
      <c r="AA369" s="226" t="str">
        <f t="shared" si="18"/>
        <v>UTILIZOU O PDA CORRETAMENTE</v>
      </c>
      <c r="AB369" s="9" t="s">
        <v>205</v>
      </c>
      <c r="AC369" s="162" t="s">
        <v>6</v>
      </c>
      <c r="AD369" s="150" t="str">
        <f t="shared" si="20"/>
        <v>SÃO PAULO</v>
      </c>
      <c r="AE369" s="95" t="s">
        <v>64</v>
      </c>
    </row>
    <row r="370" spans="1:31" s="55" customFormat="1" ht="30" customHeight="1">
      <c r="A370" s="228" t="s">
        <v>198</v>
      </c>
      <c r="B370" s="228">
        <v>2620715431</v>
      </c>
      <c r="C370" s="228" t="s">
        <v>131</v>
      </c>
      <c r="D370" s="228" t="s">
        <v>64</v>
      </c>
      <c r="E370" s="228" t="s">
        <v>5</v>
      </c>
      <c r="F370" s="228" t="s">
        <v>631</v>
      </c>
      <c r="G370" s="228">
        <v>866</v>
      </c>
      <c r="H370" s="228" t="s">
        <v>200</v>
      </c>
      <c r="I370" s="228" t="s">
        <v>397</v>
      </c>
      <c r="J370" s="228" t="s">
        <v>1908</v>
      </c>
      <c r="K370" s="228" t="s">
        <v>200</v>
      </c>
      <c r="L370" s="228" t="s">
        <v>2428</v>
      </c>
      <c r="M370" s="228" t="s">
        <v>2429</v>
      </c>
      <c r="N370" s="228" t="s">
        <v>310</v>
      </c>
      <c r="O370" s="180" t="s">
        <v>205</v>
      </c>
      <c r="P370" s="92"/>
      <c r="Q370" s="164" t="s">
        <v>205</v>
      </c>
      <c r="R370" s="92"/>
      <c r="S370" s="164" t="s">
        <v>205</v>
      </c>
      <c r="T370" s="92"/>
      <c r="U370" s="145" t="s">
        <v>205</v>
      </c>
      <c r="V370" s="92"/>
      <c r="W370" s="145" t="s">
        <v>205</v>
      </c>
      <c r="X370" s="92"/>
      <c r="Y370" s="352" t="s">
        <v>205</v>
      </c>
      <c r="Z370" s="142" t="str">
        <f t="shared" si="17"/>
        <v>C</v>
      </c>
      <c r="AA370" s="226" t="str">
        <f t="shared" si="18"/>
        <v>UTILIZOU O PDA CORRETAMENTE</v>
      </c>
      <c r="AB370" s="9" t="s">
        <v>205</v>
      </c>
      <c r="AC370" s="162" t="s">
        <v>6</v>
      </c>
      <c r="AD370" s="150" t="str">
        <f t="shared" si="20"/>
        <v>SÃO PAULO</v>
      </c>
      <c r="AE370" s="95" t="s">
        <v>64</v>
      </c>
    </row>
    <row r="371" spans="1:31" s="55" customFormat="1" ht="30" customHeight="1">
      <c r="A371" s="215" t="s">
        <v>198</v>
      </c>
      <c r="B371" s="215">
        <v>2693523888</v>
      </c>
      <c r="C371" s="215" t="s">
        <v>128</v>
      </c>
      <c r="D371" s="215" t="s">
        <v>64</v>
      </c>
      <c r="E371" s="215" t="s">
        <v>5</v>
      </c>
      <c r="F371" s="215" t="s">
        <v>1714</v>
      </c>
      <c r="G371" s="215">
        <v>364</v>
      </c>
      <c r="H371" s="215" t="s">
        <v>1273</v>
      </c>
      <c r="I371" s="215" t="s">
        <v>649</v>
      </c>
      <c r="J371" s="215" t="s">
        <v>1898</v>
      </c>
      <c r="K371" s="215" t="s">
        <v>2430</v>
      </c>
      <c r="L371" s="215" t="s">
        <v>2431</v>
      </c>
      <c r="M371" s="215" t="s">
        <v>2432</v>
      </c>
      <c r="N371" s="215" t="s">
        <v>1919</v>
      </c>
      <c r="O371" s="180" t="s">
        <v>205</v>
      </c>
      <c r="P371" s="92"/>
      <c r="Q371" s="164" t="s">
        <v>205</v>
      </c>
      <c r="R371" s="92"/>
      <c r="S371" s="164" t="s">
        <v>205</v>
      </c>
      <c r="T371" s="92"/>
      <c r="U371" s="145" t="s">
        <v>205</v>
      </c>
      <c r="V371" s="92"/>
      <c r="W371" s="145" t="s">
        <v>205</v>
      </c>
      <c r="X371" s="92"/>
      <c r="Y371" s="352" t="s">
        <v>205</v>
      </c>
      <c r="Z371" s="142" t="str">
        <f t="shared" si="17"/>
        <v>C</v>
      </c>
      <c r="AA371" s="226" t="str">
        <f t="shared" si="18"/>
        <v>UTILIZOU O PDA CORRETAMENTE</v>
      </c>
      <c r="AB371" s="9" t="s">
        <v>205</v>
      </c>
      <c r="AC371" s="162" t="s">
        <v>6</v>
      </c>
      <c r="AD371" s="150" t="str">
        <f t="shared" si="20"/>
        <v>SÃO PAULO</v>
      </c>
      <c r="AE371" s="95" t="s">
        <v>64</v>
      </c>
    </row>
    <row r="372" spans="1:31" s="55" customFormat="1" ht="30" customHeight="1">
      <c r="A372" s="215" t="s">
        <v>198</v>
      </c>
      <c r="B372" s="215">
        <v>2693528997</v>
      </c>
      <c r="C372" s="215" t="s">
        <v>131</v>
      </c>
      <c r="D372" s="215" t="s">
        <v>64</v>
      </c>
      <c r="E372" s="215" t="s">
        <v>5</v>
      </c>
      <c r="F372" s="215" t="s">
        <v>2433</v>
      </c>
      <c r="G372" s="215">
        <v>20</v>
      </c>
      <c r="H372" s="215"/>
      <c r="I372" s="215" t="s">
        <v>260</v>
      </c>
      <c r="J372" s="215" t="s">
        <v>1908</v>
      </c>
      <c r="K372" s="215"/>
      <c r="L372" s="215" t="s">
        <v>2434</v>
      </c>
      <c r="M372" s="215" t="s">
        <v>2435</v>
      </c>
      <c r="N372" s="215" t="s">
        <v>799</v>
      </c>
      <c r="O372" s="180" t="s">
        <v>205</v>
      </c>
      <c r="P372" s="92"/>
      <c r="Q372" s="164" t="s">
        <v>205</v>
      </c>
      <c r="R372" s="92"/>
      <c r="S372" s="164" t="s">
        <v>205</v>
      </c>
      <c r="T372" s="92"/>
      <c r="U372" s="145" t="s">
        <v>205</v>
      </c>
      <c r="V372" s="92"/>
      <c r="W372" s="145" t="s">
        <v>205</v>
      </c>
      <c r="X372" s="92"/>
      <c r="Y372" s="352" t="s">
        <v>205</v>
      </c>
      <c r="Z372" s="142" t="str">
        <f t="shared" si="17"/>
        <v>C</v>
      </c>
      <c r="AA372" s="226" t="str">
        <f t="shared" si="18"/>
        <v>UTILIZOU O PDA CORRETAMENTE</v>
      </c>
      <c r="AB372" s="9" t="s">
        <v>205</v>
      </c>
      <c r="AC372" s="162" t="s">
        <v>6</v>
      </c>
      <c r="AD372" s="150" t="str">
        <f t="shared" si="20"/>
        <v>SÃO PAULO</v>
      </c>
      <c r="AE372" s="95" t="s">
        <v>64</v>
      </c>
    </row>
    <row r="373" spans="1:31" s="55" customFormat="1" ht="30" customHeight="1">
      <c r="A373" s="215" t="s">
        <v>198</v>
      </c>
      <c r="B373" s="215">
        <v>2693520211</v>
      </c>
      <c r="C373" s="215" t="s">
        <v>128</v>
      </c>
      <c r="D373" s="215" t="s">
        <v>64</v>
      </c>
      <c r="E373" s="215" t="s">
        <v>5</v>
      </c>
      <c r="F373" s="215" t="s">
        <v>2436</v>
      </c>
      <c r="G373" s="215">
        <v>51</v>
      </c>
      <c r="H373" s="215" t="s">
        <v>2437</v>
      </c>
      <c r="I373" s="215" t="s">
        <v>277</v>
      </c>
      <c r="J373" s="215" t="s">
        <v>1898</v>
      </c>
      <c r="K373" s="215"/>
      <c r="L373" s="215" t="s">
        <v>2438</v>
      </c>
      <c r="M373" s="215" t="s">
        <v>2439</v>
      </c>
      <c r="N373" s="215" t="s">
        <v>852</v>
      </c>
      <c r="O373" s="180" t="s">
        <v>205</v>
      </c>
      <c r="P373" s="92"/>
      <c r="Q373" s="164" t="s">
        <v>205</v>
      </c>
      <c r="R373" s="92"/>
      <c r="S373" s="164" t="s">
        <v>205</v>
      </c>
      <c r="T373" s="92"/>
      <c r="U373" s="145" t="s">
        <v>205</v>
      </c>
      <c r="V373" s="92"/>
      <c r="W373" s="145" t="s">
        <v>205</v>
      </c>
      <c r="X373" s="92"/>
      <c r="Y373" s="352" t="s">
        <v>205</v>
      </c>
      <c r="Z373" s="142" t="str">
        <f t="shared" si="17"/>
        <v>C</v>
      </c>
      <c r="AA373" s="226" t="str">
        <f t="shared" si="18"/>
        <v>UTILIZOU O PDA CORRETAMENTE</v>
      </c>
      <c r="AB373" s="9" t="s">
        <v>205</v>
      </c>
      <c r="AC373" s="162" t="s">
        <v>6</v>
      </c>
      <c r="AD373" s="150" t="str">
        <f t="shared" si="20"/>
        <v>SÃO PAULO</v>
      </c>
      <c r="AE373" s="95" t="s">
        <v>64</v>
      </c>
    </row>
    <row r="374" spans="1:31" s="55" customFormat="1" ht="30" customHeight="1">
      <c r="A374" s="215" t="s">
        <v>198</v>
      </c>
      <c r="B374" s="215">
        <v>2693544335</v>
      </c>
      <c r="C374" s="215" t="s">
        <v>128</v>
      </c>
      <c r="D374" s="215" t="s">
        <v>64</v>
      </c>
      <c r="E374" s="215" t="s">
        <v>5</v>
      </c>
      <c r="F374" s="215" t="s">
        <v>2440</v>
      </c>
      <c r="G374" s="215">
        <v>124</v>
      </c>
      <c r="H374" s="215" t="s">
        <v>226</v>
      </c>
      <c r="I374" s="215" t="s">
        <v>237</v>
      </c>
      <c r="J374" s="215" t="s">
        <v>1898</v>
      </c>
      <c r="K374" s="215" t="s">
        <v>200</v>
      </c>
      <c r="L374" s="215" t="s">
        <v>1026</v>
      </c>
      <c r="M374" s="215" t="s">
        <v>1028</v>
      </c>
      <c r="N374" s="215" t="s">
        <v>852</v>
      </c>
      <c r="O374" s="180" t="s">
        <v>205</v>
      </c>
      <c r="P374" s="92"/>
      <c r="Q374" s="164" t="s">
        <v>205</v>
      </c>
      <c r="R374" s="92"/>
      <c r="S374" s="164" t="s">
        <v>205</v>
      </c>
      <c r="T374" s="92"/>
      <c r="U374" s="145" t="s">
        <v>205</v>
      </c>
      <c r="V374" s="92"/>
      <c r="W374" s="145" t="s">
        <v>205</v>
      </c>
      <c r="X374" s="92"/>
      <c r="Y374" s="352" t="s">
        <v>205</v>
      </c>
      <c r="Z374" s="142" t="str">
        <f t="shared" si="17"/>
        <v>C</v>
      </c>
      <c r="AA374" s="226" t="str">
        <f t="shared" si="18"/>
        <v>UTILIZOU O PDA CORRETAMENTE</v>
      </c>
      <c r="AB374" s="9" t="s">
        <v>205</v>
      </c>
      <c r="AC374" s="162" t="s">
        <v>6</v>
      </c>
      <c r="AD374" s="150" t="str">
        <f t="shared" si="20"/>
        <v>SÃO PAULO</v>
      </c>
      <c r="AE374" s="95" t="s">
        <v>64</v>
      </c>
    </row>
    <row r="375" spans="1:31" s="55" customFormat="1" ht="30" customHeight="1">
      <c r="A375" s="215" t="s">
        <v>198</v>
      </c>
      <c r="B375" s="215">
        <v>2693557934</v>
      </c>
      <c r="C375" s="215" t="s">
        <v>132</v>
      </c>
      <c r="D375" s="215" t="s">
        <v>64</v>
      </c>
      <c r="E375" s="215" t="s">
        <v>5</v>
      </c>
      <c r="F375" s="215" t="s">
        <v>2441</v>
      </c>
      <c r="G375" s="215">
        <v>826</v>
      </c>
      <c r="H375" s="215" t="s">
        <v>200</v>
      </c>
      <c r="I375" s="215" t="s">
        <v>260</v>
      </c>
      <c r="J375" s="215" t="s">
        <v>1898</v>
      </c>
      <c r="K375" s="215" t="s">
        <v>200</v>
      </c>
      <c r="L375" s="215" t="s">
        <v>2442</v>
      </c>
      <c r="M375" s="215" t="s">
        <v>2443</v>
      </c>
      <c r="N375" s="215" t="s">
        <v>799</v>
      </c>
      <c r="O375" s="180" t="s">
        <v>205</v>
      </c>
      <c r="P375" s="92"/>
      <c r="Q375" s="145" t="s">
        <v>206</v>
      </c>
      <c r="R375" s="92"/>
      <c r="S375" s="145" t="s">
        <v>206</v>
      </c>
      <c r="T375" s="92"/>
      <c r="U375" s="145" t="s">
        <v>205</v>
      </c>
      <c r="V375" s="92"/>
      <c r="W375" s="145" t="s">
        <v>206</v>
      </c>
      <c r="X375" s="92"/>
      <c r="Y375" s="352" t="s">
        <v>239</v>
      </c>
      <c r="Z375" s="142" t="str">
        <f t="shared" si="17"/>
        <v>NC</v>
      </c>
      <c r="AA375" s="226" t="str">
        <f t="shared" si="18"/>
        <v>NÃO UTILIZOU O PDA</v>
      </c>
      <c r="AB375" s="9" t="s">
        <v>205</v>
      </c>
      <c r="AC375" s="162" t="s">
        <v>6</v>
      </c>
      <c r="AD375" s="150" t="str">
        <f t="shared" si="20"/>
        <v>SÃO PAULO</v>
      </c>
      <c r="AE375" s="95" t="s">
        <v>64</v>
      </c>
    </row>
    <row r="376" spans="1:31" s="55" customFormat="1" ht="30" customHeight="1">
      <c r="A376" s="215" t="s">
        <v>198</v>
      </c>
      <c r="B376" s="215">
        <v>2693562032</v>
      </c>
      <c r="C376" s="215" t="s">
        <v>128</v>
      </c>
      <c r="D376" s="215" t="s">
        <v>64</v>
      </c>
      <c r="E376" s="215" t="s">
        <v>5</v>
      </c>
      <c r="F376" s="215" t="s">
        <v>1859</v>
      </c>
      <c r="G376" s="215">
        <v>627</v>
      </c>
      <c r="H376" s="215" t="s">
        <v>318</v>
      </c>
      <c r="I376" s="215" t="s">
        <v>227</v>
      </c>
      <c r="J376" s="215" t="s">
        <v>1898</v>
      </c>
      <c r="K376" s="215" t="s">
        <v>200</v>
      </c>
      <c r="L376" s="215" t="s">
        <v>2444</v>
      </c>
      <c r="M376" s="215" t="s">
        <v>2445</v>
      </c>
      <c r="N376" s="215" t="s">
        <v>1919</v>
      </c>
      <c r="O376" s="180" t="s">
        <v>205</v>
      </c>
      <c r="P376" s="92"/>
      <c r="Q376" s="164" t="s">
        <v>205</v>
      </c>
      <c r="R376" s="92"/>
      <c r="S376" s="164" t="s">
        <v>205</v>
      </c>
      <c r="T376" s="92"/>
      <c r="U376" s="145" t="s">
        <v>205</v>
      </c>
      <c r="V376" s="92"/>
      <c r="W376" s="145" t="s">
        <v>205</v>
      </c>
      <c r="X376" s="92"/>
      <c r="Y376" s="352" t="s">
        <v>205</v>
      </c>
      <c r="Z376" s="142" t="str">
        <f t="shared" si="17"/>
        <v>C</v>
      </c>
      <c r="AA376" s="226" t="str">
        <f t="shared" si="18"/>
        <v>UTILIZOU O PDA CORRETAMENTE</v>
      </c>
      <c r="AB376" s="9" t="s">
        <v>205</v>
      </c>
      <c r="AC376" s="162" t="s">
        <v>6</v>
      </c>
      <c r="AD376" s="150" t="str">
        <f t="shared" si="20"/>
        <v>SÃO PAULO</v>
      </c>
      <c r="AE376" s="95" t="s">
        <v>64</v>
      </c>
    </row>
    <row r="377" spans="1:31" s="55" customFormat="1" ht="30" customHeight="1">
      <c r="A377" s="215" t="s">
        <v>198</v>
      </c>
      <c r="B377" s="215">
        <v>2693570099</v>
      </c>
      <c r="C377" s="215" t="s">
        <v>132</v>
      </c>
      <c r="D377" s="215" t="s">
        <v>64</v>
      </c>
      <c r="E377" s="215" t="s">
        <v>5</v>
      </c>
      <c r="F377" s="215" t="s">
        <v>2446</v>
      </c>
      <c r="G377" s="215">
        <v>134</v>
      </c>
      <c r="H377" s="215"/>
      <c r="I377" s="215" t="s">
        <v>280</v>
      </c>
      <c r="J377" s="215" t="s">
        <v>1908</v>
      </c>
      <c r="K377" s="215" t="s">
        <v>2087</v>
      </c>
      <c r="L377" s="215" t="s">
        <v>2447</v>
      </c>
      <c r="M377" s="215" t="s">
        <v>2448</v>
      </c>
      <c r="N377" s="215" t="s">
        <v>1956</v>
      </c>
      <c r="O377" s="157" t="s">
        <v>62</v>
      </c>
      <c r="P377" s="92"/>
      <c r="Q377" s="145" t="s">
        <v>62</v>
      </c>
      <c r="R377" s="92"/>
      <c r="S377" s="145" t="s">
        <v>62</v>
      </c>
      <c r="T377" s="92"/>
      <c r="U377" s="145" t="s">
        <v>62</v>
      </c>
      <c r="V377" s="92"/>
      <c r="W377" s="145" t="s">
        <v>62</v>
      </c>
      <c r="X377" s="92"/>
      <c r="Y377" s="352" t="s">
        <v>62</v>
      </c>
      <c r="Z377" s="142" t="str">
        <f t="shared" si="17"/>
        <v>NA</v>
      </c>
      <c r="AA377" s="226" t="str">
        <f t="shared" si="18"/>
        <v>NÃO AVALIADO POR FALHA DE SINCRONISMO</v>
      </c>
      <c r="AB377" s="9" t="s">
        <v>205</v>
      </c>
      <c r="AC377" s="162" t="s">
        <v>6</v>
      </c>
      <c r="AD377" s="150" t="str">
        <f t="shared" si="20"/>
        <v>SÃO PAULO</v>
      </c>
      <c r="AE377" s="95" t="s">
        <v>64</v>
      </c>
    </row>
    <row r="378" spans="1:31" s="55" customFormat="1" ht="30" customHeight="1">
      <c r="A378" s="215" t="s">
        <v>198</v>
      </c>
      <c r="B378" s="215">
        <v>2693576160</v>
      </c>
      <c r="C378" s="215" t="s">
        <v>128</v>
      </c>
      <c r="D378" s="215" t="s">
        <v>64</v>
      </c>
      <c r="E378" s="215" t="s">
        <v>5</v>
      </c>
      <c r="F378" s="215" t="s">
        <v>199</v>
      </c>
      <c r="G378" s="215">
        <v>860</v>
      </c>
      <c r="H378" s="215" t="s">
        <v>387</v>
      </c>
      <c r="I378" s="215" t="s">
        <v>201</v>
      </c>
      <c r="J378" s="215" t="s">
        <v>1898</v>
      </c>
      <c r="K378" s="215"/>
      <c r="L378" s="215" t="s">
        <v>2449</v>
      </c>
      <c r="M378" s="215" t="s">
        <v>2450</v>
      </c>
      <c r="N378" s="215" t="s">
        <v>852</v>
      </c>
      <c r="O378" s="180" t="s">
        <v>205</v>
      </c>
      <c r="P378" s="92"/>
      <c r="Q378" s="164" t="s">
        <v>205</v>
      </c>
      <c r="R378" s="92"/>
      <c r="S378" s="164" t="s">
        <v>205</v>
      </c>
      <c r="T378" s="92"/>
      <c r="U378" s="145" t="s">
        <v>205</v>
      </c>
      <c r="V378" s="92"/>
      <c r="W378" s="145" t="s">
        <v>205</v>
      </c>
      <c r="X378" s="92"/>
      <c r="Y378" s="352" t="s">
        <v>205</v>
      </c>
      <c r="Z378" s="142" t="str">
        <f t="shared" si="17"/>
        <v>C</v>
      </c>
      <c r="AA378" s="226" t="str">
        <f t="shared" si="18"/>
        <v>UTILIZOU O PDA CORRETAMENTE</v>
      </c>
      <c r="AB378" s="9" t="s">
        <v>205</v>
      </c>
      <c r="AC378" s="162" t="s">
        <v>6</v>
      </c>
      <c r="AD378" s="150" t="str">
        <f t="shared" si="20"/>
        <v>SÃO PAULO</v>
      </c>
      <c r="AE378" s="95" t="s">
        <v>64</v>
      </c>
    </row>
    <row r="379" spans="1:31" s="55" customFormat="1" ht="30" customHeight="1">
      <c r="A379" s="215" t="s">
        <v>198</v>
      </c>
      <c r="B379" s="215">
        <v>2693585221</v>
      </c>
      <c r="C379" s="215" t="s">
        <v>128</v>
      </c>
      <c r="D379" s="215" t="s">
        <v>64</v>
      </c>
      <c r="E379" s="215" t="s">
        <v>5</v>
      </c>
      <c r="F379" s="215" t="s">
        <v>2451</v>
      </c>
      <c r="G379" s="215">
        <v>72</v>
      </c>
      <c r="H379" s="215" t="s">
        <v>226</v>
      </c>
      <c r="I379" s="215" t="s">
        <v>1246</v>
      </c>
      <c r="J379" s="215" t="s">
        <v>1898</v>
      </c>
      <c r="K379" s="215"/>
      <c r="L379" s="215" t="s">
        <v>2452</v>
      </c>
      <c r="M379" s="215" t="s">
        <v>2453</v>
      </c>
      <c r="N379" s="215" t="s">
        <v>1919</v>
      </c>
      <c r="O379" s="180" t="s">
        <v>205</v>
      </c>
      <c r="P379" s="92"/>
      <c r="Q379" s="164" t="s">
        <v>205</v>
      </c>
      <c r="R379" s="92"/>
      <c r="S379" s="164" t="s">
        <v>205</v>
      </c>
      <c r="T379" s="92"/>
      <c r="U379" s="145" t="s">
        <v>205</v>
      </c>
      <c r="V379" s="92"/>
      <c r="W379" s="145" t="s">
        <v>205</v>
      </c>
      <c r="X379" s="92"/>
      <c r="Y379" s="352" t="s">
        <v>205</v>
      </c>
      <c r="Z379" s="142" t="str">
        <f t="shared" ref="Z379:Z441" si="21">IF(AND(O379="",Q379="",S379="",U379="",W379=""),"",IF(OR(AND(O379&lt;&gt;"NA",O379&lt;&gt;"C",O379&lt;&gt;"NC",O379&lt;&gt;"SF",O379&lt;&gt;""),AND(Q379&lt;&gt;"NA",Q379&lt;&gt;"C",Q379&lt;&gt;"NC",Q379&lt;&gt;"SF",Q379&lt;&gt;""),AND(S379&lt;&gt;"NA",S379&lt;&gt;"C",S379&lt;&gt;"NC",S379&lt;&gt;"SF",S379&lt;&gt;""),AND(U379&lt;&gt;"NA",U379&lt;&gt;"C",U379&lt;&gt;"NC",U379&lt;&gt;"SF",U379&lt;&gt;""),AND(W379&lt;&gt;"NA",W379&lt;&gt;"C",W379&lt;&gt;"NC",W379&lt;&gt;"SF",W379&lt;&gt;"")),"FALSO",IF(AND(O379="NA",Q379="NA",S379="NA",U379="NA",W379="NA"),"NA",IF(OR(O379="NC",Q379="NC",S379="NC",U379="NC",W379="NC",O379="SF",Q379="SF",S379="SF",U379="SF",W379="SF"),"NC",IF(OR(O379="C",Q379="C",S379="C",U379="C",W379="C"),"C","")))))</f>
        <v>C</v>
      </c>
      <c r="AA379" s="226" t="str">
        <f t="shared" ref="AA379:AA441" si="22">IF(AND(Y379="C",Z379="C"),"UTILIZOU O PDA CORRETAMENTE",IF(AND(Y379="C",Z379="NC"),"UTILIZOU O PDA CORRETAMENTE. NÃO HÁ FOTOS DE TODAS AS ETAPAS",IF(AND(Y379="NC",Z379="NC"),"NÃO UTILIZOU O PDA",IF(AND(Y379="NA",Z379="NA"),"NÃO AVALIADO POR FALHA DE SINCRONISMO"))))</f>
        <v>UTILIZOU O PDA CORRETAMENTE</v>
      </c>
      <c r="AB379" s="9" t="s">
        <v>205</v>
      </c>
      <c r="AC379" s="162" t="s">
        <v>6</v>
      </c>
      <c r="AD379" s="150" t="str">
        <f t="shared" si="20"/>
        <v>SÃO PAULO</v>
      </c>
      <c r="AE379" s="95" t="s">
        <v>64</v>
      </c>
    </row>
    <row r="380" spans="1:31" s="55" customFormat="1" ht="30" customHeight="1">
      <c r="A380" s="215" t="s">
        <v>198</v>
      </c>
      <c r="B380" s="215">
        <v>2693591105</v>
      </c>
      <c r="C380" s="215" t="s">
        <v>128</v>
      </c>
      <c r="D380" s="215" t="s">
        <v>64</v>
      </c>
      <c r="E380" s="215" t="s">
        <v>5</v>
      </c>
      <c r="F380" s="215" t="s">
        <v>2454</v>
      </c>
      <c r="G380" s="215">
        <v>84</v>
      </c>
      <c r="H380" s="215" t="s">
        <v>318</v>
      </c>
      <c r="I380" s="215" t="s">
        <v>1038</v>
      </c>
      <c r="J380" s="215" t="s">
        <v>1900</v>
      </c>
      <c r="K380" s="215" t="s">
        <v>1937</v>
      </c>
      <c r="L380" s="215" t="s">
        <v>2455</v>
      </c>
      <c r="M380" s="215" t="s">
        <v>981</v>
      </c>
      <c r="N380" s="215" t="s">
        <v>900</v>
      </c>
      <c r="O380" s="157" t="s">
        <v>206</v>
      </c>
      <c r="P380" s="92"/>
      <c r="Q380" s="145" t="s">
        <v>206</v>
      </c>
      <c r="R380" s="92"/>
      <c r="S380" s="145" t="s">
        <v>206</v>
      </c>
      <c r="T380" s="92"/>
      <c r="U380" s="145" t="s">
        <v>206</v>
      </c>
      <c r="V380" s="92"/>
      <c r="W380" s="145" t="s">
        <v>206</v>
      </c>
      <c r="X380" s="92"/>
      <c r="Y380" s="352" t="s">
        <v>239</v>
      </c>
      <c r="Z380" s="142" t="str">
        <f t="shared" si="21"/>
        <v>NC</v>
      </c>
      <c r="AA380" s="226" t="str">
        <f t="shared" si="22"/>
        <v>NÃO UTILIZOU O PDA</v>
      </c>
      <c r="AB380" s="9" t="s">
        <v>205</v>
      </c>
      <c r="AC380" s="162" t="s">
        <v>6</v>
      </c>
      <c r="AD380" s="150" t="str">
        <f t="shared" si="20"/>
        <v>SÃO PAULO</v>
      </c>
      <c r="AE380" s="95" t="s">
        <v>64</v>
      </c>
    </row>
    <row r="381" spans="1:31" s="55" customFormat="1" ht="30" customHeight="1">
      <c r="A381" s="215" t="s">
        <v>198</v>
      </c>
      <c r="B381" s="215">
        <v>2693597524</v>
      </c>
      <c r="C381" s="215" t="s">
        <v>128</v>
      </c>
      <c r="D381" s="215" t="s">
        <v>64</v>
      </c>
      <c r="E381" s="215" t="s">
        <v>5</v>
      </c>
      <c r="F381" s="215" t="s">
        <v>284</v>
      </c>
      <c r="G381" s="215">
        <v>365</v>
      </c>
      <c r="H381" s="215" t="s">
        <v>481</v>
      </c>
      <c r="I381" s="215" t="s">
        <v>285</v>
      </c>
      <c r="J381" s="215" t="s">
        <v>1898</v>
      </c>
      <c r="K381" s="215"/>
      <c r="L381" s="215" t="s">
        <v>2456</v>
      </c>
      <c r="M381" s="215" t="s">
        <v>2457</v>
      </c>
      <c r="N381" s="215" t="s">
        <v>590</v>
      </c>
      <c r="O381" s="180" t="s">
        <v>205</v>
      </c>
      <c r="P381" s="92"/>
      <c r="Q381" s="164" t="s">
        <v>205</v>
      </c>
      <c r="R381" s="92"/>
      <c r="S381" s="164" t="s">
        <v>205</v>
      </c>
      <c r="T381" s="92"/>
      <c r="U381" s="145" t="s">
        <v>205</v>
      </c>
      <c r="V381" s="92"/>
      <c r="W381" s="145" t="s">
        <v>205</v>
      </c>
      <c r="X381" s="92"/>
      <c r="Y381" s="352" t="s">
        <v>205</v>
      </c>
      <c r="Z381" s="142" t="str">
        <f t="shared" si="21"/>
        <v>C</v>
      </c>
      <c r="AA381" s="226" t="str">
        <f t="shared" si="22"/>
        <v>UTILIZOU O PDA CORRETAMENTE</v>
      </c>
      <c r="AB381" s="9" t="s">
        <v>205</v>
      </c>
      <c r="AC381" s="162" t="s">
        <v>6</v>
      </c>
      <c r="AD381" s="150" t="str">
        <f t="shared" si="20"/>
        <v>SÃO PAULO</v>
      </c>
      <c r="AE381" s="95" t="s">
        <v>64</v>
      </c>
    </row>
    <row r="382" spans="1:31" s="55" customFormat="1" ht="30" customHeight="1">
      <c r="A382" s="215" t="s">
        <v>198</v>
      </c>
      <c r="B382" s="215">
        <v>2693608880</v>
      </c>
      <c r="C382" s="215" t="s">
        <v>128</v>
      </c>
      <c r="D382" s="215" t="s">
        <v>64</v>
      </c>
      <c r="E382" s="215" t="s">
        <v>5</v>
      </c>
      <c r="F382" s="215" t="s">
        <v>2458</v>
      </c>
      <c r="G382" s="215">
        <v>539</v>
      </c>
      <c r="H382" s="215" t="s">
        <v>226</v>
      </c>
      <c r="I382" s="215" t="s">
        <v>2093</v>
      </c>
      <c r="J382" s="215" t="s">
        <v>1898</v>
      </c>
      <c r="K382" s="215" t="s">
        <v>200</v>
      </c>
      <c r="L382" s="215" t="s">
        <v>2459</v>
      </c>
      <c r="M382" s="215" t="s">
        <v>2459</v>
      </c>
      <c r="N382" s="215" t="s">
        <v>1947</v>
      </c>
      <c r="O382" s="180" t="s">
        <v>205</v>
      </c>
      <c r="P382" s="92"/>
      <c r="Q382" s="164" t="s">
        <v>205</v>
      </c>
      <c r="R382" s="92"/>
      <c r="S382" s="164" t="s">
        <v>205</v>
      </c>
      <c r="T382" s="92"/>
      <c r="U382" s="145" t="s">
        <v>205</v>
      </c>
      <c r="V382" s="92"/>
      <c r="W382" s="145" t="s">
        <v>205</v>
      </c>
      <c r="X382" s="92"/>
      <c r="Y382" s="352" t="s">
        <v>205</v>
      </c>
      <c r="Z382" s="142" t="str">
        <f t="shared" si="21"/>
        <v>C</v>
      </c>
      <c r="AA382" s="226" t="str">
        <f t="shared" si="22"/>
        <v>UTILIZOU O PDA CORRETAMENTE</v>
      </c>
      <c r="AB382" s="9" t="s">
        <v>205</v>
      </c>
      <c r="AC382" s="162" t="s">
        <v>6</v>
      </c>
      <c r="AD382" s="150" t="str">
        <f t="shared" si="20"/>
        <v>SÃO PAULO</v>
      </c>
      <c r="AE382" s="95" t="s">
        <v>64</v>
      </c>
    </row>
    <row r="383" spans="1:31" s="55" customFormat="1" ht="30" customHeight="1">
      <c r="A383" s="215" t="s">
        <v>198</v>
      </c>
      <c r="B383" s="215">
        <v>2620561460</v>
      </c>
      <c r="C383" s="215" t="s">
        <v>135</v>
      </c>
      <c r="D383" s="215" t="s">
        <v>125</v>
      </c>
      <c r="E383" s="215" t="s">
        <v>5</v>
      </c>
      <c r="F383" s="215" t="s">
        <v>999</v>
      </c>
      <c r="G383" s="215">
        <v>163</v>
      </c>
      <c r="H383" s="215" t="s">
        <v>318</v>
      </c>
      <c r="I383" s="215" t="s">
        <v>1000</v>
      </c>
      <c r="J383" s="215" t="s">
        <v>1909</v>
      </c>
      <c r="K383" s="215"/>
      <c r="L383" s="215" t="s">
        <v>2460</v>
      </c>
      <c r="M383" s="215" t="s">
        <v>2461</v>
      </c>
      <c r="N383" s="215" t="s">
        <v>310</v>
      </c>
      <c r="O383" s="180" t="s">
        <v>205</v>
      </c>
      <c r="P383" s="92"/>
      <c r="Q383" s="164" t="s">
        <v>205</v>
      </c>
      <c r="R383" s="92"/>
      <c r="S383" s="164" t="s">
        <v>205</v>
      </c>
      <c r="T383" s="92"/>
      <c r="U383" s="145" t="s">
        <v>205</v>
      </c>
      <c r="V383" s="92"/>
      <c r="W383" s="145" t="s">
        <v>206</v>
      </c>
      <c r="X383" s="92"/>
      <c r="Y383" s="352" t="s">
        <v>205</v>
      </c>
      <c r="Z383" s="142" t="str">
        <f t="shared" si="21"/>
        <v>NC</v>
      </c>
      <c r="AA383" s="226" t="str">
        <f t="shared" si="22"/>
        <v>UTILIZOU O PDA CORRETAMENTE. NÃO HÁ FOTOS DE TODAS AS ETAPAS</v>
      </c>
      <c r="AB383" s="9" t="s">
        <v>205</v>
      </c>
      <c r="AC383" s="162" t="s">
        <v>6</v>
      </c>
      <c r="AD383" s="150" t="str">
        <f t="shared" si="20"/>
        <v>SÃO PAULO</v>
      </c>
      <c r="AE383" s="95" t="s">
        <v>64</v>
      </c>
    </row>
    <row r="384" spans="1:31" s="55" customFormat="1" ht="30" customHeight="1">
      <c r="A384" s="228" t="s">
        <v>198</v>
      </c>
      <c r="B384" s="228">
        <v>2620898644</v>
      </c>
      <c r="C384" s="228" t="s">
        <v>127</v>
      </c>
      <c r="D384" s="228" t="s">
        <v>64</v>
      </c>
      <c r="E384" s="228" t="s">
        <v>5</v>
      </c>
      <c r="F384" s="228" t="s">
        <v>561</v>
      </c>
      <c r="G384" s="228">
        <v>571</v>
      </c>
      <c r="H384" s="228" t="s">
        <v>318</v>
      </c>
      <c r="I384" s="228" t="s">
        <v>343</v>
      </c>
      <c r="J384" s="228" t="s">
        <v>1898</v>
      </c>
      <c r="K384" s="228" t="s">
        <v>200</v>
      </c>
      <c r="L384" s="228" t="s">
        <v>2462</v>
      </c>
      <c r="M384" s="228" t="s">
        <v>2463</v>
      </c>
      <c r="N384" s="228" t="s">
        <v>254</v>
      </c>
      <c r="O384" s="180" t="s">
        <v>205</v>
      </c>
      <c r="P384" s="92"/>
      <c r="Q384" s="164" t="s">
        <v>205</v>
      </c>
      <c r="R384" s="92"/>
      <c r="S384" s="164" t="s">
        <v>205</v>
      </c>
      <c r="T384" s="92"/>
      <c r="U384" s="145" t="s">
        <v>205</v>
      </c>
      <c r="V384" s="92"/>
      <c r="W384" s="145" t="s">
        <v>205</v>
      </c>
      <c r="X384" s="92"/>
      <c r="Y384" s="352" t="s">
        <v>205</v>
      </c>
      <c r="Z384" s="142" t="str">
        <f t="shared" si="21"/>
        <v>C</v>
      </c>
      <c r="AA384" s="226" t="str">
        <f t="shared" si="22"/>
        <v>UTILIZOU O PDA CORRETAMENTE</v>
      </c>
      <c r="AB384" s="9" t="s">
        <v>205</v>
      </c>
      <c r="AC384" s="162" t="s">
        <v>6</v>
      </c>
      <c r="AD384" s="150" t="str">
        <f t="shared" si="20"/>
        <v>SÃO PAULO</v>
      </c>
      <c r="AE384" s="95" t="s">
        <v>64</v>
      </c>
    </row>
    <row r="385" spans="1:31" s="55" customFormat="1" ht="30" customHeight="1">
      <c r="A385" s="215" t="s">
        <v>198</v>
      </c>
      <c r="B385" s="215">
        <v>2620907815</v>
      </c>
      <c r="C385" s="215" t="s">
        <v>128</v>
      </c>
      <c r="D385" s="215" t="s">
        <v>64</v>
      </c>
      <c r="E385" s="215" t="s">
        <v>5</v>
      </c>
      <c r="F385" s="215" t="s">
        <v>2464</v>
      </c>
      <c r="G385" s="215">
        <v>28</v>
      </c>
      <c r="H385" s="215" t="s">
        <v>2465</v>
      </c>
      <c r="I385" s="215" t="s">
        <v>589</v>
      </c>
      <c r="J385" s="215" t="s">
        <v>1898</v>
      </c>
      <c r="K385" s="215"/>
      <c r="L385" s="215" t="s">
        <v>2466</v>
      </c>
      <c r="M385" s="215" t="s">
        <v>1114</v>
      </c>
      <c r="N385" s="215" t="s">
        <v>900</v>
      </c>
      <c r="O385" s="180" t="s">
        <v>205</v>
      </c>
      <c r="P385" s="92"/>
      <c r="Q385" s="164" t="s">
        <v>205</v>
      </c>
      <c r="R385" s="92"/>
      <c r="S385" s="164" t="s">
        <v>205</v>
      </c>
      <c r="T385" s="92"/>
      <c r="U385" s="145" t="s">
        <v>205</v>
      </c>
      <c r="V385" s="92"/>
      <c r="W385" s="145" t="s">
        <v>205</v>
      </c>
      <c r="X385" s="92"/>
      <c r="Y385" s="352" t="s">
        <v>205</v>
      </c>
      <c r="Z385" s="142" t="str">
        <f t="shared" si="21"/>
        <v>C</v>
      </c>
      <c r="AA385" s="226" t="str">
        <f t="shared" si="22"/>
        <v>UTILIZOU O PDA CORRETAMENTE</v>
      </c>
      <c r="AB385" s="9" t="s">
        <v>205</v>
      </c>
      <c r="AC385" s="162" t="s">
        <v>6</v>
      </c>
      <c r="AD385" s="150" t="str">
        <f t="shared" si="20"/>
        <v>SÃO PAULO</v>
      </c>
      <c r="AE385" s="95" t="s">
        <v>64</v>
      </c>
    </row>
    <row r="386" spans="1:31" s="55" customFormat="1" ht="30" customHeight="1">
      <c r="A386" s="215" t="s">
        <v>198</v>
      </c>
      <c r="B386" s="215">
        <v>2693597514</v>
      </c>
      <c r="C386" s="215" t="s">
        <v>128</v>
      </c>
      <c r="D386" s="215" t="s">
        <v>64</v>
      </c>
      <c r="E386" s="215" t="s">
        <v>5</v>
      </c>
      <c r="F386" s="215" t="s">
        <v>2467</v>
      </c>
      <c r="G386" s="215">
        <v>324</v>
      </c>
      <c r="H386" s="215" t="s">
        <v>226</v>
      </c>
      <c r="I386" s="215" t="s">
        <v>470</v>
      </c>
      <c r="J386" s="215" t="s">
        <v>1898</v>
      </c>
      <c r="K386" s="215" t="s">
        <v>200</v>
      </c>
      <c r="L386" s="215" t="s">
        <v>2468</v>
      </c>
      <c r="M386" s="215" t="s">
        <v>2469</v>
      </c>
      <c r="N386" s="215" t="s">
        <v>1947</v>
      </c>
      <c r="O386" s="180" t="s">
        <v>205</v>
      </c>
      <c r="P386" s="92"/>
      <c r="Q386" s="164" t="s">
        <v>205</v>
      </c>
      <c r="R386" s="92"/>
      <c r="S386" s="164" t="s">
        <v>205</v>
      </c>
      <c r="T386" s="92"/>
      <c r="U386" s="145" t="s">
        <v>205</v>
      </c>
      <c r="V386" s="92"/>
      <c r="W386" s="145" t="s">
        <v>205</v>
      </c>
      <c r="X386" s="92"/>
      <c r="Y386" s="352" t="s">
        <v>205</v>
      </c>
      <c r="Z386" s="142" t="str">
        <f t="shared" si="21"/>
        <v>C</v>
      </c>
      <c r="AA386" s="226" t="str">
        <f t="shared" si="22"/>
        <v>UTILIZOU O PDA CORRETAMENTE</v>
      </c>
      <c r="AB386" s="9" t="s">
        <v>205</v>
      </c>
      <c r="AC386" s="162" t="s">
        <v>6</v>
      </c>
      <c r="AD386" s="150" t="str">
        <f t="shared" si="20"/>
        <v>SÃO PAULO</v>
      </c>
      <c r="AE386" s="95" t="s">
        <v>64</v>
      </c>
    </row>
    <row r="387" spans="1:31" s="55" customFormat="1" ht="30" customHeight="1">
      <c r="A387" s="215" t="s">
        <v>198</v>
      </c>
      <c r="B387" s="215">
        <v>2693603931</v>
      </c>
      <c r="C387" s="215" t="s">
        <v>128</v>
      </c>
      <c r="D387" s="215" t="s">
        <v>64</v>
      </c>
      <c r="E387" s="215" t="s">
        <v>5</v>
      </c>
      <c r="F387" s="215" t="s">
        <v>2470</v>
      </c>
      <c r="G387" s="215">
        <v>446</v>
      </c>
      <c r="H387" s="215" t="s">
        <v>250</v>
      </c>
      <c r="I387" s="215" t="s">
        <v>448</v>
      </c>
      <c r="J387" s="215" t="s">
        <v>1898</v>
      </c>
      <c r="K387" s="215" t="s">
        <v>200</v>
      </c>
      <c r="L387" s="215" t="s">
        <v>2471</v>
      </c>
      <c r="M387" s="215" t="s">
        <v>2472</v>
      </c>
      <c r="N387" s="215" t="s">
        <v>852</v>
      </c>
      <c r="O387" s="180" t="s">
        <v>205</v>
      </c>
      <c r="P387" s="92"/>
      <c r="Q387" s="164" t="s">
        <v>205</v>
      </c>
      <c r="R387" s="92"/>
      <c r="S387" s="164" t="s">
        <v>205</v>
      </c>
      <c r="T387" s="92"/>
      <c r="U387" s="145" t="s">
        <v>205</v>
      </c>
      <c r="V387" s="92"/>
      <c r="W387" s="145" t="s">
        <v>205</v>
      </c>
      <c r="X387" s="92"/>
      <c r="Y387" s="352" t="s">
        <v>205</v>
      </c>
      <c r="Z387" s="142" t="str">
        <f t="shared" si="21"/>
        <v>C</v>
      </c>
      <c r="AA387" s="226" t="str">
        <f t="shared" si="22"/>
        <v>UTILIZOU O PDA CORRETAMENTE</v>
      </c>
      <c r="AB387" s="9" t="s">
        <v>205</v>
      </c>
      <c r="AC387" s="162" t="s">
        <v>6</v>
      </c>
      <c r="AD387" s="150" t="str">
        <f t="shared" si="20"/>
        <v>SÃO PAULO</v>
      </c>
      <c r="AE387" s="95" t="s">
        <v>64</v>
      </c>
    </row>
    <row r="388" spans="1:31" s="55" customFormat="1" ht="30" customHeight="1">
      <c r="A388" s="215" t="s">
        <v>198</v>
      </c>
      <c r="B388" s="215">
        <v>2693612513</v>
      </c>
      <c r="C388" s="215" t="s">
        <v>131</v>
      </c>
      <c r="D388" s="215" t="s">
        <v>64</v>
      </c>
      <c r="E388" s="215" t="s">
        <v>5</v>
      </c>
      <c r="F388" s="215" t="s">
        <v>2337</v>
      </c>
      <c r="G388" s="215">
        <v>105</v>
      </c>
      <c r="H388" s="215"/>
      <c r="I388" s="215" t="s">
        <v>215</v>
      </c>
      <c r="J388" s="215" t="s">
        <v>1908</v>
      </c>
      <c r="K388" s="215"/>
      <c r="L388" s="215" t="s">
        <v>2473</v>
      </c>
      <c r="M388" s="215" t="s">
        <v>2474</v>
      </c>
      <c r="N388" s="215" t="s">
        <v>900</v>
      </c>
      <c r="O388" s="157" t="s">
        <v>62</v>
      </c>
      <c r="P388" s="92"/>
      <c r="Q388" s="145" t="s">
        <v>62</v>
      </c>
      <c r="R388" s="92"/>
      <c r="S388" s="145" t="s">
        <v>62</v>
      </c>
      <c r="T388" s="92"/>
      <c r="U388" s="145" t="s">
        <v>62</v>
      </c>
      <c r="V388" s="92"/>
      <c r="W388" s="145" t="s">
        <v>62</v>
      </c>
      <c r="X388" s="92"/>
      <c r="Y388" s="352" t="s">
        <v>62</v>
      </c>
      <c r="Z388" s="142" t="str">
        <f t="shared" si="21"/>
        <v>NA</v>
      </c>
      <c r="AA388" s="226" t="str">
        <f t="shared" si="22"/>
        <v>NÃO AVALIADO POR FALHA DE SINCRONISMO</v>
      </c>
      <c r="AB388" s="9" t="s">
        <v>205</v>
      </c>
      <c r="AC388" s="162" t="s">
        <v>6</v>
      </c>
      <c r="AD388" s="150" t="str">
        <f t="shared" si="20"/>
        <v>SÃO PAULO</v>
      </c>
      <c r="AE388" s="95" t="s">
        <v>64</v>
      </c>
    </row>
    <row r="389" spans="1:31" s="55" customFormat="1" ht="30" customHeight="1">
      <c r="A389" s="215" t="s">
        <v>198</v>
      </c>
      <c r="B389" s="215">
        <v>2693604001</v>
      </c>
      <c r="C389" s="215" t="s">
        <v>128</v>
      </c>
      <c r="D389" s="215" t="s">
        <v>64</v>
      </c>
      <c r="E389" s="215" t="s">
        <v>5</v>
      </c>
      <c r="F389" s="215" t="s">
        <v>2475</v>
      </c>
      <c r="G389" s="215">
        <v>368</v>
      </c>
      <c r="H389" s="215" t="s">
        <v>250</v>
      </c>
      <c r="I389" s="215" t="s">
        <v>215</v>
      </c>
      <c r="J389" s="215" t="s">
        <v>1898</v>
      </c>
      <c r="K389" s="215" t="s">
        <v>200</v>
      </c>
      <c r="L389" s="215" t="s">
        <v>2476</v>
      </c>
      <c r="M389" s="215" t="s">
        <v>2477</v>
      </c>
      <c r="N389" s="215" t="s">
        <v>900</v>
      </c>
      <c r="O389" s="180" t="s">
        <v>205</v>
      </c>
      <c r="P389" s="92"/>
      <c r="Q389" s="164" t="s">
        <v>205</v>
      </c>
      <c r="R389" s="92"/>
      <c r="S389" s="164" t="s">
        <v>205</v>
      </c>
      <c r="T389" s="92"/>
      <c r="U389" s="145" t="s">
        <v>205</v>
      </c>
      <c r="V389" s="92"/>
      <c r="W389" s="145" t="s">
        <v>205</v>
      </c>
      <c r="X389" s="92"/>
      <c r="Y389" s="352" t="s">
        <v>205</v>
      </c>
      <c r="Z389" s="142" t="str">
        <f t="shared" si="21"/>
        <v>C</v>
      </c>
      <c r="AA389" s="226" t="str">
        <f t="shared" si="22"/>
        <v>UTILIZOU O PDA CORRETAMENTE</v>
      </c>
      <c r="AB389" s="9" t="s">
        <v>205</v>
      </c>
      <c r="AC389" s="162" t="s">
        <v>6</v>
      </c>
      <c r="AD389" s="150" t="str">
        <f t="shared" si="20"/>
        <v>SÃO PAULO</v>
      </c>
      <c r="AE389" s="95" t="s">
        <v>64</v>
      </c>
    </row>
    <row r="390" spans="1:31" s="55" customFormat="1" ht="30" customHeight="1">
      <c r="A390" s="215" t="s">
        <v>198</v>
      </c>
      <c r="B390" s="215">
        <v>2618471664</v>
      </c>
      <c r="C390" s="215" t="s">
        <v>135</v>
      </c>
      <c r="D390" s="215" t="s">
        <v>125</v>
      </c>
      <c r="E390" s="215" t="s">
        <v>5</v>
      </c>
      <c r="F390" s="215" t="s">
        <v>2478</v>
      </c>
      <c r="G390" s="215">
        <v>67</v>
      </c>
      <c r="H390" s="215"/>
      <c r="I390" s="215" t="s">
        <v>2479</v>
      </c>
      <c r="J390" s="215" t="s">
        <v>1909</v>
      </c>
      <c r="K390" s="215"/>
      <c r="L390" s="215" t="s">
        <v>2480</v>
      </c>
      <c r="M390" s="215" t="s">
        <v>2481</v>
      </c>
      <c r="N390" s="215" t="s">
        <v>310</v>
      </c>
      <c r="O390" s="180" t="s">
        <v>205</v>
      </c>
      <c r="P390" s="92"/>
      <c r="Q390" s="164" t="s">
        <v>205</v>
      </c>
      <c r="R390" s="92"/>
      <c r="S390" s="164" t="s">
        <v>205</v>
      </c>
      <c r="T390" s="92"/>
      <c r="U390" s="145" t="s">
        <v>205</v>
      </c>
      <c r="V390" s="92"/>
      <c r="W390" s="145" t="s">
        <v>205</v>
      </c>
      <c r="X390" s="92"/>
      <c r="Y390" s="352" t="s">
        <v>205</v>
      </c>
      <c r="Z390" s="142" t="str">
        <f t="shared" si="21"/>
        <v>C</v>
      </c>
      <c r="AA390" s="226" t="str">
        <f t="shared" si="22"/>
        <v>UTILIZOU O PDA CORRETAMENTE</v>
      </c>
      <c r="AB390" s="9" t="s">
        <v>205</v>
      </c>
      <c r="AC390" s="162" t="s">
        <v>6</v>
      </c>
      <c r="AD390" s="150" t="str">
        <f t="shared" si="20"/>
        <v>SÃO PAULO</v>
      </c>
      <c r="AE390" s="95" t="s">
        <v>64</v>
      </c>
    </row>
    <row r="391" spans="1:31" s="55" customFormat="1" ht="30" customHeight="1">
      <c r="A391" s="215" t="s">
        <v>198</v>
      </c>
      <c r="B391" s="215">
        <v>2621054087</v>
      </c>
      <c r="C391" s="215" t="s">
        <v>131</v>
      </c>
      <c r="D391" s="215" t="s">
        <v>64</v>
      </c>
      <c r="E391" s="215" t="s">
        <v>5</v>
      </c>
      <c r="F391" s="215" t="s">
        <v>2482</v>
      </c>
      <c r="G391" s="215">
        <v>61</v>
      </c>
      <c r="H391" s="215" t="s">
        <v>200</v>
      </c>
      <c r="I391" s="215" t="s">
        <v>649</v>
      </c>
      <c r="J391" s="215" t="s">
        <v>1908</v>
      </c>
      <c r="K391" s="215" t="s">
        <v>2024</v>
      </c>
      <c r="L391" s="215" t="s">
        <v>2483</v>
      </c>
      <c r="M391" s="215" t="s">
        <v>2484</v>
      </c>
      <c r="N391" s="215" t="s">
        <v>1919</v>
      </c>
      <c r="O391" s="180" t="s">
        <v>205</v>
      </c>
      <c r="P391" s="92"/>
      <c r="Q391" s="164" t="s">
        <v>205</v>
      </c>
      <c r="R391" s="92"/>
      <c r="S391" s="164" t="s">
        <v>205</v>
      </c>
      <c r="T391" s="92"/>
      <c r="U391" s="145" t="s">
        <v>205</v>
      </c>
      <c r="V391" s="92"/>
      <c r="W391" s="145" t="s">
        <v>205</v>
      </c>
      <c r="X391" s="92"/>
      <c r="Y391" s="352" t="s">
        <v>205</v>
      </c>
      <c r="Z391" s="142" t="str">
        <f t="shared" si="21"/>
        <v>C</v>
      </c>
      <c r="AA391" s="226" t="str">
        <f t="shared" si="22"/>
        <v>UTILIZOU O PDA CORRETAMENTE</v>
      </c>
      <c r="AB391" s="9" t="s">
        <v>205</v>
      </c>
      <c r="AC391" s="162" t="s">
        <v>6</v>
      </c>
      <c r="AD391" s="150" t="str">
        <f t="shared" si="20"/>
        <v>SÃO PAULO</v>
      </c>
      <c r="AE391" s="95" t="s">
        <v>64</v>
      </c>
    </row>
    <row r="392" spans="1:31" s="55" customFormat="1" ht="30" customHeight="1">
      <c r="A392" s="215" t="s">
        <v>198</v>
      </c>
      <c r="B392" s="215">
        <v>2693666235</v>
      </c>
      <c r="C392" s="215" t="s">
        <v>128</v>
      </c>
      <c r="D392" s="215" t="s">
        <v>64</v>
      </c>
      <c r="E392" s="215" t="s">
        <v>5</v>
      </c>
      <c r="F392" s="215" t="s">
        <v>2485</v>
      </c>
      <c r="G392" s="215">
        <v>36</v>
      </c>
      <c r="H392" s="215" t="s">
        <v>226</v>
      </c>
      <c r="I392" s="215" t="s">
        <v>274</v>
      </c>
      <c r="J392" s="215" t="s">
        <v>1900</v>
      </c>
      <c r="K392" s="215"/>
      <c r="L392" s="215" t="s">
        <v>2486</v>
      </c>
      <c r="M392" s="215" t="s">
        <v>2487</v>
      </c>
      <c r="N392" s="215" t="s">
        <v>852</v>
      </c>
      <c r="O392" s="180" t="s">
        <v>205</v>
      </c>
      <c r="P392" s="92"/>
      <c r="Q392" s="164" t="s">
        <v>205</v>
      </c>
      <c r="R392" s="92"/>
      <c r="S392" s="164" t="s">
        <v>205</v>
      </c>
      <c r="T392" s="92"/>
      <c r="U392" s="145" t="s">
        <v>205</v>
      </c>
      <c r="V392" s="92"/>
      <c r="W392" s="145" t="s">
        <v>205</v>
      </c>
      <c r="X392" s="92"/>
      <c r="Y392" s="352" t="s">
        <v>205</v>
      </c>
      <c r="Z392" s="142" t="str">
        <f t="shared" si="21"/>
        <v>C</v>
      </c>
      <c r="AA392" s="226" t="str">
        <f t="shared" si="22"/>
        <v>UTILIZOU O PDA CORRETAMENTE</v>
      </c>
      <c r="AB392" s="9" t="s">
        <v>205</v>
      </c>
      <c r="AC392" s="162" t="s">
        <v>6</v>
      </c>
      <c r="AD392" s="150" t="str">
        <f t="shared" si="20"/>
        <v>SÃO PAULO</v>
      </c>
      <c r="AE392" s="95" t="s">
        <v>64</v>
      </c>
    </row>
    <row r="393" spans="1:31" s="55" customFormat="1" ht="30" customHeight="1">
      <c r="A393" s="215" t="s">
        <v>198</v>
      </c>
      <c r="B393" s="215">
        <v>2693669589</v>
      </c>
      <c r="C393" s="215" t="s">
        <v>128</v>
      </c>
      <c r="D393" s="215" t="s">
        <v>64</v>
      </c>
      <c r="E393" s="215" t="s">
        <v>5</v>
      </c>
      <c r="F393" s="215" t="s">
        <v>2488</v>
      </c>
      <c r="G393" s="215">
        <v>721</v>
      </c>
      <c r="H393" s="215" t="s">
        <v>481</v>
      </c>
      <c r="I393" s="215" t="s">
        <v>264</v>
      </c>
      <c r="J393" s="215" t="s">
        <v>1900</v>
      </c>
      <c r="K393" s="219" t="s">
        <v>2489</v>
      </c>
      <c r="L393" s="215" t="s">
        <v>2490</v>
      </c>
      <c r="M393" s="215" t="s">
        <v>2491</v>
      </c>
      <c r="N393" s="215" t="s">
        <v>799</v>
      </c>
      <c r="O393" s="180" t="s">
        <v>205</v>
      </c>
      <c r="P393" s="92"/>
      <c r="Q393" s="164" t="s">
        <v>205</v>
      </c>
      <c r="R393" s="92"/>
      <c r="S393" s="164" t="s">
        <v>205</v>
      </c>
      <c r="T393" s="92"/>
      <c r="U393" s="145" t="s">
        <v>205</v>
      </c>
      <c r="V393" s="92"/>
      <c r="W393" s="145" t="s">
        <v>205</v>
      </c>
      <c r="X393" s="92"/>
      <c r="Y393" s="352" t="s">
        <v>205</v>
      </c>
      <c r="Z393" s="142" t="str">
        <f t="shared" si="21"/>
        <v>C</v>
      </c>
      <c r="AA393" s="226" t="str">
        <f t="shared" si="22"/>
        <v>UTILIZOU O PDA CORRETAMENTE</v>
      </c>
      <c r="AB393" s="9" t="s">
        <v>205</v>
      </c>
      <c r="AC393" s="162" t="s">
        <v>6</v>
      </c>
      <c r="AD393" s="150" t="str">
        <f t="shared" si="20"/>
        <v>SÃO PAULO</v>
      </c>
      <c r="AE393" s="95" t="s">
        <v>64</v>
      </c>
    </row>
    <row r="394" spans="1:31" s="55" customFormat="1" ht="30" customHeight="1">
      <c r="A394" s="215" t="s">
        <v>198</v>
      </c>
      <c r="B394" s="215">
        <v>2693571623</v>
      </c>
      <c r="C394" s="215" t="s">
        <v>128</v>
      </c>
      <c r="D394" s="215" t="s">
        <v>64</v>
      </c>
      <c r="E394" s="215" t="s">
        <v>5</v>
      </c>
      <c r="F394" s="215" t="s">
        <v>721</v>
      </c>
      <c r="G394" s="215">
        <v>1512</v>
      </c>
      <c r="H394" s="215" t="s">
        <v>652</v>
      </c>
      <c r="I394" s="215" t="s">
        <v>215</v>
      </c>
      <c r="J394" s="215" t="s">
        <v>1898</v>
      </c>
      <c r="K394" s="215" t="s">
        <v>2492</v>
      </c>
      <c r="L394" s="215" t="s">
        <v>2493</v>
      </c>
      <c r="M394" s="215" t="s">
        <v>2494</v>
      </c>
      <c r="N394" s="215" t="s">
        <v>235</v>
      </c>
      <c r="O394" s="180" t="s">
        <v>205</v>
      </c>
      <c r="P394" s="92"/>
      <c r="Q394" s="145" t="s">
        <v>206</v>
      </c>
      <c r="R394" s="92"/>
      <c r="S394" s="145" t="s">
        <v>206</v>
      </c>
      <c r="T394" s="92"/>
      <c r="U394" s="145" t="s">
        <v>206</v>
      </c>
      <c r="V394" s="92"/>
      <c r="W394" s="145" t="s">
        <v>205</v>
      </c>
      <c r="X394" s="92"/>
      <c r="Y394" s="352" t="s">
        <v>205</v>
      </c>
      <c r="Z394" s="142" t="str">
        <f t="shared" si="21"/>
        <v>NC</v>
      </c>
      <c r="AA394" s="226" t="str">
        <f t="shared" si="22"/>
        <v>UTILIZOU O PDA CORRETAMENTE. NÃO HÁ FOTOS DE TODAS AS ETAPAS</v>
      </c>
      <c r="AB394" s="9" t="s">
        <v>205</v>
      </c>
      <c r="AC394" s="162" t="s">
        <v>6</v>
      </c>
      <c r="AD394" s="150" t="str">
        <f t="shared" si="20"/>
        <v>SÃO PAULO</v>
      </c>
      <c r="AE394" s="95" t="s">
        <v>64</v>
      </c>
    </row>
    <row r="395" spans="1:31" s="55" customFormat="1" ht="30" customHeight="1">
      <c r="A395" s="215" t="s">
        <v>198</v>
      </c>
      <c r="B395" s="215">
        <v>2621063790</v>
      </c>
      <c r="C395" s="215" t="s">
        <v>127</v>
      </c>
      <c r="D395" s="215" t="s">
        <v>64</v>
      </c>
      <c r="E395" s="215" t="s">
        <v>5</v>
      </c>
      <c r="F395" s="215" t="s">
        <v>1346</v>
      </c>
      <c r="G395" s="215">
        <v>709</v>
      </c>
      <c r="H395" s="215" t="s">
        <v>226</v>
      </c>
      <c r="I395" s="215" t="s">
        <v>277</v>
      </c>
      <c r="J395" s="215" t="s">
        <v>1898</v>
      </c>
      <c r="K395" s="215" t="s">
        <v>2495</v>
      </c>
      <c r="L395" s="215" t="s">
        <v>2496</v>
      </c>
      <c r="M395" s="215" t="s">
        <v>1077</v>
      </c>
      <c r="N395" s="215" t="s">
        <v>852</v>
      </c>
      <c r="O395" s="157" t="s">
        <v>206</v>
      </c>
      <c r="P395" s="92"/>
      <c r="Q395" s="145" t="s">
        <v>206</v>
      </c>
      <c r="R395" s="92"/>
      <c r="S395" s="145" t="s">
        <v>206</v>
      </c>
      <c r="T395" s="92"/>
      <c r="U395" s="145" t="s">
        <v>206</v>
      </c>
      <c r="V395" s="92"/>
      <c r="W395" s="145" t="s">
        <v>206</v>
      </c>
      <c r="X395" s="92"/>
      <c r="Y395" s="352" t="s">
        <v>239</v>
      </c>
      <c r="Z395" s="142" t="str">
        <f t="shared" si="21"/>
        <v>NC</v>
      </c>
      <c r="AA395" s="226" t="str">
        <f t="shared" si="22"/>
        <v>NÃO UTILIZOU O PDA</v>
      </c>
      <c r="AB395" s="9" t="s">
        <v>205</v>
      </c>
      <c r="AC395" s="162" t="s">
        <v>6</v>
      </c>
      <c r="AD395" s="150" t="str">
        <f t="shared" si="20"/>
        <v>SÃO PAULO</v>
      </c>
      <c r="AE395" s="95" t="s">
        <v>64</v>
      </c>
    </row>
    <row r="396" spans="1:31" s="55" customFormat="1" ht="30" customHeight="1">
      <c r="A396" s="215" t="s">
        <v>198</v>
      </c>
      <c r="B396" s="215">
        <v>2621064271</v>
      </c>
      <c r="C396" s="215" t="s">
        <v>131</v>
      </c>
      <c r="D396" s="215" t="s">
        <v>64</v>
      </c>
      <c r="E396" s="215" t="s">
        <v>5</v>
      </c>
      <c r="F396" s="215" t="s">
        <v>2264</v>
      </c>
      <c r="G396" s="215">
        <v>66</v>
      </c>
      <c r="H396" s="215" t="s">
        <v>708</v>
      </c>
      <c r="I396" s="215" t="s">
        <v>914</v>
      </c>
      <c r="J396" s="215" t="s">
        <v>1898</v>
      </c>
      <c r="K396" s="215" t="s">
        <v>2497</v>
      </c>
      <c r="L396" s="215" t="s">
        <v>1108</v>
      </c>
      <c r="M396" s="215" t="s">
        <v>2498</v>
      </c>
      <c r="N396" s="215" t="s">
        <v>1956</v>
      </c>
      <c r="O396" s="157" t="s">
        <v>62</v>
      </c>
      <c r="P396" s="92"/>
      <c r="Q396" s="145" t="s">
        <v>62</v>
      </c>
      <c r="R396" s="92"/>
      <c r="S396" s="145" t="s">
        <v>62</v>
      </c>
      <c r="T396" s="92"/>
      <c r="U396" s="145" t="s">
        <v>62</v>
      </c>
      <c r="V396" s="92"/>
      <c r="W396" s="145" t="s">
        <v>62</v>
      </c>
      <c r="X396" s="92"/>
      <c r="Y396" s="352" t="s">
        <v>62</v>
      </c>
      <c r="Z396" s="142" t="str">
        <f t="shared" si="21"/>
        <v>NA</v>
      </c>
      <c r="AA396" s="226" t="str">
        <f t="shared" si="22"/>
        <v>NÃO AVALIADO POR FALHA DE SINCRONISMO</v>
      </c>
      <c r="AB396" s="9" t="s">
        <v>205</v>
      </c>
      <c r="AC396" s="162" t="s">
        <v>6</v>
      </c>
      <c r="AD396" s="150" t="str">
        <f t="shared" si="20"/>
        <v>SÃO PAULO</v>
      </c>
      <c r="AE396" s="95" t="s">
        <v>64</v>
      </c>
    </row>
    <row r="397" spans="1:31" s="55" customFormat="1" ht="30" customHeight="1">
      <c r="A397" s="215" t="s">
        <v>198</v>
      </c>
      <c r="B397" s="215">
        <v>2621049526</v>
      </c>
      <c r="C397" s="215" t="s">
        <v>132</v>
      </c>
      <c r="D397" s="215" t="s">
        <v>64</v>
      </c>
      <c r="E397" s="215" t="s">
        <v>5</v>
      </c>
      <c r="F397" s="215" t="s">
        <v>2499</v>
      </c>
      <c r="G397" s="215">
        <v>325</v>
      </c>
      <c r="H397" s="215" t="s">
        <v>205</v>
      </c>
      <c r="I397" s="215" t="s">
        <v>215</v>
      </c>
      <c r="J397" s="215" t="s">
        <v>1898</v>
      </c>
      <c r="K397" s="215" t="s">
        <v>200</v>
      </c>
      <c r="L397" s="215" t="s">
        <v>2498</v>
      </c>
      <c r="M397" s="215" t="s">
        <v>2500</v>
      </c>
      <c r="N397" s="215" t="s">
        <v>900</v>
      </c>
      <c r="O397" s="180" t="s">
        <v>205</v>
      </c>
      <c r="P397" s="92"/>
      <c r="Q397" s="164" t="s">
        <v>205</v>
      </c>
      <c r="R397" s="92"/>
      <c r="S397" s="164" t="s">
        <v>205</v>
      </c>
      <c r="T397" s="92"/>
      <c r="U397" s="145" t="s">
        <v>205</v>
      </c>
      <c r="V397" s="92"/>
      <c r="W397" s="145" t="s">
        <v>205</v>
      </c>
      <c r="X397" s="92"/>
      <c r="Y397" s="352" t="s">
        <v>205</v>
      </c>
      <c r="Z397" s="142" t="str">
        <f t="shared" si="21"/>
        <v>C</v>
      </c>
      <c r="AA397" s="226" t="str">
        <f t="shared" si="22"/>
        <v>UTILIZOU O PDA CORRETAMENTE</v>
      </c>
      <c r="AB397" s="9" t="s">
        <v>205</v>
      </c>
      <c r="AC397" s="162" t="s">
        <v>6</v>
      </c>
      <c r="AD397" s="150" t="str">
        <f t="shared" si="20"/>
        <v>SÃO PAULO</v>
      </c>
      <c r="AE397" s="95" t="s">
        <v>64</v>
      </c>
    </row>
    <row r="398" spans="1:31" s="55" customFormat="1" ht="30" customHeight="1">
      <c r="A398" s="215" t="s">
        <v>198</v>
      </c>
      <c r="B398" s="215">
        <v>2621073478</v>
      </c>
      <c r="C398" s="215" t="s">
        <v>128</v>
      </c>
      <c r="D398" s="215" t="s">
        <v>64</v>
      </c>
      <c r="E398" s="215" t="s">
        <v>5</v>
      </c>
      <c r="F398" s="215" t="s">
        <v>2501</v>
      </c>
      <c r="G398" s="215">
        <v>137</v>
      </c>
      <c r="H398" s="215" t="s">
        <v>226</v>
      </c>
      <c r="I398" s="215" t="s">
        <v>1000</v>
      </c>
      <c r="J398" s="215" t="s">
        <v>1898</v>
      </c>
      <c r="K398" s="215" t="s">
        <v>200</v>
      </c>
      <c r="L398" s="215" t="s">
        <v>2502</v>
      </c>
      <c r="M398" s="215" t="s">
        <v>2503</v>
      </c>
      <c r="N398" s="215" t="s">
        <v>1956</v>
      </c>
      <c r="O398" s="157" t="s">
        <v>62</v>
      </c>
      <c r="P398" s="92"/>
      <c r="Q398" s="145" t="s">
        <v>62</v>
      </c>
      <c r="R398" s="92"/>
      <c r="S398" s="145" t="s">
        <v>62</v>
      </c>
      <c r="T398" s="92"/>
      <c r="U398" s="145" t="s">
        <v>62</v>
      </c>
      <c r="V398" s="92"/>
      <c r="W398" s="145" t="s">
        <v>62</v>
      </c>
      <c r="X398" s="92"/>
      <c r="Y398" s="352" t="s">
        <v>62</v>
      </c>
      <c r="Z398" s="142" t="str">
        <f t="shared" si="21"/>
        <v>NA</v>
      </c>
      <c r="AA398" s="226" t="str">
        <f t="shared" si="22"/>
        <v>NÃO AVALIADO POR FALHA DE SINCRONISMO</v>
      </c>
      <c r="AB398" s="9" t="s">
        <v>205</v>
      </c>
      <c r="AC398" s="162" t="s">
        <v>6</v>
      </c>
      <c r="AD398" s="150" t="str">
        <f t="shared" si="20"/>
        <v>SÃO PAULO</v>
      </c>
      <c r="AE398" s="95" t="s">
        <v>64</v>
      </c>
    </row>
    <row r="399" spans="1:31" s="55" customFormat="1" ht="30" customHeight="1">
      <c r="A399" s="215" t="s">
        <v>198</v>
      </c>
      <c r="B399" s="215">
        <v>2620838260</v>
      </c>
      <c r="C399" s="215" t="s">
        <v>132</v>
      </c>
      <c r="D399" s="215" t="s">
        <v>64</v>
      </c>
      <c r="E399" s="215" t="s">
        <v>5</v>
      </c>
      <c r="F399" s="215" t="s">
        <v>2504</v>
      </c>
      <c r="G399" s="215">
        <v>114</v>
      </c>
      <c r="H399" s="215"/>
      <c r="I399" s="215" t="s">
        <v>2505</v>
      </c>
      <c r="J399" s="215" t="s">
        <v>1908</v>
      </c>
      <c r="K399" s="215"/>
      <c r="L399" s="215" t="s">
        <v>2473</v>
      </c>
      <c r="M399" s="215" t="s">
        <v>2474</v>
      </c>
      <c r="N399" s="215" t="s">
        <v>799</v>
      </c>
      <c r="O399" s="180" t="s">
        <v>205</v>
      </c>
      <c r="P399" s="92"/>
      <c r="Q399" s="164" t="s">
        <v>205</v>
      </c>
      <c r="R399" s="92"/>
      <c r="S399" s="164" t="s">
        <v>205</v>
      </c>
      <c r="T399" s="92"/>
      <c r="U399" s="145" t="s">
        <v>205</v>
      </c>
      <c r="V399" s="92"/>
      <c r="W399" s="145" t="s">
        <v>205</v>
      </c>
      <c r="X399" s="92"/>
      <c r="Y399" s="352" t="s">
        <v>205</v>
      </c>
      <c r="Z399" s="142" t="str">
        <f t="shared" si="21"/>
        <v>C</v>
      </c>
      <c r="AA399" s="226" t="str">
        <f t="shared" si="22"/>
        <v>UTILIZOU O PDA CORRETAMENTE</v>
      </c>
      <c r="AB399" s="9" t="s">
        <v>205</v>
      </c>
      <c r="AC399" s="162" t="s">
        <v>6</v>
      </c>
      <c r="AD399" s="150" t="str">
        <f t="shared" si="20"/>
        <v>SÃO PAULO</v>
      </c>
      <c r="AE399" s="95" t="s">
        <v>64</v>
      </c>
    </row>
    <row r="400" spans="1:31" s="55" customFormat="1" ht="30" customHeight="1">
      <c r="A400" s="215" t="s">
        <v>198</v>
      </c>
      <c r="B400" s="215">
        <v>2693611030</v>
      </c>
      <c r="C400" s="215" t="s">
        <v>128</v>
      </c>
      <c r="D400" s="215" t="s">
        <v>64</v>
      </c>
      <c r="E400" s="215" t="s">
        <v>5</v>
      </c>
      <c r="F400" s="215" t="s">
        <v>2506</v>
      </c>
      <c r="G400" s="215">
        <v>12</v>
      </c>
      <c r="H400" s="215" t="s">
        <v>318</v>
      </c>
      <c r="I400" s="215" t="s">
        <v>2507</v>
      </c>
      <c r="J400" s="215" t="s">
        <v>1898</v>
      </c>
      <c r="K400" s="215" t="s">
        <v>2508</v>
      </c>
      <c r="L400" s="215" t="s">
        <v>2509</v>
      </c>
      <c r="M400" s="215" t="s">
        <v>2510</v>
      </c>
      <c r="N400" s="215" t="s">
        <v>310</v>
      </c>
      <c r="O400" s="157" t="s">
        <v>206</v>
      </c>
      <c r="P400" s="92"/>
      <c r="Q400" s="145" t="s">
        <v>206</v>
      </c>
      <c r="R400" s="92"/>
      <c r="S400" s="145" t="s">
        <v>206</v>
      </c>
      <c r="T400" s="92"/>
      <c r="U400" s="145" t="s">
        <v>206</v>
      </c>
      <c r="V400" s="92"/>
      <c r="W400" s="145" t="s">
        <v>206</v>
      </c>
      <c r="X400" s="92"/>
      <c r="Y400" s="352" t="s">
        <v>239</v>
      </c>
      <c r="Z400" s="142" t="str">
        <f t="shared" si="21"/>
        <v>NC</v>
      </c>
      <c r="AA400" s="226" t="str">
        <f t="shared" si="22"/>
        <v>NÃO UTILIZOU O PDA</v>
      </c>
      <c r="AB400" s="9" t="s">
        <v>205</v>
      </c>
      <c r="AC400" s="162" t="s">
        <v>6</v>
      </c>
      <c r="AD400" s="150" t="str">
        <f t="shared" si="20"/>
        <v>SÃO PAULO</v>
      </c>
      <c r="AE400" s="95" t="s">
        <v>64</v>
      </c>
    </row>
    <row r="401" spans="1:31" s="55" customFormat="1" ht="30" customHeight="1">
      <c r="A401" s="215" t="s">
        <v>198</v>
      </c>
      <c r="B401" s="215">
        <v>2621101957</v>
      </c>
      <c r="C401" s="215" t="s">
        <v>128</v>
      </c>
      <c r="D401" s="215" t="s">
        <v>64</v>
      </c>
      <c r="E401" s="215" t="s">
        <v>5</v>
      </c>
      <c r="F401" s="215" t="s">
        <v>2511</v>
      </c>
      <c r="G401" s="215">
        <v>221</v>
      </c>
      <c r="H401" s="215" t="s">
        <v>226</v>
      </c>
      <c r="I401" s="215" t="s">
        <v>251</v>
      </c>
      <c r="J401" s="215" t="s">
        <v>1898</v>
      </c>
      <c r="K401" s="215"/>
      <c r="L401" s="215" t="s">
        <v>1133</v>
      </c>
      <c r="M401" s="215" t="s">
        <v>2512</v>
      </c>
      <c r="N401" s="215" t="s">
        <v>1950</v>
      </c>
      <c r="O401" s="180" t="s">
        <v>205</v>
      </c>
      <c r="P401" s="92"/>
      <c r="Q401" s="164" t="s">
        <v>205</v>
      </c>
      <c r="R401" s="92"/>
      <c r="S401" s="164" t="s">
        <v>205</v>
      </c>
      <c r="T401" s="92"/>
      <c r="U401" s="145" t="s">
        <v>205</v>
      </c>
      <c r="V401" s="92"/>
      <c r="W401" s="145" t="s">
        <v>205</v>
      </c>
      <c r="X401" s="92"/>
      <c r="Y401" s="352" t="s">
        <v>205</v>
      </c>
      <c r="Z401" s="142" t="str">
        <f t="shared" si="21"/>
        <v>C</v>
      </c>
      <c r="AA401" s="226" t="str">
        <f t="shared" si="22"/>
        <v>UTILIZOU O PDA CORRETAMENTE</v>
      </c>
      <c r="AB401" s="9" t="s">
        <v>205</v>
      </c>
      <c r="AC401" s="162" t="s">
        <v>6</v>
      </c>
      <c r="AD401" s="150" t="str">
        <f t="shared" si="20"/>
        <v>SÃO PAULO</v>
      </c>
      <c r="AE401" s="95" t="s">
        <v>64</v>
      </c>
    </row>
    <row r="402" spans="1:31" s="55" customFormat="1" ht="30" customHeight="1">
      <c r="A402" s="215" t="s">
        <v>198</v>
      </c>
      <c r="B402" s="215">
        <v>2621067613</v>
      </c>
      <c r="C402" s="215" t="s">
        <v>131</v>
      </c>
      <c r="D402" s="215" t="s">
        <v>64</v>
      </c>
      <c r="E402" s="215" t="s">
        <v>5</v>
      </c>
      <c r="F402" s="215" t="s">
        <v>2513</v>
      </c>
      <c r="G402" s="215">
        <v>417</v>
      </c>
      <c r="H402" s="215" t="s">
        <v>226</v>
      </c>
      <c r="I402" s="215" t="s">
        <v>355</v>
      </c>
      <c r="J402" s="215" t="s">
        <v>1898</v>
      </c>
      <c r="K402" s="215" t="s">
        <v>200</v>
      </c>
      <c r="L402" s="215" t="s">
        <v>2514</v>
      </c>
      <c r="M402" s="215" t="s">
        <v>2515</v>
      </c>
      <c r="N402" s="215" t="s">
        <v>359</v>
      </c>
      <c r="O402" s="180" t="s">
        <v>205</v>
      </c>
      <c r="P402" s="92"/>
      <c r="Q402" s="164" t="s">
        <v>205</v>
      </c>
      <c r="R402" s="92"/>
      <c r="S402" s="164" t="s">
        <v>205</v>
      </c>
      <c r="T402" s="92"/>
      <c r="U402" s="145" t="s">
        <v>205</v>
      </c>
      <c r="V402" s="92"/>
      <c r="W402" s="145" t="s">
        <v>239</v>
      </c>
      <c r="X402" s="92" t="s">
        <v>2516</v>
      </c>
      <c r="Y402" s="352" t="s">
        <v>205</v>
      </c>
      <c r="Z402" s="142" t="str">
        <f t="shared" si="21"/>
        <v>NC</v>
      </c>
      <c r="AA402" s="226" t="str">
        <f t="shared" si="22"/>
        <v>UTILIZOU O PDA CORRETAMENTE. NÃO HÁ FOTOS DE TODAS AS ETAPAS</v>
      </c>
      <c r="AB402" s="9" t="s">
        <v>205</v>
      </c>
      <c r="AC402" s="162" t="s">
        <v>6</v>
      </c>
      <c r="AD402" s="150" t="str">
        <f t="shared" si="20"/>
        <v>SÃO PAULO</v>
      </c>
      <c r="AE402" s="95" t="s">
        <v>64</v>
      </c>
    </row>
    <row r="403" spans="1:31" s="55" customFormat="1" ht="30" customHeight="1">
      <c r="A403" s="215" t="s">
        <v>198</v>
      </c>
      <c r="B403" s="215">
        <v>2693672586</v>
      </c>
      <c r="C403" s="215" t="s">
        <v>128</v>
      </c>
      <c r="D403" s="215" t="s">
        <v>64</v>
      </c>
      <c r="E403" s="215" t="s">
        <v>5</v>
      </c>
      <c r="F403" s="215" t="s">
        <v>2517</v>
      </c>
      <c r="G403" s="215">
        <v>124</v>
      </c>
      <c r="H403" s="215"/>
      <c r="I403" s="215" t="s">
        <v>592</v>
      </c>
      <c r="J403" s="215" t="s">
        <v>1955</v>
      </c>
      <c r="K403" s="215"/>
      <c r="L403" s="215" t="s">
        <v>1124</v>
      </c>
      <c r="M403" s="215" t="s">
        <v>2518</v>
      </c>
      <c r="N403" s="215" t="s">
        <v>235</v>
      </c>
      <c r="O403" s="180" t="s">
        <v>205</v>
      </c>
      <c r="P403" s="92"/>
      <c r="Q403" s="164" t="s">
        <v>205</v>
      </c>
      <c r="R403" s="92"/>
      <c r="S403" s="164" t="s">
        <v>205</v>
      </c>
      <c r="T403" s="92"/>
      <c r="U403" s="145" t="s">
        <v>205</v>
      </c>
      <c r="V403" s="92"/>
      <c r="W403" s="145" t="s">
        <v>205</v>
      </c>
      <c r="X403" s="92"/>
      <c r="Y403" s="352" t="s">
        <v>205</v>
      </c>
      <c r="Z403" s="142" t="str">
        <f t="shared" si="21"/>
        <v>C</v>
      </c>
      <c r="AA403" s="226" t="str">
        <f t="shared" si="22"/>
        <v>UTILIZOU O PDA CORRETAMENTE</v>
      </c>
      <c r="AB403" s="9" t="s">
        <v>205</v>
      </c>
      <c r="AC403" s="162" t="s">
        <v>6</v>
      </c>
      <c r="AD403" s="150" t="str">
        <f t="shared" si="20"/>
        <v>SÃO PAULO</v>
      </c>
      <c r="AE403" s="95" t="s">
        <v>64</v>
      </c>
    </row>
    <row r="404" spans="1:31" s="55" customFormat="1" ht="30" customHeight="1">
      <c r="A404" s="228" t="s">
        <v>198</v>
      </c>
      <c r="B404" s="228">
        <v>2693592253</v>
      </c>
      <c r="C404" s="228" t="s">
        <v>131</v>
      </c>
      <c r="D404" s="228" t="s">
        <v>64</v>
      </c>
      <c r="E404" s="228" t="s">
        <v>5</v>
      </c>
      <c r="F404" s="228" t="s">
        <v>1117</v>
      </c>
      <c r="G404" s="228">
        <v>53</v>
      </c>
      <c r="H404" s="228" t="s">
        <v>200</v>
      </c>
      <c r="I404" s="228" t="s">
        <v>914</v>
      </c>
      <c r="J404" s="228" t="s">
        <v>1908</v>
      </c>
      <c r="K404" s="228" t="s">
        <v>200</v>
      </c>
      <c r="L404" s="228" t="s">
        <v>2519</v>
      </c>
      <c r="M404" s="228" t="s">
        <v>2520</v>
      </c>
      <c r="N404" s="228" t="s">
        <v>248</v>
      </c>
      <c r="O404" s="180" t="s">
        <v>205</v>
      </c>
      <c r="P404" s="92"/>
      <c r="Q404" s="164" t="s">
        <v>205</v>
      </c>
      <c r="R404" s="92"/>
      <c r="S404" s="164" t="s">
        <v>205</v>
      </c>
      <c r="T404" s="92"/>
      <c r="U404" s="145" t="s">
        <v>205</v>
      </c>
      <c r="V404" s="92"/>
      <c r="W404" s="145" t="s">
        <v>205</v>
      </c>
      <c r="X404" s="92"/>
      <c r="Y404" s="352" t="s">
        <v>205</v>
      </c>
      <c r="Z404" s="142" t="str">
        <f t="shared" si="21"/>
        <v>C</v>
      </c>
      <c r="AA404" s="226" t="str">
        <f t="shared" si="22"/>
        <v>UTILIZOU O PDA CORRETAMENTE</v>
      </c>
      <c r="AB404" s="9" t="s">
        <v>205</v>
      </c>
      <c r="AC404" s="162" t="s">
        <v>6</v>
      </c>
      <c r="AD404" s="150" t="str">
        <f t="shared" si="20"/>
        <v>SÃO PAULO</v>
      </c>
      <c r="AE404" s="95" t="s">
        <v>64</v>
      </c>
    </row>
    <row r="405" spans="1:31" s="55" customFormat="1" ht="30" customHeight="1">
      <c r="A405" s="215" t="s">
        <v>198</v>
      </c>
      <c r="B405" s="215">
        <v>2693720625</v>
      </c>
      <c r="C405" s="215" t="s">
        <v>132</v>
      </c>
      <c r="D405" s="215" t="s">
        <v>64</v>
      </c>
      <c r="E405" s="215" t="s">
        <v>5</v>
      </c>
      <c r="F405" s="215" t="s">
        <v>2521</v>
      </c>
      <c r="G405" s="215">
        <v>58</v>
      </c>
      <c r="H405" s="215" t="s">
        <v>200</v>
      </c>
      <c r="I405" s="215" t="s">
        <v>237</v>
      </c>
      <c r="J405" s="215" t="s">
        <v>1908</v>
      </c>
      <c r="K405" s="215" t="s">
        <v>200</v>
      </c>
      <c r="L405" s="215" t="s">
        <v>2522</v>
      </c>
      <c r="M405" s="215" t="s">
        <v>2523</v>
      </c>
      <c r="N405" s="215" t="s">
        <v>799</v>
      </c>
      <c r="O405" s="180" t="s">
        <v>205</v>
      </c>
      <c r="P405" s="92"/>
      <c r="Q405" s="164" t="s">
        <v>205</v>
      </c>
      <c r="R405" s="92"/>
      <c r="S405" s="164" t="s">
        <v>205</v>
      </c>
      <c r="T405" s="92"/>
      <c r="U405" s="145" t="s">
        <v>205</v>
      </c>
      <c r="V405" s="92"/>
      <c r="W405" s="145" t="s">
        <v>205</v>
      </c>
      <c r="X405" s="92"/>
      <c r="Y405" s="352" t="s">
        <v>205</v>
      </c>
      <c r="Z405" s="142" t="str">
        <f t="shared" si="21"/>
        <v>C</v>
      </c>
      <c r="AA405" s="226" t="str">
        <f t="shared" si="22"/>
        <v>UTILIZOU O PDA CORRETAMENTE</v>
      </c>
      <c r="AB405" s="9" t="s">
        <v>205</v>
      </c>
      <c r="AC405" s="162" t="s">
        <v>6</v>
      </c>
      <c r="AD405" s="150" t="str">
        <f t="shared" si="20"/>
        <v>SÃO PAULO</v>
      </c>
      <c r="AE405" s="95" t="s">
        <v>64</v>
      </c>
    </row>
    <row r="406" spans="1:31" s="55" customFormat="1" ht="30" customHeight="1">
      <c r="A406" s="215" t="s">
        <v>198</v>
      </c>
      <c r="B406" s="215">
        <v>2621099767</v>
      </c>
      <c r="C406" s="215" t="s">
        <v>128</v>
      </c>
      <c r="D406" s="215" t="s">
        <v>64</v>
      </c>
      <c r="E406" s="215" t="s">
        <v>5</v>
      </c>
      <c r="F406" s="215" t="s">
        <v>2393</v>
      </c>
      <c r="G406" s="215">
        <v>464</v>
      </c>
      <c r="H406" s="215" t="s">
        <v>226</v>
      </c>
      <c r="I406" s="215" t="s">
        <v>2394</v>
      </c>
      <c r="J406" s="215" t="s">
        <v>1898</v>
      </c>
      <c r="K406" s="215"/>
      <c r="L406" s="215" t="s">
        <v>1191</v>
      </c>
      <c r="M406" s="215" t="s">
        <v>2524</v>
      </c>
      <c r="N406" s="215" t="s">
        <v>852</v>
      </c>
      <c r="O406" s="180" t="s">
        <v>205</v>
      </c>
      <c r="P406" s="92"/>
      <c r="Q406" s="164" t="s">
        <v>205</v>
      </c>
      <c r="R406" s="92"/>
      <c r="S406" s="164" t="s">
        <v>205</v>
      </c>
      <c r="T406" s="92"/>
      <c r="U406" s="145" t="s">
        <v>205</v>
      </c>
      <c r="V406" s="92"/>
      <c r="W406" s="145" t="s">
        <v>205</v>
      </c>
      <c r="X406" s="92"/>
      <c r="Y406" s="352" t="s">
        <v>205</v>
      </c>
      <c r="Z406" s="142" t="str">
        <f t="shared" si="21"/>
        <v>C</v>
      </c>
      <c r="AA406" s="226" t="str">
        <f t="shared" si="22"/>
        <v>UTILIZOU O PDA CORRETAMENTE</v>
      </c>
      <c r="AB406" s="9" t="s">
        <v>205</v>
      </c>
      <c r="AC406" s="162" t="s">
        <v>6</v>
      </c>
      <c r="AD406" s="150" t="str">
        <f t="shared" si="20"/>
        <v>SÃO PAULO</v>
      </c>
      <c r="AE406" s="95" t="s">
        <v>64</v>
      </c>
    </row>
    <row r="407" spans="1:31" s="55" customFormat="1" ht="30" customHeight="1">
      <c r="A407" s="215" t="s">
        <v>198</v>
      </c>
      <c r="B407" s="215">
        <v>2621095605</v>
      </c>
      <c r="C407" s="215" t="s">
        <v>132</v>
      </c>
      <c r="D407" s="215" t="s">
        <v>64</v>
      </c>
      <c r="E407" s="215" t="s">
        <v>5</v>
      </c>
      <c r="F407" s="215" t="s">
        <v>517</v>
      </c>
      <c r="G407" s="215">
        <v>626</v>
      </c>
      <c r="H407" s="215" t="s">
        <v>226</v>
      </c>
      <c r="I407" s="215" t="s">
        <v>412</v>
      </c>
      <c r="J407" s="215" t="s">
        <v>1908</v>
      </c>
      <c r="K407" s="215" t="s">
        <v>200</v>
      </c>
      <c r="L407" s="215" t="s">
        <v>2525</v>
      </c>
      <c r="M407" s="215" t="s">
        <v>2526</v>
      </c>
      <c r="N407" s="215" t="s">
        <v>1956</v>
      </c>
      <c r="O407" s="157" t="s">
        <v>205</v>
      </c>
      <c r="P407" s="92"/>
      <c r="Q407" s="157" t="s">
        <v>205</v>
      </c>
      <c r="R407" s="92"/>
      <c r="S407" s="157" t="s">
        <v>205</v>
      </c>
      <c r="T407" s="92"/>
      <c r="U407" s="157" t="s">
        <v>205</v>
      </c>
      <c r="V407" s="92"/>
      <c r="W407" s="157" t="s">
        <v>205</v>
      </c>
      <c r="X407" s="92"/>
      <c r="Y407" s="356" t="s">
        <v>205</v>
      </c>
      <c r="Z407" s="142" t="str">
        <f t="shared" si="21"/>
        <v>C</v>
      </c>
      <c r="AA407" s="226" t="str">
        <f t="shared" si="22"/>
        <v>UTILIZOU O PDA CORRETAMENTE</v>
      </c>
      <c r="AB407" s="9" t="s">
        <v>205</v>
      </c>
      <c r="AC407" s="162" t="s">
        <v>6</v>
      </c>
      <c r="AD407" s="150" t="str">
        <f t="shared" si="20"/>
        <v>SÃO PAULO</v>
      </c>
      <c r="AE407" s="95" t="s">
        <v>64</v>
      </c>
    </row>
    <row r="408" spans="1:31" s="55" customFormat="1" ht="30" customHeight="1">
      <c r="A408" s="215" t="s">
        <v>198</v>
      </c>
      <c r="B408" s="215">
        <v>2621081604</v>
      </c>
      <c r="C408" s="215" t="s">
        <v>127</v>
      </c>
      <c r="D408" s="215" t="s">
        <v>64</v>
      </c>
      <c r="E408" s="215" t="s">
        <v>5</v>
      </c>
      <c r="F408" s="215" t="s">
        <v>2527</v>
      </c>
      <c r="G408" s="215">
        <v>185</v>
      </c>
      <c r="H408" s="215" t="s">
        <v>200</v>
      </c>
      <c r="I408" s="215" t="s">
        <v>1294</v>
      </c>
      <c r="J408" s="215" t="s">
        <v>1908</v>
      </c>
      <c r="K408" s="215" t="s">
        <v>200</v>
      </c>
      <c r="L408" s="215" t="s">
        <v>2528</v>
      </c>
      <c r="M408" s="215" t="s">
        <v>2529</v>
      </c>
      <c r="N408" s="215" t="s">
        <v>1956</v>
      </c>
      <c r="O408" s="157" t="s">
        <v>205</v>
      </c>
      <c r="P408" s="92"/>
      <c r="Q408" s="157" t="s">
        <v>205</v>
      </c>
      <c r="R408" s="92"/>
      <c r="S408" s="157" t="s">
        <v>205</v>
      </c>
      <c r="T408" s="92"/>
      <c r="U408" s="157" t="s">
        <v>205</v>
      </c>
      <c r="V408" s="92"/>
      <c r="W408" s="157" t="s">
        <v>205</v>
      </c>
      <c r="X408" s="92"/>
      <c r="Y408" s="356" t="s">
        <v>205</v>
      </c>
      <c r="Z408" s="142" t="str">
        <f t="shared" si="21"/>
        <v>C</v>
      </c>
      <c r="AA408" s="226" t="str">
        <f t="shared" si="22"/>
        <v>UTILIZOU O PDA CORRETAMENTE</v>
      </c>
      <c r="AB408" s="9" t="s">
        <v>205</v>
      </c>
      <c r="AC408" s="162" t="s">
        <v>6</v>
      </c>
      <c r="AD408" s="150" t="str">
        <f t="shared" si="20"/>
        <v>SÃO PAULO</v>
      </c>
      <c r="AE408" s="95" t="s">
        <v>64</v>
      </c>
    </row>
    <row r="409" spans="1:31" s="55" customFormat="1" ht="30" customHeight="1">
      <c r="A409" s="215" t="s">
        <v>198</v>
      </c>
      <c r="B409" s="215">
        <v>2621181849</v>
      </c>
      <c r="C409" s="215" t="s">
        <v>128</v>
      </c>
      <c r="D409" s="215" t="s">
        <v>64</v>
      </c>
      <c r="E409" s="215" t="s">
        <v>5</v>
      </c>
      <c r="F409" s="215" t="s">
        <v>1053</v>
      </c>
      <c r="G409" s="215">
        <v>84</v>
      </c>
      <c r="H409" s="215"/>
      <c r="I409" s="215" t="s">
        <v>346</v>
      </c>
      <c r="J409" s="215" t="s">
        <v>1898</v>
      </c>
      <c r="K409" s="215"/>
      <c r="L409" s="215" t="s">
        <v>2530</v>
      </c>
      <c r="M409" s="215" t="s">
        <v>2531</v>
      </c>
      <c r="N409" s="215" t="s">
        <v>1956</v>
      </c>
      <c r="O409" s="157" t="s">
        <v>205</v>
      </c>
      <c r="P409" s="92"/>
      <c r="Q409" s="157" t="s">
        <v>206</v>
      </c>
      <c r="R409" s="92"/>
      <c r="S409" s="157" t="s">
        <v>205</v>
      </c>
      <c r="T409" s="92"/>
      <c r="U409" s="157" t="s">
        <v>205</v>
      </c>
      <c r="V409" s="92"/>
      <c r="W409" s="157" t="s">
        <v>205</v>
      </c>
      <c r="X409" s="92"/>
      <c r="Y409" s="356" t="s">
        <v>205</v>
      </c>
      <c r="Z409" s="142" t="str">
        <f t="shared" si="21"/>
        <v>NC</v>
      </c>
      <c r="AA409" s="226" t="str">
        <f t="shared" si="22"/>
        <v>UTILIZOU O PDA CORRETAMENTE. NÃO HÁ FOTOS DE TODAS AS ETAPAS</v>
      </c>
      <c r="AB409" s="9" t="s">
        <v>205</v>
      </c>
      <c r="AC409" s="162" t="s">
        <v>6</v>
      </c>
      <c r="AD409" s="150" t="str">
        <f t="shared" ref="AD409:AD472" si="23">E409</f>
        <v>SÃO PAULO</v>
      </c>
      <c r="AE409" s="95" t="s">
        <v>64</v>
      </c>
    </row>
    <row r="410" spans="1:31" s="55" customFormat="1" ht="30" customHeight="1">
      <c r="A410" s="215" t="s">
        <v>198</v>
      </c>
      <c r="B410" s="215">
        <v>2621099539</v>
      </c>
      <c r="C410" s="215" t="s">
        <v>132</v>
      </c>
      <c r="D410" s="215" t="s">
        <v>64</v>
      </c>
      <c r="E410" s="215" t="s">
        <v>5</v>
      </c>
      <c r="F410" s="215" t="s">
        <v>2532</v>
      </c>
      <c r="G410" s="215">
        <v>384</v>
      </c>
      <c r="H410" s="215" t="s">
        <v>226</v>
      </c>
      <c r="I410" s="215" t="s">
        <v>1862</v>
      </c>
      <c r="J410" s="215" t="s">
        <v>1898</v>
      </c>
      <c r="K410" s="215"/>
      <c r="L410" s="215" t="s">
        <v>2533</v>
      </c>
      <c r="M410" s="215" t="s">
        <v>2534</v>
      </c>
      <c r="N410" s="215" t="s">
        <v>1947</v>
      </c>
      <c r="O410" s="180" t="s">
        <v>205</v>
      </c>
      <c r="P410" s="92"/>
      <c r="Q410" s="164" t="s">
        <v>205</v>
      </c>
      <c r="R410" s="92"/>
      <c r="S410" s="164" t="s">
        <v>205</v>
      </c>
      <c r="T410" s="92"/>
      <c r="U410" s="145" t="s">
        <v>205</v>
      </c>
      <c r="V410" s="92"/>
      <c r="W410" s="145" t="s">
        <v>205</v>
      </c>
      <c r="X410" s="92"/>
      <c r="Y410" s="352" t="s">
        <v>205</v>
      </c>
      <c r="Z410" s="142" t="str">
        <f t="shared" si="21"/>
        <v>C</v>
      </c>
      <c r="AA410" s="226" t="str">
        <f t="shared" si="22"/>
        <v>UTILIZOU O PDA CORRETAMENTE</v>
      </c>
      <c r="AB410" s="9" t="s">
        <v>205</v>
      </c>
      <c r="AC410" s="162" t="s">
        <v>6</v>
      </c>
      <c r="AD410" s="150" t="str">
        <f t="shared" si="23"/>
        <v>SÃO PAULO</v>
      </c>
      <c r="AE410" s="95" t="s">
        <v>64</v>
      </c>
    </row>
    <row r="411" spans="1:31" s="55" customFormat="1" ht="30" customHeight="1">
      <c r="A411" s="215" t="s">
        <v>198</v>
      </c>
      <c r="B411" s="215">
        <v>2621101995</v>
      </c>
      <c r="C411" s="215" t="s">
        <v>131</v>
      </c>
      <c r="D411" s="215" t="s">
        <v>64</v>
      </c>
      <c r="E411" s="215" t="s">
        <v>5</v>
      </c>
      <c r="F411" s="215" t="s">
        <v>2535</v>
      </c>
      <c r="G411" s="215">
        <v>79</v>
      </c>
      <c r="H411" s="215" t="s">
        <v>200</v>
      </c>
      <c r="I411" s="215" t="s">
        <v>343</v>
      </c>
      <c r="J411" s="215" t="s">
        <v>1908</v>
      </c>
      <c r="K411" s="215" t="s">
        <v>200</v>
      </c>
      <c r="L411" s="215" t="s">
        <v>2536</v>
      </c>
      <c r="M411" s="215" t="s">
        <v>2537</v>
      </c>
      <c r="N411" s="215" t="s">
        <v>1919</v>
      </c>
      <c r="O411" s="180" t="s">
        <v>205</v>
      </c>
      <c r="P411" s="92"/>
      <c r="Q411" s="164" t="s">
        <v>205</v>
      </c>
      <c r="R411" s="92"/>
      <c r="S411" s="164" t="s">
        <v>205</v>
      </c>
      <c r="T411" s="92"/>
      <c r="U411" s="145" t="s">
        <v>205</v>
      </c>
      <c r="V411" s="92"/>
      <c r="W411" s="145" t="s">
        <v>205</v>
      </c>
      <c r="X411" s="92"/>
      <c r="Y411" s="352" t="s">
        <v>205</v>
      </c>
      <c r="Z411" s="142" t="str">
        <f t="shared" si="21"/>
        <v>C</v>
      </c>
      <c r="AA411" s="226" t="str">
        <f t="shared" si="22"/>
        <v>UTILIZOU O PDA CORRETAMENTE</v>
      </c>
      <c r="AB411" s="9" t="s">
        <v>205</v>
      </c>
      <c r="AC411" s="162" t="s">
        <v>6</v>
      </c>
      <c r="AD411" s="150" t="str">
        <f t="shared" si="23"/>
        <v>SÃO PAULO</v>
      </c>
      <c r="AE411" s="95" t="s">
        <v>64</v>
      </c>
    </row>
    <row r="412" spans="1:31" s="55" customFormat="1" ht="30" customHeight="1">
      <c r="A412" s="215" t="s">
        <v>198</v>
      </c>
      <c r="B412" s="215">
        <v>2621101723</v>
      </c>
      <c r="C412" s="215" t="s">
        <v>131</v>
      </c>
      <c r="D412" s="215" t="s">
        <v>64</v>
      </c>
      <c r="E412" s="215" t="s">
        <v>5</v>
      </c>
      <c r="F412" s="215" t="s">
        <v>1802</v>
      </c>
      <c r="G412" s="215">
        <v>56</v>
      </c>
      <c r="H412" s="215"/>
      <c r="I412" s="215" t="s">
        <v>343</v>
      </c>
      <c r="J412" s="215" t="s">
        <v>1908</v>
      </c>
      <c r="K412" s="215" t="s">
        <v>2538</v>
      </c>
      <c r="L412" s="215" t="s">
        <v>2539</v>
      </c>
      <c r="M412" s="215" t="s">
        <v>2540</v>
      </c>
      <c r="N412" s="215" t="s">
        <v>1919</v>
      </c>
      <c r="O412" s="180" t="s">
        <v>205</v>
      </c>
      <c r="P412" s="92"/>
      <c r="Q412" s="164" t="s">
        <v>205</v>
      </c>
      <c r="R412" s="92"/>
      <c r="S412" s="164" t="s">
        <v>205</v>
      </c>
      <c r="T412" s="92"/>
      <c r="U412" s="145" t="s">
        <v>205</v>
      </c>
      <c r="V412" s="92"/>
      <c r="W412" s="145" t="s">
        <v>205</v>
      </c>
      <c r="X412" s="92"/>
      <c r="Y412" s="352" t="s">
        <v>205</v>
      </c>
      <c r="Z412" s="142" t="str">
        <f t="shared" si="21"/>
        <v>C</v>
      </c>
      <c r="AA412" s="226" t="str">
        <f t="shared" si="22"/>
        <v>UTILIZOU O PDA CORRETAMENTE</v>
      </c>
      <c r="AB412" s="9" t="s">
        <v>205</v>
      </c>
      <c r="AC412" s="162" t="s">
        <v>6</v>
      </c>
      <c r="AD412" s="150" t="str">
        <f t="shared" si="23"/>
        <v>SÃO PAULO</v>
      </c>
      <c r="AE412" s="95" t="s">
        <v>64</v>
      </c>
    </row>
    <row r="413" spans="1:31" s="55" customFormat="1" ht="30" customHeight="1">
      <c r="A413" s="215" t="s">
        <v>198</v>
      </c>
      <c r="B413" s="215">
        <v>2693705085</v>
      </c>
      <c r="C413" s="215" t="s">
        <v>128</v>
      </c>
      <c r="D413" s="215" t="s">
        <v>64</v>
      </c>
      <c r="E413" s="215" t="s">
        <v>5</v>
      </c>
      <c r="F413" s="215" t="s">
        <v>2000</v>
      </c>
      <c r="G413" s="215">
        <v>111</v>
      </c>
      <c r="H413" s="215" t="s">
        <v>226</v>
      </c>
      <c r="I413" s="215" t="s">
        <v>215</v>
      </c>
      <c r="J413" s="215" t="s">
        <v>1898</v>
      </c>
      <c r="K413" s="215" t="s">
        <v>200</v>
      </c>
      <c r="L413" s="215" t="s">
        <v>2541</v>
      </c>
      <c r="M413" s="215" t="s">
        <v>2542</v>
      </c>
      <c r="N413" s="215" t="s">
        <v>900</v>
      </c>
      <c r="O413" s="180" t="s">
        <v>205</v>
      </c>
      <c r="P413" s="92"/>
      <c r="Q413" s="164" t="s">
        <v>205</v>
      </c>
      <c r="R413" s="92"/>
      <c r="S413" s="164" t="s">
        <v>205</v>
      </c>
      <c r="T413" s="92"/>
      <c r="U413" s="145" t="s">
        <v>205</v>
      </c>
      <c r="V413" s="92"/>
      <c r="W413" s="145" t="s">
        <v>205</v>
      </c>
      <c r="X413" s="92"/>
      <c r="Y413" s="352" t="s">
        <v>205</v>
      </c>
      <c r="Z413" s="142" t="str">
        <f t="shared" si="21"/>
        <v>C</v>
      </c>
      <c r="AA413" s="226" t="str">
        <f t="shared" si="22"/>
        <v>UTILIZOU O PDA CORRETAMENTE</v>
      </c>
      <c r="AB413" s="9" t="s">
        <v>205</v>
      </c>
      <c r="AC413" s="162" t="s">
        <v>6</v>
      </c>
      <c r="AD413" s="150" t="str">
        <f t="shared" si="23"/>
        <v>SÃO PAULO</v>
      </c>
      <c r="AE413" s="95" t="s">
        <v>64</v>
      </c>
    </row>
    <row r="414" spans="1:31" s="55" customFormat="1" ht="30" customHeight="1">
      <c r="A414" s="215" t="s">
        <v>198</v>
      </c>
      <c r="B414" s="215">
        <v>2693732258</v>
      </c>
      <c r="C414" s="215" t="s">
        <v>128</v>
      </c>
      <c r="D414" s="215" t="s">
        <v>64</v>
      </c>
      <c r="E414" s="215" t="s">
        <v>5</v>
      </c>
      <c r="F414" s="215" t="s">
        <v>414</v>
      </c>
      <c r="G414" s="215">
        <v>375</v>
      </c>
      <c r="H414" s="215" t="s">
        <v>226</v>
      </c>
      <c r="I414" s="215" t="s">
        <v>415</v>
      </c>
      <c r="J414" s="215" t="s">
        <v>1900</v>
      </c>
      <c r="K414" s="215"/>
      <c r="L414" s="215" t="s">
        <v>2543</v>
      </c>
      <c r="M414" s="215" t="s">
        <v>2544</v>
      </c>
      <c r="N414" s="215" t="s">
        <v>1956</v>
      </c>
      <c r="O414" s="157" t="s">
        <v>205</v>
      </c>
      <c r="P414" s="92"/>
      <c r="Q414" s="157" t="s">
        <v>205</v>
      </c>
      <c r="R414" s="92"/>
      <c r="S414" s="157" t="s">
        <v>205</v>
      </c>
      <c r="T414" s="92"/>
      <c r="U414" s="157" t="s">
        <v>205</v>
      </c>
      <c r="V414" s="92"/>
      <c r="W414" s="157" t="s">
        <v>205</v>
      </c>
      <c r="X414" s="92"/>
      <c r="Y414" s="356" t="s">
        <v>205</v>
      </c>
      <c r="Z414" s="142" t="str">
        <f t="shared" si="21"/>
        <v>C</v>
      </c>
      <c r="AA414" s="226" t="str">
        <f t="shared" si="22"/>
        <v>UTILIZOU O PDA CORRETAMENTE</v>
      </c>
      <c r="AB414" s="9" t="s">
        <v>205</v>
      </c>
      <c r="AC414" s="162" t="s">
        <v>6</v>
      </c>
      <c r="AD414" s="150" t="str">
        <f t="shared" si="23"/>
        <v>SÃO PAULO</v>
      </c>
      <c r="AE414" s="95" t="s">
        <v>64</v>
      </c>
    </row>
    <row r="415" spans="1:31" s="55" customFormat="1" ht="30" customHeight="1">
      <c r="A415" s="215" t="s">
        <v>198</v>
      </c>
      <c r="B415" s="215">
        <v>2693711848</v>
      </c>
      <c r="C415" s="215" t="s">
        <v>131</v>
      </c>
      <c r="D415" s="215" t="s">
        <v>64</v>
      </c>
      <c r="E415" s="215" t="s">
        <v>5</v>
      </c>
      <c r="F415" s="215" t="s">
        <v>2545</v>
      </c>
      <c r="G415" s="215">
        <v>95</v>
      </c>
      <c r="H415" s="215" t="s">
        <v>481</v>
      </c>
      <c r="I415" s="215" t="s">
        <v>737</v>
      </c>
      <c r="J415" s="215" t="s">
        <v>1898</v>
      </c>
      <c r="K415" s="215" t="s">
        <v>2546</v>
      </c>
      <c r="L415" s="215" t="s">
        <v>2547</v>
      </c>
      <c r="M415" s="215" t="s">
        <v>2548</v>
      </c>
      <c r="N415" s="215" t="s">
        <v>1956</v>
      </c>
      <c r="O415" s="157" t="s">
        <v>205</v>
      </c>
      <c r="P415" s="92"/>
      <c r="Q415" s="157" t="s">
        <v>205</v>
      </c>
      <c r="R415" s="92"/>
      <c r="S415" s="157" t="s">
        <v>205</v>
      </c>
      <c r="T415" s="92"/>
      <c r="U415" s="157" t="s">
        <v>205</v>
      </c>
      <c r="V415" s="92"/>
      <c r="W415" s="157" t="s">
        <v>205</v>
      </c>
      <c r="X415" s="92"/>
      <c r="Y415" s="356" t="s">
        <v>205</v>
      </c>
      <c r="Z415" s="142" t="str">
        <f t="shared" si="21"/>
        <v>C</v>
      </c>
      <c r="AA415" s="226" t="str">
        <f t="shared" si="22"/>
        <v>UTILIZOU O PDA CORRETAMENTE</v>
      </c>
      <c r="AB415" s="9" t="s">
        <v>205</v>
      </c>
      <c r="AC415" s="162" t="s">
        <v>6</v>
      </c>
      <c r="AD415" s="150" t="str">
        <f t="shared" si="23"/>
        <v>SÃO PAULO</v>
      </c>
      <c r="AE415" s="95" t="s">
        <v>64</v>
      </c>
    </row>
    <row r="416" spans="1:31" s="55" customFormat="1" ht="30" customHeight="1">
      <c r="A416" s="215" t="s">
        <v>198</v>
      </c>
      <c r="B416" s="215">
        <v>2693722317</v>
      </c>
      <c r="C416" s="215" t="s">
        <v>128</v>
      </c>
      <c r="D416" s="215" t="s">
        <v>64</v>
      </c>
      <c r="E416" s="215" t="s">
        <v>5</v>
      </c>
      <c r="F416" s="215" t="s">
        <v>2549</v>
      </c>
      <c r="G416" s="215">
        <v>134</v>
      </c>
      <c r="H416" s="215" t="s">
        <v>318</v>
      </c>
      <c r="I416" s="215" t="s">
        <v>246</v>
      </c>
      <c r="J416" s="215" t="s">
        <v>1898</v>
      </c>
      <c r="K416" s="215"/>
      <c r="L416" s="215" t="s">
        <v>2550</v>
      </c>
      <c r="M416" s="215" t="s">
        <v>2551</v>
      </c>
      <c r="N416" s="215" t="s">
        <v>1956</v>
      </c>
      <c r="O416" s="157" t="s">
        <v>205</v>
      </c>
      <c r="P416" s="92"/>
      <c r="Q416" s="157" t="s">
        <v>205</v>
      </c>
      <c r="R416" s="92"/>
      <c r="S416" s="157" t="s">
        <v>205</v>
      </c>
      <c r="T416" s="92"/>
      <c r="U416" s="157" t="s">
        <v>205</v>
      </c>
      <c r="V416" s="92"/>
      <c r="W416" s="157" t="s">
        <v>205</v>
      </c>
      <c r="X416" s="92"/>
      <c r="Y416" s="356" t="s">
        <v>205</v>
      </c>
      <c r="Z416" s="142" t="str">
        <f t="shared" si="21"/>
        <v>C</v>
      </c>
      <c r="AA416" s="226" t="str">
        <f t="shared" si="22"/>
        <v>UTILIZOU O PDA CORRETAMENTE</v>
      </c>
      <c r="AB416" s="9" t="s">
        <v>205</v>
      </c>
      <c r="AC416" s="162" t="s">
        <v>6</v>
      </c>
      <c r="AD416" s="150" t="str">
        <f t="shared" si="23"/>
        <v>SÃO PAULO</v>
      </c>
      <c r="AE416" s="95" t="s">
        <v>64</v>
      </c>
    </row>
    <row r="417" spans="1:31" s="55" customFormat="1" ht="30" customHeight="1">
      <c r="A417" s="215" t="s">
        <v>198</v>
      </c>
      <c r="B417" s="215">
        <v>2621073256</v>
      </c>
      <c r="C417" s="215" t="s">
        <v>128</v>
      </c>
      <c r="D417" s="215" t="s">
        <v>64</v>
      </c>
      <c r="E417" s="215" t="s">
        <v>5</v>
      </c>
      <c r="F417" s="215" t="s">
        <v>2552</v>
      </c>
      <c r="G417" s="215">
        <v>47</v>
      </c>
      <c r="H417" s="215" t="s">
        <v>481</v>
      </c>
      <c r="I417" s="215" t="s">
        <v>415</v>
      </c>
      <c r="J417" s="215" t="s">
        <v>1900</v>
      </c>
      <c r="K417" s="215" t="s">
        <v>200</v>
      </c>
      <c r="L417" s="215" t="s">
        <v>2553</v>
      </c>
      <c r="M417" s="215" t="s">
        <v>2554</v>
      </c>
      <c r="N417" s="215" t="s">
        <v>1956</v>
      </c>
      <c r="O417" s="157" t="s">
        <v>205</v>
      </c>
      <c r="P417" s="92"/>
      <c r="Q417" s="157" t="s">
        <v>205</v>
      </c>
      <c r="R417" s="92"/>
      <c r="S417" s="157" t="s">
        <v>205</v>
      </c>
      <c r="T417" s="92"/>
      <c r="U417" s="157" t="s">
        <v>205</v>
      </c>
      <c r="V417" s="92"/>
      <c r="W417" s="157" t="s">
        <v>205</v>
      </c>
      <c r="X417" s="92"/>
      <c r="Y417" s="356" t="s">
        <v>205</v>
      </c>
      <c r="Z417" s="142" t="str">
        <f t="shared" si="21"/>
        <v>C</v>
      </c>
      <c r="AA417" s="226" t="str">
        <f t="shared" si="22"/>
        <v>UTILIZOU O PDA CORRETAMENTE</v>
      </c>
      <c r="AB417" s="9" t="s">
        <v>205</v>
      </c>
      <c r="AC417" s="162" t="s">
        <v>6</v>
      </c>
      <c r="AD417" s="150" t="str">
        <f t="shared" si="23"/>
        <v>SÃO PAULO</v>
      </c>
      <c r="AE417" s="95" t="s">
        <v>64</v>
      </c>
    </row>
    <row r="418" spans="1:31" s="55" customFormat="1" ht="30" customHeight="1">
      <c r="A418" s="215" t="s">
        <v>198</v>
      </c>
      <c r="B418" s="215">
        <v>2693693795</v>
      </c>
      <c r="C418" s="215" t="s">
        <v>128</v>
      </c>
      <c r="D418" s="215" t="s">
        <v>64</v>
      </c>
      <c r="E418" s="215" t="s">
        <v>5</v>
      </c>
      <c r="F418" s="215" t="s">
        <v>1785</v>
      </c>
      <c r="G418" s="215">
        <v>277</v>
      </c>
      <c r="H418" s="215" t="s">
        <v>226</v>
      </c>
      <c r="I418" s="215" t="s">
        <v>1786</v>
      </c>
      <c r="J418" s="215" t="s">
        <v>1908</v>
      </c>
      <c r="K418" s="215"/>
      <c r="L418" s="215" t="s">
        <v>2555</v>
      </c>
      <c r="M418" s="215" t="s">
        <v>2556</v>
      </c>
      <c r="N418" s="215" t="s">
        <v>1956</v>
      </c>
      <c r="O418" s="157" t="s">
        <v>205</v>
      </c>
      <c r="P418" s="92"/>
      <c r="Q418" s="157" t="s">
        <v>205</v>
      </c>
      <c r="R418" s="92"/>
      <c r="S418" s="157" t="s">
        <v>205</v>
      </c>
      <c r="T418" s="92"/>
      <c r="U418" s="157" t="s">
        <v>205</v>
      </c>
      <c r="V418" s="92"/>
      <c r="W418" s="157" t="s">
        <v>205</v>
      </c>
      <c r="X418" s="92"/>
      <c r="Y418" s="356" t="s">
        <v>205</v>
      </c>
      <c r="Z418" s="142" t="str">
        <f t="shared" si="21"/>
        <v>C</v>
      </c>
      <c r="AA418" s="226" t="str">
        <f t="shared" si="22"/>
        <v>UTILIZOU O PDA CORRETAMENTE</v>
      </c>
      <c r="AB418" s="9" t="s">
        <v>205</v>
      </c>
      <c r="AC418" s="162" t="s">
        <v>6</v>
      </c>
      <c r="AD418" s="150" t="str">
        <f t="shared" si="23"/>
        <v>SÃO PAULO</v>
      </c>
      <c r="AE418" s="95" t="s">
        <v>64</v>
      </c>
    </row>
    <row r="419" spans="1:31" s="55" customFormat="1" ht="30" customHeight="1">
      <c r="A419" s="215" t="s">
        <v>198</v>
      </c>
      <c r="B419" s="215">
        <v>2693717092</v>
      </c>
      <c r="C419" s="215" t="s">
        <v>128</v>
      </c>
      <c r="D419" s="215" t="s">
        <v>64</v>
      </c>
      <c r="E419" s="215" t="s">
        <v>5</v>
      </c>
      <c r="F419" s="215" t="s">
        <v>1603</v>
      </c>
      <c r="G419" s="215">
        <v>25</v>
      </c>
      <c r="H419" s="215" t="s">
        <v>200</v>
      </c>
      <c r="I419" s="215" t="s">
        <v>426</v>
      </c>
      <c r="J419" s="215" t="s">
        <v>1908</v>
      </c>
      <c r="K419" s="215" t="s">
        <v>200</v>
      </c>
      <c r="L419" s="215" t="s">
        <v>2557</v>
      </c>
      <c r="M419" s="215" t="s">
        <v>2558</v>
      </c>
      <c r="N419" s="215" t="s">
        <v>1956</v>
      </c>
      <c r="O419" s="157" t="s">
        <v>205</v>
      </c>
      <c r="P419" s="92"/>
      <c r="Q419" s="157" t="s">
        <v>205</v>
      </c>
      <c r="R419" s="92"/>
      <c r="S419" s="157" t="s">
        <v>205</v>
      </c>
      <c r="T419" s="92"/>
      <c r="U419" s="157" t="s">
        <v>205</v>
      </c>
      <c r="V419" s="92"/>
      <c r="W419" s="157" t="s">
        <v>205</v>
      </c>
      <c r="X419" s="92"/>
      <c r="Y419" s="356" t="s">
        <v>205</v>
      </c>
      <c r="Z419" s="142" t="str">
        <f t="shared" si="21"/>
        <v>C</v>
      </c>
      <c r="AA419" s="226" t="str">
        <f t="shared" si="22"/>
        <v>UTILIZOU O PDA CORRETAMENTE</v>
      </c>
      <c r="AB419" s="9" t="s">
        <v>205</v>
      </c>
      <c r="AC419" s="162" t="s">
        <v>6</v>
      </c>
      <c r="AD419" s="150" t="str">
        <f t="shared" si="23"/>
        <v>SÃO PAULO</v>
      </c>
      <c r="AE419" s="95" t="s">
        <v>64</v>
      </c>
    </row>
    <row r="420" spans="1:31" s="55" customFormat="1" ht="30" customHeight="1">
      <c r="A420" s="215" t="s">
        <v>198</v>
      </c>
      <c r="B420" s="215">
        <v>2693736434</v>
      </c>
      <c r="C420" s="215" t="s">
        <v>128</v>
      </c>
      <c r="D420" s="215" t="s">
        <v>64</v>
      </c>
      <c r="E420" s="215" t="s">
        <v>5</v>
      </c>
      <c r="F420" s="215" t="s">
        <v>315</v>
      </c>
      <c r="G420" s="215">
        <v>311</v>
      </c>
      <c r="H420" s="215" t="s">
        <v>226</v>
      </c>
      <c r="I420" s="215" t="s">
        <v>316</v>
      </c>
      <c r="J420" s="215" t="s">
        <v>1900</v>
      </c>
      <c r="K420" s="215"/>
      <c r="L420" s="215" t="s">
        <v>2559</v>
      </c>
      <c r="M420" s="215" t="s">
        <v>2560</v>
      </c>
      <c r="N420" s="215" t="s">
        <v>1956</v>
      </c>
      <c r="O420" s="157" t="s">
        <v>205</v>
      </c>
      <c r="P420" s="92"/>
      <c r="Q420" s="157" t="s">
        <v>205</v>
      </c>
      <c r="R420" s="92"/>
      <c r="S420" s="157" t="s">
        <v>205</v>
      </c>
      <c r="T420" s="92"/>
      <c r="U420" s="157" t="s">
        <v>205</v>
      </c>
      <c r="V420" s="92"/>
      <c r="W420" s="157" t="s">
        <v>205</v>
      </c>
      <c r="X420" s="92"/>
      <c r="Y420" s="356" t="s">
        <v>205</v>
      </c>
      <c r="Z420" s="142" t="str">
        <f t="shared" si="21"/>
        <v>C</v>
      </c>
      <c r="AA420" s="226" t="str">
        <f t="shared" si="22"/>
        <v>UTILIZOU O PDA CORRETAMENTE</v>
      </c>
      <c r="AB420" s="9" t="s">
        <v>205</v>
      </c>
      <c r="AC420" s="162" t="s">
        <v>6</v>
      </c>
      <c r="AD420" s="150" t="str">
        <f t="shared" si="23"/>
        <v>SÃO PAULO</v>
      </c>
      <c r="AE420" s="95" t="s">
        <v>64</v>
      </c>
    </row>
    <row r="421" spans="1:31" s="55" customFormat="1" ht="30" customHeight="1">
      <c r="A421" s="215" t="s">
        <v>198</v>
      </c>
      <c r="B421" s="215">
        <v>2693731536</v>
      </c>
      <c r="C421" s="215" t="s">
        <v>128</v>
      </c>
      <c r="D421" s="215" t="s">
        <v>64</v>
      </c>
      <c r="E421" s="215" t="s">
        <v>5</v>
      </c>
      <c r="F421" s="215" t="s">
        <v>2561</v>
      </c>
      <c r="G421" s="215">
        <v>47</v>
      </c>
      <c r="H421" s="215" t="s">
        <v>200</v>
      </c>
      <c r="I421" s="215" t="s">
        <v>346</v>
      </c>
      <c r="J421" s="215" t="s">
        <v>1908</v>
      </c>
      <c r="K421" s="215" t="s">
        <v>200</v>
      </c>
      <c r="L421" s="215" t="s">
        <v>2562</v>
      </c>
      <c r="M421" s="215" t="s">
        <v>2563</v>
      </c>
      <c r="N421" s="215" t="s">
        <v>1956</v>
      </c>
      <c r="O421" s="157" t="s">
        <v>205</v>
      </c>
      <c r="P421" s="92"/>
      <c r="Q421" s="145" t="s">
        <v>206</v>
      </c>
      <c r="R421" s="92"/>
      <c r="S421" s="145" t="s">
        <v>205</v>
      </c>
      <c r="T421" s="92"/>
      <c r="U421" s="145" t="s">
        <v>205</v>
      </c>
      <c r="V421" s="92"/>
      <c r="W421" s="145" t="s">
        <v>205</v>
      </c>
      <c r="X421" s="92"/>
      <c r="Y421" s="352" t="s">
        <v>205</v>
      </c>
      <c r="Z421" s="142" t="str">
        <f t="shared" si="21"/>
        <v>NC</v>
      </c>
      <c r="AA421" s="226" t="str">
        <f t="shared" si="22"/>
        <v>UTILIZOU O PDA CORRETAMENTE. NÃO HÁ FOTOS DE TODAS AS ETAPAS</v>
      </c>
      <c r="AB421" s="9" t="s">
        <v>205</v>
      </c>
      <c r="AC421" s="162" t="s">
        <v>6</v>
      </c>
      <c r="AD421" s="150" t="str">
        <f t="shared" si="23"/>
        <v>SÃO PAULO</v>
      </c>
      <c r="AE421" s="95" t="s">
        <v>64</v>
      </c>
    </row>
    <row r="422" spans="1:31" s="55" customFormat="1" ht="30" customHeight="1">
      <c r="A422" s="215" t="s">
        <v>198</v>
      </c>
      <c r="B422" s="215">
        <v>2693695534</v>
      </c>
      <c r="C422" s="215" t="s">
        <v>128</v>
      </c>
      <c r="D422" s="215" t="s">
        <v>64</v>
      </c>
      <c r="E422" s="215" t="s">
        <v>5</v>
      </c>
      <c r="F422" s="215" t="s">
        <v>2470</v>
      </c>
      <c r="G422" s="215">
        <v>446</v>
      </c>
      <c r="H422" s="215" t="s">
        <v>708</v>
      </c>
      <c r="I422" s="215" t="s">
        <v>448</v>
      </c>
      <c r="J422" s="215" t="s">
        <v>1898</v>
      </c>
      <c r="K422" s="215"/>
      <c r="L422" s="215" t="s">
        <v>2547</v>
      </c>
      <c r="M422" s="215" t="s">
        <v>2548</v>
      </c>
      <c r="N422" s="215" t="s">
        <v>852</v>
      </c>
      <c r="O422" s="180" t="s">
        <v>205</v>
      </c>
      <c r="P422" s="92"/>
      <c r="Q422" s="164" t="s">
        <v>205</v>
      </c>
      <c r="R422" s="92"/>
      <c r="S422" s="164" t="s">
        <v>205</v>
      </c>
      <c r="T422" s="92"/>
      <c r="U422" s="145" t="s">
        <v>205</v>
      </c>
      <c r="V422" s="92"/>
      <c r="W422" s="145" t="s">
        <v>205</v>
      </c>
      <c r="X422" s="92"/>
      <c r="Y422" s="352" t="s">
        <v>205</v>
      </c>
      <c r="Z422" s="142" t="str">
        <f t="shared" si="21"/>
        <v>C</v>
      </c>
      <c r="AA422" s="226" t="str">
        <f t="shared" si="22"/>
        <v>UTILIZOU O PDA CORRETAMENTE</v>
      </c>
      <c r="AB422" s="9" t="s">
        <v>205</v>
      </c>
      <c r="AC422" s="162" t="s">
        <v>6</v>
      </c>
      <c r="AD422" s="150" t="str">
        <f t="shared" si="23"/>
        <v>SÃO PAULO</v>
      </c>
      <c r="AE422" s="95" t="s">
        <v>64</v>
      </c>
    </row>
    <row r="423" spans="1:31" s="55" customFormat="1" ht="30" customHeight="1">
      <c r="A423" s="215" t="s">
        <v>198</v>
      </c>
      <c r="B423" s="215">
        <v>2693750787</v>
      </c>
      <c r="C423" s="215" t="s">
        <v>128</v>
      </c>
      <c r="D423" s="215" t="s">
        <v>64</v>
      </c>
      <c r="E423" s="215" t="s">
        <v>5</v>
      </c>
      <c r="F423" s="215" t="s">
        <v>2243</v>
      </c>
      <c r="G423" s="215">
        <v>275</v>
      </c>
      <c r="H423" s="215" t="s">
        <v>226</v>
      </c>
      <c r="I423" s="215" t="s">
        <v>280</v>
      </c>
      <c r="J423" s="215" t="s">
        <v>1908</v>
      </c>
      <c r="K423" s="215" t="s">
        <v>200</v>
      </c>
      <c r="L423" s="215" t="s">
        <v>2564</v>
      </c>
      <c r="M423" s="215" t="s">
        <v>2565</v>
      </c>
      <c r="N423" s="215" t="s">
        <v>1956</v>
      </c>
      <c r="O423" s="157" t="s">
        <v>205</v>
      </c>
      <c r="P423" s="92"/>
      <c r="Q423" s="145" t="s">
        <v>205</v>
      </c>
      <c r="R423" s="92"/>
      <c r="S423" s="145" t="s">
        <v>205</v>
      </c>
      <c r="T423" s="92"/>
      <c r="U423" s="145" t="s">
        <v>205</v>
      </c>
      <c r="V423" s="92"/>
      <c r="W423" s="145" t="s">
        <v>205</v>
      </c>
      <c r="X423" s="92"/>
      <c r="Y423" s="352" t="s">
        <v>205</v>
      </c>
      <c r="Z423" s="142" t="str">
        <f t="shared" si="21"/>
        <v>C</v>
      </c>
      <c r="AA423" s="226" t="str">
        <f t="shared" si="22"/>
        <v>UTILIZOU O PDA CORRETAMENTE</v>
      </c>
      <c r="AB423" s="9" t="s">
        <v>205</v>
      </c>
      <c r="AC423" s="162" t="s">
        <v>6</v>
      </c>
      <c r="AD423" s="150" t="str">
        <f t="shared" si="23"/>
        <v>SÃO PAULO</v>
      </c>
      <c r="AE423" s="95" t="s">
        <v>64</v>
      </c>
    </row>
    <row r="424" spans="1:31" s="55" customFormat="1" ht="30" customHeight="1">
      <c r="A424" s="215" t="s">
        <v>198</v>
      </c>
      <c r="B424" s="215">
        <v>2693669141</v>
      </c>
      <c r="C424" s="215" t="s">
        <v>127</v>
      </c>
      <c r="D424" s="215" t="s">
        <v>64</v>
      </c>
      <c r="E424" s="215" t="s">
        <v>5</v>
      </c>
      <c r="F424" s="215" t="s">
        <v>2566</v>
      </c>
      <c r="G424" s="215">
        <v>56</v>
      </c>
      <c r="H424" s="215" t="s">
        <v>387</v>
      </c>
      <c r="I424" s="215" t="s">
        <v>242</v>
      </c>
      <c r="J424" s="215" t="s">
        <v>1898</v>
      </c>
      <c r="K424" s="215" t="s">
        <v>2567</v>
      </c>
      <c r="L424" s="215" t="s">
        <v>2568</v>
      </c>
      <c r="M424" s="215" t="s">
        <v>2569</v>
      </c>
      <c r="N424" s="215" t="s">
        <v>221</v>
      </c>
      <c r="O424" s="180" t="s">
        <v>205</v>
      </c>
      <c r="P424" s="92"/>
      <c r="Q424" s="164" t="s">
        <v>205</v>
      </c>
      <c r="R424" s="92"/>
      <c r="S424" s="164" t="s">
        <v>205</v>
      </c>
      <c r="T424" s="92"/>
      <c r="U424" s="145" t="s">
        <v>205</v>
      </c>
      <c r="V424" s="92"/>
      <c r="W424" s="145" t="s">
        <v>205</v>
      </c>
      <c r="X424" s="92"/>
      <c r="Y424" s="352" t="s">
        <v>205</v>
      </c>
      <c r="Z424" s="142" t="str">
        <f t="shared" si="21"/>
        <v>C</v>
      </c>
      <c r="AA424" s="226" t="str">
        <f t="shared" si="22"/>
        <v>UTILIZOU O PDA CORRETAMENTE</v>
      </c>
      <c r="AB424" s="9" t="s">
        <v>205</v>
      </c>
      <c r="AC424" s="162" t="s">
        <v>6</v>
      </c>
      <c r="AD424" s="150" t="str">
        <f t="shared" si="23"/>
        <v>SÃO PAULO</v>
      </c>
      <c r="AE424" s="95" t="s">
        <v>64</v>
      </c>
    </row>
    <row r="425" spans="1:31" s="55" customFormat="1" ht="30" customHeight="1">
      <c r="A425" s="215" t="s">
        <v>198</v>
      </c>
      <c r="B425" s="215">
        <v>2693769424</v>
      </c>
      <c r="C425" s="215" t="s">
        <v>128</v>
      </c>
      <c r="D425" s="215" t="s">
        <v>64</v>
      </c>
      <c r="E425" s="215" t="s">
        <v>5</v>
      </c>
      <c r="F425" s="215" t="s">
        <v>2570</v>
      </c>
      <c r="G425" s="215">
        <v>82</v>
      </c>
      <c r="H425" s="215" t="s">
        <v>226</v>
      </c>
      <c r="I425" s="215" t="s">
        <v>223</v>
      </c>
      <c r="J425" s="215" t="s">
        <v>1898</v>
      </c>
      <c r="K425" s="215" t="s">
        <v>200</v>
      </c>
      <c r="L425" s="215" t="s">
        <v>2571</v>
      </c>
      <c r="M425" s="215" t="s">
        <v>2572</v>
      </c>
      <c r="N425" s="215" t="s">
        <v>1950</v>
      </c>
      <c r="O425" s="180" t="s">
        <v>205</v>
      </c>
      <c r="P425" s="92"/>
      <c r="Q425" s="164" t="s">
        <v>205</v>
      </c>
      <c r="R425" s="92"/>
      <c r="S425" s="164" t="s">
        <v>205</v>
      </c>
      <c r="T425" s="92"/>
      <c r="U425" s="145" t="s">
        <v>205</v>
      </c>
      <c r="V425" s="92"/>
      <c r="W425" s="145" t="s">
        <v>205</v>
      </c>
      <c r="X425" s="92"/>
      <c r="Y425" s="352" t="s">
        <v>205</v>
      </c>
      <c r="Z425" s="142" t="str">
        <f t="shared" si="21"/>
        <v>C</v>
      </c>
      <c r="AA425" s="226" t="str">
        <f t="shared" si="22"/>
        <v>UTILIZOU O PDA CORRETAMENTE</v>
      </c>
      <c r="AB425" s="9" t="s">
        <v>205</v>
      </c>
      <c r="AC425" s="162" t="s">
        <v>6</v>
      </c>
      <c r="AD425" s="150" t="str">
        <f t="shared" si="23"/>
        <v>SÃO PAULO</v>
      </c>
      <c r="AE425" s="95" t="s">
        <v>64</v>
      </c>
    </row>
    <row r="426" spans="1:31" s="55" customFormat="1" ht="30" customHeight="1">
      <c r="A426" s="215" t="s">
        <v>198</v>
      </c>
      <c r="B426" s="215">
        <v>2621259876</v>
      </c>
      <c r="C426" s="215" t="s">
        <v>128</v>
      </c>
      <c r="D426" s="215" t="s">
        <v>64</v>
      </c>
      <c r="E426" s="215" t="s">
        <v>5</v>
      </c>
      <c r="F426" s="215" t="s">
        <v>1999</v>
      </c>
      <c r="G426" s="215">
        <v>724</v>
      </c>
      <c r="H426" s="215"/>
      <c r="I426" s="215" t="s">
        <v>223</v>
      </c>
      <c r="J426" s="215" t="s">
        <v>1898</v>
      </c>
      <c r="K426" s="215"/>
      <c r="L426" s="215" t="s">
        <v>2530</v>
      </c>
      <c r="M426" s="215" t="s">
        <v>2573</v>
      </c>
      <c r="N426" s="215" t="s">
        <v>1950</v>
      </c>
      <c r="O426" s="180" t="s">
        <v>205</v>
      </c>
      <c r="P426" s="92"/>
      <c r="Q426" s="164" t="s">
        <v>205</v>
      </c>
      <c r="R426" s="92"/>
      <c r="S426" s="164" t="s">
        <v>205</v>
      </c>
      <c r="T426" s="92"/>
      <c r="U426" s="145" t="s">
        <v>205</v>
      </c>
      <c r="V426" s="92"/>
      <c r="W426" s="145" t="s">
        <v>205</v>
      </c>
      <c r="X426" s="92"/>
      <c r="Y426" s="352" t="s">
        <v>205</v>
      </c>
      <c r="Z426" s="142" t="str">
        <f t="shared" si="21"/>
        <v>C</v>
      </c>
      <c r="AA426" s="226" t="str">
        <f t="shared" si="22"/>
        <v>UTILIZOU O PDA CORRETAMENTE</v>
      </c>
      <c r="AB426" s="9" t="s">
        <v>205</v>
      </c>
      <c r="AC426" s="162" t="s">
        <v>6</v>
      </c>
      <c r="AD426" s="150" t="str">
        <f t="shared" si="23"/>
        <v>SÃO PAULO</v>
      </c>
      <c r="AE426" s="95" t="s">
        <v>64</v>
      </c>
    </row>
    <row r="427" spans="1:31" s="55" customFormat="1" ht="30" customHeight="1">
      <c r="A427" s="215" t="s">
        <v>198</v>
      </c>
      <c r="B427" s="215">
        <v>2621117175</v>
      </c>
      <c r="C427" s="215" t="s">
        <v>128</v>
      </c>
      <c r="D427" s="215" t="s">
        <v>64</v>
      </c>
      <c r="E427" s="215" t="s">
        <v>5</v>
      </c>
      <c r="F427" s="215" t="s">
        <v>2574</v>
      </c>
      <c r="G427" s="215">
        <v>6</v>
      </c>
      <c r="H427" s="215" t="s">
        <v>226</v>
      </c>
      <c r="I427" s="215" t="s">
        <v>435</v>
      </c>
      <c r="J427" s="215" t="s">
        <v>1955</v>
      </c>
      <c r="K427" s="215"/>
      <c r="L427" s="215" t="s">
        <v>2575</v>
      </c>
      <c r="M427" s="215" t="s">
        <v>2576</v>
      </c>
      <c r="N427" s="215" t="s">
        <v>341</v>
      </c>
      <c r="O427" s="180" t="s">
        <v>205</v>
      </c>
      <c r="P427" s="92"/>
      <c r="Q427" s="164" t="s">
        <v>205</v>
      </c>
      <c r="R427" s="92"/>
      <c r="S427" s="164" t="s">
        <v>205</v>
      </c>
      <c r="T427" s="92"/>
      <c r="U427" s="145" t="s">
        <v>205</v>
      </c>
      <c r="V427" s="92"/>
      <c r="W427" s="145" t="s">
        <v>205</v>
      </c>
      <c r="X427" s="92"/>
      <c r="Y427" s="352" t="s">
        <v>205</v>
      </c>
      <c r="Z427" s="142" t="str">
        <f t="shared" si="21"/>
        <v>C</v>
      </c>
      <c r="AA427" s="226" t="str">
        <f t="shared" si="22"/>
        <v>UTILIZOU O PDA CORRETAMENTE</v>
      </c>
      <c r="AB427" s="9" t="s">
        <v>205</v>
      </c>
      <c r="AC427" s="162" t="s">
        <v>6</v>
      </c>
      <c r="AD427" s="150" t="str">
        <f t="shared" si="23"/>
        <v>SÃO PAULO</v>
      </c>
      <c r="AE427" s="95" t="s">
        <v>64</v>
      </c>
    </row>
    <row r="428" spans="1:31" s="55" customFormat="1" ht="30" customHeight="1">
      <c r="A428" s="215" t="s">
        <v>198</v>
      </c>
      <c r="B428" s="215">
        <v>2693693722</v>
      </c>
      <c r="C428" s="215" t="s">
        <v>128</v>
      </c>
      <c r="D428" s="215" t="s">
        <v>64</v>
      </c>
      <c r="E428" s="215" t="s">
        <v>5</v>
      </c>
      <c r="F428" s="215" t="s">
        <v>1284</v>
      </c>
      <c r="G428" s="215">
        <v>23</v>
      </c>
      <c r="H428" s="215" t="s">
        <v>200</v>
      </c>
      <c r="I428" s="215" t="s">
        <v>1286</v>
      </c>
      <c r="J428" s="215" t="s">
        <v>1898</v>
      </c>
      <c r="K428" s="215" t="s">
        <v>200</v>
      </c>
      <c r="L428" s="215" t="s">
        <v>2577</v>
      </c>
      <c r="M428" s="215" t="s">
        <v>2578</v>
      </c>
      <c r="N428" s="215" t="s">
        <v>221</v>
      </c>
      <c r="O428" s="180" t="s">
        <v>205</v>
      </c>
      <c r="P428" s="92"/>
      <c r="Q428" s="164" t="s">
        <v>205</v>
      </c>
      <c r="R428" s="92"/>
      <c r="S428" s="164" t="s">
        <v>205</v>
      </c>
      <c r="T428" s="92"/>
      <c r="U428" s="145" t="s">
        <v>205</v>
      </c>
      <c r="V428" s="92"/>
      <c r="W428" s="145" t="s">
        <v>205</v>
      </c>
      <c r="X428" s="92"/>
      <c r="Y428" s="352" t="s">
        <v>205</v>
      </c>
      <c r="Z428" s="142" t="str">
        <f t="shared" si="21"/>
        <v>C</v>
      </c>
      <c r="AA428" s="226" t="str">
        <f t="shared" si="22"/>
        <v>UTILIZOU O PDA CORRETAMENTE</v>
      </c>
      <c r="AB428" s="9" t="s">
        <v>205</v>
      </c>
      <c r="AC428" s="162" t="s">
        <v>6</v>
      </c>
      <c r="AD428" s="150" t="str">
        <f t="shared" si="23"/>
        <v>SÃO PAULO</v>
      </c>
      <c r="AE428" s="95" t="s">
        <v>64</v>
      </c>
    </row>
    <row r="429" spans="1:31" s="55" customFormat="1" ht="30" customHeight="1">
      <c r="A429" s="215" t="s">
        <v>198</v>
      </c>
      <c r="B429" s="215">
        <v>2693772647</v>
      </c>
      <c r="C429" s="215" t="s">
        <v>131</v>
      </c>
      <c r="D429" s="215" t="s">
        <v>64</v>
      </c>
      <c r="E429" s="215" t="s">
        <v>5</v>
      </c>
      <c r="F429" s="215" t="s">
        <v>2579</v>
      </c>
      <c r="G429" s="215">
        <v>6</v>
      </c>
      <c r="H429" s="215" t="s">
        <v>250</v>
      </c>
      <c r="I429" s="215" t="s">
        <v>215</v>
      </c>
      <c r="J429" s="215" t="s">
        <v>1908</v>
      </c>
      <c r="K429" s="215"/>
      <c r="L429" s="215" t="s">
        <v>2580</v>
      </c>
      <c r="M429" s="215" t="s">
        <v>2581</v>
      </c>
      <c r="N429" s="215" t="s">
        <v>590</v>
      </c>
      <c r="O429" s="180" t="s">
        <v>205</v>
      </c>
      <c r="P429" s="92"/>
      <c r="Q429" s="145" t="s">
        <v>206</v>
      </c>
      <c r="R429" s="92"/>
      <c r="S429" s="164" t="s">
        <v>205</v>
      </c>
      <c r="T429" s="92"/>
      <c r="U429" s="145" t="s">
        <v>205</v>
      </c>
      <c r="V429" s="92"/>
      <c r="W429" s="145" t="s">
        <v>205</v>
      </c>
      <c r="X429" s="92"/>
      <c r="Y429" s="352" t="s">
        <v>205</v>
      </c>
      <c r="Z429" s="142" t="str">
        <f t="shared" si="21"/>
        <v>NC</v>
      </c>
      <c r="AA429" s="226" t="str">
        <f t="shared" si="22"/>
        <v>UTILIZOU O PDA CORRETAMENTE. NÃO HÁ FOTOS DE TODAS AS ETAPAS</v>
      </c>
      <c r="AB429" s="9" t="s">
        <v>205</v>
      </c>
      <c r="AC429" s="162" t="s">
        <v>6</v>
      </c>
      <c r="AD429" s="150" t="str">
        <f t="shared" si="23"/>
        <v>SÃO PAULO</v>
      </c>
      <c r="AE429" s="95" t="s">
        <v>64</v>
      </c>
    </row>
    <row r="430" spans="1:31" s="55" customFormat="1" ht="30" customHeight="1">
      <c r="A430" s="228" t="s">
        <v>198</v>
      </c>
      <c r="B430" s="228">
        <v>2693772337</v>
      </c>
      <c r="C430" s="228" t="s">
        <v>128</v>
      </c>
      <c r="D430" s="228" t="s">
        <v>64</v>
      </c>
      <c r="E430" s="228" t="s">
        <v>5</v>
      </c>
      <c r="F430" s="228" t="s">
        <v>2470</v>
      </c>
      <c r="G430" s="228">
        <v>102</v>
      </c>
      <c r="H430" s="228" t="s">
        <v>318</v>
      </c>
      <c r="I430" s="228" t="s">
        <v>219</v>
      </c>
      <c r="J430" s="228" t="s">
        <v>1898</v>
      </c>
      <c r="K430" s="228" t="s">
        <v>200</v>
      </c>
      <c r="L430" s="228" t="s">
        <v>2582</v>
      </c>
      <c r="M430" s="228" t="s">
        <v>2583</v>
      </c>
      <c r="N430" s="228" t="s">
        <v>852</v>
      </c>
      <c r="O430" s="180" t="s">
        <v>205</v>
      </c>
      <c r="P430" s="92"/>
      <c r="Q430" s="164" t="s">
        <v>205</v>
      </c>
      <c r="R430" s="92"/>
      <c r="S430" s="164" t="s">
        <v>205</v>
      </c>
      <c r="T430" s="92"/>
      <c r="U430" s="145" t="s">
        <v>205</v>
      </c>
      <c r="V430" s="92"/>
      <c r="W430" s="145" t="s">
        <v>205</v>
      </c>
      <c r="X430" s="92"/>
      <c r="Y430" s="352" t="s">
        <v>205</v>
      </c>
      <c r="Z430" s="142" t="str">
        <f t="shared" si="21"/>
        <v>C</v>
      </c>
      <c r="AA430" s="226" t="str">
        <f t="shared" si="22"/>
        <v>UTILIZOU O PDA CORRETAMENTE</v>
      </c>
      <c r="AB430" s="9" t="s">
        <v>205</v>
      </c>
      <c r="AC430" s="162" t="s">
        <v>6</v>
      </c>
      <c r="AD430" s="150" t="str">
        <f t="shared" si="23"/>
        <v>SÃO PAULO</v>
      </c>
      <c r="AE430" s="95" t="s">
        <v>64</v>
      </c>
    </row>
    <row r="431" spans="1:31" s="55" customFormat="1" ht="30" customHeight="1">
      <c r="A431" s="215" t="s">
        <v>198</v>
      </c>
      <c r="B431" s="215">
        <v>2621274802</v>
      </c>
      <c r="C431" s="215" t="s">
        <v>128</v>
      </c>
      <c r="D431" s="215" t="s">
        <v>64</v>
      </c>
      <c r="E431" s="215" t="s">
        <v>5</v>
      </c>
      <c r="F431" s="215" t="s">
        <v>1389</v>
      </c>
      <c r="G431" s="215">
        <v>174</v>
      </c>
      <c r="H431" s="215" t="s">
        <v>226</v>
      </c>
      <c r="I431" s="215" t="s">
        <v>246</v>
      </c>
      <c r="J431" s="215" t="s">
        <v>1898</v>
      </c>
      <c r="K431" s="215" t="s">
        <v>200</v>
      </c>
      <c r="L431" s="216">
        <v>46163.333333333336</v>
      </c>
      <c r="M431" s="216">
        <v>46163.336805555555</v>
      </c>
      <c r="N431" s="215" t="s">
        <v>1956</v>
      </c>
      <c r="O431" s="157" t="s">
        <v>205</v>
      </c>
      <c r="P431" s="92"/>
      <c r="Q431" s="145" t="s">
        <v>205</v>
      </c>
      <c r="R431" s="92"/>
      <c r="S431" s="145" t="s">
        <v>205</v>
      </c>
      <c r="T431" s="92"/>
      <c r="U431" s="145" t="s">
        <v>205</v>
      </c>
      <c r="V431" s="92"/>
      <c r="W431" s="145" t="s">
        <v>205</v>
      </c>
      <c r="X431" s="92"/>
      <c r="Y431" s="352" t="s">
        <v>205</v>
      </c>
      <c r="Z431" s="142" t="str">
        <f t="shared" si="21"/>
        <v>C</v>
      </c>
      <c r="AA431" s="226" t="str">
        <f t="shared" si="22"/>
        <v>UTILIZOU O PDA CORRETAMENTE</v>
      </c>
      <c r="AB431" s="9" t="s">
        <v>205</v>
      </c>
      <c r="AC431" s="162" t="s">
        <v>6</v>
      </c>
      <c r="AD431" s="150" t="str">
        <f t="shared" si="23"/>
        <v>SÃO PAULO</v>
      </c>
      <c r="AE431" s="95" t="s">
        <v>64</v>
      </c>
    </row>
    <row r="432" spans="1:31" s="55" customFormat="1" ht="30" customHeight="1">
      <c r="A432" s="215" t="s">
        <v>198</v>
      </c>
      <c r="B432" s="215">
        <v>2693821317</v>
      </c>
      <c r="C432" s="215" t="s">
        <v>128</v>
      </c>
      <c r="D432" s="215" t="s">
        <v>64</v>
      </c>
      <c r="E432" s="215" t="s">
        <v>5</v>
      </c>
      <c r="F432" s="215" t="s">
        <v>2212</v>
      </c>
      <c r="G432" s="215">
        <v>11</v>
      </c>
      <c r="H432" s="215" t="s">
        <v>200</v>
      </c>
      <c r="I432" s="215" t="s">
        <v>1876</v>
      </c>
      <c r="J432" s="215" t="s">
        <v>1898</v>
      </c>
      <c r="K432" s="215" t="s">
        <v>2584</v>
      </c>
      <c r="L432" s="216">
        <v>46163.363194444442</v>
      </c>
      <c r="M432" s="216">
        <v>46163.381944444445</v>
      </c>
      <c r="N432" s="215" t="s">
        <v>1919</v>
      </c>
      <c r="O432" s="180" t="s">
        <v>205</v>
      </c>
      <c r="P432" s="92"/>
      <c r="Q432" s="164" t="s">
        <v>205</v>
      </c>
      <c r="R432" s="92"/>
      <c r="S432" s="164" t="s">
        <v>205</v>
      </c>
      <c r="T432" s="92"/>
      <c r="U432" s="145" t="s">
        <v>205</v>
      </c>
      <c r="V432" s="92"/>
      <c r="W432" s="145" t="s">
        <v>205</v>
      </c>
      <c r="X432" s="92"/>
      <c r="Y432" s="352" t="s">
        <v>205</v>
      </c>
      <c r="Z432" s="142" t="str">
        <f t="shared" si="21"/>
        <v>C</v>
      </c>
      <c r="AA432" s="226" t="str">
        <f t="shared" si="22"/>
        <v>UTILIZOU O PDA CORRETAMENTE</v>
      </c>
      <c r="AB432" s="9" t="s">
        <v>205</v>
      </c>
      <c r="AC432" s="162" t="s">
        <v>6</v>
      </c>
      <c r="AD432" s="150" t="str">
        <f t="shared" si="23"/>
        <v>SÃO PAULO</v>
      </c>
      <c r="AE432" s="95" t="s">
        <v>64</v>
      </c>
    </row>
    <row r="433" spans="1:31" s="55" customFormat="1" ht="30" customHeight="1">
      <c r="A433" s="215" t="s">
        <v>198</v>
      </c>
      <c r="B433" s="215">
        <v>2693775681</v>
      </c>
      <c r="C433" s="215" t="s">
        <v>128</v>
      </c>
      <c r="D433" s="215" t="s">
        <v>64</v>
      </c>
      <c r="E433" s="215" t="s">
        <v>5</v>
      </c>
      <c r="F433" s="215" t="s">
        <v>520</v>
      </c>
      <c r="G433" s="215">
        <v>317</v>
      </c>
      <c r="H433" s="215" t="s">
        <v>318</v>
      </c>
      <c r="I433" s="215" t="s">
        <v>521</v>
      </c>
      <c r="J433" s="215" t="s">
        <v>1898</v>
      </c>
      <c r="K433" s="215"/>
      <c r="L433" s="216">
        <v>46163.458333333336</v>
      </c>
      <c r="M433" s="216">
        <v>46163.459027777775</v>
      </c>
      <c r="N433" s="215" t="s">
        <v>1947</v>
      </c>
      <c r="O433" s="180" t="s">
        <v>205</v>
      </c>
      <c r="P433" s="92"/>
      <c r="Q433" s="164" t="s">
        <v>205</v>
      </c>
      <c r="R433" s="92"/>
      <c r="S433" s="164" t="s">
        <v>205</v>
      </c>
      <c r="T433" s="92"/>
      <c r="U433" s="145" t="s">
        <v>205</v>
      </c>
      <c r="V433" s="92"/>
      <c r="W433" s="145" t="s">
        <v>205</v>
      </c>
      <c r="X433" s="92"/>
      <c r="Y433" s="352" t="s">
        <v>205</v>
      </c>
      <c r="Z433" s="142" t="str">
        <f t="shared" si="21"/>
        <v>C</v>
      </c>
      <c r="AA433" s="226" t="str">
        <f t="shared" si="22"/>
        <v>UTILIZOU O PDA CORRETAMENTE</v>
      </c>
      <c r="AB433" s="9" t="s">
        <v>205</v>
      </c>
      <c r="AC433" s="162" t="s">
        <v>6</v>
      </c>
      <c r="AD433" s="150" t="str">
        <f t="shared" si="23"/>
        <v>SÃO PAULO</v>
      </c>
      <c r="AE433" s="95" t="s">
        <v>64</v>
      </c>
    </row>
    <row r="434" spans="1:31" s="55" customFormat="1" ht="30" customHeight="1">
      <c r="A434" s="215" t="s">
        <v>198</v>
      </c>
      <c r="B434" s="215">
        <v>2693826172</v>
      </c>
      <c r="C434" s="215" t="s">
        <v>132</v>
      </c>
      <c r="D434" s="215" t="s">
        <v>64</v>
      </c>
      <c r="E434" s="215" t="s">
        <v>5</v>
      </c>
      <c r="F434" s="215" t="s">
        <v>940</v>
      </c>
      <c r="G434" s="215">
        <v>1967</v>
      </c>
      <c r="H434" s="215" t="s">
        <v>200</v>
      </c>
      <c r="I434" s="215" t="s">
        <v>1173</v>
      </c>
      <c r="J434" s="215" t="s">
        <v>1898</v>
      </c>
      <c r="K434" s="215" t="s">
        <v>2585</v>
      </c>
      <c r="L434" s="216">
        <v>46163.433333333334</v>
      </c>
      <c r="M434" s="216">
        <v>46163.443749999999</v>
      </c>
      <c r="N434" s="215" t="s">
        <v>852</v>
      </c>
      <c r="O434" s="180" t="s">
        <v>205</v>
      </c>
      <c r="P434" s="92"/>
      <c r="Q434" s="164" t="s">
        <v>205</v>
      </c>
      <c r="R434" s="92"/>
      <c r="S434" s="164" t="s">
        <v>205</v>
      </c>
      <c r="T434" s="92"/>
      <c r="U434" s="145" t="s">
        <v>205</v>
      </c>
      <c r="V434" s="92"/>
      <c r="W434" s="145" t="s">
        <v>205</v>
      </c>
      <c r="X434" s="92"/>
      <c r="Y434" s="352" t="s">
        <v>205</v>
      </c>
      <c r="Z434" s="142" t="str">
        <f t="shared" si="21"/>
        <v>C</v>
      </c>
      <c r="AA434" s="226" t="str">
        <f t="shared" si="22"/>
        <v>UTILIZOU O PDA CORRETAMENTE</v>
      </c>
      <c r="AB434" s="9" t="s">
        <v>205</v>
      </c>
      <c r="AC434" s="162" t="s">
        <v>6</v>
      </c>
      <c r="AD434" s="150" t="str">
        <f t="shared" si="23"/>
        <v>SÃO PAULO</v>
      </c>
      <c r="AE434" s="95" t="s">
        <v>64</v>
      </c>
    </row>
    <row r="435" spans="1:31" s="55" customFormat="1" ht="30" customHeight="1">
      <c r="A435" s="215" t="s">
        <v>198</v>
      </c>
      <c r="B435" s="215">
        <v>2693836350</v>
      </c>
      <c r="C435" s="215" t="s">
        <v>128</v>
      </c>
      <c r="D435" s="215" t="s">
        <v>64</v>
      </c>
      <c r="E435" s="215" t="s">
        <v>5</v>
      </c>
      <c r="F435" s="215" t="s">
        <v>2586</v>
      </c>
      <c r="G435" s="215">
        <v>167</v>
      </c>
      <c r="H435" s="215" t="s">
        <v>226</v>
      </c>
      <c r="I435" s="215" t="s">
        <v>328</v>
      </c>
      <c r="J435" s="215" t="s">
        <v>1898</v>
      </c>
      <c r="K435" s="215"/>
      <c r="L435" s="216">
        <v>46163.40625</v>
      </c>
      <c r="M435" s="216">
        <v>46163.415972222225</v>
      </c>
      <c r="N435" s="215" t="s">
        <v>799</v>
      </c>
      <c r="O435" s="180" t="s">
        <v>205</v>
      </c>
      <c r="P435" s="92"/>
      <c r="Q435" s="164" t="s">
        <v>205</v>
      </c>
      <c r="R435" s="92"/>
      <c r="S435" s="164" t="s">
        <v>205</v>
      </c>
      <c r="T435" s="92"/>
      <c r="U435" s="145" t="s">
        <v>205</v>
      </c>
      <c r="V435" s="92"/>
      <c r="W435" s="145" t="s">
        <v>205</v>
      </c>
      <c r="X435" s="92"/>
      <c r="Y435" s="352" t="s">
        <v>205</v>
      </c>
      <c r="Z435" s="142" t="str">
        <f t="shared" si="21"/>
        <v>C</v>
      </c>
      <c r="AA435" s="226" t="str">
        <f t="shared" si="22"/>
        <v>UTILIZOU O PDA CORRETAMENTE</v>
      </c>
      <c r="AB435" s="9" t="s">
        <v>205</v>
      </c>
      <c r="AC435" s="162" t="s">
        <v>6</v>
      </c>
      <c r="AD435" s="150" t="str">
        <f t="shared" si="23"/>
        <v>SÃO PAULO</v>
      </c>
      <c r="AE435" s="95" t="s">
        <v>64</v>
      </c>
    </row>
    <row r="436" spans="1:31" s="55" customFormat="1" ht="30" customHeight="1">
      <c r="A436" s="215" t="s">
        <v>198</v>
      </c>
      <c r="B436" s="215">
        <v>2621362458</v>
      </c>
      <c r="C436" s="215" t="s">
        <v>128</v>
      </c>
      <c r="D436" s="215" t="s">
        <v>64</v>
      </c>
      <c r="E436" s="215" t="s">
        <v>5</v>
      </c>
      <c r="F436" s="215" t="s">
        <v>2587</v>
      </c>
      <c r="G436" s="215">
        <v>593</v>
      </c>
      <c r="H436" s="215" t="s">
        <v>200</v>
      </c>
      <c r="I436" s="215" t="s">
        <v>215</v>
      </c>
      <c r="J436" s="215" t="s">
        <v>1898</v>
      </c>
      <c r="K436" s="215" t="s">
        <v>200</v>
      </c>
      <c r="L436" s="216">
        <v>46163.35</v>
      </c>
      <c r="M436" s="216">
        <v>46163.356944444444</v>
      </c>
      <c r="N436" s="215" t="s">
        <v>590</v>
      </c>
      <c r="O436" s="180" t="s">
        <v>205</v>
      </c>
      <c r="P436" s="92"/>
      <c r="Q436" s="164" t="s">
        <v>205</v>
      </c>
      <c r="R436" s="92"/>
      <c r="S436" s="164" t="s">
        <v>205</v>
      </c>
      <c r="T436" s="92"/>
      <c r="U436" s="145" t="s">
        <v>205</v>
      </c>
      <c r="V436" s="92"/>
      <c r="W436" s="145" t="s">
        <v>205</v>
      </c>
      <c r="X436" s="92"/>
      <c r="Y436" s="352" t="s">
        <v>205</v>
      </c>
      <c r="Z436" s="142" t="str">
        <f t="shared" si="21"/>
        <v>C</v>
      </c>
      <c r="AA436" s="226" t="str">
        <f t="shared" si="22"/>
        <v>UTILIZOU O PDA CORRETAMENTE</v>
      </c>
      <c r="AB436" s="9" t="s">
        <v>205</v>
      </c>
      <c r="AC436" s="162" t="s">
        <v>6</v>
      </c>
      <c r="AD436" s="150" t="str">
        <f t="shared" si="23"/>
        <v>SÃO PAULO</v>
      </c>
      <c r="AE436" s="95" t="s">
        <v>64</v>
      </c>
    </row>
    <row r="437" spans="1:31" s="55" customFormat="1" ht="30" customHeight="1">
      <c r="A437" s="215" t="s">
        <v>198</v>
      </c>
      <c r="B437" s="215">
        <v>2621359717</v>
      </c>
      <c r="C437" s="215" t="s">
        <v>128</v>
      </c>
      <c r="D437" s="215" t="s">
        <v>64</v>
      </c>
      <c r="E437" s="215" t="s">
        <v>5</v>
      </c>
      <c r="F437" s="215" t="s">
        <v>2588</v>
      </c>
      <c r="G437" s="215">
        <v>87</v>
      </c>
      <c r="H437" s="215"/>
      <c r="I437" s="215" t="s">
        <v>366</v>
      </c>
      <c r="J437" s="215" t="s">
        <v>1898</v>
      </c>
      <c r="K437" s="215"/>
      <c r="L437" s="216">
        <v>46163.375</v>
      </c>
      <c r="M437" s="216">
        <v>46163.378472222219</v>
      </c>
      <c r="N437" s="215" t="s">
        <v>799</v>
      </c>
      <c r="O437" s="180" t="s">
        <v>205</v>
      </c>
      <c r="P437" s="92"/>
      <c r="Q437" s="164" t="s">
        <v>205</v>
      </c>
      <c r="R437" s="92"/>
      <c r="S437" s="164" t="s">
        <v>205</v>
      </c>
      <c r="T437" s="92"/>
      <c r="U437" s="145" t="s">
        <v>205</v>
      </c>
      <c r="V437" s="92"/>
      <c r="W437" s="145" t="s">
        <v>206</v>
      </c>
      <c r="X437" s="92"/>
      <c r="Y437" s="352" t="s">
        <v>205</v>
      </c>
      <c r="Z437" s="142" t="str">
        <f t="shared" si="21"/>
        <v>NC</v>
      </c>
      <c r="AA437" s="226" t="str">
        <f t="shared" si="22"/>
        <v>UTILIZOU O PDA CORRETAMENTE. NÃO HÁ FOTOS DE TODAS AS ETAPAS</v>
      </c>
      <c r="AB437" s="9" t="s">
        <v>205</v>
      </c>
      <c r="AC437" s="162" t="s">
        <v>6</v>
      </c>
      <c r="AD437" s="150" t="str">
        <f t="shared" si="23"/>
        <v>SÃO PAULO</v>
      </c>
      <c r="AE437" s="95" t="s">
        <v>64</v>
      </c>
    </row>
    <row r="438" spans="1:31" s="55" customFormat="1" ht="30" customHeight="1">
      <c r="A438" s="215" t="s">
        <v>198</v>
      </c>
      <c r="B438" s="215">
        <v>2693848389</v>
      </c>
      <c r="C438" s="215" t="s">
        <v>128</v>
      </c>
      <c r="D438" s="215" t="s">
        <v>64</v>
      </c>
      <c r="E438" s="215" t="s">
        <v>5</v>
      </c>
      <c r="F438" s="215" t="s">
        <v>2589</v>
      </c>
      <c r="G438" s="215">
        <v>155</v>
      </c>
      <c r="H438" s="215" t="s">
        <v>226</v>
      </c>
      <c r="I438" s="215" t="s">
        <v>546</v>
      </c>
      <c r="J438" s="215" t="s">
        <v>1908</v>
      </c>
      <c r="K438" s="215" t="s">
        <v>200</v>
      </c>
      <c r="L438" s="216">
        <v>46163.388888888891</v>
      </c>
      <c r="M438" s="216">
        <v>46163.394444444442</v>
      </c>
      <c r="N438" s="215" t="s">
        <v>590</v>
      </c>
      <c r="O438" s="180" t="s">
        <v>205</v>
      </c>
      <c r="P438" s="92"/>
      <c r="Q438" s="164" t="s">
        <v>205</v>
      </c>
      <c r="R438" s="92"/>
      <c r="S438" s="164" t="s">
        <v>205</v>
      </c>
      <c r="T438" s="92"/>
      <c r="U438" s="145" t="s">
        <v>206</v>
      </c>
      <c r="V438" s="92"/>
      <c r="W438" s="145" t="s">
        <v>205</v>
      </c>
      <c r="X438" s="92"/>
      <c r="Y438" s="352" t="s">
        <v>205</v>
      </c>
      <c r="Z438" s="142" t="str">
        <f t="shared" si="21"/>
        <v>NC</v>
      </c>
      <c r="AA438" s="226" t="str">
        <f t="shared" si="22"/>
        <v>UTILIZOU O PDA CORRETAMENTE. NÃO HÁ FOTOS DE TODAS AS ETAPAS</v>
      </c>
      <c r="AB438" s="9" t="s">
        <v>205</v>
      </c>
      <c r="AC438" s="162" t="s">
        <v>6</v>
      </c>
      <c r="AD438" s="150" t="str">
        <f t="shared" si="23"/>
        <v>SÃO PAULO</v>
      </c>
      <c r="AE438" s="95" t="s">
        <v>64</v>
      </c>
    </row>
    <row r="439" spans="1:31" s="55" customFormat="1" ht="30" customHeight="1">
      <c r="A439" s="215" t="s">
        <v>198</v>
      </c>
      <c r="B439" s="215">
        <v>2693830139</v>
      </c>
      <c r="C439" s="215" t="s">
        <v>128</v>
      </c>
      <c r="D439" s="215" t="s">
        <v>64</v>
      </c>
      <c r="E439" s="215" t="s">
        <v>5</v>
      </c>
      <c r="F439" s="215" t="s">
        <v>2590</v>
      </c>
      <c r="G439" s="215">
        <v>339</v>
      </c>
      <c r="H439" s="215"/>
      <c r="I439" s="215" t="s">
        <v>215</v>
      </c>
      <c r="J439" s="215" t="s">
        <v>1898</v>
      </c>
      <c r="K439" s="215"/>
      <c r="L439" s="216">
        <v>46163.34097222222</v>
      </c>
      <c r="M439" s="216">
        <v>46163.344444444447</v>
      </c>
      <c r="N439" s="215" t="s">
        <v>590</v>
      </c>
      <c r="O439" s="180" t="s">
        <v>205</v>
      </c>
      <c r="P439" s="92"/>
      <c r="Q439" s="164" t="s">
        <v>205</v>
      </c>
      <c r="R439" s="92"/>
      <c r="S439" s="164" t="s">
        <v>205</v>
      </c>
      <c r="T439" s="92"/>
      <c r="U439" s="145" t="s">
        <v>205</v>
      </c>
      <c r="V439" s="92"/>
      <c r="W439" s="145" t="s">
        <v>205</v>
      </c>
      <c r="X439" s="92"/>
      <c r="Y439" s="352" t="s">
        <v>205</v>
      </c>
      <c r="Z439" s="142" t="str">
        <f t="shared" si="21"/>
        <v>C</v>
      </c>
      <c r="AA439" s="226" t="str">
        <f t="shared" si="22"/>
        <v>UTILIZOU O PDA CORRETAMENTE</v>
      </c>
      <c r="AB439" s="9" t="s">
        <v>205</v>
      </c>
      <c r="AC439" s="162" t="s">
        <v>6</v>
      </c>
      <c r="AD439" s="150" t="str">
        <f t="shared" si="23"/>
        <v>SÃO PAULO</v>
      </c>
      <c r="AE439" s="95" t="s">
        <v>64</v>
      </c>
    </row>
    <row r="440" spans="1:31" s="55" customFormat="1" ht="30" customHeight="1">
      <c r="A440" s="215" t="s">
        <v>198</v>
      </c>
      <c r="B440" s="215">
        <v>2693786710</v>
      </c>
      <c r="C440" s="215" t="s">
        <v>132</v>
      </c>
      <c r="D440" s="215" t="s">
        <v>64</v>
      </c>
      <c r="E440" s="215" t="s">
        <v>5</v>
      </c>
      <c r="F440" s="215" t="s">
        <v>2591</v>
      </c>
      <c r="G440" s="215">
        <v>22</v>
      </c>
      <c r="H440" s="215" t="s">
        <v>226</v>
      </c>
      <c r="I440" s="215" t="s">
        <v>577</v>
      </c>
      <c r="J440" s="215" t="s">
        <v>1898</v>
      </c>
      <c r="K440" s="215" t="s">
        <v>200</v>
      </c>
      <c r="L440" s="216">
        <v>46163.363888888889</v>
      </c>
      <c r="M440" s="216">
        <v>46163.366666666669</v>
      </c>
      <c r="N440" s="215" t="s">
        <v>590</v>
      </c>
      <c r="O440" s="180" t="s">
        <v>205</v>
      </c>
      <c r="P440" s="92"/>
      <c r="Q440" s="164" t="s">
        <v>205</v>
      </c>
      <c r="R440" s="92"/>
      <c r="S440" s="164" t="s">
        <v>205</v>
      </c>
      <c r="T440" s="92"/>
      <c r="U440" s="145" t="s">
        <v>205</v>
      </c>
      <c r="V440" s="92"/>
      <c r="W440" s="145" t="s">
        <v>205</v>
      </c>
      <c r="X440" s="92"/>
      <c r="Y440" s="352" t="s">
        <v>205</v>
      </c>
      <c r="Z440" s="142" t="str">
        <f t="shared" si="21"/>
        <v>C</v>
      </c>
      <c r="AA440" s="226" t="str">
        <f t="shared" si="22"/>
        <v>UTILIZOU O PDA CORRETAMENTE</v>
      </c>
      <c r="AB440" s="9" t="s">
        <v>205</v>
      </c>
      <c r="AC440" s="162" t="s">
        <v>6</v>
      </c>
      <c r="AD440" s="150" t="str">
        <f t="shared" si="23"/>
        <v>SÃO PAULO</v>
      </c>
      <c r="AE440" s="95" t="s">
        <v>64</v>
      </c>
    </row>
    <row r="441" spans="1:31" s="55" customFormat="1" ht="30" customHeight="1">
      <c r="A441" s="215" t="s">
        <v>198</v>
      </c>
      <c r="B441" s="215">
        <v>2693840727</v>
      </c>
      <c r="C441" s="215" t="s">
        <v>128</v>
      </c>
      <c r="D441" s="215" t="s">
        <v>64</v>
      </c>
      <c r="E441" s="215" t="s">
        <v>5</v>
      </c>
      <c r="F441" s="215" t="s">
        <v>2592</v>
      </c>
      <c r="G441" s="215">
        <v>204</v>
      </c>
      <c r="H441" s="215"/>
      <c r="I441" s="215" t="s">
        <v>2593</v>
      </c>
      <c r="J441" s="215" t="s">
        <v>1908</v>
      </c>
      <c r="K441" s="215"/>
      <c r="L441" s="216">
        <v>46163.489583333336</v>
      </c>
      <c r="M441" s="216">
        <v>46163.498611111114</v>
      </c>
      <c r="N441" s="215" t="s">
        <v>799</v>
      </c>
      <c r="O441" s="180" t="s">
        <v>205</v>
      </c>
      <c r="P441" s="92"/>
      <c r="Q441" s="164" t="s">
        <v>205</v>
      </c>
      <c r="R441" s="92"/>
      <c r="S441" s="164" t="s">
        <v>205</v>
      </c>
      <c r="T441" s="92"/>
      <c r="U441" s="145" t="s">
        <v>205</v>
      </c>
      <c r="V441" s="92"/>
      <c r="W441" s="145" t="s">
        <v>205</v>
      </c>
      <c r="X441" s="92"/>
      <c r="Y441" s="352" t="s">
        <v>205</v>
      </c>
      <c r="Z441" s="142" t="str">
        <f t="shared" si="21"/>
        <v>C</v>
      </c>
      <c r="AA441" s="226" t="str">
        <f t="shared" si="22"/>
        <v>UTILIZOU O PDA CORRETAMENTE</v>
      </c>
      <c r="AB441" s="9" t="s">
        <v>205</v>
      </c>
      <c r="AC441" s="162" t="s">
        <v>6</v>
      </c>
      <c r="AD441" s="150" t="str">
        <f t="shared" si="23"/>
        <v>SÃO PAULO</v>
      </c>
      <c r="AE441" s="95" t="s">
        <v>64</v>
      </c>
    </row>
    <row r="442" spans="1:31" s="55" customFormat="1" ht="30" customHeight="1">
      <c r="A442" s="215" t="s">
        <v>198</v>
      </c>
      <c r="B442" s="215">
        <v>2693793108</v>
      </c>
      <c r="C442" s="215" t="s">
        <v>128</v>
      </c>
      <c r="D442" s="215" t="s">
        <v>64</v>
      </c>
      <c r="E442" s="215" t="s">
        <v>5</v>
      </c>
      <c r="F442" s="215" t="s">
        <v>2594</v>
      </c>
      <c r="G442" s="215">
        <v>79</v>
      </c>
      <c r="H442" s="215" t="s">
        <v>226</v>
      </c>
      <c r="I442" s="215" t="s">
        <v>242</v>
      </c>
      <c r="J442" s="215" t="s">
        <v>1908</v>
      </c>
      <c r="K442" s="215" t="s">
        <v>200</v>
      </c>
      <c r="L442" s="216">
        <v>46163.502083333333</v>
      </c>
      <c r="M442" s="216">
        <v>46163.512499999997</v>
      </c>
      <c r="N442" s="215" t="s">
        <v>799</v>
      </c>
      <c r="O442" s="180" t="s">
        <v>205</v>
      </c>
      <c r="P442" s="92"/>
      <c r="Q442" s="164" t="s">
        <v>205</v>
      </c>
      <c r="R442" s="92"/>
      <c r="S442" s="164" t="s">
        <v>205</v>
      </c>
      <c r="T442" s="92"/>
      <c r="U442" s="145" t="s">
        <v>205</v>
      </c>
      <c r="V442" s="92"/>
      <c r="W442" s="145" t="s">
        <v>205</v>
      </c>
      <c r="X442" s="92"/>
      <c r="Y442" s="352" t="s">
        <v>205</v>
      </c>
      <c r="Z442" s="142" t="str">
        <f t="shared" ref="Z442:Z505" si="24">IF(AND(O442="",Q442="",S442="",U442="",W442=""),"",IF(OR(AND(O442&lt;&gt;"NA",O442&lt;&gt;"C",O442&lt;&gt;"NC",O442&lt;&gt;"SF",O442&lt;&gt;""),AND(Q442&lt;&gt;"NA",Q442&lt;&gt;"C",Q442&lt;&gt;"NC",Q442&lt;&gt;"SF",Q442&lt;&gt;""),AND(S442&lt;&gt;"NA",S442&lt;&gt;"C",S442&lt;&gt;"NC",S442&lt;&gt;"SF",S442&lt;&gt;""),AND(U442&lt;&gt;"NA",U442&lt;&gt;"C",U442&lt;&gt;"NC",U442&lt;&gt;"SF",U442&lt;&gt;""),AND(W442&lt;&gt;"NA",W442&lt;&gt;"C",W442&lt;&gt;"NC",W442&lt;&gt;"SF",W442&lt;&gt;"")),"FALSO",IF(AND(O442="NA",Q442="NA",S442="NA",U442="NA",W442="NA"),"NA",IF(OR(O442="NC",Q442="NC",S442="NC",U442="NC",W442="NC",O442="SF",Q442="SF",S442="SF",U442="SF",W442="SF"),"NC",IF(OR(O442="C",Q442="C",S442="C",U442="C",W442="C"),"C","")))))</f>
        <v>C</v>
      </c>
      <c r="AA442" s="226" t="str">
        <f t="shared" ref="AA442:AA505" si="25">IF(AND(Y442="C",Z442="C"),"UTILIZOU O PDA CORRETAMENTE",IF(AND(Y442="C",Z442="NC"),"UTILIZOU O PDA CORRETAMENTE. NÃO HÁ FOTOS DE TODAS AS ETAPAS",IF(AND(Y442="NC",Z442="NC"),"NÃO UTILIZOU O PDA",IF(AND(Y442="NA",Z442="NA"),"NÃO AVALIADO POR FALHA DE SINCRONISMO"))))</f>
        <v>UTILIZOU O PDA CORRETAMENTE</v>
      </c>
      <c r="AB442" s="9" t="s">
        <v>205</v>
      </c>
      <c r="AC442" s="162" t="s">
        <v>6</v>
      </c>
      <c r="AD442" s="150" t="str">
        <f t="shared" si="23"/>
        <v>SÃO PAULO</v>
      </c>
      <c r="AE442" s="95" t="s">
        <v>64</v>
      </c>
    </row>
    <row r="443" spans="1:31" s="55" customFormat="1" ht="30" customHeight="1">
      <c r="A443" s="215" t="s">
        <v>198</v>
      </c>
      <c r="B443" s="215">
        <v>2693754901</v>
      </c>
      <c r="C443" s="215" t="s">
        <v>128</v>
      </c>
      <c r="D443" s="215" t="s">
        <v>64</v>
      </c>
      <c r="E443" s="215" t="s">
        <v>5</v>
      </c>
      <c r="F443" s="215" t="s">
        <v>2595</v>
      </c>
      <c r="G443" s="215">
        <v>157</v>
      </c>
      <c r="H443" s="215"/>
      <c r="I443" s="215" t="s">
        <v>280</v>
      </c>
      <c r="J443" s="215" t="s">
        <v>1898</v>
      </c>
      <c r="K443" s="215" t="s">
        <v>2596</v>
      </c>
      <c r="L443" s="216">
        <v>46163.333333333336</v>
      </c>
      <c r="M443" s="216">
        <v>46163.336805555555</v>
      </c>
      <c r="N443" s="215" t="s">
        <v>1956</v>
      </c>
      <c r="O443" s="157" t="s">
        <v>62</v>
      </c>
      <c r="P443" s="92"/>
      <c r="Q443" s="157" t="s">
        <v>62</v>
      </c>
      <c r="R443" s="92"/>
      <c r="S443" s="157" t="s">
        <v>62</v>
      </c>
      <c r="T443" s="92"/>
      <c r="U443" s="157" t="s">
        <v>62</v>
      </c>
      <c r="V443" s="92"/>
      <c r="W443" s="157" t="s">
        <v>62</v>
      </c>
      <c r="X443" s="92"/>
      <c r="Y443" s="356" t="s">
        <v>62</v>
      </c>
      <c r="Z443" s="142" t="str">
        <f t="shared" si="24"/>
        <v>NA</v>
      </c>
      <c r="AA443" s="226" t="str">
        <f t="shared" si="25"/>
        <v>NÃO AVALIADO POR FALHA DE SINCRONISMO</v>
      </c>
      <c r="AB443" s="9" t="s">
        <v>205</v>
      </c>
      <c r="AC443" s="162" t="s">
        <v>6</v>
      </c>
      <c r="AD443" s="150" t="str">
        <f t="shared" si="23"/>
        <v>SÃO PAULO</v>
      </c>
      <c r="AE443" s="95" t="s">
        <v>64</v>
      </c>
    </row>
    <row r="444" spans="1:31" s="55" customFormat="1" ht="30" customHeight="1">
      <c r="A444" s="215" t="s">
        <v>198</v>
      </c>
      <c r="B444" s="215">
        <v>2693798547</v>
      </c>
      <c r="C444" s="215" t="s">
        <v>132</v>
      </c>
      <c r="D444" s="215" t="s">
        <v>64</v>
      </c>
      <c r="E444" s="215" t="s">
        <v>5</v>
      </c>
      <c r="F444" s="215" t="s">
        <v>2597</v>
      </c>
      <c r="G444" s="215">
        <v>483</v>
      </c>
      <c r="H444" s="215" t="s">
        <v>302</v>
      </c>
      <c r="I444" s="215" t="s">
        <v>497</v>
      </c>
      <c r="J444" s="215" t="s">
        <v>1898</v>
      </c>
      <c r="K444" s="215" t="s">
        <v>2087</v>
      </c>
      <c r="L444" s="216">
        <v>46163.472222222219</v>
      </c>
      <c r="M444" s="216">
        <v>46163.474999999999</v>
      </c>
      <c r="N444" s="215" t="s">
        <v>1956</v>
      </c>
      <c r="O444" s="157" t="s">
        <v>206</v>
      </c>
      <c r="P444" s="92"/>
      <c r="Q444" s="157" t="s">
        <v>206</v>
      </c>
      <c r="R444" s="92"/>
      <c r="S444" s="157" t="s">
        <v>205</v>
      </c>
      <c r="T444" s="92"/>
      <c r="U444" s="157" t="s">
        <v>205</v>
      </c>
      <c r="V444" s="92"/>
      <c r="W444" s="157" t="s">
        <v>205</v>
      </c>
      <c r="X444" s="92"/>
      <c r="Y444" s="356" t="s">
        <v>205</v>
      </c>
      <c r="Z444" s="142" t="str">
        <f t="shared" si="24"/>
        <v>NC</v>
      </c>
      <c r="AA444" s="226" t="str">
        <f t="shared" si="25"/>
        <v>UTILIZOU O PDA CORRETAMENTE. NÃO HÁ FOTOS DE TODAS AS ETAPAS</v>
      </c>
      <c r="AB444" s="9" t="s">
        <v>205</v>
      </c>
      <c r="AC444" s="162" t="s">
        <v>6</v>
      </c>
      <c r="AD444" s="150" t="str">
        <f t="shared" si="23"/>
        <v>SÃO PAULO</v>
      </c>
      <c r="AE444" s="95" t="s">
        <v>64</v>
      </c>
    </row>
    <row r="445" spans="1:31" s="55" customFormat="1" ht="30" customHeight="1">
      <c r="A445" s="215" t="s">
        <v>198</v>
      </c>
      <c r="B445" s="215">
        <v>2693787933</v>
      </c>
      <c r="C445" s="215" t="s">
        <v>128</v>
      </c>
      <c r="D445" s="215" t="s">
        <v>64</v>
      </c>
      <c r="E445" s="215" t="s">
        <v>5</v>
      </c>
      <c r="F445" s="215" t="s">
        <v>2598</v>
      </c>
      <c r="G445" s="215">
        <v>227</v>
      </c>
      <c r="H445" s="215"/>
      <c r="I445" s="215" t="s">
        <v>402</v>
      </c>
      <c r="J445" s="215" t="s">
        <v>1898</v>
      </c>
      <c r="K445" s="215" t="s">
        <v>2087</v>
      </c>
      <c r="L445" s="216">
        <v>46163.48333333333</v>
      </c>
      <c r="M445" s="216">
        <v>46163.48541666667</v>
      </c>
      <c r="N445" s="215" t="s">
        <v>1956</v>
      </c>
      <c r="O445" s="157" t="s">
        <v>206</v>
      </c>
      <c r="P445" s="92"/>
      <c r="Q445" s="145" t="s">
        <v>206</v>
      </c>
      <c r="R445" s="92"/>
      <c r="S445" s="145" t="s">
        <v>206</v>
      </c>
      <c r="T445" s="92"/>
      <c r="U445" s="145" t="s">
        <v>206</v>
      </c>
      <c r="V445" s="92"/>
      <c r="W445" s="145" t="s">
        <v>206</v>
      </c>
      <c r="X445" s="92"/>
      <c r="Y445" s="352" t="s">
        <v>239</v>
      </c>
      <c r="Z445" s="142" t="s">
        <v>239</v>
      </c>
      <c r="AA445" s="226" t="str">
        <f t="shared" si="25"/>
        <v>NÃO UTILIZOU O PDA</v>
      </c>
      <c r="AB445" s="9" t="s">
        <v>205</v>
      </c>
      <c r="AC445" s="162" t="s">
        <v>6</v>
      </c>
      <c r="AD445" s="150" t="str">
        <f t="shared" si="23"/>
        <v>SÃO PAULO</v>
      </c>
      <c r="AE445" s="95" t="s">
        <v>64</v>
      </c>
    </row>
    <row r="446" spans="1:31" s="55" customFormat="1" ht="30" customHeight="1">
      <c r="A446" s="215" t="s">
        <v>198</v>
      </c>
      <c r="B446" s="215">
        <v>2693857857</v>
      </c>
      <c r="C446" s="215" t="s">
        <v>129</v>
      </c>
      <c r="D446" s="215" t="s">
        <v>125</v>
      </c>
      <c r="E446" s="215" t="s">
        <v>5</v>
      </c>
      <c r="F446" s="215" t="s">
        <v>2599</v>
      </c>
      <c r="G446" s="215">
        <v>192</v>
      </c>
      <c r="H446" s="215" t="s">
        <v>318</v>
      </c>
      <c r="I446" s="215" t="s">
        <v>223</v>
      </c>
      <c r="J446" s="215" t="s">
        <v>1903</v>
      </c>
      <c r="K446" s="215" t="s">
        <v>2600</v>
      </c>
      <c r="L446" s="216">
        <v>46163.444444444445</v>
      </c>
      <c r="M446" s="216">
        <v>46163.445138888892</v>
      </c>
      <c r="N446" s="215" t="s">
        <v>1950</v>
      </c>
      <c r="O446" s="157" t="s">
        <v>206</v>
      </c>
      <c r="P446" s="92"/>
      <c r="Q446" s="145" t="s">
        <v>206</v>
      </c>
      <c r="R446" s="92"/>
      <c r="S446" s="145" t="s">
        <v>206</v>
      </c>
      <c r="T446" s="92"/>
      <c r="U446" s="145" t="s">
        <v>206</v>
      </c>
      <c r="V446" s="92"/>
      <c r="W446" s="145" t="s">
        <v>206</v>
      </c>
      <c r="X446" s="92"/>
      <c r="Y446" s="352" t="s">
        <v>239</v>
      </c>
      <c r="Z446" s="142" t="str">
        <f t="shared" si="24"/>
        <v>NC</v>
      </c>
      <c r="AA446" s="226" t="str">
        <f t="shared" si="25"/>
        <v>NÃO UTILIZOU O PDA</v>
      </c>
      <c r="AB446" s="9" t="s">
        <v>205</v>
      </c>
      <c r="AC446" s="162" t="s">
        <v>6</v>
      </c>
      <c r="AD446" s="150" t="str">
        <f t="shared" si="23"/>
        <v>SÃO PAULO</v>
      </c>
      <c r="AE446" s="95" t="s">
        <v>64</v>
      </c>
    </row>
    <row r="447" spans="1:31" s="55" customFormat="1" ht="30" customHeight="1">
      <c r="A447" s="215" t="s">
        <v>198</v>
      </c>
      <c r="B447" s="215">
        <v>2621450032</v>
      </c>
      <c r="C447" s="215" t="s">
        <v>128</v>
      </c>
      <c r="D447" s="215" t="s">
        <v>64</v>
      </c>
      <c r="E447" s="215" t="s">
        <v>5</v>
      </c>
      <c r="F447" s="215" t="s">
        <v>2601</v>
      </c>
      <c r="G447" s="215">
        <v>2</v>
      </c>
      <c r="H447" s="215" t="s">
        <v>226</v>
      </c>
      <c r="I447" s="215" t="s">
        <v>285</v>
      </c>
      <c r="J447" s="215" t="s">
        <v>1898</v>
      </c>
      <c r="K447" s="215" t="s">
        <v>200</v>
      </c>
      <c r="L447" s="216">
        <v>46163.665972222225</v>
      </c>
      <c r="M447" s="216">
        <v>46163.675694444442</v>
      </c>
      <c r="N447" s="215" t="s">
        <v>900</v>
      </c>
      <c r="O447" s="180" t="s">
        <v>205</v>
      </c>
      <c r="P447" s="92"/>
      <c r="Q447" s="164" t="s">
        <v>205</v>
      </c>
      <c r="R447" s="92"/>
      <c r="S447" s="164" t="s">
        <v>205</v>
      </c>
      <c r="T447" s="92"/>
      <c r="U447" s="145" t="s">
        <v>205</v>
      </c>
      <c r="V447" s="92"/>
      <c r="W447" s="145" t="s">
        <v>205</v>
      </c>
      <c r="X447" s="92"/>
      <c r="Y447" s="352" t="s">
        <v>205</v>
      </c>
      <c r="Z447" s="142" t="str">
        <f t="shared" si="24"/>
        <v>C</v>
      </c>
      <c r="AA447" s="226" t="str">
        <f t="shared" si="25"/>
        <v>UTILIZOU O PDA CORRETAMENTE</v>
      </c>
      <c r="AB447" s="9" t="s">
        <v>205</v>
      </c>
      <c r="AC447" s="162" t="s">
        <v>6</v>
      </c>
      <c r="AD447" s="150" t="str">
        <f t="shared" si="23"/>
        <v>SÃO PAULO</v>
      </c>
      <c r="AE447" s="95" t="s">
        <v>64</v>
      </c>
    </row>
    <row r="448" spans="1:31" s="55" customFormat="1" ht="30" customHeight="1">
      <c r="A448" s="215" t="s">
        <v>198</v>
      </c>
      <c r="B448" s="215">
        <v>2621465026</v>
      </c>
      <c r="C448" s="215" t="s">
        <v>132</v>
      </c>
      <c r="D448" s="215" t="s">
        <v>64</v>
      </c>
      <c r="E448" s="215" t="s">
        <v>5</v>
      </c>
      <c r="F448" s="215" t="s">
        <v>2031</v>
      </c>
      <c r="G448" s="215">
        <v>300</v>
      </c>
      <c r="H448" s="215"/>
      <c r="I448" s="215" t="s">
        <v>589</v>
      </c>
      <c r="J448" s="215" t="s">
        <v>1898</v>
      </c>
      <c r="K448" s="215"/>
      <c r="L448" s="216">
        <v>46163.684027777781</v>
      </c>
      <c r="M448" s="216">
        <v>46163.686111111114</v>
      </c>
      <c r="N448" s="215" t="s">
        <v>900</v>
      </c>
      <c r="O448" s="180" t="s">
        <v>205</v>
      </c>
      <c r="P448" s="92"/>
      <c r="Q448" s="145" t="s">
        <v>206</v>
      </c>
      <c r="R448" s="92"/>
      <c r="S448" s="164" t="s">
        <v>205</v>
      </c>
      <c r="T448" s="92"/>
      <c r="U448" s="145" t="s">
        <v>205</v>
      </c>
      <c r="V448" s="92"/>
      <c r="W448" s="145" t="s">
        <v>205</v>
      </c>
      <c r="X448" s="92"/>
      <c r="Y448" s="352" t="s">
        <v>205</v>
      </c>
      <c r="Z448" s="142" t="str">
        <f t="shared" si="24"/>
        <v>NC</v>
      </c>
      <c r="AA448" s="226" t="str">
        <f t="shared" si="25"/>
        <v>UTILIZOU O PDA CORRETAMENTE. NÃO HÁ FOTOS DE TODAS AS ETAPAS</v>
      </c>
      <c r="AB448" s="9" t="s">
        <v>205</v>
      </c>
      <c r="AC448" s="162" t="s">
        <v>6</v>
      </c>
      <c r="AD448" s="150" t="str">
        <f t="shared" si="23"/>
        <v>SÃO PAULO</v>
      </c>
      <c r="AE448" s="95" t="s">
        <v>64</v>
      </c>
    </row>
    <row r="449" spans="1:31" s="55" customFormat="1" ht="30" customHeight="1">
      <c r="A449" s="215" t="s">
        <v>198</v>
      </c>
      <c r="B449" s="215">
        <v>2621468996</v>
      </c>
      <c r="C449" s="215" t="s">
        <v>2060</v>
      </c>
      <c r="D449" s="215" t="s">
        <v>125</v>
      </c>
      <c r="E449" s="215" t="s">
        <v>5</v>
      </c>
      <c r="F449" s="215" t="s">
        <v>2602</v>
      </c>
      <c r="G449" s="215">
        <v>719</v>
      </c>
      <c r="H449" s="215" t="s">
        <v>200</v>
      </c>
      <c r="I449" s="215" t="s">
        <v>1876</v>
      </c>
      <c r="J449" s="215" t="s">
        <v>2063</v>
      </c>
      <c r="K449" s="215" t="s">
        <v>200</v>
      </c>
      <c r="L449" s="216">
        <v>46163.631249999999</v>
      </c>
      <c r="M449" s="216">
        <v>46163.634722222225</v>
      </c>
      <c r="N449" s="215" t="s">
        <v>1919</v>
      </c>
      <c r="O449" s="180" t="s">
        <v>205</v>
      </c>
      <c r="P449" s="92"/>
      <c r="Q449" s="164" t="s">
        <v>205</v>
      </c>
      <c r="R449" s="92"/>
      <c r="S449" s="164" t="s">
        <v>205</v>
      </c>
      <c r="T449" s="92"/>
      <c r="U449" s="145" t="s">
        <v>205</v>
      </c>
      <c r="V449" s="92"/>
      <c r="W449" s="145" t="s">
        <v>205</v>
      </c>
      <c r="X449" s="92"/>
      <c r="Y449" s="352" t="s">
        <v>205</v>
      </c>
      <c r="Z449" s="142" t="str">
        <f t="shared" si="24"/>
        <v>C</v>
      </c>
      <c r="AA449" s="226" t="str">
        <f t="shared" si="25"/>
        <v>UTILIZOU O PDA CORRETAMENTE</v>
      </c>
      <c r="AB449" s="9" t="s">
        <v>205</v>
      </c>
      <c r="AC449" s="162" t="s">
        <v>6</v>
      </c>
      <c r="AD449" s="150" t="str">
        <f t="shared" si="23"/>
        <v>SÃO PAULO</v>
      </c>
      <c r="AE449" s="95" t="s">
        <v>64</v>
      </c>
    </row>
    <row r="450" spans="1:31" s="55" customFormat="1" ht="30" customHeight="1">
      <c r="A450" s="215" t="s">
        <v>198</v>
      </c>
      <c r="B450" s="215">
        <v>2693879540</v>
      </c>
      <c r="C450" s="215" t="s">
        <v>128</v>
      </c>
      <c r="D450" s="215" t="s">
        <v>64</v>
      </c>
      <c r="E450" s="215" t="s">
        <v>5</v>
      </c>
      <c r="F450" s="215" t="s">
        <v>2603</v>
      </c>
      <c r="G450" s="215">
        <v>92</v>
      </c>
      <c r="H450" s="215" t="s">
        <v>1235</v>
      </c>
      <c r="I450" s="215" t="s">
        <v>1199</v>
      </c>
      <c r="J450" s="215" t="s">
        <v>1898</v>
      </c>
      <c r="K450" s="215" t="s">
        <v>2604</v>
      </c>
      <c r="L450" s="216">
        <v>46163.606249999997</v>
      </c>
      <c r="M450" s="216">
        <v>46163.620138888888</v>
      </c>
      <c r="N450" s="215" t="s">
        <v>1919</v>
      </c>
      <c r="O450" s="180" t="s">
        <v>205</v>
      </c>
      <c r="P450" s="92"/>
      <c r="Q450" s="145" t="s">
        <v>206</v>
      </c>
      <c r="R450" s="92"/>
      <c r="S450" s="145" t="s">
        <v>206</v>
      </c>
      <c r="T450" s="92"/>
      <c r="U450" s="145" t="s">
        <v>206</v>
      </c>
      <c r="V450" s="92"/>
      <c r="W450" s="145" t="s">
        <v>206</v>
      </c>
      <c r="X450" s="92"/>
      <c r="Y450" s="352" t="s">
        <v>239</v>
      </c>
      <c r="Z450" s="142" t="str">
        <f t="shared" si="24"/>
        <v>NC</v>
      </c>
      <c r="AA450" s="226" t="str">
        <f t="shared" si="25"/>
        <v>NÃO UTILIZOU O PDA</v>
      </c>
      <c r="AB450" s="9" t="s">
        <v>205</v>
      </c>
      <c r="AC450" s="162" t="s">
        <v>6</v>
      </c>
      <c r="AD450" s="150" t="str">
        <f t="shared" si="23"/>
        <v>SÃO PAULO</v>
      </c>
      <c r="AE450" s="95" t="s">
        <v>64</v>
      </c>
    </row>
    <row r="451" spans="1:31" s="55" customFormat="1" ht="30" customHeight="1">
      <c r="A451" s="215" t="s">
        <v>198</v>
      </c>
      <c r="B451" s="215">
        <v>2693882855</v>
      </c>
      <c r="C451" s="215" t="s">
        <v>128</v>
      </c>
      <c r="D451" s="215" t="s">
        <v>64</v>
      </c>
      <c r="E451" s="215" t="s">
        <v>5</v>
      </c>
      <c r="F451" s="215" t="s">
        <v>2400</v>
      </c>
      <c r="G451" s="215">
        <v>224</v>
      </c>
      <c r="H451" s="215" t="s">
        <v>200</v>
      </c>
      <c r="I451" s="215" t="s">
        <v>369</v>
      </c>
      <c r="J451" s="215" t="s">
        <v>1898</v>
      </c>
      <c r="K451" s="215" t="s">
        <v>200</v>
      </c>
      <c r="L451" s="216">
        <v>46163.630555555559</v>
      </c>
      <c r="M451" s="216">
        <v>46163.631249999999</v>
      </c>
      <c r="N451" s="215" t="s">
        <v>1947</v>
      </c>
      <c r="O451" s="180" t="s">
        <v>205</v>
      </c>
      <c r="P451" s="92"/>
      <c r="Q451" s="164" t="s">
        <v>205</v>
      </c>
      <c r="R451" s="92"/>
      <c r="S451" s="164" t="s">
        <v>205</v>
      </c>
      <c r="T451" s="92"/>
      <c r="U451" s="145" t="s">
        <v>205</v>
      </c>
      <c r="V451" s="92"/>
      <c r="W451" s="145" t="s">
        <v>205</v>
      </c>
      <c r="X451" s="92"/>
      <c r="Y451" s="352" t="s">
        <v>205</v>
      </c>
      <c r="Z451" s="142" t="str">
        <f t="shared" si="24"/>
        <v>C</v>
      </c>
      <c r="AA451" s="226" t="str">
        <f t="shared" si="25"/>
        <v>UTILIZOU O PDA CORRETAMENTE</v>
      </c>
      <c r="AB451" s="9" t="s">
        <v>205</v>
      </c>
      <c r="AC451" s="162" t="s">
        <v>6</v>
      </c>
      <c r="AD451" s="150" t="str">
        <f t="shared" si="23"/>
        <v>SÃO PAULO</v>
      </c>
      <c r="AE451" s="95" t="s">
        <v>64</v>
      </c>
    </row>
    <row r="452" spans="1:31" s="55" customFormat="1" ht="30" customHeight="1">
      <c r="A452" s="215" t="s">
        <v>198</v>
      </c>
      <c r="B452" s="215">
        <v>2693883726</v>
      </c>
      <c r="C452" s="215" t="s">
        <v>128</v>
      </c>
      <c r="D452" s="215" t="s">
        <v>64</v>
      </c>
      <c r="E452" s="215" t="s">
        <v>5</v>
      </c>
      <c r="F452" s="215" t="s">
        <v>2605</v>
      </c>
      <c r="G452" s="215">
        <v>153</v>
      </c>
      <c r="H452" s="215" t="s">
        <v>226</v>
      </c>
      <c r="I452" s="215" t="s">
        <v>415</v>
      </c>
      <c r="J452" s="215" t="s">
        <v>1898</v>
      </c>
      <c r="K452" s="215" t="s">
        <v>2087</v>
      </c>
      <c r="L452" s="216">
        <v>46163.667361111111</v>
      </c>
      <c r="M452" s="216">
        <v>46163.668749999997</v>
      </c>
      <c r="N452" s="215" t="s">
        <v>1956</v>
      </c>
      <c r="O452" s="157" t="s">
        <v>62</v>
      </c>
      <c r="P452" s="92"/>
      <c r="Q452" s="145" t="s">
        <v>62</v>
      </c>
      <c r="R452" s="92"/>
      <c r="S452" s="145" t="s">
        <v>62</v>
      </c>
      <c r="T452" s="92"/>
      <c r="U452" s="145" t="s">
        <v>62</v>
      </c>
      <c r="V452" s="92"/>
      <c r="W452" s="145" t="s">
        <v>62</v>
      </c>
      <c r="X452" s="92"/>
      <c r="Y452" s="352" t="s">
        <v>62</v>
      </c>
      <c r="Z452" s="142" t="str">
        <f t="shared" si="24"/>
        <v>NA</v>
      </c>
      <c r="AA452" s="226" t="str">
        <f t="shared" si="25"/>
        <v>NÃO AVALIADO POR FALHA DE SINCRONISMO</v>
      </c>
      <c r="AB452" s="9" t="s">
        <v>205</v>
      </c>
      <c r="AC452" s="162" t="s">
        <v>6</v>
      </c>
      <c r="AD452" s="150" t="str">
        <f t="shared" si="23"/>
        <v>SÃO PAULO</v>
      </c>
      <c r="AE452" s="95" t="s">
        <v>64</v>
      </c>
    </row>
    <row r="453" spans="1:31" s="55" customFormat="1" ht="30" customHeight="1">
      <c r="A453" s="215" t="s">
        <v>198</v>
      </c>
      <c r="B453" s="215">
        <v>2621485226</v>
      </c>
      <c r="C453" s="215" t="s">
        <v>128</v>
      </c>
      <c r="D453" s="215" t="s">
        <v>64</v>
      </c>
      <c r="E453" s="215" t="s">
        <v>5</v>
      </c>
      <c r="F453" s="215" t="s">
        <v>2606</v>
      </c>
      <c r="G453" s="215">
        <v>225</v>
      </c>
      <c r="H453" s="215"/>
      <c r="I453" s="215" t="s">
        <v>470</v>
      </c>
      <c r="J453" s="215" t="s">
        <v>1898</v>
      </c>
      <c r="K453" s="215"/>
      <c r="L453" s="216">
        <v>46163.649305555555</v>
      </c>
      <c r="M453" s="216">
        <v>46163.65347222222</v>
      </c>
      <c r="N453" s="215" t="s">
        <v>799</v>
      </c>
      <c r="O453" s="180" t="s">
        <v>205</v>
      </c>
      <c r="P453" s="92"/>
      <c r="Q453" s="164" t="s">
        <v>205</v>
      </c>
      <c r="R453" s="92"/>
      <c r="S453" s="164" t="s">
        <v>205</v>
      </c>
      <c r="T453" s="92"/>
      <c r="U453" s="145" t="s">
        <v>205</v>
      </c>
      <c r="V453" s="92"/>
      <c r="W453" s="145" t="s">
        <v>205</v>
      </c>
      <c r="X453" s="92"/>
      <c r="Y453" s="352" t="s">
        <v>205</v>
      </c>
      <c r="Z453" s="142" t="str">
        <f t="shared" si="24"/>
        <v>C</v>
      </c>
      <c r="AA453" s="226" t="str">
        <f t="shared" si="25"/>
        <v>UTILIZOU O PDA CORRETAMENTE</v>
      </c>
      <c r="AB453" s="9" t="s">
        <v>205</v>
      </c>
      <c r="AC453" s="162" t="s">
        <v>6</v>
      </c>
      <c r="AD453" s="150" t="str">
        <f t="shared" si="23"/>
        <v>SÃO PAULO</v>
      </c>
      <c r="AE453" s="95" t="s">
        <v>64</v>
      </c>
    </row>
    <row r="454" spans="1:31" s="55" customFormat="1" ht="30" customHeight="1">
      <c r="A454" s="215" t="s">
        <v>198</v>
      </c>
      <c r="B454" s="215">
        <v>2693901108</v>
      </c>
      <c r="C454" s="215" t="s">
        <v>128</v>
      </c>
      <c r="D454" s="215" t="s">
        <v>64</v>
      </c>
      <c r="E454" s="215" t="s">
        <v>5</v>
      </c>
      <c r="F454" s="215" t="s">
        <v>2607</v>
      </c>
      <c r="G454" s="215">
        <v>371</v>
      </c>
      <c r="H454" s="215" t="s">
        <v>481</v>
      </c>
      <c r="I454" s="215" t="s">
        <v>285</v>
      </c>
      <c r="J454" s="215" t="s">
        <v>1898</v>
      </c>
      <c r="K454" s="215" t="s">
        <v>200</v>
      </c>
      <c r="L454" s="216">
        <v>46163.677777777775</v>
      </c>
      <c r="M454" s="216">
        <v>46163.680555555555</v>
      </c>
      <c r="N454" s="215" t="s">
        <v>900</v>
      </c>
      <c r="O454" s="180" t="s">
        <v>205</v>
      </c>
      <c r="P454" s="92"/>
      <c r="Q454" s="164" t="s">
        <v>205</v>
      </c>
      <c r="R454" s="92"/>
      <c r="S454" s="164" t="s">
        <v>205</v>
      </c>
      <c r="T454" s="92"/>
      <c r="U454" s="145" t="s">
        <v>205</v>
      </c>
      <c r="V454" s="92"/>
      <c r="W454" s="145" t="s">
        <v>205</v>
      </c>
      <c r="X454" s="92"/>
      <c r="Y454" s="352" t="s">
        <v>205</v>
      </c>
      <c r="Z454" s="142" t="str">
        <f t="shared" si="24"/>
        <v>C</v>
      </c>
      <c r="AA454" s="226" t="str">
        <f t="shared" si="25"/>
        <v>UTILIZOU O PDA CORRETAMENTE</v>
      </c>
      <c r="AB454" s="9" t="s">
        <v>205</v>
      </c>
      <c r="AC454" s="162" t="s">
        <v>6</v>
      </c>
      <c r="AD454" s="150" t="str">
        <f t="shared" si="23"/>
        <v>SÃO PAULO</v>
      </c>
      <c r="AE454" s="95" t="s">
        <v>64</v>
      </c>
    </row>
    <row r="455" spans="1:31" s="55" customFormat="1" ht="30" customHeight="1">
      <c r="A455" s="215" t="s">
        <v>198</v>
      </c>
      <c r="B455" s="215">
        <v>2621493546</v>
      </c>
      <c r="C455" s="215" t="s">
        <v>128</v>
      </c>
      <c r="D455" s="215" t="s">
        <v>64</v>
      </c>
      <c r="E455" s="215" t="s">
        <v>5</v>
      </c>
      <c r="F455" s="215" t="s">
        <v>2588</v>
      </c>
      <c r="G455" s="215">
        <v>60</v>
      </c>
      <c r="H455" s="215" t="s">
        <v>200</v>
      </c>
      <c r="I455" s="215" t="s">
        <v>366</v>
      </c>
      <c r="J455" s="215" t="s">
        <v>1908</v>
      </c>
      <c r="K455" s="215" t="s">
        <v>200</v>
      </c>
      <c r="L455" s="216">
        <v>46163.661111111112</v>
      </c>
      <c r="M455" s="216">
        <v>46163.667361111111</v>
      </c>
      <c r="N455" s="215" t="s">
        <v>799</v>
      </c>
      <c r="O455" s="180" t="s">
        <v>205</v>
      </c>
      <c r="P455" s="92"/>
      <c r="Q455" s="164" t="s">
        <v>205</v>
      </c>
      <c r="R455" s="92"/>
      <c r="S455" s="164" t="s">
        <v>205</v>
      </c>
      <c r="T455" s="92"/>
      <c r="U455" s="145" t="s">
        <v>205</v>
      </c>
      <c r="V455" s="92"/>
      <c r="W455" s="145" t="s">
        <v>205</v>
      </c>
      <c r="X455" s="92"/>
      <c r="Y455" s="352" t="s">
        <v>205</v>
      </c>
      <c r="Z455" s="142" t="str">
        <f t="shared" si="24"/>
        <v>C</v>
      </c>
      <c r="AA455" s="226" t="str">
        <f t="shared" si="25"/>
        <v>UTILIZOU O PDA CORRETAMENTE</v>
      </c>
      <c r="AB455" s="9" t="s">
        <v>205</v>
      </c>
      <c r="AC455" s="162" t="s">
        <v>6</v>
      </c>
      <c r="AD455" s="150" t="str">
        <f t="shared" si="23"/>
        <v>SÃO PAULO</v>
      </c>
      <c r="AE455" s="95" t="s">
        <v>64</v>
      </c>
    </row>
    <row r="456" spans="1:31" s="55" customFormat="1" ht="30" customHeight="1">
      <c r="A456" s="215" t="s">
        <v>198</v>
      </c>
      <c r="B456" s="215">
        <v>2693900622</v>
      </c>
      <c r="C456" s="215" t="s">
        <v>128</v>
      </c>
      <c r="D456" s="215" t="s">
        <v>64</v>
      </c>
      <c r="E456" s="215" t="s">
        <v>5</v>
      </c>
      <c r="F456" s="215" t="s">
        <v>617</v>
      </c>
      <c r="G456" s="215">
        <v>423</v>
      </c>
      <c r="H456" s="215" t="s">
        <v>226</v>
      </c>
      <c r="I456" s="215" t="s">
        <v>1317</v>
      </c>
      <c r="J456" s="215" t="s">
        <v>1898</v>
      </c>
      <c r="K456" s="215"/>
      <c r="L456" s="216">
        <v>46163.664583333331</v>
      </c>
      <c r="M456" s="216">
        <v>46163.667361111111</v>
      </c>
      <c r="N456" s="215" t="s">
        <v>1947</v>
      </c>
      <c r="O456" s="180" t="s">
        <v>205</v>
      </c>
      <c r="P456" s="92"/>
      <c r="Q456" s="164" t="s">
        <v>205</v>
      </c>
      <c r="R456" s="92"/>
      <c r="S456" s="164" t="s">
        <v>205</v>
      </c>
      <c r="T456" s="92"/>
      <c r="U456" s="145" t="s">
        <v>205</v>
      </c>
      <c r="V456" s="92"/>
      <c r="W456" s="145" t="s">
        <v>205</v>
      </c>
      <c r="X456" s="92"/>
      <c r="Y456" s="352" t="s">
        <v>205</v>
      </c>
      <c r="Z456" s="142" t="str">
        <f t="shared" si="24"/>
        <v>C</v>
      </c>
      <c r="AA456" s="226" t="str">
        <f t="shared" si="25"/>
        <v>UTILIZOU O PDA CORRETAMENTE</v>
      </c>
      <c r="AB456" s="9" t="s">
        <v>205</v>
      </c>
      <c r="AC456" s="162" t="s">
        <v>6</v>
      </c>
      <c r="AD456" s="150" t="str">
        <f t="shared" si="23"/>
        <v>SÃO PAULO</v>
      </c>
      <c r="AE456" s="95" t="s">
        <v>64</v>
      </c>
    </row>
    <row r="457" spans="1:31" s="55" customFormat="1" ht="30" customHeight="1">
      <c r="A457" s="215" t="s">
        <v>198</v>
      </c>
      <c r="B457" s="215">
        <v>2621500500</v>
      </c>
      <c r="C457" s="215" t="s">
        <v>131</v>
      </c>
      <c r="D457" s="215" t="s">
        <v>64</v>
      </c>
      <c r="E457" s="215" t="s">
        <v>5</v>
      </c>
      <c r="F457" s="215" t="s">
        <v>2605</v>
      </c>
      <c r="G457" s="215">
        <v>127</v>
      </c>
      <c r="H457" s="215" t="s">
        <v>226</v>
      </c>
      <c r="I457" s="215" t="s">
        <v>415</v>
      </c>
      <c r="J457" s="215" t="s">
        <v>1908</v>
      </c>
      <c r="K457" s="215" t="s">
        <v>2608</v>
      </c>
      <c r="L457" s="216">
        <v>46163.604166666664</v>
      </c>
      <c r="M457" s="216">
        <v>46163.604861111111</v>
      </c>
      <c r="N457" s="215" t="s">
        <v>799</v>
      </c>
      <c r="O457" s="180" t="s">
        <v>205</v>
      </c>
      <c r="P457" s="92"/>
      <c r="Q457" s="164" t="s">
        <v>205</v>
      </c>
      <c r="R457" s="92"/>
      <c r="S457" s="164" t="s">
        <v>205</v>
      </c>
      <c r="T457" s="92"/>
      <c r="U457" s="145" t="s">
        <v>205</v>
      </c>
      <c r="V457" s="92"/>
      <c r="W457" s="145" t="s">
        <v>205</v>
      </c>
      <c r="X457" s="92"/>
      <c r="Y457" s="352" t="s">
        <v>205</v>
      </c>
      <c r="Z457" s="142" t="str">
        <f t="shared" si="24"/>
        <v>C</v>
      </c>
      <c r="AA457" s="226" t="str">
        <f t="shared" si="25"/>
        <v>UTILIZOU O PDA CORRETAMENTE</v>
      </c>
      <c r="AB457" s="9" t="s">
        <v>205</v>
      </c>
      <c r="AC457" s="162" t="s">
        <v>6</v>
      </c>
      <c r="AD457" s="150" t="str">
        <f t="shared" si="23"/>
        <v>SÃO PAULO</v>
      </c>
      <c r="AE457" s="95" t="s">
        <v>64</v>
      </c>
    </row>
    <row r="458" spans="1:31" s="55" customFormat="1" ht="30" customHeight="1">
      <c r="A458" s="228" t="s">
        <v>198</v>
      </c>
      <c r="B458" s="228">
        <v>2621255889</v>
      </c>
      <c r="C458" s="228" t="s">
        <v>135</v>
      </c>
      <c r="D458" s="228" t="s">
        <v>125</v>
      </c>
      <c r="E458" s="228" t="s">
        <v>5</v>
      </c>
      <c r="F458" s="228" t="s">
        <v>2609</v>
      </c>
      <c r="G458" s="228">
        <v>95</v>
      </c>
      <c r="H458" s="228"/>
      <c r="I458" s="228" t="s">
        <v>2610</v>
      </c>
      <c r="J458" s="228" t="s">
        <v>1909</v>
      </c>
      <c r="K458" s="228" t="s">
        <v>527</v>
      </c>
      <c r="L458" s="230">
        <v>46163.681944444441</v>
      </c>
      <c r="M458" s="230">
        <v>46163.692361111112</v>
      </c>
      <c r="N458" s="228" t="s">
        <v>235</v>
      </c>
      <c r="O458" s="180" t="s">
        <v>205</v>
      </c>
      <c r="P458" s="92"/>
      <c r="Q458" s="164" t="s">
        <v>205</v>
      </c>
      <c r="R458" s="92"/>
      <c r="S458" s="164" t="s">
        <v>205</v>
      </c>
      <c r="T458" s="92"/>
      <c r="U458" s="145" t="s">
        <v>205</v>
      </c>
      <c r="V458" s="92"/>
      <c r="W458" s="145" t="s">
        <v>205</v>
      </c>
      <c r="X458" s="92"/>
      <c r="Y458" s="352" t="s">
        <v>205</v>
      </c>
      <c r="Z458" s="142" t="str">
        <f t="shared" si="24"/>
        <v>C</v>
      </c>
      <c r="AA458" s="226" t="str">
        <f t="shared" si="25"/>
        <v>UTILIZOU O PDA CORRETAMENTE</v>
      </c>
      <c r="AB458" s="9" t="s">
        <v>205</v>
      </c>
      <c r="AC458" s="162" t="s">
        <v>6</v>
      </c>
      <c r="AD458" s="150" t="str">
        <f t="shared" si="23"/>
        <v>SÃO PAULO</v>
      </c>
      <c r="AE458" s="95" t="s">
        <v>64</v>
      </c>
    </row>
    <row r="459" spans="1:31" s="55" customFormat="1" ht="30" customHeight="1">
      <c r="A459" s="215" t="s">
        <v>198</v>
      </c>
      <c r="B459" s="215">
        <v>2693909579</v>
      </c>
      <c r="C459" s="215" t="s">
        <v>131</v>
      </c>
      <c r="D459" s="215" t="s">
        <v>64</v>
      </c>
      <c r="E459" s="215" t="s">
        <v>5</v>
      </c>
      <c r="F459" s="215" t="s">
        <v>2611</v>
      </c>
      <c r="G459" s="215">
        <v>147</v>
      </c>
      <c r="H459" s="215" t="s">
        <v>417</v>
      </c>
      <c r="I459" s="215" t="s">
        <v>2612</v>
      </c>
      <c r="J459" s="215" t="s">
        <v>1908</v>
      </c>
      <c r="K459" s="215" t="s">
        <v>200</v>
      </c>
      <c r="L459" s="216">
        <v>46164.490972222222</v>
      </c>
      <c r="M459" s="216">
        <v>46164.51458333333</v>
      </c>
      <c r="N459" s="215" t="s">
        <v>799</v>
      </c>
      <c r="O459" s="180" t="s">
        <v>205</v>
      </c>
      <c r="P459" s="92"/>
      <c r="Q459" s="164" t="s">
        <v>205</v>
      </c>
      <c r="R459" s="92"/>
      <c r="S459" s="145" t="s">
        <v>206</v>
      </c>
      <c r="T459" s="92"/>
      <c r="U459" s="145" t="s">
        <v>206</v>
      </c>
      <c r="V459" s="92"/>
      <c r="W459" s="145" t="s">
        <v>205</v>
      </c>
      <c r="X459" s="92"/>
      <c r="Y459" s="352" t="s">
        <v>205</v>
      </c>
      <c r="Z459" s="142" t="str">
        <f t="shared" si="24"/>
        <v>NC</v>
      </c>
      <c r="AA459" s="226" t="str">
        <f t="shared" si="25"/>
        <v>UTILIZOU O PDA CORRETAMENTE. NÃO HÁ FOTOS DE TODAS AS ETAPAS</v>
      </c>
      <c r="AB459" s="9" t="s">
        <v>205</v>
      </c>
      <c r="AC459" s="162" t="s">
        <v>6</v>
      </c>
      <c r="AD459" s="150" t="str">
        <f t="shared" si="23"/>
        <v>SÃO PAULO</v>
      </c>
      <c r="AE459" s="95" t="s">
        <v>64</v>
      </c>
    </row>
    <row r="460" spans="1:31" s="55" customFormat="1" ht="30" customHeight="1">
      <c r="A460" s="365" t="s">
        <v>198</v>
      </c>
      <c r="B460" s="215">
        <v>2621507319</v>
      </c>
      <c r="C460" s="215" t="s">
        <v>132</v>
      </c>
      <c r="D460" s="215" t="s">
        <v>64</v>
      </c>
      <c r="E460" s="215" t="s">
        <v>5</v>
      </c>
      <c r="F460" s="215" t="s">
        <v>988</v>
      </c>
      <c r="G460" s="215">
        <v>478</v>
      </c>
      <c r="H460" s="215" t="s">
        <v>200</v>
      </c>
      <c r="I460" s="215" t="s">
        <v>246</v>
      </c>
      <c r="J460" s="215" t="s">
        <v>1908</v>
      </c>
      <c r="K460" s="215" t="s">
        <v>200</v>
      </c>
      <c r="L460" s="216">
        <v>46164.595833333333</v>
      </c>
      <c r="M460" s="216">
        <v>46164.609722222223</v>
      </c>
      <c r="N460" s="215" t="s">
        <v>1956</v>
      </c>
      <c r="O460" s="157" t="s">
        <v>62</v>
      </c>
      <c r="P460" s="92"/>
      <c r="Q460" s="145" t="s">
        <v>62</v>
      </c>
      <c r="R460" s="92"/>
      <c r="S460" s="145" t="s">
        <v>62</v>
      </c>
      <c r="T460" s="92"/>
      <c r="U460" s="145" t="s">
        <v>62</v>
      </c>
      <c r="V460" s="92"/>
      <c r="W460" s="145" t="s">
        <v>62</v>
      </c>
      <c r="X460" s="92" t="s">
        <v>2613</v>
      </c>
      <c r="Y460" s="352" t="s">
        <v>62</v>
      </c>
      <c r="Z460" s="142" t="str">
        <f t="shared" si="24"/>
        <v>NA</v>
      </c>
      <c r="AA460" s="226" t="str">
        <f t="shared" si="25"/>
        <v>NÃO AVALIADO POR FALHA DE SINCRONISMO</v>
      </c>
      <c r="AB460" s="9" t="s">
        <v>205</v>
      </c>
      <c r="AC460" s="162" t="s">
        <v>6</v>
      </c>
      <c r="AD460" s="150" t="str">
        <f t="shared" si="23"/>
        <v>SÃO PAULO</v>
      </c>
      <c r="AE460" s="95" t="s">
        <v>64</v>
      </c>
    </row>
    <row r="461" spans="1:31" s="55" customFormat="1" ht="30" customHeight="1">
      <c r="A461" s="215" t="s">
        <v>198</v>
      </c>
      <c r="B461" s="215">
        <v>2621521727</v>
      </c>
      <c r="C461" s="215" t="s">
        <v>132</v>
      </c>
      <c r="D461" s="215" t="s">
        <v>64</v>
      </c>
      <c r="E461" s="215" t="s">
        <v>5</v>
      </c>
      <c r="F461" s="215" t="s">
        <v>1785</v>
      </c>
      <c r="G461" s="215">
        <v>52</v>
      </c>
      <c r="H461" s="215"/>
      <c r="I461" s="215" t="s">
        <v>1786</v>
      </c>
      <c r="J461" s="215" t="s">
        <v>1908</v>
      </c>
      <c r="K461" s="215"/>
      <c r="L461" s="216">
        <v>46164.393750000003</v>
      </c>
      <c r="M461" s="216">
        <v>46164.399305555555</v>
      </c>
      <c r="N461" s="215" t="s">
        <v>1956</v>
      </c>
      <c r="O461" s="157" t="s">
        <v>205</v>
      </c>
      <c r="P461" s="92"/>
      <c r="Q461" s="145" t="s">
        <v>205</v>
      </c>
      <c r="R461" s="92"/>
      <c r="S461" s="145" t="s">
        <v>205</v>
      </c>
      <c r="T461" s="92"/>
      <c r="U461" s="145" t="s">
        <v>205</v>
      </c>
      <c r="V461" s="92"/>
      <c r="W461" s="145" t="s">
        <v>205</v>
      </c>
      <c r="X461" s="92"/>
      <c r="Y461" s="352" t="s">
        <v>205</v>
      </c>
      <c r="Z461" s="142" t="str">
        <f t="shared" si="24"/>
        <v>C</v>
      </c>
      <c r="AA461" s="226" t="str">
        <f t="shared" si="25"/>
        <v>UTILIZOU O PDA CORRETAMENTE</v>
      </c>
      <c r="AB461" s="9" t="s">
        <v>205</v>
      </c>
      <c r="AC461" s="162" t="s">
        <v>6</v>
      </c>
      <c r="AD461" s="150" t="str">
        <f t="shared" si="23"/>
        <v>SÃO PAULO</v>
      </c>
      <c r="AE461" s="95" t="s">
        <v>64</v>
      </c>
    </row>
    <row r="462" spans="1:31" s="55" customFormat="1" ht="30" customHeight="1">
      <c r="A462" s="215" t="s">
        <v>198</v>
      </c>
      <c r="B462" s="215">
        <v>2621495263</v>
      </c>
      <c r="C462" s="215" t="s">
        <v>132</v>
      </c>
      <c r="D462" s="215" t="s">
        <v>64</v>
      </c>
      <c r="E462" s="215" t="s">
        <v>5</v>
      </c>
      <c r="F462" s="215" t="s">
        <v>2614</v>
      </c>
      <c r="G462" s="215">
        <v>398</v>
      </c>
      <c r="H462" s="215"/>
      <c r="I462" s="215" t="s">
        <v>2098</v>
      </c>
      <c r="J462" s="215" t="s">
        <v>1908</v>
      </c>
      <c r="K462" s="215"/>
      <c r="L462" s="216">
        <v>46164.413194444445</v>
      </c>
      <c r="M462" s="216">
        <v>46164.422222222223</v>
      </c>
      <c r="N462" s="215" t="s">
        <v>1956</v>
      </c>
      <c r="O462" s="157" t="s">
        <v>205</v>
      </c>
      <c r="P462" s="92"/>
      <c r="Q462" s="145" t="s">
        <v>205</v>
      </c>
      <c r="R462" s="92"/>
      <c r="S462" s="145" t="s">
        <v>205</v>
      </c>
      <c r="T462" s="92"/>
      <c r="U462" s="145" t="s">
        <v>205</v>
      </c>
      <c r="V462" s="92"/>
      <c r="W462" s="145" t="s">
        <v>205</v>
      </c>
      <c r="X462" s="92"/>
      <c r="Y462" s="352" t="s">
        <v>205</v>
      </c>
      <c r="Z462" s="142" t="str">
        <f t="shared" si="24"/>
        <v>C</v>
      </c>
      <c r="AA462" s="226" t="str">
        <f t="shared" si="25"/>
        <v>UTILIZOU O PDA CORRETAMENTE</v>
      </c>
      <c r="AB462" s="9"/>
      <c r="AC462" s="162" t="s">
        <v>6</v>
      </c>
      <c r="AD462" s="150" t="str">
        <f t="shared" si="23"/>
        <v>SÃO PAULO</v>
      </c>
      <c r="AE462" s="95" t="s">
        <v>64</v>
      </c>
    </row>
    <row r="463" spans="1:31" s="55" customFormat="1" ht="30" customHeight="1">
      <c r="A463" s="215" t="s">
        <v>198</v>
      </c>
      <c r="B463" s="215">
        <v>2693923483</v>
      </c>
      <c r="C463" s="215" t="s">
        <v>131</v>
      </c>
      <c r="D463" s="215" t="s">
        <v>64</v>
      </c>
      <c r="E463" s="215" t="s">
        <v>5</v>
      </c>
      <c r="F463" s="215" t="s">
        <v>2615</v>
      </c>
      <c r="G463" s="215">
        <v>39</v>
      </c>
      <c r="H463" s="215" t="s">
        <v>226</v>
      </c>
      <c r="I463" s="215" t="s">
        <v>810</v>
      </c>
      <c r="J463" s="215" t="s">
        <v>1908</v>
      </c>
      <c r="K463" s="215" t="s">
        <v>200</v>
      </c>
      <c r="L463" s="216">
        <v>46164.441666666666</v>
      </c>
      <c r="M463" s="216">
        <v>46164.448611111111</v>
      </c>
      <c r="N463" s="215" t="s">
        <v>1919</v>
      </c>
      <c r="O463" s="180" t="s">
        <v>205</v>
      </c>
      <c r="P463" s="92"/>
      <c r="Q463" s="164" t="s">
        <v>205</v>
      </c>
      <c r="R463" s="92"/>
      <c r="S463" s="164" t="s">
        <v>205</v>
      </c>
      <c r="T463" s="92"/>
      <c r="U463" s="145" t="s">
        <v>205</v>
      </c>
      <c r="V463" s="92"/>
      <c r="W463" s="145" t="s">
        <v>205</v>
      </c>
      <c r="X463" s="92"/>
      <c r="Y463" s="352" t="s">
        <v>205</v>
      </c>
      <c r="Z463" s="142" t="str">
        <f t="shared" si="24"/>
        <v>C</v>
      </c>
      <c r="AA463" s="226" t="str">
        <f t="shared" si="25"/>
        <v>UTILIZOU O PDA CORRETAMENTE</v>
      </c>
      <c r="AB463" s="9" t="s">
        <v>205</v>
      </c>
      <c r="AC463" s="162" t="s">
        <v>6</v>
      </c>
      <c r="AD463" s="150" t="str">
        <f t="shared" si="23"/>
        <v>SÃO PAULO</v>
      </c>
      <c r="AE463" s="95" t="s">
        <v>64</v>
      </c>
    </row>
    <row r="464" spans="1:31" s="55" customFormat="1" ht="30" customHeight="1">
      <c r="A464" s="215" t="s">
        <v>198</v>
      </c>
      <c r="B464" s="215">
        <v>2693910964</v>
      </c>
      <c r="C464" s="215" t="s">
        <v>128</v>
      </c>
      <c r="D464" s="215" t="s">
        <v>64</v>
      </c>
      <c r="E464" s="215" t="s">
        <v>5</v>
      </c>
      <c r="F464" s="215" t="s">
        <v>2616</v>
      </c>
      <c r="G464" s="215">
        <v>203</v>
      </c>
      <c r="H464" s="215"/>
      <c r="I464" s="215" t="s">
        <v>366</v>
      </c>
      <c r="J464" s="215" t="s">
        <v>1898</v>
      </c>
      <c r="K464" s="215"/>
      <c r="L464" s="216">
        <v>46164.53125</v>
      </c>
      <c r="M464" s="216">
        <v>46164.531944444447</v>
      </c>
      <c r="N464" s="215" t="s">
        <v>1947</v>
      </c>
      <c r="O464" s="180" t="s">
        <v>205</v>
      </c>
      <c r="P464" s="92"/>
      <c r="Q464" s="164" t="s">
        <v>205</v>
      </c>
      <c r="R464" s="92"/>
      <c r="S464" s="164" t="s">
        <v>205</v>
      </c>
      <c r="T464" s="92"/>
      <c r="U464" s="145" t="s">
        <v>205</v>
      </c>
      <c r="V464" s="92"/>
      <c r="W464" s="145" t="s">
        <v>205</v>
      </c>
      <c r="X464" s="92"/>
      <c r="Y464" s="352" t="s">
        <v>205</v>
      </c>
      <c r="Z464" s="142" t="str">
        <f t="shared" si="24"/>
        <v>C</v>
      </c>
      <c r="AA464" s="226" t="str">
        <f t="shared" si="25"/>
        <v>UTILIZOU O PDA CORRETAMENTE</v>
      </c>
      <c r="AB464" s="9" t="s">
        <v>205</v>
      </c>
      <c r="AC464" s="162" t="s">
        <v>6</v>
      </c>
      <c r="AD464" s="150" t="str">
        <f t="shared" si="23"/>
        <v>SÃO PAULO</v>
      </c>
      <c r="AE464" s="95" t="s">
        <v>64</v>
      </c>
    </row>
    <row r="465" spans="1:31" s="55" customFormat="1" ht="30" customHeight="1">
      <c r="A465" s="215" t="s">
        <v>198</v>
      </c>
      <c r="B465" s="215">
        <v>2693883380</v>
      </c>
      <c r="C465" s="215" t="s">
        <v>128</v>
      </c>
      <c r="D465" s="215" t="s">
        <v>64</v>
      </c>
      <c r="E465" s="215" t="s">
        <v>5</v>
      </c>
      <c r="F465" s="215" t="s">
        <v>2617</v>
      </c>
      <c r="G465" s="215">
        <v>30</v>
      </c>
      <c r="H465" s="215" t="s">
        <v>200</v>
      </c>
      <c r="I465" s="215" t="s">
        <v>264</v>
      </c>
      <c r="J465" s="215" t="s">
        <v>1898</v>
      </c>
      <c r="K465" s="215" t="s">
        <v>200</v>
      </c>
      <c r="L465" s="216">
        <v>46164.390972222223</v>
      </c>
      <c r="M465" s="216">
        <v>46164.397916666669</v>
      </c>
      <c r="N465" s="215" t="s">
        <v>799</v>
      </c>
      <c r="O465" s="180" t="s">
        <v>205</v>
      </c>
      <c r="P465" s="92"/>
      <c r="Q465" s="145" t="s">
        <v>206</v>
      </c>
      <c r="R465" s="92"/>
      <c r="S465" s="164" t="s">
        <v>205</v>
      </c>
      <c r="T465" s="92"/>
      <c r="U465" s="145" t="s">
        <v>205</v>
      </c>
      <c r="V465" s="92"/>
      <c r="W465" s="145" t="s">
        <v>205</v>
      </c>
      <c r="X465" s="92"/>
      <c r="Y465" s="352" t="s">
        <v>205</v>
      </c>
      <c r="Z465" s="142" t="str">
        <f t="shared" si="24"/>
        <v>NC</v>
      </c>
      <c r="AA465" s="226" t="str">
        <f t="shared" si="25"/>
        <v>UTILIZOU O PDA CORRETAMENTE. NÃO HÁ FOTOS DE TODAS AS ETAPAS</v>
      </c>
      <c r="AB465" s="9" t="s">
        <v>205</v>
      </c>
      <c r="AC465" s="162" t="s">
        <v>6</v>
      </c>
      <c r="AD465" s="150" t="str">
        <f t="shared" si="23"/>
        <v>SÃO PAULO</v>
      </c>
      <c r="AE465" s="95" t="s">
        <v>64</v>
      </c>
    </row>
    <row r="466" spans="1:31" s="55" customFormat="1" ht="30" customHeight="1">
      <c r="A466" s="215" t="s">
        <v>198</v>
      </c>
      <c r="B466" s="215">
        <v>2693910783</v>
      </c>
      <c r="C466" s="215" t="s">
        <v>131</v>
      </c>
      <c r="D466" s="215" t="s">
        <v>64</v>
      </c>
      <c r="E466" s="215" t="s">
        <v>5</v>
      </c>
      <c r="F466" s="215" t="s">
        <v>1632</v>
      </c>
      <c r="G466" s="215">
        <v>92</v>
      </c>
      <c r="H466" s="215" t="s">
        <v>318</v>
      </c>
      <c r="I466" s="215" t="s">
        <v>375</v>
      </c>
      <c r="J466" s="215" t="s">
        <v>1908</v>
      </c>
      <c r="K466" s="215"/>
      <c r="L466" s="216">
        <v>46164.401388888888</v>
      </c>
      <c r="M466" s="216">
        <v>46164.407638888886</v>
      </c>
      <c r="N466" s="215" t="s">
        <v>1956</v>
      </c>
      <c r="O466" s="157" t="s">
        <v>205</v>
      </c>
      <c r="P466" s="92"/>
      <c r="Q466" s="145" t="s">
        <v>205</v>
      </c>
      <c r="R466" s="92"/>
      <c r="S466" s="145" t="s">
        <v>205</v>
      </c>
      <c r="T466" s="92"/>
      <c r="U466" s="145" t="s">
        <v>205</v>
      </c>
      <c r="V466" s="92"/>
      <c r="W466" s="145" t="s">
        <v>205</v>
      </c>
      <c r="X466" s="92"/>
      <c r="Y466" s="352" t="s">
        <v>205</v>
      </c>
      <c r="Z466" s="142" t="str">
        <f t="shared" si="24"/>
        <v>C</v>
      </c>
      <c r="AA466" s="226" t="str">
        <f t="shared" si="25"/>
        <v>UTILIZOU O PDA CORRETAMENTE</v>
      </c>
      <c r="AB466" s="9" t="s">
        <v>205</v>
      </c>
      <c r="AC466" s="162" t="s">
        <v>6</v>
      </c>
      <c r="AD466" s="150" t="str">
        <f t="shared" si="23"/>
        <v>SÃO PAULO</v>
      </c>
      <c r="AE466" s="95" t="s">
        <v>64</v>
      </c>
    </row>
    <row r="467" spans="1:31" s="55" customFormat="1" ht="30" customHeight="1">
      <c r="A467" s="215" t="s">
        <v>198</v>
      </c>
      <c r="B467" s="215">
        <v>2693951713</v>
      </c>
      <c r="C467" s="215" t="s">
        <v>128</v>
      </c>
      <c r="D467" s="215" t="s">
        <v>64</v>
      </c>
      <c r="E467" s="215" t="s">
        <v>5</v>
      </c>
      <c r="F467" s="215" t="s">
        <v>2618</v>
      </c>
      <c r="G467" s="215">
        <v>1</v>
      </c>
      <c r="H467" s="215" t="s">
        <v>1274</v>
      </c>
      <c r="I467" s="215" t="s">
        <v>565</v>
      </c>
      <c r="J467" s="215" t="s">
        <v>1898</v>
      </c>
      <c r="K467" s="215"/>
      <c r="L467" s="216">
        <v>46164.449305555558</v>
      </c>
      <c r="M467" s="216">
        <v>46164.452777777777</v>
      </c>
      <c r="N467" s="215" t="s">
        <v>590</v>
      </c>
      <c r="O467" s="180" t="s">
        <v>205</v>
      </c>
      <c r="P467" s="92"/>
      <c r="Q467" s="164" t="s">
        <v>205</v>
      </c>
      <c r="R467" s="92"/>
      <c r="S467" s="164" t="s">
        <v>205</v>
      </c>
      <c r="T467" s="92"/>
      <c r="U467" s="145" t="s">
        <v>205</v>
      </c>
      <c r="V467" s="92"/>
      <c r="W467" s="145" t="s">
        <v>205</v>
      </c>
      <c r="X467" s="92"/>
      <c r="Y467" s="352" t="s">
        <v>205</v>
      </c>
      <c r="Z467" s="142" t="str">
        <f t="shared" si="24"/>
        <v>C</v>
      </c>
      <c r="AA467" s="226" t="str">
        <f t="shared" si="25"/>
        <v>UTILIZOU O PDA CORRETAMENTE</v>
      </c>
      <c r="AB467" s="9" t="s">
        <v>205</v>
      </c>
      <c r="AC467" s="162" t="s">
        <v>6</v>
      </c>
      <c r="AD467" s="150" t="str">
        <f t="shared" si="23"/>
        <v>SÃO PAULO</v>
      </c>
      <c r="AE467" s="95" t="s">
        <v>64</v>
      </c>
    </row>
    <row r="468" spans="1:31" s="55" customFormat="1" ht="30" customHeight="1">
      <c r="A468" s="215" t="s">
        <v>198</v>
      </c>
      <c r="B468" s="215">
        <v>2693950027</v>
      </c>
      <c r="C468" s="215" t="s">
        <v>132</v>
      </c>
      <c r="D468" s="215" t="s">
        <v>64</v>
      </c>
      <c r="E468" s="215" t="s">
        <v>5</v>
      </c>
      <c r="F468" s="215" t="s">
        <v>2619</v>
      </c>
      <c r="G468" s="215">
        <v>353</v>
      </c>
      <c r="H468" s="215" t="s">
        <v>226</v>
      </c>
      <c r="I468" s="215" t="s">
        <v>312</v>
      </c>
      <c r="J468" s="215" t="s">
        <v>1898</v>
      </c>
      <c r="K468" s="215" t="s">
        <v>200</v>
      </c>
      <c r="L468" s="216">
        <v>46164.428472222222</v>
      </c>
      <c r="M468" s="216">
        <v>46164.439583333333</v>
      </c>
      <c r="N468" s="215" t="s">
        <v>1956</v>
      </c>
      <c r="O468" s="157" t="s">
        <v>205</v>
      </c>
      <c r="P468" s="92"/>
      <c r="Q468" s="145" t="s">
        <v>205</v>
      </c>
      <c r="R468" s="92"/>
      <c r="S468" s="145" t="s">
        <v>205</v>
      </c>
      <c r="T468" s="92"/>
      <c r="U468" s="145" t="s">
        <v>205</v>
      </c>
      <c r="V468" s="92"/>
      <c r="W468" s="145" t="s">
        <v>205</v>
      </c>
      <c r="X468" s="92"/>
      <c r="Y468" s="352" t="s">
        <v>205</v>
      </c>
      <c r="Z468" s="142" t="str">
        <f t="shared" si="24"/>
        <v>C</v>
      </c>
      <c r="AA468" s="226" t="str">
        <f t="shared" si="25"/>
        <v>UTILIZOU O PDA CORRETAMENTE</v>
      </c>
      <c r="AB468" s="9" t="s">
        <v>205</v>
      </c>
      <c r="AC468" s="162" t="s">
        <v>6</v>
      </c>
      <c r="AD468" s="150" t="str">
        <f t="shared" si="23"/>
        <v>SÃO PAULO</v>
      </c>
      <c r="AE468" s="95" t="s">
        <v>64</v>
      </c>
    </row>
    <row r="469" spans="1:31" s="55" customFormat="1" ht="30" customHeight="1">
      <c r="A469" s="365" t="s">
        <v>198</v>
      </c>
      <c r="B469" s="215">
        <v>2693950396</v>
      </c>
      <c r="C469" s="215" t="s">
        <v>128</v>
      </c>
      <c r="D469" s="215" t="s">
        <v>64</v>
      </c>
      <c r="E469" s="215" t="s">
        <v>5</v>
      </c>
      <c r="F469" s="215" t="s">
        <v>418</v>
      </c>
      <c r="G469" s="215">
        <v>39</v>
      </c>
      <c r="H469" s="215" t="s">
        <v>226</v>
      </c>
      <c r="I469" s="215" t="s">
        <v>419</v>
      </c>
      <c r="J469" s="215" t="s">
        <v>1900</v>
      </c>
      <c r="K469" s="215" t="s">
        <v>2087</v>
      </c>
      <c r="L469" s="216">
        <v>46164.568055555559</v>
      </c>
      <c r="M469" s="216">
        <v>46164.572916666664</v>
      </c>
      <c r="N469" s="215" t="s">
        <v>1956</v>
      </c>
      <c r="O469" s="157" t="s">
        <v>62</v>
      </c>
      <c r="P469" s="92"/>
      <c r="Q469" s="145" t="s">
        <v>62</v>
      </c>
      <c r="R469" s="92"/>
      <c r="S469" s="145" t="s">
        <v>62</v>
      </c>
      <c r="T469" s="92"/>
      <c r="U469" s="145" t="s">
        <v>62</v>
      </c>
      <c r="V469" s="92"/>
      <c r="W469" s="145" t="s">
        <v>62</v>
      </c>
      <c r="X469" s="92" t="s">
        <v>2613</v>
      </c>
      <c r="Y469" s="352" t="s">
        <v>62</v>
      </c>
      <c r="Z469" s="142" t="str">
        <f t="shared" si="24"/>
        <v>NA</v>
      </c>
      <c r="AA469" s="226" t="str">
        <f t="shared" si="25"/>
        <v>NÃO AVALIADO POR FALHA DE SINCRONISMO</v>
      </c>
      <c r="AB469" s="9" t="s">
        <v>205</v>
      </c>
      <c r="AC469" s="162" t="s">
        <v>6</v>
      </c>
      <c r="AD469" s="150" t="str">
        <f t="shared" si="23"/>
        <v>SÃO PAULO</v>
      </c>
      <c r="AE469" s="95" t="s">
        <v>64</v>
      </c>
    </row>
    <row r="470" spans="1:31" s="55" customFormat="1" ht="30" customHeight="1">
      <c r="A470" s="215" t="s">
        <v>198</v>
      </c>
      <c r="B470" s="215">
        <v>2693947641</v>
      </c>
      <c r="C470" s="215" t="s">
        <v>131</v>
      </c>
      <c r="D470" s="215" t="s">
        <v>64</v>
      </c>
      <c r="E470" s="215" t="s">
        <v>5</v>
      </c>
      <c r="F470" s="215" t="s">
        <v>2620</v>
      </c>
      <c r="G470" s="215">
        <v>142</v>
      </c>
      <c r="H470" s="215" t="s">
        <v>200</v>
      </c>
      <c r="I470" s="215" t="s">
        <v>223</v>
      </c>
      <c r="J470" s="215" t="s">
        <v>1898</v>
      </c>
      <c r="K470" s="215" t="s">
        <v>200</v>
      </c>
      <c r="L470" s="216">
        <v>46164.425000000003</v>
      </c>
      <c r="M470" s="216">
        <v>46164.440972222219</v>
      </c>
      <c r="N470" s="215" t="s">
        <v>1950</v>
      </c>
      <c r="O470" s="180" t="s">
        <v>205</v>
      </c>
      <c r="P470" s="92"/>
      <c r="Q470" s="164" t="s">
        <v>205</v>
      </c>
      <c r="R470" s="92"/>
      <c r="S470" s="164" t="s">
        <v>205</v>
      </c>
      <c r="T470" s="92"/>
      <c r="U470" s="145" t="s">
        <v>205</v>
      </c>
      <c r="V470" s="92"/>
      <c r="W470" s="145" t="s">
        <v>205</v>
      </c>
      <c r="X470" s="92"/>
      <c r="Y470" s="352" t="s">
        <v>205</v>
      </c>
      <c r="Z470" s="142" t="str">
        <f t="shared" si="24"/>
        <v>C</v>
      </c>
      <c r="AA470" s="226" t="str">
        <f t="shared" si="25"/>
        <v>UTILIZOU O PDA CORRETAMENTE</v>
      </c>
      <c r="AB470" s="9" t="s">
        <v>205</v>
      </c>
      <c r="AC470" s="162" t="s">
        <v>6</v>
      </c>
      <c r="AD470" s="150" t="str">
        <f t="shared" si="23"/>
        <v>SÃO PAULO</v>
      </c>
      <c r="AE470" s="95" t="s">
        <v>64</v>
      </c>
    </row>
    <row r="471" spans="1:31" s="55" customFormat="1" ht="30" customHeight="1">
      <c r="A471" s="215" t="s">
        <v>198</v>
      </c>
      <c r="B471" s="215">
        <v>2693955279</v>
      </c>
      <c r="C471" s="215" t="s">
        <v>128</v>
      </c>
      <c r="D471" s="215" t="s">
        <v>64</v>
      </c>
      <c r="E471" s="215" t="s">
        <v>5</v>
      </c>
      <c r="F471" s="215" t="s">
        <v>2440</v>
      </c>
      <c r="G471" s="215">
        <v>270</v>
      </c>
      <c r="H471" s="215" t="s">
        <v>226</v>
      </c>
      <c r="I471" s="215" t="s">
        <v>237</v>
      </c>
      <c r="J471" s="215" t="s">
        <v>1898</v>
      </c>
      <c r="K471" s="215"/>
      <c r="L471" s="216">
        <v>46164.576388888891</v>
      </c>
      <c r="M471" s="216">
        <v>46164.584722222222</v>
      </c>
      <c r="N471" s="215" t="s">
        <v>852</v>
      </c>
      <c r="O471" s="180" t="s">
        <v>205</v>
      </c>
      <c r="P471" s="92"/>
      <c r="Q471" s="164" t="s">
        <v>205</v>
      </c>
      <c r="R471" s="92"/>
      <c r="S471" s="164" t="s">
        <v>205</v>
      </c>
      <c r="T471" s="92"/>
      <c r="U471" s="145" t="s">
        <v>205</v>
      </c>
      <c r="V471" s="92"/>
      <c r="W471" s="145" t="s">
        <v>205</v>
      </c>
      <c r="X471" s="92"/>
      <c r="Y471" s="352" t="s">
        <v>205</v>
      </c>
      <c r="Z471" s="142" t="str">
        <f t="shared" si="24"/>
        <v>C</v>
      </c>
      <c r="AA471" s="226" t="str">
        <f t="shared" si="25"/>
        <v>UTILIZOU O PDA CORRETAMENTE</v>
      </c>
      <c r="AB471" s="9" t="s">
        <v>205</v>
      </c>
      <c r="AC471" s="162" t="s">
        <v>6</v>
      </c>
      <c r="AD471" s="150" t="str">
        <f t="shared" si="23"/>
        <v>SÃO PAULO</v>
      </c>
      <c r="AE471" s="95" t="s">
        <v>64</v>
      </c>
    </row>
    <row r="472" spans="1:31" s="55" customFormat="1" ht="30" customHeight="1">
      <c r="A472" s="215" t="s">
        <v>198</v>
      </c>
      <c r="B472" s="215">
        <v>2693955861</v>
      </c>
      <c r="C472" s="215" t="s">
        <v>128</v>
      </c>
      <c r="D472" s="215" t="s">
        <v>64</v>
      </c>
      <c r="E472" s="215" t="s">
        <v>5</v>
      </c>
      <c r="F472" s="215" t="s">
        <v>2513</v>
      </c>
      <c r="G472" s="215">
        <v>309</v>
      </c>
      <c r="H472" s="215" t="s">
        <v>200</v>
      </c>
      <c r="I472" s="215" t="s">
        <v>355</v>
      </c>
      <c r="J472" s="215" t="s">
        <v>1908</v>
      </c>
      <c r="K472" s="215" t="s">
        <v>200</v>
      </c>
      <c r="L472" s="216">
        <v>46164.419444444444</v>
      </c>
      <c r="M472" s="216">
        <v>46164.428472222222</v>
      </c>
      <c r="N472" s="215" t="s">
        <v>799</v>
      </c>
      <c r="O472" s="180" t="s">
        <v>205</v>
      </c>
      <c r="P472" s="92"/>
      <c r="Q472" s="164" t="s">
        <v>205</v>
      </c>
      <c r="R472" s="92"/>
      <c r="S472" s="164" t="s">
        <v>205</v>
      </c>
      <c r="T472" s="92"/>
      <c r="U472" s="145" t="s">
        <v>205</v>
      </c>
      <c r="V472" s="92"/>
      <c r="W472" s="145" t="s">
        <v>205</v>
      </c>
      <c r="X472" s="92"/>
      <c r="Y472" s="352" t="s">
        <v>205</v>
      </c>
      <c r="Z472" s="142" t="str">
        <f t="shared" si="24"/>
        <v>C</v>
      </c>
      <c r="AA472" s="226" t="str">
        <f t="shared" si="25"/>
        <v>UTILIZOU O PDA CORRETAMENTE</v>
      </c>
      <c r="AB472" s="9" t="s">
        <v>205</v>
      </c>
      <c r="AC472" s="162" t="s">
        <v>6</v>
      </c>
      <c r="AD472" s="150" t="str">
        <f t="shared" si="23"/>
        <v>SÃO PAULO</v>
      </c>
      <c r="AE472" s="95" t="s">
        <v>64</v>
      </c>
    </row>
    <row r="473" spans="1:31" s="55" customFormat="1" ht="30" customHeight="1">
      <c r="A473" s="365" t="s">
        <v>198</v>
      </c>
      <c r="B473" s="215">
        <v>2693954187</v>
      </c>
      <c r="C473" s="215" t="s">
        <v>128</v>
      </c>
      <c r="D473" s="215" t="s">
        <v>64</v>
      </c>
      <c r="E473" s="215" t="s">
        <v>5</v>
      </c>
      <c r="F473" s="215" t="s">
        <v>2621</v>
      </c>
      <c r="G473" s="215">
        <v>63</v>
      </c>
      <c r="H473" s="215"/>
      <c r="I473" s="215" t="s">
        <v>333</v>
      </c>
      <c r="J473" s="215" t="s">
        <v>1908</v>
      </c>
      <c r="K473" s="215"/>
      <c r="L473" s="216">
        <v>46164.618750000001</v>
      </c>
      <c r="M473" s="216">
        <v>46164.623611111114</v>
      </c>
      <c r="N473" s="215" t="s">
        <v>1956</v>
      </c>
      <c r="O473" s="157" t="s">
        <v>62</v>
      </c>
      <c r="P473" s="92"/>
      <c r="Q473" s="145" t="s">
        <v>62</v>
      </c>
      <c r="R473" s="92"/>
      <c r="S473" s="145" t="s">
        <v>62</v>
      </c>
      <c r="T473" s="92"/>
      <c r="U473" s="145" t="s">
        <v>62</v>
      </c>
      <c r="V473" s="92"/>
      <c r="W473" s="145" t="s">
        <v>62</v>
      </c>
      <c r="X473" s="92" t="s">
        <v>2613</v>
      </c>
      <c r="Y473" s="352" t="s">
        <v>62</v>
      </c>
      <c r="Z473" s="142" t="str">
        <f t="shared" si="24"/>
        <v>NA</v>
      </c>
      <c r="AA473" s="226" t="str">
        <f t="shared" si="25"/>
        <v>NÃO AVALIADO POR FALHA DE SINCRONISMO</v>
      </c>
      <c r="AB473" s="9" t="s">
        <v>205</v>
      </c>
      <c r="AC473" s="162" t="s">
        <v>6</v>
      </c>
      <c r="AD473" s="150" t="str">
        <f t="shared" ref="AD473:AD504" si="26">E473</f>
        <v>SÃO PAULO</v>
      </c>
      <c r="AE473" s="95" t="s">
        <v>64</v>
      </c>
    </row>
    <row r="474" spans="1:31" s="55" customFormat="1" ht="30" customHeight="1">
      <c r="A474" s="215" t="s">
        <v>198</v>
      </c>
      <c r="B474" s="215">
        <v>2693965941</v>
      </c>
      <c r="C474" s="215" t="s">
        <v>128</v>
      </c>
      <c r="D474" s="215" t="s">
        <v>64</v>
      </c>
      <c r="E474" s="215" t="s">
        <v>5</v>
      </c>
      <c r="F474" s="215" t="s">
        <v>1560</v>
      </c>
      <c r="G474" s="215">
        <v>230</v>
      </c>
      <c r="H474" s="215" t="s">
        <v>200</v>
      </c>
      <c r="I474" s="215" t="s">
        <v>1561</v>
      </c>
      <c r="J474" s="215" t="s">
        <v>1898</v>
      </c>
      <c r="K474" s="215" t="s">
        <v>200</v>
      </c>
      <c r="L474" s="216">
        <v>46164.627083333333</v>
      </c>
      <c r="M474" s="216">
        <v>46164.631944444445</v>
      </c>
      <c r="N474" s="215" t="s">
        <v>799</v>
      </c>
      <c r="O474" s="180" t="s">
        <v>205</v>
      </c>
      <c r="P474" s="92"/>
      <c r="Q474" s="145" t="s">
        <v>206</v>
      </c>
      <c r="R474" s="92"/>
      <c r="S474" s="164" t="s">
        <v>205</v>
      </c>
      <c r="T474" s="92"/>
      <c r="U474" s="145" t="s">
        <v>205</v>
      </c>
      <c r="V474" s="92"/>
      <c r="W474" s="145" t="s">
        <v>205</v>
      </c>
      <c r="X474" s="92"/>
      <c r="Y474" s="352" t="s">
        <v>205</v>
      </c>
      <c r="Z474" s="142" t="str">
        <f t="shared" si="24"/>
        <v>NC</v>
      </c>
      <c r="AA474" s="226" t="str">
        <f t="shared" si="25"/>
        <v>UTILIZOU O PDA CORRETAMENTE. NÃO HÁ FOTOS DE TODAS AS ETAPAS</v>
      </c>
      <c r="AB474" s="9" t="s">
        <v>205</v>
      </c>
      <c r="AC474" s="162" t="s">
        <v>6</v>
      </c>
      <c r="AD474" s="150" t="str">
        <f t="shared" si="26"/>
        <v>SÃO PAULO</v>
      </c>
      <c r="AE474" s="95" t="s">
        <v>64</v>
      </c>
    </row>
    <row r="475" spans="1:31" s="55" customFormat="1" ht="30" customHeight="1">
      <c r="A475" s="215" t="s">
        <v>198</v>
      </c>
      <c r="B475" s="215">
        <v>2621662869</v>
      </c>
      <c r="C475" s="215" t="s">
        <v>128</v>
      </c>
      <c r="D475" s="215" t="s">
        <v>64</v>
      </c>
      <c r="E475" s="215" t="s">
        <v>5</v>
      </c>
      <c r="F475" s="215" t="s">
        <v>2622</v>
      </c>
      <c r="G475" s="215">
        <v>28</v>
      </c>
      <c r="H475" s="215"/>
      <c r="I475" s="215" t="s">
        <v>343</v>
      </c>
      <c r="J475" s="215" t="s">
        <v>1898</v>
      </c>
      <c r="K475" s="215"/>
      <c r="L475" s="216">
        <v>46164.631944444445</v>
      </c>
      <c r="M475" s="216">
        <v>46164.640277777777</v>
      </c>
      <c r="N475" s="215" t="s">
        <v>1919</v>
      </c>
      <c r="O475" s="180" t="s">
        <v>205</v>
      </c>
      <c r="P475" s="92"/>
      <c r="Q475" s="164" t="s">
        <v>205</v>
      </c>
      <c r="R475" s="92"/>
      <c r="S475" s="164" t="s">
        <v>205</v>
      </c>
      <c r="T475" s="92"/>
      <c r="U475" s="145" t="s">
        <v>205</v>
      </c>
      <c r="V475" s="92"/>
      <c r="W475" s="145" t="s">
        <v>205</v>
      </c>
      <c r="X475" s="92"/>
      <c r="Y475" s="352" t="s">
        <v>205</v>
      </c>
      <c r="Z475" s="142" t="str">
        <f t="shared" si="24"/>
        <v>C</v>
      </c>
      <c r="AA475" s="226" t="str">
        <f t="shared" si="25"/>
        <v>UTILIZOU O PDA CORRETAMENTE</v>
      </c>
      <c r="AB475" s="9" t="s">
        <v>205</v>
      </c>
      <c r="AC475" s="162" t="s">
        <v>6</v>
      </c>
      <c r="AD475" s="150" t="str">
        <f t="shared" si="26"/>
        <v>SÃO PAULO</v>
      </c>
      <c r="AE475" s="95" t="s">
        <v>64</v>
      </c>
    </row>
    <row r="476" spans="1:31" s="55" customFormat="1" ht="30" customHeight="1">
      <c r="A476" s="215" t="s">
        <v>198</v>
      </c>
      <c r="B476" s="215">
        <v>2693905861</v>
      </c>
      <c r="C476" s="215" t="s">
        <v>127</v>
      </c>
      <c r="D476" s="215" t="s">
        <v>64</v>
      </c>
      <c r="E476" s="215" t="s">
        <v>5</v>
      </c>
      <c r="F476" s="215" t="s">
        <v>1697</v>
      </c>
      <c r="G476" s="215">
        <v>78</v>
      </c>
      <c r="H476" s="215" t="s">
        <v>226</v>
      </c>
      <c r="I476" s="215" t="s">
        <v>1698</v>
      </c>
      <c r="J476" s="215" t="s">
        <v>1898</v>
      </c>
      <c r="K476" s="215" t="s">
        <v>2623</v>
      </c>
      <c r="L476" s="216">
        <v>46164.422222222223</v>
      </c>
      <c r="M476" s="216">
        <v>46164.424305555556</v>
      </c>
      <c r="N476" s="215" t="s">
        <v>248</v>
      </c>
      <c r="O476" s="180" t="s">
        <v>205</v>
      </c>
      <c r="P476" s="92"/>
      <c r="Q476" s="164" t="s">
        <v>205</v>
      </c>
      <c r="R476" s="92"/>
      <c r="S476" s="164" t="s">
        <v>205</v>
      </c>
      <c r="T476" s="92"/>
      <c r="U476" s="145" t="s">
        <v>205</v>
      </c>
      <c r="V476" s="92"/>
      <c r="W476" s="145" t="s">
        <v>205</v>
      </c>
      <c r="X476" s="92"/>
      <c r="Y476" s="352" t="s">
        <v>205</v>
      </c>
      <c r="Z476" s="142" t="str">
        <f t="shared" si="24"/>
        <v>C</v>
      </c>
      <c r="AA476" s="226" t="str">
        <f t="shared" si="25"/>
        <v>UTILIZOU O PDA CORRETAMENTE</v>
      </c>
      <c r="AB476" s="9" t="s">
        <v>205</v>
      </c>
      <c r="AC476" s="162" t="s">
        <v>6</v>
      </c>
      <c r="AD476" s="150" t="str">
        <f t="shared" si="26"/>
        <v>SÃO PAULO</v>
      </c>
      <c r="AE476" s="95" t="s">
        <v>64</v>
      </c>
    </row>
    <row r="477" spans="1:31" s="55" customFormat="1" ht="30" customHeight="1">
      <c r="A477" s="215" t="s">
        <v>198</v>
      </c>
      <c r="B477" s="215">
        <v>2693977490</v>
      </c>
      <c r="C477" s="215" t="s">
        <v>128</v>
      </c>
      <c r="D477" s="215" t="s">
        <v>64</v>
      </c>
      <c r="E477" s="215" t="s">
        <v>5</v>
      </c>
      <c r="F477" s="215" t="s">
        <v>1836</v>
      </c>
      <c r="G477" s="215">
        <v>110</v>
      </c>
      <c r="H477" s="215" t="s">
        <v>200</v>
      </c>
      <c r="I477" s="215" t="s">
        <v>1394</v>
      </c>
      <c r="J477" s="215" t="s">
        <v>1898</v>
      </c>
      <c r="K477" s="215" t="s">
        <v>200</v>
      </c>
      <c r="L477" s="216">
        <v>46164.649305555555</v>
      </c>
      <c r="M477" s="216">
        <v>46164.652083333334</v>
      </c>
      <c r="N477" s="215" t="s">
        <v>900</v>
      </c>
      <c r="O477" s="180" t="s">
        <v>205</v>
      </c>
      <c r="P477" s="92"/>
      <c r="Q477" s="164" t="s">
        <v>205</v>
      </c>
      <c r="R477" s="92"/>
      <c r="S477" s="164" t="s">
        <v>205</v>
      </c>
      <c r="T477" s="92"/>
      <c r="U477" s="145" t="s">
        <v>205</v>
      </c>
      <c r="V477" s="92"/>
      <c r="W477" s="145" t="s">
        <v>205</v>
      </c>
      <c r="X477" s="92"/>
      <c r="Y477" s="352" t="s">
        <v>205</v>
      </c>
      <c r="Z477" s="142" t="str">
        <f t="shared" si="24"/>
        <v>C</v>
      </c>
      <c r="AA477" s="226" t="str">
        <f t="shared" si="25"/>
        <v>UTILIZOU O PDA CORRETAMENTE</v>
      </c>
      <c r="AB477" s="9" t="s">
        <v>205</v>
      </c>
      <c r="AC477" s="162" t="s">
        <v>6</v>
      </c>
      <c r="AD477" s="150" t="str">
        <f t="shared" si="26"/>
        <v>SÃO PAULO</v>
      </c>
      <c r="AE477" s="95" t="s">
        <v>64</v>
      </c>
    </row>
    <row r="478" spans="1:31" s="55" customFormat="1" ht="30" customHeight="1">
      <c r="A478" s="215" t="s">
        <v>198</v>
      </c>
      <c r="B478" s="215">
        <v>2621282540</v>
      </c>
      <c r="C478" s="215" t="s">
        <v>136</v>
      </c>
      <c r="D478" s="215" t="s">
        <v>125</v>
      </c>
      <c r="E478" s="215" t="s">
        <v>5</v>
      </c>
      <c r="F478" s="215" t="s">
        <v>1253</v>
      </c>
      <c r="G478" s="215">
        <v>25</v>
      </c>
      <c r="H478" s="215" t="s">
        <v>226</v>
      </c>
      <c r="I478" s="215" t="s">
        <v>246</v>
      </c>
      <c r="J478" s="215" t="s">
        <v>2624</v>
      </c>
      <c r="K478" s="215" t="s">
        <v>2625</v>
      </c>
      <c r="L478" s="216">
        <v>46164.678472222222</v>
      </c>
      <c r="M478" s="216">
        <v>46164.679166666669</v>
      </c>
      <c r="N478" s="215" t="s">
        <v>221</v>
      </c>
      <c r="O478" s="180" t="s">
        <v>205</v>
      </c>
      <c r="P478" s="92"/>
      <c r="Q478" s="145" t="s">
        <v>206</v>
      </c>
      <c r="R478" s="92"/>
      <c r="S478" s="145" t="s">
        <v>206</v>
      </c>
      <c r="T478" s="92"/>
      <c r="U478" s="145" t="s">
        <v>206</v>
      </c>
      <c r="V478" s="92"/>
      <c r="W478" s="145" t="s">
        <v>206</v>
      </c>
      <c r="X478" s="92"/>
      <c r="Y478" s="352" t="s">
        <v>239</v>
      </c>
      <c r="Z478" s="142" t="str">
        <f t="shared" si="24"/>
        <v>NC</v>
      </c>
      <c r="AA478" s="226" t="str">
        <f t="shared" si="25"/>
        <v>NÃO UTILIZOU O PDA</v>
      </c>
      <c r="AB478" s="9" t="s">
        <v>205</v>
      </c>
      <c r="AC478" s="162" t="s">
        <v>6</v>
      </c>
      <c r="AD478" s="150" t="str">
        <f t="shared" si="26"/>
        <v>SÃO PAULO</v>
      </c>
      <c r="AE478" s="95" t="s">
        <v>64</v>
      </c>
    </row>
    <row r="479" spans="1:31" s="55" customFormat="1" ht="30" customHeight="1">
      <c r="A479" s="215" t="s">
        <v>198</v>
      </c>
      <c r="B479" s="215">
        <v>2694011818</v>
      </c>
      <c r="C479" s="215" t="s">
        <v>128</v>
      </c>
      <c r="D479" s="215" t="s">
        <v>64</v>
      </c>
      <c r="E479" s="215" t="s">
        <v>5</v>
      </c>
      <c r="F479" s="215" t="s">
        <v>2626</v>
      </c>
      <c r="G479" s="215">
        <v>210</v>
      </c>
      <c r="H479" s="215"/>
      <c r="I479" s="215" t="s">
        <v>1177</v>
      </c>
      <c r="J479" s="215" t="s">
        <v>1898</v>
      </c>
      <c r="K479" s="215" t="s">
        <v>2289</v>
      </c>
      <c r="L479" s="216">
        <v>46165.542361111111</v>
      </c>
      <c r="M479" s="216">
        <v>46165.543055555558</v>
      </c>
      <c r="N479" s="215" t="s">
        <v>2073</v>
      </c>
      <c r="O479" s="180" t="s">
        <v>205</v>
      </c>
      <c r="P479" s="92"/>
      <c r="Q479" s="145" t="s">
        <v>206</v>
      </c>
      <c r="R479" s="92"/>
      <c r="S479" s="145" t="s">
        <v>206</v>
      </c>
      <c r="T479" s="92"/>
      <c r="U479" s="145" t="s">
        <v>206</v>
      </c>
      <c r="V479" s="92"/>
      <c r="W479" s="145" t="s">
        <v>206</v>
      </c>
      <c r="X479" s="92"/>
      <c r="Y479" s="352" t="s">
        <v>239</v>
      </c>
      <c r="Z479" s="142" t="str">
        <f t="shared" si="24"/>
        <v>NC</v>
      </c>
      <c r="AA479" s="226" t="str">
        <f t="shared" si="25"/>
        <v>NÃO UTILIZOU O PDA</v>
      </c>
      <c r="AB479" s="9" t="s">
        <v>205</v>
      </c>
      <c r="AC479" s="162" t="s">
        <v>6</v>
      </c>
      <c r="AD479" s="150" t="str">
        <f t="shared" si="26"/>
        <v>SÃO PAULO</v>
      </c>
      <c r="AE479" s="95" t="s">
        <v>64</v>
      </c>
    </row>
    <row r="480" spans="1:31" s="55" customFormat="1" ht="30" customHeight="1">
      <c r="A480" s="215" t="s">
        <v>198</v>
      </c>
      <c r="B480" s="215">
        <v>2693994684</v>
      </c>
      <c r="C480" s="215" t="s">
        <v>128</v>
      </c>
      <c r="D480" s="215" t="s">
        <v>64</v>
      </c>
      <c r="E480" s="215" t="s">
        <v>5</v>
      </c>
      <c r="F480" s="215" t="s">
        <v>2627</v>
      </c>
      <c r="G480" s="215">
        <v>61</v>
      </c>
      <c r="H480" s="215" t="s">
        <v>226</v>
      </c>
      <c r="I480" s="215" t="s">
        <v>257</v>
      </c>
      <c r="J480" s="215" t="s">
        <v>1898</v>
      </c>
      <c r="K480" s="215" t="s">
        <v>200</v>
      </c>
      <c r="L480" s="216">
        <v>46165.25</v>
      </c>
      <c r="M480" s="216">
        <v>46165.250694444447</v>
      </c>
      <c r="N480" s="215" t="s">
        <v>2073</v>
      </c>
      <c r="O480" s="180" t="s">
        <v>205</v>
      </c>
      <c r="P480" s="92"/>
      <c r="Q480" s="164" t="s">
        <v>205</v>
      </c>
      <c r="R480" s="92"/>
      <c r="S480" s="164" t="s">
        <v>205</v>
      </c>
      <c r="T480" s="92"/>
      <c r="U480" s="145" t="s">
        <v>205</v>
      </c>
      <c r="V480" s="92"/>
      <c r="W480" s="145" t="s">
        <v>205</v>
      </c>
      <c r="X480" s="92"/>
      <c r="Y480" s="352" t="s">
        <v>205</v>
      </c>
      <c r="Z480" s="142" t="str">
        <f t="shared" si="24"/>
        <v>C</v>
      </c>
      <c r="AA480" s="226" t="str">
        <f t="shared" si="25"/>
        <v>UTILIZOU O PDA CORRETAMENTE</v>
      </c>
      <c r="AB480" s="9" t="s">
        <v>205</v>
      </c>
      <c r="AC480" s="162" t="s">
        <v>6</v>
      </c>
      <c r="AD480" s="150" t="str">
        <f t="shared" si="26"/>
        <v>SÃO PAULO</v>
      </c>
      <c r="AE480" s="95" t="s">
        <v>64</v>
      </c>
    </row>
    <row r="481" spans="1:31" s="55" customFormat="1" ht="30" customHeight="1">
      <c r="A481" s="215" t="s">
        <v>198</v>
      </c>
      <c r="B481" s="215">
        <v>2693995298</v>
      </c>
      <c r="C481" s="215" t="s">
        <v>132</v>
      </c>
      <c r="D481" s="215" t="s">
        <v>64</v>
      </c>
      <c r="E481" s="215" t="s">
        <v>5</v>
      </c>
      <c r="F481" s="215" t="s">
        <v>2628</v>
      </c>
      <c r="G481" s="215">
        <v>267</v>
      </c>
      <c r="H481" s="215"/>
      <c r="I481" s="215" t="s">
        <v>1000</v>
      </c>
      <c r="J481" s="215" t="s">
        <v>1898</v>
      </c>
      <c r="K481" s="215" t="s">
        <v>2289</v>
      </c>
      <c r="L481" s="216">
        <v>46165.529861111114</v>
      </c>
      <c r="M481" s="216">
        <v>46165.530555555553</v>
      </c>
      <c r="N481" s="215" t="s">
        <v>1337</v>
      </c>
      <c r="O481" s="157" t="s">
        <v>206</v>
      </c>
      <c r="P481" s="92"/>
      <c r="Q481" s="145" t="s">
        <v>206</v>
      </c>
      <c r="R481" s="92"/>
      <c r="S481" s="145" t="s">
        <v>206</v>
      </c>
      <c r="T481" s="92"/>
      <c r="U481" s="145" t="s">
        <v>206</v>
      </c>
      <c r="V481" s="92"/>
      <c r="W481" s="145" t="s">
        <v>206</v>
      </c>
      <c r="X481" s="92"/>
      <c r="Y481" s="352" t="s">
        <v>239</v>
      </c>
      <c r="Z481" s="142" t="str">
        <f t="shared" si="24"/>
        <v>NC</v>
      </c>
      <c r="AA481" s="226" t="str">
        <f t="shared" si="25"/>
        <v>NÃO UTILIZOU O PDA</v>
      </c>
      <c r="AB481" s="9" t="s">
        <v>205</v>
      </c>
      <c r="AC481" s="162" t="s">
        <v>6</v>
      </c>
      <c r="AD481" s="150" t="str">
        <f t="shared" si="26"/>
        <v>SÃO PAULO</v>
      </c>
      <c r="AE481" s="95" t="s">
        <v>64</v>
      </c>
    </row>
    <row r="482" spans="1:31" s="55" customFormat="1" ht="30" customHeight="1">
      <c r="A482" s="215" t="s">
        <v>198</v>
      </c>
      <c r="B482" s="215">
        <v>2693984833</v>
      </c>
      <c r="C482" s="215" t="s">
        <v>128</v>
      </c>
      <c r="D482" s="215" t="s">
        <v>64</v>
      </c>
      <c r="E482" s="215" t="s">
        <v>5</v>
      </c>
      <c r="F482" s="215" t="s">
        <v>736</v>
      </c>
      <c r="G482" s="215">
        <v>175</v>
      </c>
      <c r="H482" s="215" t="s">
        <v>200</v>
      </c>
      <c r="I482" s="215" t="s">
        <v>737</v>
      </c>
      <c r="J482" s="215" t="s">
        <v>1898</v>
      </c>
      <c r="K482" s="215" t="s">
        <v>2289</v>
      </c>
      <c r="L482" s="216">
        <v>46165.527777777781</v>
      </c>
      <c r="M482" s="216">
        <v>46165.529166666667</v>
      </c>
      <c r="N482" s="215" t="s">
        <v>1337</v>
      </c>
      <c r="O482" s="157" t="s">
        <v>206</v>
      </c>
      <c r="P482" s="92"/>
      <c r="Q482" s="145" t="s">
        <v>206</v>
      </c>
      <c r="R482" s="92"/>
      <c r="S482" s="145" t="s">
        <v>206</v>
      </c>
      <c r="T482" s="92"/>
      <c r="U482" s="145" t="s">
        <v>206</v>
      </c>
      <c r="V482" s="92"/>
      <c r="W482" s="145" t="s">
        <v>206</v>
      </c>
      <c r="X482" s="92"/>
      <c r="Y482" s="352" t="s">
        <v>239</v>
      </c>
      <c r="Z482" s="142" t="str">
        <f t="shared" si="24"/>
        <v>NC</v>
      </c>
      <c r="AA482" s="226" t="str">
        <f t="shared" si="25"/>
        <v>NÃO UTILIZOU O PDA</v>
      </c>
      <c r="AB482" s="9" t="s">
        <v>205</v>
      </c>
      <c r="AC482" s="162" t="s">
        <v>6</v>
      </c>
      <c r="AD482" s="150" t="str">
        <f t="shared" si="26"/>
        <v>SÃO PAULO</v>
      </c>
      <c r="AE482" s="95" t="s">
        <v>64</v>
      </c>
    </row>
    <row r="483" spans="1:31" s="55" customFormat="1" ht="30" customHeight="1">
      <c r="A483" s="215" t="s">
        <v>198</v>
      </c>
      <c r="B483" s="215">
        <v>2693977463</v>
      </c>
      <c r="C483" s="215" t="s">
        <v>128</v>
      </c>
      <c r="D483" s="215" t="s">
        <v>64</v>
      </c>
      <c r="E483" s="215" t="s">
        <v>5</v>
      </c>
      <c r="F483" s="215" t="s">
        <v>2629</v>
      </c>
      <c r="G483" s="215">
        <v>243</v>
      </c>
      <c r="H483" s="215"/>
      <c r="I483" s="215" t="s">
        <v>817</v>
      </c>
      <c r="J483" s="215" t="s">
        <v>1908</v>
      </c>
      <c r="K483" s="215" t="s">
        <v>2630</v>
      </c>
      <c r="L483" s="216">
        <v>46165.267361111109</v>
      </c>
      <c r="M483" s="216">
        <v>46165.274305555555</v>
      </c>
      <c r="N483" s="215" t="s">
        <v>1337</v>
      </c>
      <c r="O483" s="157" t="s">
        <v>206</v>
      </c>
      <c r="P483" s="92"/>
      <c r="Q483" s="145" t="s">
        <v>206</v>
      </c>
      <c r="R483" s="92"/>
      <c r="S483" s="145" t="s">
        <v>206</v>
      </c>
      <c r="T483" s="92"/>
      <c r="U483" s="145" t="s">
        <v>206</v>
      </c>
      <c r="V483" s="92"/>
      <c r="W483" s="145" t="s">
        <v>206</v>
      </c>
      <c r="X483" s="92"/>
      <c r="Y483" s="352" t="s">
        <v>239</v>
      </c>
      <c r="Z483" s="142" t="str">
        <f t="shared" si="24"/>
        <v>NC</v>
      </c>
      <c r="AA483" s="226" t="str">
        <f t="shared" si="25"/>
        <v>NÃO UTILIZOU O PDA</v>
      </c>
      <c r="AB483" s="9" t="s">
        <v>205</v>
      </c>
      <c r="AC483" s="162" t="s">
        <v>6</v>
      </c>
      <c r="AD483" s="150" t="str">
        <f t="shared" si="26"/>
        <v>SÃO PAULO</v>
      </c>
      <c r="AE483" s="95" t="s">
        <v>64</v>
      </c>
    </row>
    <row r="484" spans="1:31" s="55" customFormat="1" ht="30" customHeight="1">
      <c r="A484" s="215" t="s">
        <v>198</v>
      </c>
      <c r="B484" s="215">
        <v>2621699880</v>
      </c>
      <c r="C484" s="215" t="s">
        <v>128</v>
      </c>
      <c r="D484" s="215" t="s">
        <v>64</v>
      </c>
      <c r="E484" s="215" t="s">
        <v>5</v>
      </c>
      <c r="F484" s="215" t="s">
        <v>2631</v>
      </c>
      <c r="G484" s="215">
        <v>1006</v>
      </c>
      <c r="H484" s="215" t="s">
        <v>200</v>
      </c>
      <c r="I484" s="215" t="s">
        <v>626</v>
      </c>
      <c r="J484" s="215" t="s">
        <v>1898</v>
      </c>
      <c r="K484" s="215" t="s">
        <v>2087</v>
      </c>
      <c r="L484" s="216">
        <v>46165.386111111111</v>
      </c>
      <c r="M484" s="216">
        <v>46165.399305555555</v>
      </c>
      <c r="N484" s="215" t="s">
        <v>1956</v>
      </c>
      <c r="O484" s="157" t="s">
        <v>62</v>
      </c>
      <c r="P484" s="92"/>
      <c r="Q484" s="145" t="s">
        <v>62</v>
      </c>
      <c r="R484" s="92"/>
      <c r="S484" s="145" t="s">
        <v>62</v>
      </c>
      <c r="T484" s="92"/>
      <c r="U484" s="145" t="s">
        <v>62</v>
      </c>
      <c r="V484" s="92"/>
      <c r="W484" s="145" t="s">
        <v>62</v>
      </c>
      <c r="X484" s="92"/>
      <c r="Y484" s="352" t="s">
        <v>62</v>
      </c>
      <c r="Z484" s="142" t="str">
        <f t="shared" si="24"/>
        <v>NA</v>
      </c>
      <c r="AA484" s="226" t="str">
        <f t="shared" si="25"/>
        <v>NÃO AVALIADO POR FALHA DE SINCRONISMO</v>
      </c>
      <c r="AB484" s="9" t="s">
        <v>205</v>
      </c>
      <c r="AC484" s="162" t="s">
        <v>6</v>
      </c>
      <c r="AD484" s="150" t="str">
        <f t="shared" si="26"/>
        <v>SÃO PAULO</v>
      </c>
      <c r="AE484" s="95" t="s">
        <v>64</v>
      </c>
    </row>
    <row r="485" spans="1:31" s="55" customFormat="1" ht="30" customHeight="1">
      <c r="A485" s="215" t="s">
        <v>198</v>
      </c>
      <c r="B485" s="215">
        <v>2694013315</v>
      </c>
      <c r="C485" s="215" t="s">
        <v>128</v>
      </c>
      <c r="D485" s="215" t="s">
        <v>64</v>
      </c>
      <c r="E485" s="215" t="s">
        <v>5</v>
      </c>
      <c r="F485" s="215" t="s">
        <v>2632</v>
      </c>
      <c r="G485" s="215">
        <v>115</v>
      </c>
      <c r="H485" s="215" t="s">
        <v>226</v>
      </c>
      <c r="I485" s="215" t="s">
        <v>415</v>
      </c>
      <c r="J485" s="215" t="s">
        <v>1898</v>
      </c>
      <c r="K485" s="215" t="s">
        <v>2289</v>
      </c>
      <c r="L485" s="216">
        <v>46165.525694444441</v>
      </c>
      <c r="M485" s="216">
        <v>46165.526388888888</v>
      </c>
      <c r="N485" s="215" t="s">
        <v>1337</v>
      </c>
      <c r="O485" s="157" t="s">
        <v>206</v>
      </c>
      <c r="P485" s="92"/>
      <c r="Q485" s="145" t="s">
        <v>206</v>
      </c>
      <c r="R485" s="92"/>
      <c r="S485" s="145" t="s">
        <v>206</v>
      </c>
      <c r="T485" s="92"/>
      <c r="U485" s="145" t="s">
        <v>206</v>
      </c>
      <c r="V485" s="92"/>
      <c r="W485" s="145" t="s">
        <v>206</v>
      </c>
      <c r="X485" s="92"/>
      <c r="Y485" s="352" t="s">
        <v>239</v>
      </c>
      <c r="Z485" s="142" t="str">
        <f t="shared" si="24"/>
        <v>NC</v>
      </c>
      <c r="AA485" s="226" t="str">
        <f t="shared" si="25"/>
        <v>NÃO UTILIZOU O PDA</v>
      </c>
      <c r="AB485" s="9" t="s">
        <v>205</v>
      </c>
      <c r="AC485" s="162" t="s">
        <v>6</v>
      </c>
      <c r="AD485" s="150" t="str">
        <f t="shared" si="26"/>
        <v>SÃO PAULO</v>
      </c>
      <c r="AE485" s="95" t="s">
        <v>64</v>
      </c>
    </row>
    <row r="486" spans="1:31" s="55" customFormat="1" ht="30" customHeight="1">
      <c r="A486" s="215" t="s">
        <v>198</v>
      </c>
      <c r="B486" s="215">
        <v>2694007606</v>
      </c>
      <c r="C486" s="215" t="s">
        <v>132</v>
      </c>
      <c r="D486" s="215" t="s">
        <v>64</v>
      </c>
      <c r="E486" s="215" t="s">
        <v>5</v>
      </c>
      <c r="F486" s="215" t="s">
        <v>2433</v>
      </c>
      <c r="G486" s="215">
        <v>540</v>
      </c>
      <c r="H486" s="215" t="s">
        <v>226</v>
      </c>
      <c r="I486" s="215" t="s">
        <v>260</v>
      </c>
      <c r="J486" s="215" t="s">
        <v>1898</v>
      </c>
      <c r="K486" s="215" t="s">
        <v>2289</v>
      </c>
      <c r="L486" s="216">
        <v>46165.525000000001</v>
      </c>
      <c r="M486" s="216">
        <v>46165.525694444441</v>
      </c>
      <c r="N486" s="215" t="s">
        <v>1337</v>
      </c>
      <c r="O486" s="157" t="s">
        <v>206</v>
      </c>
      <c r="P486" s="92"/>
      <c r="Q486" s="145" t="s">
        <v>206</v>
      </c>
      <c r="R486" s="92"/>
      <c r="S486" s="145" t="s">
        <v>206</v>
      </c>
      <c r="T486" s="92"/>
      <c r="U486" s="145" t="s">
        <v>206</v>
      </c>
      <c r="V486" s="92"/>
      <c r="W486" s="145" t="s">
        <v>206</v>
      </c>
      <c r="X486" s="92"/>
      <c r="Y486" s="352" t="s">
        <v>239</v>
      </c>
      <c r="Z486" s="142" t="str">
        <f t="shared" si="24"/>
        <v>NC</v>
      </c>
      <c r="AA486" s="226" t="str">
        <f t="shared" si="25"/>
        <v>NÃO UTILIZOU O PDA</v>
      </c>
      <c r="AB486" s="9" t="s">
        <v>205</v>
      </c>
      <c r="AC486" s="162" t="s">
        <v>6</v>
      </c>
      <c r="AD486" s="150" t="str">
        <f t="shared" si="26"/>
        <v>SÃO PAULO</v>
      </c>
      <c r="AE486" s="95" t="s">
        <v>64</v>
      </c>
    </row>
    <row r="487" spans="1:31" s="55" customFormat="1" ht="30" customHeight="1">
      <c r="A487" s="215" t="s">
        <v>198</v>
      </c>
      <c r="B487" s="215">
        <v>2621675280</v>
      </c>
      <c r="C487" s="215" t="s">
        <v>2125</v>
      </c>
      <c r="D487" s="215" t="s">
        <v>64</v>
      </c>
      <c r="E487" s="215" t="s">
        <v>5</v>
      </c>
      <c r="F487" s="215" t="s">
        <v>2611</v>
      </c>
      <c r="G487" s="215">
        <v>147</v>
      </c>
      <c r="H487" s="215" t="s">
        <v>226</v>
      </c>
      <c r="I487" s="215" t="s">
        <v>2612</v>
      </c>
      <c r="J487" s="215" t="s">
        <v>1908</v>
      </c>
      <c r="K487" s="215" t="s">
        <v>2630</v>
      </c>
      <c r="L487" s="216">
        <v>46165.309027777781</v>
      </c>
      <c r="M487" s="216">
        <v>46165.315972222219</v>
      </c>
      <c r="N487" s="215" t="s">
        <v>1337</v>
      </c>
      <c r="O487" s="157" t="s">
        <v>62</v>
      </c>
      <c r="P487" s="92"/>
      <c r="Q487" s="145" t="s">
        <v>62</v>
      </c>
      <c r="R487" s="92"/>
      <c r="S487" s="145" t="s">
        <v>62</v>
      </c>
      <c r="T487" s="92"/>
      <c r="U487" s="145" t="s">
        <v>62</v>
      </c>
      <c r="V487" s="92"/>
      <c r="W487" s="145" t="s">
        <v>62</v>
      </c>
      <c r="X487" s="92"/>
      <c r="Y487" s="352" t="s">
        <v>62</v>
      </c>
      <c r="Z487" s="142" t="str">
        <f t="shared" si="24"/>
        <v>NA</v>
      </c>
      <c r="AA487" s="226" t="str">
        <f t="shared" si="25"/>
        <v>NÃO AVALIADO POR FALHA DE SINCRONISMO</v>
      </c>
      <c r="AB487" s="9" t="s">
        <v>205</v>
      </c>
      <c r="AC487" s="162" t="s">
        <v>6</v>
      </c>
      <c r="AD487" s="150" t="str">
        <f t="shared" si="26"/>
        <v>SÃO PAULO</v>
      </c>
      <c r="AE487" s="95" t="s">
        <v>64</v>
      </c>
    </row>
    <row r="488" spans="1:31" s="55" customFormat="1" ht="30" customHeight="1">
      <c r="A488" s="215" t="s">
        <v>198</v>
      </c>
      <c r="B488" s="215">
        <v>2694022213</v>
      </c>
      <c r="C488" s="215" t="s">
        <v>128</v>
      </c>
      <c r="D488" s="215" t="s">
        <v>64</v>
      </c>
      <c r="E488" s="215" t="s">
        <v>5</v>
      </c>
      <c r="F488" s="215" t="s">
        <v>2633</v>
      </c>
      <c r="G488" s="215">
        <v>332</v>
      </c>
      <c r="H488" s="215" t="s">
        <v>200</v>
      </c>
      <c r="I488" s="215" t="s">
        <v>2634</v>
      </c>
      <c r="J488" s="215" t="s">
        <v>1898</v>
      </c>
      <c r="K488" s="215" t="s">
        <v>2087</v>
      </c>
      <c r="L488" s="216">
        <v>46165.417361111111</v>
      </c>
      <c r="M488" s="216">
        <v>46165.42291666667</v>
      </c>
      <c r="N488" s="215" t="s">
        <v>1956</v>
      </c>
      <c r="O488" s="157" t="s">
        <v>62</v>
      </c>
      <c r="P488" s="92"/>
      <c r="Q488" s="145" t="s">
        <v>62</v>
      </c>
      <c r="R488" s="92"/>
      <c r="S488" s="145" t="s">
        <v>62</v>
      </c>
      <c r="T488" s="92"/>
      <c r="U488" s="145" t="s">
        <v>62</v>
      </c>
      <c r="V488" s="92"/>
      <c r="W488" s="145" t="s">
        <v>62</v>
      </c>
      <c r="X488" s="92"/>
      <c r="Y488" s="352" t="s">
        <v>62</v>
      </c>
      <c r="Z488" s="142" t="str">
        <f t="shared" si="24"/>
        <v>NA</v>
      </c>
      <c r="AA488" s="226" t="str">
        <f t="shared" si="25"/>
        <v>NÃO AVALIADO POR FALHA DE SINCRONISMO</v>
      </c>
      <c r="AB488" s="9" t="s">
        <v>205</v>
      </c>
      <c r="AC488" s="162" t="s">
        <v>6</v>
      </c>
      <c r="AD488" s="150" t="str">
        <f t="shared" si="26"/>
        <v>SÃO PAULO</v>
      </c>
      <c r="AE488" s="95" t="s">
        <v>64</v>
      </c>
    </row>
    <row r="489" spans="1:31" s="55" customFormat="1" ht="30" customHeight="1">
      <c r="A489" s="215" t="s">
        <v>198</v>
      </c>
      <c r="B489" s="215">
        <v>2693954887</v>
      </c>
      <c r="C489" s="215" t="s">
        <v>131</v>
      </c>
      <c r="D489" s="215" t="s">
        <v>64</v>
      </c>
      <c r="E489" s="215" t="s">
        <v>5</v>
      </c>
      <c r="F489" s="215" t="s">
        <v>2488</v>
      </c>
      <c r="G489" s="215">
        <v>796</v>
      </c>
      <c r="H489" s="215" t="s">
        <v>200</v>
      </c>
      <c r="I489" s="215" t="s">
        <v>264</v>
      </c>
      <c r="J489" s="215" t="s">
        <v>1908</v>
      </c>
      <c r="K489" s="215" t="s">
        <v>200</v>
      </c>
      <c r="L489" s="216">
        <v>46165.253472222219</v>
      </c>
      <c r="M489" s="216">
        <v>46165.254166666666</v>
      </c>
      <c r="N489" s="215" t="s">
        <v>326</v>
      </c>
      <c r="O489" s="157" t="s">
        <v>62</v>
      </c>
      <c r="P489" s="92"/>
      <c r="Q489" s="145" t="s">
        <v>62</v>
      </c>
      <c r="R489" s="92"/>
      <c r="S489" s="145" t="s">
        <v>62</v>
      </c>
      <c r="T489" s="92"/>
      <c r="U489" s="145" t="s">
        <v>62</v>
      </c>
      <c r="V489" s="92"/>
      <c r="W489" s="145" t="s">
        <v>62</v>
      </c>
      <c r="X489" s="92"/>
      <c r="Y489" s="352" t="s">
        <v>62</v>
      </c>
      <c r="Z489" s="142" t="str">
        <f t="shared" si="24"/>
        <v>NA</v>
      </c>
      <c r="AA489" s="226" t="str">
        <f t="shared" si="25"/>
        <v>NÃO AVALIADO POR FALHA DE SINCRONISMO</v>
      </c>
      <c r="AB489" s="9" t="s">
        <v>205</v>
      </c>
      <c r="AC489" s="162" t="s">
        <v>6</v>
      </c>
      <c r="AD489" s="150" t="str">
        <f t="shared" si="26"/>
        <v>SÃO PAULO</v>
      </c>
      <c r="AE489" s="95" t="s">
        <v>64</v>
      </c>
    </row>
    <row r="490" spans="1:31" s="55" customFormat="1" ht="30" customHeight="1">
      <c r="A490" s="215" t="s">
        <v>198</v>
      </c>
      <c r="B490" s="215">
        <v>2693991578</v>
      </c>
      <c r="C490" s="215" t="s">
        <v>128</v>
      </c>
      <c r="D490" s="215" t="s">
        <v>64</v>
      </c>
      <c r="E490" s="215" t="s">
        <v>5</v>
      </c>
      <c r="F490" s="215" t="s">
        <v>1976</v>
      </c>
      <c r="G490" s="215">
        <v>92</v>
      </c>
      <c r="H490" s="215" t="s">
        <v>318</v>
      </c>
      <c r="I490" s="215" t="s">
        <v>1706</v>
      </c>
      <c r="J490" s="215" t="s">
        <v>1908</v>
      </c>
      <c r="K490" s="215"/>
      <c r="L490" s="216">
        <v>46165.52847222222</v>
      </c>
      <c r="M490" s="216">
        <v>46165.540277777778</v>
      </c>
      <c r="N490" s="215" t="s">
        <v>221</v>
      </c>
      <c r="O490" s="180" t="s">
        <v>205</v>
      </c>
      <c r="P490" s="92"/>
      <c r="Q490" s="164" t="s">
        <v>205</v>
      </c>
      <c r="R490" s="92"/>
      <c r="S490" s="164" t="s">
        <v>205</v>
      </c>
      <c r="T490" s="92"/>
      <c r="U490" s="145" t="s">
        <v>205</v>
      </c>
      <c r="V490" s="92"/>
      <c r="W490" s="145" t="s">
        <v>205</v>
      </c>
      <c r="X490" s="92"/>
      <c r="Y490" s="352" t="s">
        <v>205</v>
      </c>
      <c r="Z490" s="142" t="str">
        <f t="shared" si="24"/>
        <v>C</v>
      </c>
      <c r="AA490" s="226" t="str">
        <f t="shared" si="25"/>
        <v>UTILIZOU O PDA CORRETAMENTE</v>
      </c>
      <c r="AB490" s="9" t="s">
        <v>205</v>
      </c>
      <c r="AC490" s="162" t="s">
        <v>6</v>
      </c>
      <c r="AD490" s="150" t="str">
        <f t="shared" si="26"/>
        <v>SÃO PAULO</v>
      </c>
      <c r="AE490" s="95" t="s">
        <v>64</v>
      </c>
    </row>
    <row r="491" spans="1:31" s="55" customFormat="1" ht="30" customHeight="1">
      <c r="A491" s="215" t="s">
        <v>198</v>
      </c>
      <c r="B491" s="215">
        <v>2694029593</v>
      </c>
      <c r="C491" s="215" t="s">
        <v>128</v>
      </c>
      <c r="D491" s="215" t="s">
        <v>64</v>
      </c>
      <c r="E491" s="215" t="s">
        <v>5</v>
      </c>
      <c r="F491" s="215" t="s">
        <v>2635</v>
      </c>
      <c r="G491" s="215">
        <v>323</v>
      </c>
      <c r="H491" s="215" t="s">
        <v>481</v>
      </c>
      <c r="I491" s="215" t="s">
        <v>410</v>
      </c>
      <c r="J491" s="215" t="s">
        <v>1898</v>
      </c>
      <c r="K491" s="215" t="s">
        <v>200</v>
      </c>
      <c r="L491" s="216">
        <v>46165.629861111112</v>
      </c>
      <c r="M491" s="216">
        <v>46165.635416666664</v>
      </c>
      <c r="N491" s="215" t="s">
        <v>2073</v>
      </c>
      <c r="O491" s="180" t="s">
        <v>205</v>
      </c>
      <c r="P491" s="92"/>
      <c r="Q491" s="145" t="s">
        <v>206</v>
      </c>
      <c r="R491" s="92"/>
      <c r="S491" s="164" t="s">
        <v>205</v>
      </c>
      <c r="T491" s="92"/>
      <c r="U491" s="145" t="s">
        <v>205</v>
      </c>
      <c r="V491" s="92"/>
      <c r="W491" s="145" t="s">
        <v>205</v>
      </c>
      <c r="X491" s="92"/>
      <c r="Y491" s="352" t="s">
        <v>205</v>
      </c>
      <c r="Z491" s="142" t="str">
        <f t="shared" si="24"/>
        <v>NC</v>
      </c>
      <c r="AA491" s="226" t="str">
        <f t="shared" si="25"/>
        <v>UTILIZOU O PDA CORRETAMENTE. NÃO HÁ FOTOS DE TODAS AS ETAPAS</v>
      </c>
      <c r="AB491" s="9" t="s">
        <v>205</v>
      </c>
      <c r="AC491" s="162" t="s">
        <v>6</v>
      </c>
      <c r="AD491" s="150" t="str">
        <f t="shared" si="26"/>
        <v>SÃO PAULO</v>
      </c>
      <c r="AE491" s="95" t="s">
        <v>64</v>
      </c>
    </row>
    <row r="492" spans="1:31" s="55" customFormat="1" ht="30" customHeight="1">
      <c r="A492" s="215" t="s">
        <v>198</v>
      </c>
      <c r="B492" s="215">
        <v>2621774425</v>
      </c>
      <c r="C492" s="215" t="s">
        <v>136</v>
      </c>
      <c r="D492" s="215" t="s">
        <v>125</v>
      </c>
      <c r="E492" s="215" t="s">
        <v>5</v>
      </c>
      <c r="F492" s="215" t="s">
        <v>345</v>
      </c>
      <c r="G492" s="215">
        <v>496</v>
      </c>
      <c r="H492" s="215" t="s">
        <v>318</v>
      </c>
      <c r="I492" s="215" t="s">
        <v>346</v>
      </c>
      <c r="J492" s="215" t="s">
        <v>2624</v>
      </c>
      <c r="K492" s="215"/>
      <c r="L492" s="216">
        <v>46165.461805555555</v>
      </c>
      <c r="M492" s="216">
        <v>46165.462500000001</v>
      </c>
      <c r="N492" s="215" t="s">
        <v>248</v>
      </c>
      <c r="O492" s="157" t="s">
        <v>62</v>
      </c>
      <c r="P492" s="92"/>
      <c r="Q492" s="145" t="s">
        <v>62</v>
      </c>
      <c r="R492" s="92"/>
      <c r="S492" s="145" t="s">
        <v>62</v>
      </c>
      <c r="T492" s="92"/>
      <c r="U492" s="145" t="s">
        <v>62</v>
      </c>
      <c r="V492" s="92"/>
      <c r="W492" s="145" t="s">
        <v>62</v>
      </c>
      <c r="X492" s="92"/>
      <c r="Y492" s="352" t="s">
        <v>62</v>
      </c>
      <c r="Z492" s="142" t="str">
        <f t="shared" si="24"/>
        <v>NA</v>
      </c>
      <c r="AA492" s="226" t="str">
        <f t="shared" si="25"/>
        <v>NÃO AVALIADO POR FALHA DE SINCRONISMO</v>
      </c>
      <c r="AB492" s="9" t="s">
        <v>205</v>
      </c>
      <c r="AC492" s="162" t="s">
        <v>6</v>
      </c>
      <c r="AD492" s="150" t="str">
        <f t="shared" si="26"/>
        <v>SÃO PAULO</v>
      </c>
      <c r="AE492" s="95" t="s">
        <v>64</v>
      </c>
    </row>
    <row r="493" spans="1:31" s="55" customFormat="1" ht="30" customHeight="1">
      <c r="A493" s="365" t="s">
        <v>198</v>
      </c>
      <c r="B493" s="215">
        <v>2694037371</v>
      </c>
      <c r="C493" s="215" t="s">
        <v>131</v>
      </c>
      <c r="D493" s="215" t="s">
        <v>64</v>
      </c>
      <c r="E493" s="215" t="s">
        <v>5</v>
      </c>
      <c r="F493" s="215" t="s">
        <v>2615</v>
      </c>
      <c r="G493" s="215">
        <v>39</v>
      </c>
      <c r="H493" s="215" t="s">
        <v>226</v>
      </c>
      <c r="I493" s="215" t="s">
        <v>810</v>
      </c>
      <c r="J493" s="215" t="s">
        <v>1898</v>
      </c>
      <c r="K493" s="215" t="s">
        <v>200</v>
      </c>
      <c r="L493" s="216">
        <v>46166.443749999999</v>
      </c>
      <c r="M493" s="216">
        <v>46166.445833333331</v>
      </c>
      <c r="N493" s="215" t="s">
        <v>2073</v>
      </c>
      <c r="O493" s="157" t="s">
        <v>62</v>
      </c>
      <c r="P493" s="92"/>
      <c r="Q493" s="145" t="s">
        <v>62</v>
      </c>
      <c r="R493" s="92"/>
      <c r="S493" s="145" t="s">
        <v>62</v>
      </c>
      <c r="T493" s="92"/>
      <c r="U493" s="145" t="s">
        <v>62</v>
      </c>
      <c r="V493" s="92"/>
      <c r="W493" s="145" t="s">
        <v>62</v>
      </c>
      <c r="X493" s="56" t="s">
        <v>2636</v>
      </c>
      <c r="Y493" s="352" t="s">
        <v>62</v>
      </c>
      <c r="Z493" s="142" t="str">
        <f t="shared" si="24"/>
        <v>NA</v>
      </c>
      <c r="AA493" s="226" t="str">
        <f t="shared" si="25"/>
        <v>NÃO AVALIADO POR FALHA DE SINCRONISMO</v>
      </c>
      <c r="AB493" s="9" t="s">
        <v>205</v>
      </c>
      <c r="AC493" s="162" t="s">
        <v>6</v>
      </c>
      <c r="AD493" s="150" t="str">
        <f t="shared" si="26"/>
        <v>SÃO PAULO</v>
      </c>
      <c r="AE493" s="95" t="s">
        <v>64</v>
      </c>
    </row>
    <row r="494" spans="1:31" s="55" customFormat="1" ht="30" customHeight="1">
      <c r="A494" s="215" t="s">
        <v>198</v>
      </c>
      <c r="B494" s="215">
        <v>2694039503</v>
      </c>
      <c r="C494" s="215" t="s">
        <v>132</v>
      </c>
      <c r="D494" s="215" t="s">
        <v>64</v>
      </c>
      <c r="E494" s="215" t="s">
        <v>5</v>
      </c>
      <c r="F494" s="215" t="s">
        <v>2637</v>
      </c>
      <c r="G494" s="215">
        <v>103</v>
      </c>
      <c r="H494" s="215" t="s">
        <v>214</v>
      </c>
      <c r="I494" s="215" t="s">
        <v>343</v>
      </c>
      <c r="J494" s="215" t="s">
        <v>1898</v>
      </c>
      <c r="K494" s="215"/>
      <c r="L494" s="216">
        <v>46166.355555555558</v>
      </c>
      <c r="M494" s="216">
        <v>46166.363888888889</v>
      </c>
      <c r="N494" s="215" t="s">
        <v>2073</v>
      </c>
      <c r="O494" s="180" t="s">
        <v>205</v>
      </c>
      <c r="P494" s="92"/>
      <c r="Q494" s="164" t="s">
        <v>205</v>
      </c>
      <c r="R494" s="92"/>
      <c r="S494" s="164" t="s">
        <v>205</v>
      </c>
      <c r="T494" s="92"/>
      <c r="U494" s="145" t="s">
        <v>205</v>
      </c>
      <c r="V494" s="92"/>
      <c r="W494" s="145" t="s">
        <v>205</v>
      </c>
      <c r="X494" s="92"/>
      <c r="Y494" s="352" t="s">
        <v>205</v>
      </c>
      <c r="Z494" s="142" t="str">
        <f t="shared" si="24"/>
        <v>C</v>
      </c>
      <c r="AA494" s="226" t="str">
        <f t="shared" si="25"/>
        <v>UTILIZOU O PDA CORRETAMENTE</v>
      </c>
      <c r="AB494" s="9" t="s">
        <v>205</v>
      </c>
      <c r="AC494" s="162" t="s">
        <v>6</v>
      </c>
      <c r="AD494" s="150" t="str">
        <f t="shared" si="26"/>
        <v>SÃO PAULO</v>
      </c>
      <c r="AE494" s="95" t="s">
        <v>64</v>
      </c>
    </row>
    <row r="495" spans="1:31" s="55" customFormat="1" ht="30" customHeight="1">
      <c r="A495" s="365" t="s">
        <v>198</v>
      </c>
      <c r="B495" s="215">
        <v>2694037883</v>
      </c>
      <c r="C495" s="215" t="s">
        <v>128</v>
      </c>
      <c r="D495" s="215" t="s">
        <v>64</v>
      </c>
      <c r="E495" s="215" t="s">
        <v>5</v>
      </c>
      <c r="F495" s="215" t="s">
        <v>1385</v>
      </c>
      <c r="G495" s="215">
        <v>121</v>
      </c>
      <c r="H495" s="215" t="s">
        <v>200</v>
      </c>
      <c r="I495" s="215" t="s">
        <v>232</v>
      </c>
      <c r="J495" s="215" t="s">
        <v>1908</v>
      </c>
      <c r="K495" s="215" t="s">
        <v>200</v>
      </c>
      <c r="L495" s="216">
        <v>46166.463888888888</v>
      </c>
      <c r="M495" s="216">
        <v>46166.478472222225</v>
      </c>
      <c r="N495" s="215" t="s">
        <v>2073</v>
      </c>
      <c r="O495" s="157" t="s">
        <v>62</v>
      </c>
      <c r="P495" s="92"/>
      <c r="Q495" s="145" t="s">
        <v>62</v>
      </c>
      <c r="R495" s="92"/>
      <c r="S495" s="145" t="s">
        <v>62</v>
      </c>
      <c r="T495" s="92"/>
      <c r="U495" s="145" t="s">
        <v>62</v>
      </c>
      <c r="V495" s="92"/>
      <c r="W495" s="145" t="s">
        <v>62</v>
      </c>
      <c r="X495" s="56" t="s">
        <v>2636</v>
      </c>
      <c r="Y495" s="352" t="s">
        <v>62</v>
      </c>
      <c r="Z495" s="142" t="str">
        <f t="shared" si="24"/>
        <v>NA</v>
      </c>
      <c r="AA495" s="226" t="str">
        <f t="shared" si="25"/>
        <v>NÃO AVALIADO POR FALHA DE SINCRONISMO</v>
      </c>
      <c r="AB495" s="9" t="s">
        <v>205</v>
      </c>
      <c r="AC495" s="162" t="s">
        <v>6</v>
      </c>
      <c r="AD495" s="150" t="str">
        <f t="shared" si="26"/>
        <v>SÃO PAULO</v>
      </c>
      <c r="AE495" s="95" t="s">
        <v>64</v>
      </c>
    </row>
    <row r="496" spans="1:31" s="55" customFormat="1" ht="30" customHeight="1">
      <c r="A496" s="215" t="s">
        <v>198</v>
      </c>
      <c r="B496" s="215">
        <v>2694041160</v>
      </c>
      <c r="C496" s="215" t="s">
        <v>128</v>
      </c>
      <c r="D496" s="215" t="s">
        <v>64</v>
      </c>
      <c r="E496" s="215" t="s">
        <v>5</v>
      </c>
      <c r="F496" s="215" t="s">
        <v>2638</v>
      </c>
      <c r="G496" s="215">
        <v>36</v>
      </c>
      <c r="H496" s="215"/>
      <c r="I496" s="215" t="s">
        <v>397</v>
      </c>
      <c r="J496" s="215" t="s">
        <v>1898</v>
      </c>
      <c r="K496" s="215"/>
      <c r="L496" s="216">
        <v>46166.411805555559</v>
      </c>
      <c r="M496" s="216">
        <v>46166.415277777778</v>
      </c>
      <c r="N496" s="215" t="s">
        <v>2073</v>
      </c>
      <c r="O496" s="157" t="s">
        <v>62</v>
      </c>
      <c r="P496" s="92"/>
      <c r="Q496" s="145" t="s">
        <v>62</v>
      </c>
      <c r="R496" s="92"/>
      <c r="S496" s="145" t="s">
        <v>62</v>
      </c>
      <c r="T496" s="92"/>
      <c r="U496" s="145" t="s">
        <v>62</v>
      </c>
      <c r="V496" s="92"/>
      <c r="W496" s="145" t="s">
        <v>62</v>
      </c>
      <c r="X496" s="92"/>
      <c r="Y496" s="352" t="s">
        <v>62</v>
      </c>
      <c r="Z496" s="142" t="str">
        <f t="shared" si="24"/>
        <v>NA</v>
      </c>
      <c r="AA496" s="226" t="str">
        <f t="shared" si="25"/>
        <v>NÃO AVALIADO POR FALHA DE SINCRONISMO</v>
      </c>
      <c r="AB496" s="9" t="s">
        <v>205</v>
      </c>
      <c r="AC496" s="162" t="s">
        <v>6</v>
      </c>
      <c r="AD496" s="150" t="str">
        <f t="shared" si="26"/>
        <v>SÃO PAULO</v>
      </c>
      <c r="AE496" s="95" t="s">
        <v>64</v>
      </c>
    </row>
    <row r="497" spans="1:31" s="55" customFormat="1" ht="30" customHeight="1">
      <c r="A497" s="215" t="s">
        <v>198</v>
      </c>
      <c r="B497" s="215">
        <v>2694023227</v>
      </c>
      <c r="C497" s="215" t="s">
        <v>128</v>
      </c>
      <c r="D497" s="215" t="s">
        <v>64</v>
      </c>
      <c r="E497" s="215" t="s">
        <v>5</v>
      </c>
      <c r="F497" s="215" t="s">
        <v>805</v>
      </c>
      <c r="G497" s="215">
        <v>542</v>
      </c>
      <c r="H497" s="215"/>
      <c r="I497" s="215" t="s">
        <v>312</v>
      </c>
      <c r="J497" s="215" t="s">
        <v>1898</v>
      </c>
      <c r="K497" s="215"/>
      <c r="L497" s="216">
        <v>46166.25</v>
      </c>
      <c r="M497" s="216">
        <v>46166.250694444447</v>
      </c>
      <c r="N497" s="215" t="s">
        <v>1337</v>
      </c>
      <c r="O497" s="180" t="s">
        <v>205</v>
      </c>
      <c r="P497" s="92"/>
      <c r="Q497" s="164" t="s">
        <v>205</v>
      </c>
      <c r="R497" s="92"/>
      <c r="S497" s="164" t="s">
        <v>205</v>
      </c>
      <c r="T497" s="92"/>
      <c r="U497" s="145" t="s">
        <v>205</v>
      </c>
      <c r="V497" s="92"/>
      <c r="W497" s="145" t="s">
        <v>205</v>
      </c>
      <c r="X497" s="92"/>
      <c r="Y497" s="352" t="s">
        <v>205</v>
      </c>
      <c r="Z497" s="142" t="str">
        <f t="shared" si="24"/>
        <v>C</v>
      </c>
      <c r="AA497" s="226" t="str">
        <f t="shared" si="25"/>
        <v>UTILIZOU O PDA CORRETAMENTE</v>
      </c>
      <c r="AB497" s="9" t="s">
        <v>205</v>
      </c>
      <c r="AC497" s="162" t="s">
        <v>6</v>
      </c>
      <c r="AD497" s="150" t="str">
        <f t="shared" si="26"/>
        <v>SÃO PAULO</v>
      </c>
      <c r="AE497" s="95" t="s">
        <v>64</v>
      </c>
    </row>
    <row r="498" spans="1:31" s="55" customFormat="1" ht="30" customHeight="1">
      <c r="A498" s="215" t="s">
        <v>198</v>
      </c>
      <c r="B498" s="215">
        <v>2694029777</v>
      </c>
      <c r="C498" s="215" t="s">
        <v>128</v>
      </c>
      <c r="D498" s="215" t="s">
        <v>64</v>
      </c>
      <c r="E498" s="215" t="s">
        <v>5</v>
      </c>
      <c r="F498" s="215" t="s">
        <v>602</v>
      </c>
      <c r="G498" s="215">
        <v>75</v>
      </c>
      <c r="H498" s="215" t="s">
        <v>200</v>
      </c>
      <c r="I498" s="215" t="s">
        <v>246</v>
      </c>
      <c r="J498" s="215" t="s">
        <v>1898</v>
      </c>
      <c r="K498" s="215" t="s">
        <v>200</v>
      </c>
      <c r="L498" s="216">
        <v>46166.25</v>
      </c>
      <c r="M498" s="216">
        <v>46166.250694444447</v>
      </c>
      <c r="N498" s="215" t="s">
        <v>1337</v>
      </c>
      <c r="O498" s="180" t="s">
        <v>205</v>
      </c>
      <c r="P498" s="92"/>
      <c r="Q498" s="164" t="s">
        <v>205</v>
      </c>
      <c r="R498" s="92"/>
      <c r="S498" s="164" t="s">
        <v>205</v>
      </c>
      <c r="T498" s="92"/>
      <c r="U498" s="145" t="s">
        <v>205</v>
      </c>
      <c r="V498" s="92"/>
      <c r="W498" s="145" t="s">
        <v>205</v>
      </c>
      <c r="X498" s="92"/>
      <c r="Y498" s="352" t="s">
        <v>205</v>
      </c>
      <c r="Z498" s="142" t="str">
        <f t="shared" si="24"/>
        <v>C</v>
      </c>
      <c r="AA498" s="226" t="str">
        <f t="shared" si="25"/>
        <v>UTILIZOU O PDA CORRETAMENTE</v>
      </c>
      <c r="AB498" s="9" t="s">
        <v>205</v>
      </c>
      <c r="AC498" s="162" t="s">
        <v>6</v>
      </c>
      <c r="AD498" s="150" t="str">
        <f t="shared" si="26"/>
        <v>SÃO PAULO</v>
      </c>
      <c r="AE498" s="95" t="s">
        <v>64</v>
      </c>
    </row>
    <row r="499" spans="1:31" s="55" customFormat="1" ht="30" customHeight="1">
      <c r="A499" s="215" t="s">
        <v>198</v>
      </c>
      <c r="B499" s="215">
        <v>2694035984</v>
      </c>
      <c r="C499" s="215" t="s">
        <v>132</v>
      </c>
      <c r="D499" s="215" t="s">
        <v>64</v>
      </c>
      <c r="E499" s="215" t="s">
        <v>5</v>
      </c>
      <c r="F499" s="215" t="s">
        <v>2639</v>
      </c>
      <c r="G499" s="215">
        <v>87</v>
      </c>
      <c r="H499" s="215" t="s">
        <v>318</v>
      </c>
      <c r="I499" s="215" t="s">
        <v>246</v>
      </c>
      <c r="J499" s="215" t="s">
        <v>1898</v>
      </c>
      <c r="K499" s="215"/>
      <c r="L499" s="216">
        <v>46166.5</v>
      </c>
      <c r="M499" s="216">
        <v>46166.506249999999</v>
      </c>
      <c r="N499" s="215" t="s">
        <v>1337</v>
      </c>
      <c r="O499" s="180" t="s">
        <v>205</v>
      </c>
      <c r="P499" s="92"/>
      <c r="Q499" s="164" t="s">
        <v>205</v>
      </c>
      <c r="R499" s="92"/>
      <c r="S499" s="164" t="s">
        <v>205</v>
      </c>
      <c r="T499" s="92"/>
      <c r="U499" s="145" t="s">
        <v>205</v>
      </c>
      <c r="V499" s="92"/>
      <c r="W499" s="145" t="s">
        <v>205</v>
      </c>
      <c r="X499" s="92"/>
      <c r="Y499" s="352" t="s">
        <v>205</v>
      </c>
      <c r="Z499" s="142" t="str">
        <f t="shared" si="24"/>
        <v>C</v>
      </c>
      <c r="AA499" s="226" t="str">
        <f t="shared" si="25"/>
        <v>UTILIZOU O PDA CORRETAMENTE</v>
      </c>
      <c r="AB499" s="9" t="s">
        <v>205</v>
      </c>
      <c r="AC499" s="162" t="s">
        <v>6</v>
      </c>
      <c r="AD499" s="150" t="str">
        <f t="shared" si="26"/>
        <v>SÃO PAULO</v>
      </c>
      <c r="AE499" s="95" t="s">
        <v>64</v>
      </c>
    </row>
    <row r="500" spans="1:31" s="55" customFormat="1" ht="30" customHeight="1">
      <c r="A500" s="215" t="s">
        <v>198</v>
      </c>
      <c r="B500" s="215">
        <v>2694032473</v>
      </c>
      <c r="C500" s="215" t="s">
        <v>128</v>
      </c>
      <c r="D500" s="215" t="s">
        <v>64</v>
      </c>
      <c r="E500" s="215" t="s">
        <v>5</v>
      </c>
      <c r="F500" s="215" t="s">
        <v>1942</v>
      </c>
      <c r="G500" s="215">
        <v>442</v>
      </c>
      <c r="H500" s="215" t="s">
        <v>200</v>
      </c>
      <c r="I500" s="215" t="s">
        <v>277</v>
      </c>
      <c r="J500" s="215" t="s">
        <v>1898</v>
      </c>
      <c r="K500" s="215" t="s">
        <v>200</v>
      </c>
      <c r="L500" s="216">
        <v>46166.411805555559</v>
      </c>
      <c r="M500" s="216">
        <v>46166.415277777778</v>
      </c>
      <c r="N500" s="215" t="s">
        <v>1950</v>
      </c>
      <c r="O500" s="180" t="s">
        <v>205</v>
      </c>
      <c r="P500" s="92"/>
      <c r="Q500" s="164" t="s">
        <v>205</v>
      </c>
      <c r="R500" s="92"/>
      <c r="S500" s="164" t="s">
        <v>205</v>
      </c>
      <c r="T500" s="92"/>
      <c r="U500" s="145" t="s">
        <v>205</v>
      </c>
      <c r="V500" s="92"/>
      <c r="W500" s="145" t="s">
        <v>205</v>
      </c>
      <c r="X500" s="92"/>
      <c r="Y500" s="352" t="s">
        <v>205</v>
      </c>
      <c r="Z500" s="142" t="str">
        <f t="shared" si="24"/>
        <v>C</v>
      </c>
      <c r="AA500" s="226" t="str">
        <f t="shared" si="25"/>
        <v>UTILIZOU O PDA CORRETAMENTE</v>
      </c>
      <c r="AB500" s="9" t="s">
        <v>205</v>
      </c>
      <c r="AC500" s="162" t="s">
        <v>6</v>
      </c>
      <c r="AD500" s="150" t="str">
        <f t="shared" si="26"/>
        <v>SÃO PAULO</v>
      </c>
      <c r="AE500" s="95" t="s">
        <v>64</v>
      </c>
    </row>
    <row r="501" spans="1:31" s="55" customFormat="1" ht="30" customHeight="1">
      <c r="A501" s="215" t="s">
        <v>198</v>
      </c>
      <c r="B501" s="215">
        <v>2621772614</v>
      </c>
      <c r="C501" s="215" t="s">
        <v>130</v>
      </c>
      <c r="D501" s="215" t="s">
        <v>125</v>
      </c>
      <c r="E501" s="215" t="s">
        <v>5</v>
      </c>
      <c r="F501" s="215" t="s">
        <v>2640</v>
      </c>
      <c r="G501" s="215">
        <v>247</v>
      </c>
      <c r="H501" s="215" t="s">
        <v>226</v>
      </c>
      <c r="I501" s="215" t="s">
        <v>577</v>
      </c>
      <c r="J501" s="215" t="s">
        <v>1934</v>
      </c>
      <c r="K501" s="215"/>
      <c r="L501" s="216">
        <v>46166.450694444444</v>
      </c>
      <c r="M501" s="216">
        <v>46166.45208333333</v>
      </c>
      <c r="N501" s="215" t="s">
        <v>341</v>
      </c>
      <c r="O501" s="180" t="s">
        <v>205</v>
      </c>
      <c r="P501" s="92"/>
      <c r="Q501" s="145" t="s">
        <v>206</v>
      </c>
      <c r="R501" s="92"/>
      <c r="S501" s="145" t="s">
        <v>206</v>
      </c>
      <c r="T501" s="92"/>
      <c r="U501" s="145" t="s">
        <v>206</v>
      </c>
      <c r="V501" s="92"/>
      <c r="W501" s="145" t="s">
        <v>205</v>
      </c>
      <c r="X501" s="92"/>
      <c r="Y501" s="352" t="s">
        <v>205</v>
      </c>
      <c r="Z501" s="142" t="str">
        <f t="shared" si="24"/>
        <v>NC</v>
      </c>
      <c r="AA501" s="226" t="str">
        <f t="shared" si="25"/>
        <v>UTILIZOU O PDA CORRETAMENTE. NÃO HÁ FOTOS DE TODAS AS ETAPAS</v>
      </c>
      <c r="AB501" s="9" t="s">
        <v>205</v>
      </c>
      <c r="AC501" s="162" t="s">
        <v>6</v>
      </c>
      <c r="AD501" s="150" t="str">
        <f t="shared" si="26"/>
        <v>SÃO PAULO</v>
      </c>
      <c r="AE501" s="95" t="s">
        <v>64</v>
      </c>
    </row>
    <row r="502" spans="1:31" s="55" customFormat="1" ht="30" customHeight="1">
      <c r="A502" s="365" t="s">
        <v>198</v>
      </c>
      <c r="B502" s="215">
        <v>2694059297</v>
      </c>
      <c r="C502" s="215" t="s">
        <v>128</v>
      </c>
      <c r="D502" s="215" t="s">
        <v>64</v>
      </c>
      <c r="E502" s="215" t="s">
        <v>5</v>
      </c>
      <c r="F502" s="215" t="s">
        <v>1385</v>
      </c>
      <c r="G502" s="215">
        <v>520</v>
      </c>
      <c r="H502" s="215" t="s">
        <v>363</v>
      </c>
      <c r="I502" s="215" t="s">
        <v>227</v>
      </c>
      <c r="J502" s="215" t="s">
        <v>1898</v>
      </c>
      <c r="K502" s="215" t="s">
        <v>2641</v>
      </c>
      <c r="L502" s="216">
        <v>46166.530555555553</v>
      </c>
      <c r="M502" s="216">
        <v>46166.532638888886</v>
      </c>
      <c r="N502" s="215" t="s">
        <v>2073</v>
      </c>
      <c r="O502" s="157" t="s">
        <v>62</v>
      </c>
      <c r="P502" s="92"/>
      <c r="Q502" s="145" t="s">
        <v>62</v>
      </c>
      <c r="R502" s="92"/>
      <c r="S502" s="145" t="s">
        <v>62</v>
      </c>
      <c r="T502" s="92"/>
      <c r="U502" s="145" t="s">
        <v>62</v>
      </c>
      <c r="V502" s="92"/>
      <c r="W502" s="145" t="s">
        <v>62</v>
      </c>
      <c r="X502" s="56" t="s">
        <v>2636</v>
      </c>
      <c r="Y502" s="352" t="s">
        <v>62</v>
      </c>
      <c r="Z502" s="142" t="str">
        <f t="shared" si="24"/>
        <v>NA</v>
      </c>
      <c r="AA502" s="226" t="str">
        <f t="shared" si="25"/>
        <v>NÃO AVALIADO POR FALHA DE SINCRONISMO</v>
      </c>
      <c r="AB502" s="9" t="s">
        <v>205</v>
      </c>
      <c r="AC502" s="162" t="s">
        <v>6</v>
      </c>
      <c r="AD502" s="150" t="str">
        <f t="shared" si="26"/>
        <v>SÃO PAULO</v>
      </c>
      <c r="AE502" s="95" t="s">
        <v>64</v>
      </c>
    </row>
    <row r="503" spans="1:31" s="55" customFormat="1" ht="30" customHeight="1">
      <c r="A503" s="365" t="s">
        <v>198</v>
      </c>
      <c r="B503" s="215">
        <v>2694058987</v>
      </c>
      <c r="C503" s="215" t="s">
        <v>128</v>
      </c>
      <c r="D503" s="215" t="s">
        <v>64</v>
      </c>
      <c r="E503" s="215" t="s">
        <v>5</v>
      </c>
      <c r="F503" s="215" t="s">
        <v>1363</v>
      </c>
      <c r="G503" s="215">
        <v>345</v>
      </c>
      <c r="H503" s="215" t="s">
        <v>481</v>
      </c>
      <c r="I503" s="215" t="s">
        <v>227</v>
      </c>
      <c r="J503" s="215" t="s">
        <v>1898</v>
      </c>
      <c r="K503" s="215"/>
      <c r="L503" s="216">
        <v>46166.540972222225</v>
      </c>
      <c r="M503" s="216">
        <v>46166.541666666664</v>
      </c>
      <c r="N503" s="215" t="s">
        <v>2073</v>
      </c>
      <c r="O503" s="157" t="s">
        <v>62</v>
      </c>
      <c r="P503" s="92"/>
      <c r="Q503" s="145" t="s">
        <v>62</v>
      </c>
      <c r="R503" s="92"/>
      <c r="S503" s="145" t="s">
        <v>62</v>
      </c>
      <c r="T503" s="92"/>
      <c r="U503" s="145" t="s">
        <v>62</v>
      </c>
      <c r="V503" s="92"/>
      <c r="W503" s="145" t="s">
        <v>62</v>
      </c>
      <c r="X503" s="56" t="s">
        <v>2636</v>
      </c>
      <c r="Y503" s="352" t="s">
        <v>62</v>
      </c>
      <c r="Z503" s="142" t="str">
        <f t="shared" si="24"/>
        <v>NA</v>
      </c>
      <c r="AA503" s="226" t="str">
        <f t="shared" si="25"/>
        <v>NÃO AVALIADO POR FALHA DE SINCRONISMO</v>
      </c>
      <c r="AB503" s="9" t="s">
        <v>205</v>
      </c>
      <c r="AC503" s="162" t="s">
        <v>6</v>
      </c>
      <c r="AD503" s="150" t="str">
        <f t="shared" si="26"/>
        <v>SÃO PAULO</v>
      </c>
      <c r="AE503" s="95" t="s">
        <v>64</v>
      </c>
    </row>
    <row r="504" spans="1:31" s="55" customFormat="1" ht="30" customHeight="1">
      <c r="A504" s="228" t="s">
        <v>198</v>
      </c>
      <c r="B504" s="228">
        <v>2621834614</v>
      </c>
      <c r="C504" s="228" t="s">
        <v>136</v>
      </c>
      <c r="D504" s="228" t="s">
        <v>125</v>
      </c>
      <c r="E504" s="228" t="s">
        <v>5</v>
      </c>
      <c r="F504" s="228" t="s">
        <v>1303</v>
      </c>
      <c r="G504" s="228">
        <v>2534</v>
      </c>
      <c r="H504" s="228" t="s">
        <v>226</v>
      </c>
      <c r="I504" s="228" t="s">
        <v>346</v>
      </c>
      <c r="J504" s="228" t="s">
        <v>2624</v>
      </c>
      <c r="K504" s="228" t="s">
        <v>2642</v>
      </c>
      <c r="L504" s="230">
        <v>46166.679166666669</v>
      </c>
      <c r="M504" s="230">
        <v>46166.679861111108</v>
      </c>
      <c r="N504" s="228" t="s">
        <v>248</v>
      </c>
      <c r="O504" s="180" t="s">
        <v>205</v>
      </c>
      <c r="P504" s="239"/>
      <c r="Q504" s="164" t="s">
        <v>205</v>
      </c>
      <c r="R504" s="239"/>
      <c r="S504" s="164" t="s">
        <v>205</v>
      </c>
      <c r="T504" s="239"/>
      <c r="U504" s="240" t="s">
        <v>205</v>
      </c>
      <c r="V504" s="239"/>
      <c r="W504" s="240" t="s">
        <v>205</v>
      </c>
      <c r="X504" s="239"/>
      <c r="Y504" s="353" t="s">
        <v>205</v>
      </c>
      <c r="Z504" s="142" t="str">
        <f t="shared" si="24"/>
        <v>C</v>
      </c>
      <c r="AA504" s="226" t="str">
        <f t="shared" si="25"/>
        <v>UTILIZOU O PDA CORRETAMENTE</v>
      </c>
      <c r="AB504" s="348" t="s">
        <v>205</v>
      </c>
      <c r="AC504" s="198" t="s">
        <v>6</v>
      </c>
      <c r="AD504" s="150" t="str">
        <f t="shared" si="26"/>
        <v>SÃO PAULO</v>
      </c>
      <c r="AE504" s="179" t="s">
        <v>64</v>
      </c>
    </row>
    <row r="505" spans="1:31" s="142" customFormat="1" ht="30" customHeight="1">
      <c r="A505" s="215" t="s">
        <v>198</v>
      </c>
      <c r="B505" s="215">
        <v>2621834828</v>
      </c>
      <c r="C505" s="215" t="s">
        <v>128</v>
      </c>
      <c r="D505" s="215" t="s">
        <v>64</v>
      </c>
      <c r="E505" s="215" t="s">
        <v>5</v>
      </c>
      <c r="F505" s="215" t="s">
        <v>2643</v>
      </c>
      <c r="G505" s="215">
        <v>469</v>
      </c>
      <c r="H505" s="215" t="s">
        <v>708</v>
      </c>
      <c r="I505" s="215" t="s">
        <v>343</v>
      </c>
      <c r="J505" s="215" t="s">
        <v>1900</v>
      </c>
      <c r="K505" s="215" t="s">
        <v>200</v>
      </c>
      <c r="L505" s="216">
        <v>46167.429861111108</v>
      </c>
      <c r="M505" s="216">
        <v>46167.438888888886</v>
      </c>
      <c r="N505" s="215" t="s">
        <v>1919</v>
      </c>
      <c r="O505" s="180" t="s">
        <v>205</v>
      </c>
      <c r="P505" s="56"/>
      <c r="Q505" s="164" t="s">
        <v>205</v>
      </c>
      <c r="R505" s="56"/>
      <c r="S505" s="143" t="s">
        <v>206</v>
      </c>
      <c r="T505" s="56"/>
      <c r="U505" s="143" t="s">
        <v>205</v>
      </c>
      <c r="V505" s="56"/>
      <c r="W505" s="143" t="s">
        <v>205</v>
      </c>
      <c r="X505" s="56"/>
      <c r="Y505" s="350" t="s">
        <v>205</v>
      </c>
      <c r="Z505" s="142" t="str">
        <f t="shared" si="24"/>
        <v>NC</v>
      </c>
      <c r="AA505" s="226" t="str">
        <f t="shared" si="25"/>
        <v>UTILIZOU O PDA CORRETAMENTE. NÃO HÁ FOTOS DE TODAS AS ETAPAS</v>
      </c>
      <c r="AB505" s="166" t="s">
        <v>205</v>
      </c>
      <c r="AC505" s="236" t="s">
        <v>6</v>
      </c>
      <c r="AD505" s="227" t="str">
        <f t="shared" ref="AD505:AD548" si="27">E505</f>
        <v>SÃO PAULO</v>
      </c>
      <c r="AE505" s="226" t="s">
        <v>64</v>
      </c>
    </row>
    <row r="506" spans="1:31" s="142" customFormat="1" ht="30" customHeight="1">
      <c r="A506" s="215" t="s">
        <v>198</v>
      </c>
      <c r="B506" s="215">
        <v>2694066388</v>
      </c>
      <c r="C506" s="215" t="s">
        <v>128</v>
      </c>
      <c r="D506" s="215" t="s">
        <v>64</v>
      </c>
      <c r="E506" s="215" t="s">
        <v>5</v>
      </c>
      <c r="F506" s="215" t="s">
        <v>2606</v>
      </c>
      <c r="G506" s="215">
        <v>171</v>
      </c>
      <c r="H506" s="215" t="s">
        <v>200</v>
      </c>
      <c r="I506" s="215" t="s">
        <v>470</v>
      </c>
      <c r="J506" s="215" t="s">
        <v>1898</v>
      </c>
      <c r="K506" s="215" t="s">
        <v>200</v>
      </c>
      <c r="L506" s="216">
        <v>46167.373611111114</v>
      </c>
      <c r="M506" s="216">
        <v>46167.37777777778</v>
      </c>
      <c r="N506" s="215" t="s">
        <v>1947</v>
      </c>
      <c r="O506" s="180" t="s">
        <v>205</v>
      </c>
      <c r="P506" s="56"/>
      <c r="Q506" s="164" t="s">
        <v>205</v>
      </c>
      <c r="R506" s="56"/>
      <c r="S506" s="164" t="s">
        <v>205</v>
      </c>
      <c r="T506" s="56"/>
      <c r="U506" s="143" t="s">
        <v>205</v>
      </c>
      <c r="V506" s="56"/>
      <c r="W506" s="143" t="s">
        <v>205</v>
      </c>
      <c r="X506" s="56"/>
      <c r="Y506" s="350" t="s">
        <v>205</v>
      </c>
      <c r="Z506" s="142" t="str">
        <f t="shared" ref="Z506:Z525" si="28">IF(AND(O506="",Q506="",S506="",U506="",W506=""),"",IF(OR(AND(O506&lt;&gt;"NA",O506&lt;&gt;"C",O506&lt;&gt;"NC",O506&lt;&gt;"SF",O506&lt;&gt;""),AND(Q506&lt;&gt;"NA",Q506&lt;&gt;"C",Q506&lt;&gt;"NC",Q506&lt;&gt;"SF",Q506&lt;&gt;""),AND(S506&lt;&gt;"NA",S506&lt;&gt;"C",S506&lt;&gt;"NC",S506&lt;&gt;"SF",S506&lt;&gt;""),AND(U506&lt;&gt;"NA",U506&lt;&gt;"C",U506&lt;&gt;"NC",U506&lt;&gt;"SF",U506&lt;&gt;""),AND(W506&lt;&gt;"NA",W506&lt;&gt;"C",W506&lt;&gt;"NC",W506&lt;&gt;"SF",W506&lt;&gt;"")),"FALSO",IF(AND(O506="NA",Q506="NA",S506="NA",U506="NA",W506="NA"),"NA",IF(OR(O506="NC",Q506="NC",S506="NC",U506="NC",W506="NC",O506="SF",Q506="SF",S506="SF",U506="SF",W506="SF"),"NC",IF(OR(O506="C",Q506="C",S506="C",U506="C",W506="C"),"C","")))))</f>
        <v>C</v>
      </c>
      <c r="AA506" s="226" t="str">
        <f t="shared" ref="AA506:AA569" si="29">IF(AND(Y506="C",Z506="C"),"UTILIZOU O PDA CORRETAMENTE",IF(AND(Y506="C",Z506="NC"),"UTILIZOU O PDA CORRETAMENTE. NÃO HÁ FOTOS DE TODAS AS ETAPAS",IF(AND(Y506="NC",Z506="NC"),"NÃO UTILIZOU O PDA",IF(AND(Y506="NA",Z506="NA"),"NÃO AVALIADO POR FALHA DE SINCRONISMO"))))</f>
        <v>UTILIZOU O PDA CORRETAMENTE</v>
      </c>
      <c r="AB506" s="166" t="s">
        <v>205</v>
      </c>
      <c r="AC506" s="236" t="s">
        <v>6</v>
      </c>
      <c r="AD506" s="227" t="str">
        <f t="shared" si="27"/>
        <v>SÃO PAULO</v>
      </c>
      <c r="AE506" s="226" t="s">
        <v>64</v>
      </c>
    </row>
    <row r="507" spans="1:31" s="142" customFormat="1" ht="30" customHeight="1">
      <c r="A507" s="215" t="s">
        <v>198</v>
      </c>
      <c r="B507" s="215">
        <v>2694063234</v>
      </c>
      <c r="C507" s="215" t="s">
        <v>128</v>
      </c>
      <c r="D507" s="215" t="s">
        <v>64</v>
      </c>
      <c r="E507" s="215" t="s">
        <v>5</v>
      </c>
      <c r="F507" s="215" t="s">
        <v>2644</v>
      </c>
      <c r="G507" s="215">
        <v>180</v>
      </c>
      <c r="H507" s="215" t="s">
        <v>226</v>
      </c>
      <c r="I507" s="215" t="s">
        <v>1862</v>
      </c>
      <c r="J507" s="215" t="s">
        <v>1898</v>
      </c>
      <c r="K507" s="215"/>
      <c r="L507" s="216">
        <v>46167.51666666667</v>
      </c>
      <c r="M507" s="216">
        <v>46167.517361111109</v>
      </c>
      <c r="N507" s="215" t="s">
        <v>1947</v>
      </c>
      <c r="O507" s="180" t="s">
        <v>205</v>
      </c>
      <c r="P507" s="56"/>
      <c r="Q507" s="164" t="s">
        <v>205</v>
      </c>
      <c r="R507" s="56"/>
      <c r="S507" s="164" t="s">
        <v>205</v>
      </c>
      <c r="T507" s="56"/>
      <c r="U507" s="143" t="s">
        <v>205</v>
      </c>
      <c r="V507" s="56"/>
      <c r="W507" s="143" t="s">
        <v>205</v>
      </c>
      <c r="X507" s="56"/>
      <c r="Y507" s="350" t="s">
        <v>205</v>
      </c>
      <c r="Z507" s="142" t="str">
        <f t="shared" si="28"/>
        <v>C</v>
      </c>
      <c r="AA507" s="226" t="str">
        <f t="shared" si="29"/>
        <v>UTILIZOU O PDA CORRETAMENTE</v>
      </c>
      <c r="AB507" s="166" t="s">
        <v>205</v>
      </c>
      <c r="AC507" s="236" t="s">
        <v>6</v>
      </c>
      <c r="AD507" s="227" t="str">
        <f t="shared" si="27"/>
        <v>SÃO PAULO</v>
      </c>
      <c r="AE507" s="226" t="s">
        <v>64</v>
      </c>
    </row>
    <row r="508" spans="1:31" s="142" customFormat="1" ht="30" customHeight="1">
      <c r="A508" s="215" t="s">
        <v>198</v>
      </c>
      <c r="B508" s="215">
        <v>2694064665</v>
      </c>
      <c r="C508" s="215" t="s">
        <v>131</v>
      </c>
      <c r="D508" s="215" t="s">
        <v>64</v>
      </c>
      <c r="E508" s="215" t="s">
        <v>5</v>
      </c>
      <c r="F508" s="215" t="s">
        <v>2645</v>
      </c>
      <c r="G508" s="215">
        <v>60</v>
      </c>
      <c r="H508" s="215" t="s">
        <v>200</v>
      </c>
      <c r="I508" s="215" t="s">
        <v>274</v>
      </c>
      <c r="J508" s="215" t="s">
        <v>1898</v>
      </c>
      <c r="K508" s="215" t="s">
        <v>200</v>
      </c>
      <c r="L508" s="216">
        <v>46167.407638888886</v>
      </c>
      <c r="M508" s="216">
        <v>46167.410416666666</v>
      </c>
      <c r="N508" s="215" t="s">
        <v>852</v>
      </c>
      <c r="O508" s="180" t="s">
        <v>205</v>
      </c>
      <c r="P508" s="56"/>
      <c r="Q508" s="164" t="s">
        <v>205</v>
      </c>
      <c r="R508" s="56"/>
      <c r="S508" s="164" t="s">
        <v>205</v>
      </c>
      <c r="T508" s="56"/>
      <c r="U508" s="143" t="s">
        <v>205</v>
      </c>
      <c r="V508" s="56"/>
      <c r="W508" s="143" t="s">
        <v>205</v>
      </c>
      <c r="X508" s="56"/>
      <c r="Y508" s="350" t="s">
        <v>205</v>
      </c>
      <c r="Z508" s="142" t="str">
        <f t="shared" si="28"/>
        <v>C</v>
      </c>
      <c r="AA508" s="226" t="str">
        <f t="shared" si="29"/>
        <v>UTILIZOU O PDA CORRETAMENTE</v>
      </c>
      <c r="AB508" s="166" t="s">
        <v>205</v>
      </c>
      <c r="AC508" s="236" t="s">
        <v>6</v>
      </c>
      <c r="AD508" s="227" t="str">
        <f t="shared" si="27"/>
        <v>SÃO PAULO</v>
      </c>
      <c r="AE508" s="226" t="s">
        <v>64</v>
      </c>
    </row>
    <row r="509" spans="1:31" s="142" customFormat="1" ht="30" customHeight="1">
      <c r="A509" s="365" t="s">
        <v>198</v>
      </c>
      <c r="B509" s="215">
        <v>2694059529</v>
      </c>
      <c r="C509" s="215" t="s">
        <v>128</v>
      </c>
      <c r="D509" s="215" t="s">
        <v>64</v>
      </c>
      <c r="E509" s="215" t="s">
        <v>5</v>
      </c>
      <c r="F509" s="215" t="s">
        <v>2646</v>
      </c>
      <c r="G509" s="215">
        <v>87</v>
      </c>
      <c r="H509" s="215"/>
      <c r="I509" s="215" t="s">
        <v>391</v>
      </c>
      <c r="J509" s="215" t="s">
        <v>1908</v>
      </c>
      <c r="K509" s="215"/>
      <c r="L509" s="216">
        <v>46167.420138888891</v>
      </c>
      <c r="M509" s="216">
        <v>46167.435416666667</v>
      </c>
      <c r="N509" s="215" t="s">
        <v>1956</v>
      </c>
      <c r="O509" s="143" t="s">
        <v>62</v>
      </c>
      <c r="P509" s="56"/>
      <c r="Q509" s="143" t="s">
        <v>62</v>
      </c>
      <c r="R509" s="56"/>
      <c r="S509" s="143" t="s">
        <v>62</v>
      </c>
      <c r="T509" s="56"/>
      <c r="U509" s="143" t="s">
        <v>62</v>
      </c>
      <c r="V509" s="56"/>
      <c r="W509" s="143" t="s">
        <v>62</v>
      </c>
      <c r="X509" s="56" t="s">
        <v>2636</v>
      </c>
      <c r="Y509" s="350" t="s">
        <v>62</v>
      </c>
      <c r="Z509" s="142" t="str">
        <f t="shared" si="28"/>
        <v>NA</v>
      </c>
      <c r="AA509" s="226" t="str">
        <f t="shared" si="29"/>
        <v>NÃO AVALIADO POR FALHA DE SINCRONISMO</v>
      </c>
      <c r="AB509" s="166" t="s">
        <v>205</v>
      </c>
      <c r="AC509" s="236" t="s">
        <v>6</v>
      </c>
      <c r="AD509" s="227" t="str">
        <f t="shared" si="27"/>
        <v>SÃO PAULO</v>
      </c>
      <c r="AE509" s="226" t="s">
        <v>64</v>
      </c>
    </row>
    <row r="510" spans="1:31" s="142" customFormat="1" ht="30" customHeight="1">
      <c r="A510" s="365" t="s">
        <v>198</v>
      </c>
      <c r="B510" s="215">
        <v>2694063052</v>
      </c>
      <c r="C510" s="215" t="s">
        <v>128</v>
      </c>
      <c r="D510" s="215" t="s">
        <v>64</v>
      </c>
      <c r="E510" s="215" t="s">
        <v>5</v>
      </c>
      <c r="F510" s="215" t="s">
        <v>992</v>
      </c>
      <c r="G510" s="215">
        <v>86</v>
      </c>
      <c r="H510" s="215" t="s">
        <v>363</v>
      </c>
      <c r="I510" s="215" t="s">
        <v>993</v>
      </c>
      <c r="J510" s="215" t="s">
        <v>1900</v>
      </c>
      <c r="K510" s="215" t="s">
        <v>200</v>
      </c>
      <c r="L510" s="216">
        <v>46167.470138888886</v>
      </c>
      <c r="M510" s="216">
        <v>46167.477083333331</v>
      </c>
      <c r="N510" s="215" t="s">
        <v>1956</v>
      </c>
      <c r="O510" s="143" t="s">
        <v>62</v>
      </c>
      <c r="P510" s="56"/>
      <c r="Q510" s="143" t="s">
        <v>62</v>
      </c>
      <c r="R510" s="56"/>
      <c r="S510" s="143" t="s">
        <v>62</v>
      </c>
      <c r="T510" s="56"/>
      <c r="U510" s="143" t="s">
        <v>62</v>
      </c>
      <c r="V510" s="56"/>
      <c r="W510" s="143" t="s">
        <v>62</v>
      </c>
      <c r="X510" s="56" t="s">
        <v>2636</v>
      </c>
      <c r="Y510" s="350" t="s">
        <v>62</v>
      </c>
      <c r="Z510" s="142" t="str">
        <f t="shared" si="28"/>
        <v>NA</v>
      </c>
      <c r="AA510" s="226" t="str">
        <f t="shared" si="29"/>
        <v>NÃO AVALIADO POR FALHA DE SINCRONISMO</v>
      </c>
      <c r="AB510" s="166" t="s">
        <v>205</v>
      </c>
      <c r="AC510" s="236" t="s">
        <v>6</v>
      </c>
      <c r="AD510" s="227" t="str">
        <f t="shared" si="27"/>
        <v>SÃO PAULO</v>
      </c>
      <c r="AE510" s="226" t="s">
        <v>64</v>
      </c>
    </row>
    <row r="511" spans="1:31" s="142" customFormat="1" ht="30" customHeight="1">
      <c r="A511" s="365" t="s">
        <v>198</v>
      </c>
      <c r="B511" s="215">
        <v>2621840303</v>
      </c>
      <c r="C511" s="215" t="s">
        <v>131</v>
      </c>
      <c r="D511" s="215" t="s">
        <v>64</v>
      </c>
      <c r="E511" s="215" t="s">
        <v>5</v>
      </c>
      <c r="F511" s="215" t="s">
        <v>2647</v>
      </c>
      <c r="G511" s="215">
        <v>279</v>
      </c>
      <c r="H511" s="215" t="s">
        <v>200</v>
      </c>
      <c r="I511" s="215" t="s">
        <v>914</v>
      </c>
      <c r="J511" s="215" t="s">
        <v>1898</v>
      </c>
      <c r="K511" s="215" t="s">
        <v>200</v>
      </c>
      <c r="L511" s="216">
        <v>46167.459722222222</v>
      </c>
      <c r="M511" s="216">
        <v>46167.465277777781</v>
      </c>
      <c r="N511" s="215" t="s">
        <v>1956</v>
      </c>
      <c r="O511" s="143" t="s">
        <v>62</v>
      </c>
      <c r="P511" s="56"/>
      <c r="Q511" s="143" t="s">
        <v>62</v>
      </c>
      <c r="R511" s="56"/>
      <c r="S511" s="143" t="s">
        <v>62</v>
      </c>
      <c r="T511" s="56"/>
      <c r="U511" s="143" t="s">
        <v>62</v>
      </c>
      <c r="V511" s="56"/>
      <c r="W511" s="143" t="s">
        <v>62</v>
      </c>
      <c r="X511" s="56" t="s">
        <v>2636</v>
      </c>
      <c r="Y511" s="350" t="s">
        <v>62</v>
      </c>
      <c r="Z511" s="142" t="str">
        <f t="shared" si="28"/>
        <v>NA</v>
      </c>
      <c r="AA511" s="226" t="str">
        <f t="shared" si="29"/>
        <v>NÃO AVALIADO POR FALHA DE SINCRONISMO</v>
      </c>
      <c r="AB511" s="166" t="s">
        <v>205</v>
      </c>
      <c r="AC511" s="236" t="s">
        <v>6</v>
      </c>
      <c r="AD511" s="227" t="str">
        <f t="shared" si="27"/>
        <v>SÃO PAULO</v>
      </c>
      <c r="AE511" s="226" t="s">
        <v>64</v>
      </c>
    </row>
    <row r="512" spans="1:31" s="142" customFormat="1" ht="30" customHeight="1">
      <c r="A512" s="215" t="s">
        <v>198</v>
      </c>
      <c r="B512" s="215">
        <v>2621840300</v>
      </c>
      <c r="C512" s="215" t="s">
        <v>128</v>
      </c>
      <c r="D512" s="215" t="s">
        <v>64</v>
      </c>
      <c r="E512" s="215" t="s">
        <v>5</v>
      </c>
      <c r="F512" s="215" t="s">
        <v>647</v>
      </c>
      <c r="G512" s="215">
        <v>478</v>
      </c>
      <c r="H512" s="215"/>
      <c r="I512" s="215" t="s">
        <v>438</v>
      </c>
      <c r="J512" s="215" t="s">
        <v>1898</v>
      </c>
      <c r="K512" s="215"/>
      <c r="L512" s="216">
        <v>46167.57708333333</v>
      </c>
      <c r="M512" s="216">
        <v>46167.585416666669</v>
      </c>
      <c r="N512" s="215" t="s">
        <v>1950</v>
      </c>
      <c r="O512" s="180" t="s">
        <v>205</v>
      </c>
      <c r="P512" s="56"/>
      <c r="Q512" s="164" t="s">
        <v>205</v>
      </c>
      <c r="R512" s="56"/>
      <c r="S512" s="164" t="s">
        <v>205</v>
      </c>
      <c r="T512" s="56"/>
      <c r="U512" s="143" t="s">
        <v>205</v>
      </c>
      <c r="V512" s="56"/>
      <c r="W512" s="143" t="s">
        <v>205</v>
      </c>
      <c r="X512" s="56"/>
      <c r="Y512" s="350" t="s">
        <v>205</v>
      </c>
      <c r="Z512" s="142" t="str">
        <f t="shared" si="28"/>
        <v>C</v>
      </c>
      <c r="AA512" s="226" t="str">
        <f t="shared" si="29"/>
        <v>UTILIZOU O PDA CORRETAMENTE</v>
      </c>
      <c r="AB512" s="166" t="s">
        <v>205</v>
      </c>
      <c r="AC512" s="236" t="s">
        <v>6</v>
      </c>
      <c r="AD512" s="227" t="str">
        <f t="shared" si="27"/>
        <v>SÃO PAULO</v>
      </c>
      <c r="AE512" s="226" t="s">
        <v>64</v>
      </c>
    </row>
    <row r="513" spans="1:32" s="142" customFormat="1" ht="30" customHeight="1">
      <c r="A513" s="215" t="s">
        <v>198</v>
      </c>
      <c r="B513" s="215">
        <v>2621840241</v>
      </c>
      <c r="C513" s="215" t="s">
        <v>132</v>
      </c>
      <c r="D513" s="215" t="s">
        <v>64</v>
      </c>
      <c r="E513" s="215" t="s">
        <v>5</v>
      </c>
      <c r="F513" s="215" t="s">
        <v>2648</v>
      </c>
      <c r="G513" s="215">
        <v>262</v>
      </c>
      <c r="H513" s="215" t="s">
        <v>200</v>
      </c>
      <c r="I513" s="215" t="s">
        <v>227</v>
      </c>
      <c r="J513" s="215" t="s">
        <v>1898</v>
      </c>
      <c r="K513" s="215" t="s">
        <v>2649</v>
      </c>
      <c r="L513" s="216">
        <v>46167.654861111114</v>
      </c>
      <c r="M513" s="216">
        <v>46167.662499999999</v>
      </c>
      <c r="N513" s="215" t="s">
        <v>1919</v>
      </c>
      <c r="O513" s="180" t="s">
        <v>205</v>
      </c>
      <c r="P513" s="56"/>
      <c r="Q513" s="164" t="s">
        <v>205</v>
      </c>
      <c r="R513" s="56"/>
      <c r="S513" s="164" t="s">
        <v>205</v>
      </c>
      <c r="T513" s="56"/>
      <c r="U513" s="143" t="s">
        <v>205</v>
      </c>
      <c r="V513" s="56"/>
      <c r="W513" s="143" t="s">
        <v>206</v>
      </c>
      <c r="X513" s="56"/>
      <c r="Y513" s="350" t="s">
        <v>205</v>
      </c>
      <c r="Z513" s="142" t="str">
        <f t="shared" si="28"/>
        <v>NC</v>
      </c>
      <c r="AA513" s="226" t="str">
        <f t="shared" si="29"/>
        <v>UTILIZOU O PDA CORRETAMENTE. NÃO HÁ FOTOS DE TODAS AS ETAPAS</v>
      </c>
      <c r="AB513" s="166" t="s">
        <v>205</v>
      </c>
      <c r="AC513" s="236" t="s">
        <v>6</v>
      </c>
      <c r="AD513" s="227" t="str">
        <f t="shared" si="27"/>
        <v>SÃO PAULO</v>
      </c>
      <c r="AE513" s="226" t="s">
        <v>64</v>
      </c>
    </row>
    <row r="514" spans="1:32" s="142" customFormat="1" ht="30" customHeight="1">
      <c r="A514" s="365" t="s">
        <v>198</v>
      </c>
      <c r="B514" s="215">
        <v>2694088476</v>
      </c>
      <c r="C514" s="215" t="s">
        <v>128</v>
      </c>
      <c r="D514" s="215" t="s">
        <v>64</v>
      </c>
      <c r="E514" s="215" t="s">
        <v>5</v>
      </c>
      <c r="F514" s="215" t="s">
        <v>2650</v>
      </c>
      <c r="G514" s="215">
        <v>2</v>
      </c>
      <c r="H514" s="215"/>
      <c r="I514" s="215" t="s">
        <v>280</v>
      </c>
      <c r="J514" s="215" t="s">
        <v>1900</v>
      </c>
      <c r="K514" s="215"/>
      <c r="L514" s="216">
        <v>46167.625</v>
      </c>
      <c r="M514" s="216">
        <v>46167.62777777778</v>
      </c>
      <c r="N514" s="215" t="s">
        <v>1956</v>
      </c>
      <c r="O514" s="143" t="s">
        <v>62</v>
      </c>
      <c r="P514" s="56"/>
      <c r="Q514" s="143" t="s">
        <v>62</v>
      </c>
      <c r="R514" s="56"/>
      <c r="S514" s="143" t="s">
        <v>62</v>
      </c>
      <c r="T514" s="56"/>
      <c r="U514" s="143" t="s">
        <v>62</v>
      </c>
      <c r="V514" s="56"/>
      <c r="W514" s="143" t="s">
        <v>62</v>
      </c>
      <c r="X514" s="56" t="s">
        <v>2636</v>
      </c>
      <c r="Y514" s="350" t="s">
        <v>62</v>
      </c>
      <c r="Z514" s="142" t="str">
        <f t="shared" si="28"/>
        <v>NA</v>
      </c>
      <c r="AA514" s="226" t="str">
        <f t="shared" si="29"/>
        <v>NÃO AVALIADO POR FALHA DE SINCRONISMO</v>
      </c>
      <c r="AB514" s="166" t="s">
        <v>205</v>
      </c>
      <c r="AC514" s="236" t="s">
        <v>6</v>
      </c>
      <c r="AD514" s="227" t="str">
        <f t="shared" si="27"/>
        <v>SÃO PAULO</v>
      </c>
      <c r="AE514" s="226" t="s">
        <v>64</v>
      </c>
    </row>
    <row r="515" spans="1:32" s="142" customFormat="1" ht="30" customHeight="1">
      <c r="A515" s="215" t="s">
        <v>198</v>
      </c>
      <c r="B515" s="215">
        <v>2694084184</v>
      </c>
      <c r="C515" s="215" t="s">
        <v>131</v>
      </c>
      <c r="D515" s="215" t="s">
        <v>64</v>
      </c>
      <c r="E515" s="215" t="s">
        <v>5</v>
      </c>
      <c r="F515" s="215" t="s">
        <v>2651</v>
      </c>
      <c r="G515" s="215">
        <v>149</v>
      </c>
      <c r="H515" s="215" t="s">
        <v>200</v>
      </c>
      <c r="I515" s="215" t="s">
        <v>620</v>
      </c>
      <c r="J515" s="215" t="s">
        <v>1908</v>
      </c>
      <c r="K515" s="215" t="s">
        <v>200</v>
      </c>
      <c r="L515" s="216">
        <v>46167.547222222223</v>
      </c>
      <c r="M515" s="216">
        <v>46167.569444444445</v>
      </c>
      <c r="N515" s="215" t="s">
        <v>590</v>
      </c>
      <c r="O515" s="180" t="s">
        <v>205</v>
      </c>
      <c r="P515" s="56"/>
      <c r="Q515" s="164" t="s">
        <v>205</v>
      </c>
      <c r="R515" s="56"/>
      <c r="S515" s="164" t="s">
        <v>205</v>
      </c>
      <c r="T515" s="56"/>
      <c r="U515" s="143" t="s">
        <v>205</v>
      </c>
      <c r="V515" s="56"/>
      <c r="W515" s="143" t="s">
        <v>205</v>
      </c>
      <c r="X515" s="56"/>
      <c r="Y515" s="350" t="s">
        <v>205</v>
      </c>
      <c r="Z515" s="142" t="str">
        <f t="shared" si="28"/>
        <v>C</v>
      </c>
      <c r="AA515" s="226" t="str">
        <f t="shared" si="29"/>
        <v>UTILIZOU O PDA CORRETAMENTE</v>
      </c>
      <c r="AB515" s="166" t="s">
        <v>205</v>
      </c>
      <c r="AC515" s="236" t="s">
        <v>6</v>
      </c>
      <c r="AD515" s="227" t="str">
        <f t="shared" si="27"/>
        <v>SÃO PAULO</v>
      </c>
      <c r="AE515" s="226" t="s">
        <v>64</v>
      </c>
    </row>
    <row r="516" spans="1:32" s="142" customFormat="1" ht="30" customHeight="1">
      <c r="A516" s="215" t="s">
        <v>198</v>
      </c>
      <c r="B516" s="215">
        <v>2694091089</v>
      </c>
      <c r="C516" s="215" t="s">
        <v>128</v>
      </c>
      <c r="D516" s="215" t="s">
        <v>64</v>
      </c>
      <c r="E516" s="215" t="s">
        <v>5</v>
      </c>
      <c r="F516" s="215" t="s">
        <v>1309</v>
      </c>
      <c r="G516" s="215">
        <v>108</v>
      </c>
      <c r="H516" s="215" t="s">
        <v>318</v>
      </c>
      <c r="I516" s="215" t="s">
        <v>343</v>
      </c>
      <c r="J516" s="215" t="s">
        <v>1898</v>
      </c>
      <c r="K516" s="215"/>
      <c r="L516" s="216">
        <v>46167.677083333336</v>
      </c>
      <c r="M516" s="216">
        <v>46167.684027777781</v>
      </c>
      <c r="N516" s="215" t="s">
        <v>1919</v>
      </c>
      <c r="O516" s="180" t="s">
        <v>205</v>
      </c>
      <c r="P516" s="56"/>
      <c r="Q516" s="164" t="s">
        <v>205</v>
      </c>
      <c r="R516" s="56"/>
      <c r="S516" s="164" t="s">
        <v>205</v>
      </c>
      <c r="T516" s="56"/>
      <c r="U516" s="143" t="s">
        <v>205</v>
      </c>
      <c r="V516" s="56"/>
      <c r="W516" s="143" t="s">
        <v>205</v>
      </c>
      <c r="X516" s="56"/>
      <c r="Y516" s="350" t="s">
        <v>205</v>
      </c>
      <c r="Z516" s="142" t="str">
        <f t="shared" si="28"/>
        <v>C</v>
      </c>
      <c r="AA516" s="226" t="str">
        <f t="shared" si="29"/>
        <v>UTILIZOU O PDA CORRETAMENTE</v>
      </c>
      <c r="AB516" s="166" t="s">
        <v>205</v>
      </c>
      <c r="AC516" s="236" t="s">
        <v>6</v>
      </c>
      <c r="AD516" s="227" t="str">
        <f t="shared" si="27"/>
        <v>SÃO PAULO</v>
      </c>
      <c r="AE516" s="226" t="s">
        <v>64</v>
      </c>
    </row>
    <row r="517" spans="1:32" s="142" customFormat="1" ht="30" customHeight="1">
      <c r="A517" s="215" t="s">
        <v>198</v>
      </c>
      <c r="B517" s="215">
        <v>2621852209</v>
      </c>
      <c r="C517" s="215" t="s">
        <v>128</v>
      </c>
      <c r="D517" s="215" t="s">
        <v>64</v>
      </c>
      <c r="E517" s="215" t="s">
        <v>5</v>
      </c>
      <c r="F517" s="215" t="s">
        <v>2652</v>
      </c>
      <c r="G517" s="215">
        <v>53</v>
      </c>
      <c r="H517" s="215" t="s">
        <v>200</v>
      </c>
      <c r="I517" s="215" t="s">
        <v>789</v>
      </c>
      <c r="J517" s="215" t="s">
        <v>1898</v>
      </c>
      <c r="K517" s="215" t="s">
        <v>200</v>
      </c>
      <c r="L517" s="216">
        <v>46167.611805555556</v>
      </c>
      <c r="M517" s="216">
        <v>46167.617361111108</v>
      </c>
      <c r="N517" s="215" t="s">
        <v>852</v>
      </c>
      <c r="O517" s="180" t="s">
        <v>205</v>
      </c>
      <c r="P517" s="56"/>
      <c r="Q517" s="164" t="s">
        <v>205</v>
      </c>
      <c r="R517" s="56"/>
      <c r="S517" s="164" t="s">
        <v>205</v>
      </c>
      <c r="T517" s="56"/>
      <c r="U517" s="143" t="s">
        <v>205</v>
      </c>
      <c r="V517" s="56"/>
      <c r="W517" s="143" t="s">
        <v>205</v>
      </c>
      <c r="X517" s="56"/>
      <c r="Y517" s="350" t="s">
        <v>205</v>
      </c>
      <c r="Z517" s="142" t="str">
        <f t="shared" si="28"/>
        <v>C</v>
      </c>
      <c r="AA517" s="226" t="str">
        <f t="shared" si="29"/>
        <v>UTILIZOU O PDA CORRETAMENTE</v>
      </c>
      <c r="AB517" s="166" t="s">
        <v>205</v>
      </c>
      <c r="AC517" s="236" t="s">
        <v>6</v>
      </c>
      <c r="AD517" s="227" t="str">
        <f t="shared" si="27"/>
        <v>SÃO PAULO</v>
      </c>
      <c r="AE517" s="226" t="s">
        <v>64</v>
      </c>
    </row>
    <row r="518" spans="1:32" s="142" customFormat="1" ht="30" customHeight="1">
      <c r="A518" s="215" t="s">
        <v>198</v>
      </c>
      <c r="B518" s="215">
        <v>2621854213</v>
      </c>
      <c r="C518" s="215" t="s">
        <v>132</v>
      </c>
      <c r="D518" s="215" t="s">
        <v>64</v>
      </c>
      <c r="E518" s="215" t="s">
        <v>5</v>
      </c>
      <c r="F518" s="215" t="s">
        <v>2324</v>
      </c>
      <c r="G518" s="215">
        <v>1141</v>
      </c>
      <c r="H518" s="215" t="s">
        <v>2653</v>
      </c>
      <c r="I518" s="215" t="s">
        <v>215</v>
      </c>
      <c r="J518" s="215" t="s">
        <v>1898</v>
      </c>
      <c r="K518" s="215"/>
      <c r="L518" s="216">
        <v>46167.67083333333</v>
      </c>
      <c r="M518" s="216">
        <v>46167.672222222223</v>
      </c>
      <c r="N518" s="215" t="s">
        <v>590</v>
      </c>
      <c r="O518" s="180" t="s">
        <v>205</v>
      </c>
      <c r="P518" s="56"/>
      <c r="Q518" s="143" t="s">
        <v>206</v>
      </c>
      <c r="R518" s="56"/>
      <c r="S518" s="164" t="s">
        <v>205</v>
      </c>
      <c r="T518" s="56"/>
      <c r="U518" s="143" t="s">
        <v>205</v>
      </c>
      <c r="V518" s="56"/>
      <c r="W518" s="143" t="s">
        <v>205</v>
      </c>
      <c r="X518" s="56"/>
      <c r="Y518" s="350" t="s">
        <v>205</v>
      </c>
      <c r="Z518" s="142" t="str">
        <f t="shared" si="28"/>
        <v>NC</v>
      </c>
      <c r="AA518" s="226" t="str">
        <f t="shared" si="29"/>
        <v>UTILIZOU O PDA CORRETAMENTE. NÃO HÁ FOTOS DE TODAS AS ETAPAS</v>
      </c>
      <c r="AB518" s="166" t="s">
        <v>205</v>
      </c>
      <c r="AC518" s="236" t="s">
        <v>6</v>
      </c>
      <c r="AD518" s="227" t="str">
        <f t="shared" si="27"/>
        <v>SÃO PAULO</v>
      </c>
      <c r="AE518" s="226" t="s">
        <v>64</v>
      </c>
    </row>
    <row r="519" spans="1:32" s="142" customFormat="1" ht="30" customHeight="1">
      <c r="A519" s="215" t="s">
        <v>198</v>
      </c>
      <c r="B519" s="215">
        <v>2621847384</v>
      </c>
      <c r="C519" s="215" t="s">
        <v>127</v>
      </c>
      <c r="D519" s="215" t="s">
        <v>64</v>
      </c>
      <c r="E519" s="215" t="s">
        <v>5</v>
      </c>
      <c r="F519" s="215" t="s">
        <v>2654</v>
      </c>
      <c r="G519" s="215">
        <v>68</v>
      </c>
      <c r="H519" s="215" t="s">
        <v>481</v>
      </c>
      <c r="I519" s="215" t="s">
        <v>1092</v>
      </c>
      <c r="J519" s="215" t="s">
        <v>1898</v>
      </c>
      <c r="K519" s="215" t="s">
        <v>200</v>
      </c>
      <c r="L519" s="216">
        <v>46167.583333333336</v>
      </c>
      <c r="M519" s="216">
        <v>46167.595138888886</v>
      </c>
      <c r="N519" s="215" t="s">
        <v>900</v>
      </c>
      <c r="O519" s="180" t="s">
        <v>205</v>
      </c>
      <c r="P519" s="56"/>
      <c r="Q519" s="164" t="s">
        <v>205</v>
      </c>
      <c r="R519" s="56"/>
      <c r="S519" s="164" t="s">
        <v>205</v>
      </c>
      <c r="T519" s="56"/>
      <c r="U519" s="143" t="s">
        <v>205</v>
      </c>
      <c r="V519" s="56"/>
      <c r="W519" s="143" t="s">
        <v>205</v>
      </c>
      <c r="X519" s="56"/>
      <c r="Y519" s="350" t="s">
        <v>205</v>
      </c>
      <c r="Z519" s="142" t="str">
        <f t="shared" si="28"/>
        <v>C</v>
      </c>
      <c r="AA519" s="226" t="str">
        <f t="shared" si="29"/>
        <v>UTILIZOU O PDA CORRETAMENTE</v>
      </c>
      <c r="AB519" s="166" t="s">
        <v>205</v>
      </c>
      <c r="AC519" s="236" t="s">
        <v>6</v>
      </c>
      <c r="AD519" s="227" t="str">
        <f t="shared" si="27"/>
        <v>SÃO PAULO</v>
      </c>
      <c r="AE519" s="226" t="s">
        <v>64</v>
      </c>
    </row>
    <row r="520" spans="1:32" s="142" customFormat="1" ht="30" customHeight="1">
      <c r="A520" s="365" t="s">
        <v>198</v>
      </c>
      <c r="B520" s="215">
        <v>2621846040</v>
      </c>
      <c r="C520" s="215" t="s">
        <v>128</v>
      </c>
      <c r="D520" s="215" t="s">
        <v>64</v>
      </c>
      <c r="E520" s="215" t="s">
        <v>5</v>
      </c>
      <c r="F520" s="215" t="s">
        <v>2655</v>
      </c>
      <c r="G520" s="215">
        <v>39</v>
      </c>
      <c r="H520" s="215"/>
      <c r="I520" s="215" t="s">
        <v>2042</v>
      </c>
      <c r="J520" s="215" t="s">
        <v>1898</v>
      </c>
      <c r="K520" s="215"/>
      <c r="L520" s="216">
        <v>46167.643750000003</v>
      </c>
      <c r="M520" s="216">
        <v>46167.647916666669</v>
      </c>
      <c r="N520" s="215" t="s">
        <v>1956</v>
      </c>
      <c r="O520" s="143" t="s">
        <v>62</v>
      </c>
      <c r="P520" s="56"/>
      <c r="Q520" s="143" t="s">
        <v>62</v>
      </c>
      <c r="R520" s="56"/>
      <c r="S520" s="143" t="s">
        <v>62</v>
      </c>
      <c r="T520" s="56"/>
      <c r="U520" s="143" t="s">
        <v>62</v>
      </c>
      <c r="V520" s="56"/>
      <c r="W520" s="143" t="s">
        <v>62</v>
      </c>
      <c r="X520" s="56" t="s">
        <v>2636</v>
      </c>
      <c r="Y520" s="350" t="s">
        <v>62</v>
      </c>
      <c r="Z520" s="142" t="str">
        <f t="shared" si="28"/>
        <v>NA</v>
      </c>
      <c r="AA520" s="226" t="str">
        <f t="shared" si="29"/>
        <v>NÃO AVALIADO POR FALHA DE SINCRONISMO</v>
      </c>
      <c r="AB520" s="166" t="s">
        <v>205</v>
      </c>
      <c r="AC520" s="236" t="s">
        <v>6</v>
      </c>
      <c r="AD520" s="227" t="str">
        <f t="shared" si="27"/>
        <v>SÃO PAULO</v>
      </c>
      <c r="AE520" s="226" t="s">
        <v>64</v>
      </c>
    </row>
    <row r="521" spans="1:32" s="142" customFormat="1" ht="30" customHeight="1">
      <c r="A521" s="215" t="s">
        <v>198</v>
      </c>
      <c r="B521" s="215">
        <v>2694100774</v>
      </c>
      <c r="C521" s="215" t="s">
        <v>128</v>
      </c>
      <c r="D521" s="215" t="s">
        <v>64</v>
      </c>
      <c r="E521" s="215" t="s">
        <v>5</v>
      </c>
      <c r="F521" s="215" t="s">
        <v>2656</v>
      </c>
      <c r="G521" s="215">
        <v>106</v>
      </c>
      <c r="H521" s="215" t="s">
        <v>226</v>
      </c>
      <c r="I521" s="215" t="s">
        <v>523</v>
      </c>
      <c r="J521" s="215" t="s">
        <v>1898</v>
      </c>
      <c r="K521" s="215" t="s">
        <v>200</v>
      </c>
      <c r="L521" s="216">
        <v>46167.62222222222</v>
      </c>
      <c r="M521" s="216">
        <v>46167.626388888886</v>
      </c>
      <c r="N521" s="215" t="s">
        <v>799</v>
      </c>
      <c r="O521" s="180" t="s">
        <v>205</v>
      </c>
      <c r="P521" s="56"/>
      <c r="Q521" s="164" t="s">
        <v>205</v>
      </c>
      <c r="R521" s="56"/>
      <c r="S521" s="164" t="s">
        <v>205</v>
      </c>
      <c r="T521" s="56"/>
      <c r="U521" s="143" t="s">
        <v>205</v>
      </c>
      <c r="V521" s="56"/>
      <c r="W521" s="143" t="s">
        <v>205</v>
      </c>
      <c r="X521" s="56"/>
      <c r="Y521" s="350" t="s">
        <v>205</v>
      </c>
      <c r="Z521" s="142" t="str">
        <f t="shared" si="28"/>
        <v>C</v>
      </c>
      <c r="AA521" s="226" t="str">
        <f t="shared" si="29"/>
        <v>UTILIZOU O PDA CORRETAMENTE</v>
      </c>
      <c r="AB521" s="166" t="s">
        <v>205</v>
      </c>
      <c r="AC521" s="236" t="s">
        <v>6</v>
      </c>
      <c r="AD521" s="227" t="str">
        <f t="shared" si="27"/>
        <v>SÃO PAULO</v>
      </c>
      <c r="AE521" s="226" t="s">
        <v>64</v>
      </c>
    </row>
    <row r="522" spans="1:32" s="142" customFormat="1" ht="30" customHeight="1">
      <c r="A522" s="215" t="s">
        <v>198</v>
      </c>
      <c r="B522" s="215">
        <v>2621873800</v>
      </c>
      <c r="C522" s="215" t="s">
        <v>128</v>
      </c>
      <c r="D522" s="215" t="s">
        <v>64</v>
      </c>
      <c r="E522" s="215" t="s">
        <v>5</v>
      </c>
      <c r="F522" s="215" t="s">
        <v>1437</v>
      </c>
      <c r="G522" s="215">
        <v>3102</v>
      </c>
      <c r="H522" s="215"/>
      <c r="I522" s="215" t="s">
        <v>260</v>
      </c>
      <c r="J522" s="215" t="s">
        <v>1908</v>
      </c>
      <c r="K522" s="215"/>
      <c r="L522" s="216">
        <v>46167.660416666666</v>
      </c>
      <c r="M522" s="216">
        <v>46167.665277777778</v>
      </c>
      <c r="N522" s="215" t="s">
        <v>799</v>
      </c>
      <c r="O522" s="180" t="s">
        <v>205</v>
      </c>
      <c r="P522" s="56"/>
      <c r="Q522" s="164" t="s">
        <v>205</v>
      </c>
      <c r="R522" s="56"/>
      <c r="S522" s="164" t="s">
        <v>205</v>
      </c>
      <c r="T522" s="56"/>
      <c r="U522" s="143" t="s">
        <v>205</v>
      </c>
      <c r="V522" s="56"/>
      <c r="W522" s="143" t="s">
        <v>205</v>
      </c>
      <c r="X522" s="56"/>
      <c r="Y522" s="350" t="s">
        <v>205</v>
      </c>
      <c r="Z522" s="142" t="str">
        <f t="shared" si="28"/>
        <v>C</v>
      </c>
      <c r="AA522" s="226" t="str">
        <f t="shared" si="29"/>
        <v>UTILIZOU O PDA CORRETAMENTE</v>
      </c>
      <c r="AB522" s="166" t="s">
        <v>205</v>
      </c>
      <c r="AC522" s="236" t="s">
        <v>6</v>
      </c>
      <c r="AD522" s="227" t="str">
        <f t="shared" si="27"/>
        <v>SÃO PAULO</v>
      </c>
      <c r="AE522" s="226" t="s">
        <v>64</v>
      </c>
    </row>
    <row r="523" spans="1:32" s="142" customFormat="1" ht="30" customHeight="1">
      <c r="A523" s="215" t="s">
        <v>198</v>
      </c>
      <c r="B523" s="215">
        <v>2621883693</v>
      </c>
      <c r="C523" s="215" t="s">
        <v>131</v>
      </c>
      <c r="D523" s="215" t="s">
        <v>64</v>
      </c>
      <c r="E523" s="215" t="s">
        <v>5</v>
      </c>
      <c r="F523" s="215" t="s">
        <v>2657</v>
      </c>
      <c r="G523" s="215">
        <v>350</v>
      </c>
      <c r="H523" s="215" t="s">
        <v>363</v>
      </c>
      <c r="I523" s="215" t="s">
        <v>410</v>
      </c>
      <c r="J523" s="215" t="s">
        <v>1898</v>
      </c>
      <c r="K523" s="215" t="s">
        <v>200</v>
      </c>
      <c r="L523" s="216">
        <v>46167.677777777775</v>
      </c>
      <c r="M523" s="216">
        <v>46167.68472222222</v>
      </c>
      <c r="N523" s="215" t="s">
        <v>1950</v>
      </c>
      <c r="O523" s="180" t="s">
        <v>205</v>
      </c>
      <c r="P523" s="56"/>
      <c r="Q523" s="164" t="s">
        <v>205</v>
      </c>
      <c r="R523" s="56"/>
      <c r="S523" s="164" t="s">
        <v>205</v>
      </c>
      <c r="T523" s="56"/>
      <c r="U523" s="143" t="s">
        <v>205</v>
      </c>
      <c r="V523" s="56"/>
      <c r="W523" s="143" t="s">
        <v>205</v>
      </c>
      <c r="X523" s="56"/>
      <c r="Y523" s="350" t="s">
        <v>205</v>
      </c>
      <c r="Z523" s="142" t="str">
        <f t="shared" si="28"/>
        <v>C</v>
      </c>
      <c r="AA523" s="226" t="str">
        <f t="shared" si="29"/>
        <v>UTILIZOU O PDA CORRETAMENTE</v>
      </c>
      <c r="AB523" s="166" t="s">
        <v>205</v>
      </c>
      <c r="AC523" s="236" t="s">
        <v>6</v>
      </c>
      <c r="AD523" s="227" t="str">
        <f t="shared" si="27"/>
        <v>SÃO PAULO</v>
      </c>
      <c r="AE523" s="226" t="s">
        <v>64</v>
      </c>
    </row>
    <row r="524" spans="1:32" s="142" customFormat="1" ht="30" customHeight="1">
      <c r="A524" s="215" t="s">
        <v>198</v>
      </c>
      <c r="B524" s="215">
        <v>2694103144</v>
      </c>
      <c r="C524" s="215" t="s">
        <v>130</v>
      </c>
      <c r="D524" s="215" t="s">
        <v>125</v>
      </c>
      <c r="E524" s="215" t="s">
        <v>5</v>
      </c>
      <c r="F524" s="215" t="s">
        <v>2658</v>
      </c>
      <c r="G524" s="215">
        <v>30</v>
      </c>
      <c r="H524" s="215" t="s">
        <v>200</v>
      </c>
      <c r="I524" s="215" t="s">
        <v>2659</v>
      </c>
      <c r="J524" s="215" t="s">
        <v>1934</v>
      </c>
      <c r="K524" s="215" t="s">
        <v>2660</v>
      </c>
      <c r="L524" s="216">
        <v>46167.682638888888</v>
      </c>
      <c r="M524" s="216">
        <v>46167.684027777781</v>
      </c>
      <c r="N524" s="215" t="s">
        <v>357</v>
      </c>
      <c r="O524" s="143" t="s">
        <v>206</v>
      </c>
      <c r="P524" s="56"/>
      <c r="Q524" s="143" t="s">
        <v>206</v>
      </c>
      <c r="R524" s="56"/>
      <c r="S524" s="143" t="s">
        <v>206</v>
      </c>
      <c r="T524" s="56"/>
      <c r="U524" s="143" t="s">
        <v>206</v>
      </c>
      <c r="V524" s="56"/>
      <c r="W524" s="143" t="s">
        <v>206</v>
      </c>
      <c r="X524" s="56"/>
      <c r="Y524" s="350" t="s">
        <v>239</v>
      </c>
      <c r="Z524" s="142" t="str">
        <f t="shared" si="28"/>
        <v>NC</v>
      </c>
      <c r="AA524" s="226" t="str">
        <f t="shared" si="29"/>
        <v>NÃO UTILIZOU O PDA</v>
      </c>
      <c r="AB524" s="166" t="s">
        <v>205</v>
      </c>
      <c r="AC524" s="236" t="s">
        <v>6</v>
      </c>
      <c r="AD524" s="227" t="str">
        <f t="shared" si="27"/>
        <v>SÃO PAULO</v>
      </c>
      <c r="AE524" s="226" t="s">
        <v>64</v>
      </c>
    </row>
    <row r="525" spans="1:32" s="142" customFormat="1" ht="30" customHeight="1">
      <c r="A525" s="228" t="s">
        <v>198</v>
      </c>
      <c r="B525" s="228">
        <v>2694062243</v>
      </c>
      <c r="C525" s="228" t="s">
        <v>132</v>
      </c>
      <c r="D525" s="228" t="s">
        <v>64</v>
      </c>
      <c r="E525" s="228" t="s">
        <v>5</v>
      </c>
      <c r="F525" s="228" t="s">
        <v>1932</v>
      </c>
      <c r="G525" s="228">
        <v>27</v>
      </c>
      <c r="H525" s="228"/>
      <c r="I525" s="228" t="s">
        <v>320</v>
      </c>
      <c r="J525" s="228" t="s">
        <v>1908</v>
      </c>
      <c r="K525" s="228"/>
      <c r="L525" s="230">
        <v>46167.250694444447</v>
      </c>
      <c r="M525" s="230">
        <v>46167.251388888886</v>
      </c>
      <c r="N525" s="228" t="s">
        <v>212</v>
      </c>
      <c r="O525" s="144" t="s">
        <v>62</v>
      </c>
      <c r="P525" s="59"/>
      <c r="Q525" s="144" t="s">
        <v>62</v>
      </c>
      <c r="R525" s="59"/>
      <c r="S525" s="144" t="s">
        <v>62</v>
      </c>
      <c r="T525" s="59"/>
      <c r="U525" s="144" t="s">
        <v>62</v>
      </c>
      <c r="V525" s="59"/>
      <c r="W525" s="144" t="s">
        <v>62</v>
      </c>
      <c r="X525" s="59"/>
      <c r="Y525" s="351" t="s">
        <v>62</v>
      </c>
      <c r="Z525" s="360" t="str">
        <f t="shared" si="28"/>
        <v>NA</v>
      </c>
      <c r="AA525" s="58" t="str">
        <f t="shared" si="29"/>
        <v>NÃO AVALIADO POR FALHA DE SINCRONISMO</v>
      </c>
      <c r="AB525" s="366" t="s">
        <v>205</v>
      </c>
      <c r="AC525" s="94" t="s">
        <v>6</v>
      </c>
      <c r="AD525" s="150" t="str">
        <f t="shared" si="27"/>
        <v>SÃO PAULO</v>
      </c>
      <c r="AE525" s="58" t="s">
        <v>64</v>
      </c>
      <c r="AF525" s="360"/>
    </row>
    <row r="526" spans="1:32" s="55" customFormat="1" ht="30" customHeight="1">
      <c r="A526" s="215" t="s">
        <v>198</v>
      </c>
      <c r="B526" s="215">
        <v>2621887297</v>
      </c>
      <c r="C526" s="215" t="s">
        <v>131</v>
      </c>
      <c r="D526" s="215" t="s">
        <v>64</v>
      </c>
      <c r="E526" s="215" t="s">
        <v>5</v>
      </c>
      <c r="F526" s="215" t="s">
        <v>2661</v>
      </c>
      <c r="G526" s="215">
        <v>86</v>
      </c>
      <c r="H526" s="215" t="s">
        <v>200</v>
      </c>
      <c r="I526" s="215" t="s">
        <v>958</v>
      </c>
      <c r="J526" s="215" t="s">
        <v>1908</v>
      </c>
      <c r="K526" s="215" t="s">
        <v>2662</v>
      </c>
      <c r="L526" s="216">
        <v>46168.440972222219</v>
      </c>
      <c r="M526" s="216">
        <v>46168.457638888889</v>
      </c>
      <c r="N526" s="215" t="s">
        <v>1919</v>
      </c>
      <c r="O526" s="56" t="s">
        <v>205</v>
      </c>
      <c r="P526" s="56"/>
      <c r="Q526" s="56" t="s">
        <v>205</v>
      </c>
      <c r="R526" s="56"/>
      <c r="S526" s="56" t="s">
        <v>205</v>
      </c>
      <c r="T526" s="234"/>
      <c r="U526" s="56" t="s">
        <v>205</v>
      </c>
      <c r="V526" s="234"/>
      <c r="W526" s="56" t="s">
        <v>205</v>
      </c>
      <c r="X526" s="56"/>
      <c r="Y526" s="56" t="s">
        <v>205</v>
      </c>
      <c r="Z526" s="56" t="s">
        <v>205</v>
      </c>
      <c r="AA526" s="234" t="str">
        <f t="shared" si="29"/>
        <v>UTILIZOU O PDA CORRETAMENTE</v>
      </c>
      <c r="AB526" s="56" t="s">
        <v>205</v>
      </c>
      <c r="AC526" s="242" t="s">
        <v>6</v>
      </c>
      <c r="AD526" s="235" t="str">
        <f t="shared" si="27"/>
        <v>SÃO PAULO</v>
      </c>
      <c r="AE526" s="234" t="s">
        <v>64</v>
      </c>
      <c r="AF526" s="237"/>
    </row>
    <row r="527" spans="1:32" s="55" customFormat="1" ht="30" customHeight="1">
      <c r="A527" s="215" t="s">
        <v>198</v>
      </c>
      <c r="B527" s="215">
        <v>2621885959</v>
      </c>
      <c r="C527" s="215" t="s">
        <v>132</v>
      </c>
      <c r="D527" s="215" t="s">
        <v>64</v>
      </c>
      <c r="E527" s="215" t="s">
        <v>5</v>
      </c>
      <c r="F527" s="215" t="s">
        <v>2663</v>
      </c>
      <c r="G527" s="215">
        <v>53</v>
      </c>
      <c r="H527" s="215" t="s">
        <v>318</v>
      </c>
      <c r="I527" s="215" t="s">
        <v>402</v>
      </c>
      <c r="J527" s="215" t="s">
        <v>1898</v>
      </c>
      <c r="K527" s="215"/>
      <c r="L527" s="216">
        <v>46168.25</v>
      </c>
      <c r="M527" s="216">
        <v>46168.253472222219</v>
      </c>
      <c r="N527" s="215" t="s">
        <v>1956</v>
      </c>
      <c r="O527" s="56" t="s">
        <v>62</v>
      </c>
      <c r="P527" s="56"/>
      <c r="Q527" s="56" t="s">
        <v>62</v>
      </c>
      <c r="R527" s="56"/>
      <c r="S527" s="56" t="s">
        <v>62</v>
      </c>
      <c r="T527" s="234"/>
      <c r="U527" s="56" t="s">
        <v>62</v>
      </c>
      <c r="V527" s="234"/>
      <c r="W527" s="56" t="s">
        <v>62</v>
      </c>
      <c r="X527" s="56"/>
      <c r="Y527" s="56" t="s">
        <v>62</v>
      </c>
      <c r="Z527" s="56" t="s">
        <v>62</v>
      </c>
      <c r="AA527" s="234" t="str">
        <f t="shared" si="29"/>
        <v>NÃO AVALIADO POR FALHA DE SINCRONISMO</v>
      </c>
      <c r="AB527" s="56" t="s">
        <v>205</v>
      </c>
      <c r="AC527" s="242" t="s">
        <v>6</v>
      </c>
      <c r="AD527" s="235" t="str">
        <f t="shared" si="27"/>
        <v>SÃO PAULO</v>
      </c>
      <c r="AE527" s="234" t="s">
        <v>64</v>
      </c>
      <c r="AF527" s="237"/>
    </row>
    <row r="528" spans="1:32" s="55" customFormat="1" ht="30" customHeight="1">
      <c r="A528" s="215" t="s">
        <v>198</v>
      </c>
      <c r="B528" s="215">
        <v>2621865495</v>
      </c>
      <c r="C528" s="215" t="s">
        <v>129</v>
      </c>
      <c r="D528" s="215" t="s">
        <v>125</v>
      </c>
      <c r="E528" s="215" t="s">
        <v>5</v>
      </c>
      <c r="F528" s="215" t="s">
        <v>2664</v>
      </c>
      <c r="G528" s="215">
        <v>33</v>
      </c>
      <c r="H528" s="215" t="s">
        <v>387</v>
      </c>
      <c r="I528" s="215" t="s">
        <v>215</v>
      </c>
      <c r="J528" s="215" t="s">
        <v>1903</v>
      </c>
      <c r="K528" s="215" t="s">
        <v>200</v>
      </c>
      <c r="L528" s="216">
        <v>46168.397916666669</v>
      </c>
      <c r="M528" s="216">
        <v>46168.4</v>
      </c>
      <c r="N528" s="215" t="s">
        <v>590</v>
      </c>
      <c r="O528" s="56" t="s">
        <v>205</v>
      </c>
      <c r="P528" s="56"/>
      <c r="Q528" s="56" t="s">
        <v>205</v>
      </c>
      <c r="R528" s="56"/>
      <c r="S528" s="56" t="s">
        <v>205</v>
      </c>
      <c r="T528" s="234"/>
      <c r="U528" s="56" t="s">
        <v>205</v>
      </c>
      <c r="V528" s="234"/>
      <c r="W528" s="56" t="s">
        <v>205</v>
      </c>
      <c r="X528" s="56"/>
      <c r="Y528" s="56" t="s">
        <v>205</v>
      </c>
      <c r="Z528" s="56" t="s">
        <v>205</v>
      </c>
      <c r="AA528" s="234" t="str">
        <f t="shared" si="29"/>
        <v>UTILIZOU O PDA CORRETAMENTE</v>
      </c>
      <c r="AB528" s="56" t="s">
        <v>205</v>
      </c>
      <c r="AC528" s="242" t="s">
        <v>6</v>
      </c>
      <c r="AD528" s="235" t="str">
        <f t="shared" si="27"/>
        <v>SÃO PAULO</v>
      </c>
      <c r="AE528" s="234" t="s">
        <v>64</v>
      </c>
      <c r="AF528" s="237"/>
    </row>
    <row r="529" spans="1:32" s="55" customFormat="1" ht="30" customHeight="1">
      <c r="A529" s="215" t="s">
        <v>198</v>
      </c>
      <c r="B529" s="215">
        <v>2694114318</v>
      </c>
      <c r="C529" s="215" t="s">
        <v>128</v>
      </c>
      <c r="D529" s="215" t="s">
        <v>64</v>
      </c>
      <c r="E529" s="215" t="s">
        <v>5</v>
      </c>
      <c r="F529" s="215" t="s">
        <v>976</v>
      </c>
      <c r="G529" s="215">
        <v>260</v>
      </c>
      <c r="H529" s="215" t="s">
        <v>318</v>
      </c>
      <c r="I529" s="215" t="s">
        <v>470</v>
      </c>
      <c r="J529" s="215" t="s">
        <v>1898</v>
      </c>
      <c r="K529" s="215"/>
      <c r="L529" s="216">
        <v>46168.465277777781</v>
      </c>
      <c r="M529" s="216">
        <v>46168.466666666667</v>
      </c>
      <c r="N529" s="215" t="s">
        <v>799</v>
      </c>
      <c r="O529" s="56" t="s">
        <v>205</v>
      </c>
      <c r="P529" s="56"/>
      <c r="Q529" s="56" t="s">
        <v>205</v>
      </c>
      <c r="R529" s="56"/>
      <c r="S529" s="56" t="s">
        <v>205</v>
      </c>
      <c r="T529" s="234"/>
      <c r="U529" s="56" t="s">
        <v>205</v>
      </c>
      <c r="V529" s="234"/>
      <c r="W529" s="56" t="s">
        <v>205</v>
      </c>
      <c r="X529" s="56"/>
      <c r="Y529" s="56" t="s">
        <v>205</v>
      </c>
      <c r="Z529" s="56" t="s">
        <v>205</v>
      </c>
      <c r="AA529" s="234" t="str">
        <f t="shared" si="29"/>
        <v>UTILIZOU O PDA CORRETAMENTE</v>
      </c>
      <c r="AB529" s="56" t="s">
        <v>205</v>
      </c>
      <c r="AC529" s="242" t="s">
        <v>6</v>
      </c>
      <c r="AD529" s="235" t="str">
        <f t="shared" si="27"/>
        <v>SÃO PAULO</v>
      </c>
      <c r="AE529" s="234" t="s">
        <v>64</v>
      </c>
      <c r="AF529" s="237"/>
    </row>
    <row r="530" spans="1:32" s="55" customFormat="1" ht="30" customHeight="1">
      <c r="A530" s="215" t="s">
        <v>198</v>
      </c>
      <c r="B530" s="215">
        <v>2694090064</v>
      </c>
      <c r="C530" s="215" t="s">
        <v>128</v>
      </c>
      <c r="D530" s="215" t="s">
        <v>64</v>
      </c>
      <c r="E530" s="215" t="s">
        <v>5</v>
      </c>
      <c r="F530" s="215" t="s">
        <v>2665</v>
      </c>
      <c r="G530" s="215">
        <v>52</v>
      </c>
      <c r="H530" s="215" t="s">
        <v>409</v>
      </c>
      <c r="I530" s="215" t="s">
        <v>1317</v>
      </c>
      <c r="J530" s="215" t="s">
        <v>1898</v>
      </c>
      <c r="K530" s="215" t="s">
        <v>200</v>
      </c>
      <c r="L530" s="216">
        <v>46168.25</v>
      </c>
      <c r="M530" s="216">
        <v>46168.253472222219</v>
      </c>
      <c r="N530" s="215" t="s">
        <v>799</v>
      </c>
      <c r="O530" s="56" t="s">
        <v>205</v>
      </c>
      <c r="P530" s="56"/>
      <c r="Q530" s="56" t="s">
        <v>205</v>
      </c>
      <c r="R530" s="56"/>
      <c r="S530" s="56" t="s">
        <v>205</v>
      </c>
      <c r="T530" s="234"/>
      <c r="U530" s="56" t="s">
        <v>205</v>
      </c>
      <c r="V530" s="234"/>
      <c r="W530" s="56" t="s">
        <v>205</v>
      </c>
      <c r="X530" s="56"/>
      <c r="Y530" s="56" t="s">
        <v>205</v>
      </c>
      <c r="Z530" s="56" t="s">
        <v>205</v>
      </c>
      <c r="AA530" s="234" t="str">
        <f t="shared" si="29"/>
        <v>UTILIZOU O PDA CORRETAMENTE</v>
      </c>
      <c r="AB530" s="56" t="s">
        <v>205</v>
      </c>
      <c r="AC530" s="242" t="s">
        <v>6</v>
      </c>
      <c r="AD530" s="235" t="str">
        <f t="shared" si="27"/>
        <v>SÃO PAULO</v>
      </c>
      <c r="AE530" s="234" t="s">
        <v>64</v>
      </c>
      <c r="AF530" s="237"/>
    </row>
    <row r="531" spans="1:32" s="55" customFormat="1" ht="30" customHeight="1">
      <c r="A531" s="215" t="s">
        <v>198</v>
      </c>
      <c r="B531" s="215">
        <v>2621847934</v>
      </c>
      <c r="C531" s="215" t="s">
        <v>128</v>
      </c>
      <c r="D531" s="215" t="s">
        <v>64</v>
      </c>
      <c r="E531" s="215" t="s">
        <v>5</v>
      </c>
      <c r="F531" s="215" t="s">
        <v>2666</v>
      </c>
      <c r="G531" s="215">
        <v>153</v>
      </c>
      <c r="H531" s="215"/>
      <c r="I531" s="215" t="s">
        <v>1879</v>
      </c>
      <c r="J531" s="215" t="s">
        <v>1908</v>
      </c>
      <c r="K531" s="215"/>
      <c r="L531" s="216">
        <v>46168.25</v>
      </c>
      <c r="M531" s="216">
        <v>46168.253472222219</v>
      </c>
      <c r="N531" s="215" t="s">
        <v>799</v>
      </c>
      <c r="O531" s="56" t="s">
        <v>205</v>
      </c>
      <c r="P531" s="56"/>
      <c r="Q531" s="56" t="s">
        <v>205</v>
      </c>
      <c r="R531" s="56"/>
      <c r="S531" s="56" t="s">
        <v>205</v>
      </c>
      <c r="T531" s="234"/>
      <c r="U531" s="56" t="s">
        <v>205</v>
      </c>
      <c r="V531" s="234"/>
      <c r="W531" s="56" t="s">
        <v>205</v>
      </c>
      <c r="X531" s="56"/>
      <c r="Y531" s="56" t="s">
        <v>205</v>
      </c>
      <c r="Z531" s="56" t="s">
        <v>205</v>
      </c>
      <c r="AA531" s="234" t="str">
        <f t="shared" si="29"/>
        <v>UTILIZOU O PDA CORRETAMENTE</v>
      </c>
      <c r="AB531" s="56" t="s">
        <v>205</v>
      </c>
      <c r="AC531" s="242" t="s">
        <v>6</v>
      </c>
      <c r="AD531" s="235" t="str">
        <f t="shared" si="27"/>
        <v>SÃO PAULO</v>
      </c>
      <c r="AE531" s="234" t="s">
        <v>64</v>
      </c>
      <c r="AF531" s="237"/>
    </row>
    <row r="532" spans="1:32" s="55" customFormat="1" ht="30" customHeight="1">
      <c r="A532" s="215" t="s">
        <v>198</v>
      </c>
      <c r="B532" s="215">
        <v>2694139780</v>
      </c>
      <c r="C532" s="215" t="s">
        <v>128</v>
      </c>
      <c r="D532" s="215" t="s">
        <v>64</v>
      </c>
      <c r="E532" s="215" t="s">
        <v>5</v>
      </c>
      <c r="F532" s="215" t="s">
        <v>1260</v>
      </c>
      <c r="G532" s="215">
        <v>5</v>
      </c>
      <c r="H532" s="215" t="s">
        <v>200</v>
      </c>
      <c r="I532" s="215" t="s">
        <v>484</v>
      </c>
      <c r="J532" s="215" t="s">
        <v>1898</v>
      </c>
      <c r="K532" s="215" t="s">
        <v>200</v>
      </c>
      <c r="L532" s="216">
        <v>46168.481944444444</v>
      </c>
      <c r="M532" s="216">
        <v>46168.488194444442</v>
      </c>
      <c r="N532" s="215" t="s">
        <v>852</v>
      </c>
      <c r="O532" s="56" t="s">
        <v>205</v>
      </c>
      <c r="P532" s="56"/>
      <c r="Q532" s="56" t="s">
        <v>205</v>
      </c>
      <c r="R532" s="56"/>
      <c r="S532" s="56" t="s">
        <v>205</v>
      </c>
      <c r="T532" s="234"/>
      <c r="U532" s="56" t="s">
        <v>205</v>
      </c>
      <c r="V532" s="234"/>
      <c r="W532" s="56" t="s">
        <v>205</v>
      </c>
      <c r="X532" s="56"/>
      <c r="Y532" s="56" t="s">
        <v>205</v>
      </c>
      <c r="Z532" s="56" t="s">
        <v>205</v>
      </c>
      <c r="AA532" s="234" t="str">
        <f t="shared" si="29"/>
        <v>UTILIZOU O PDA CORRETAMENTE</v>
      </c>
      <c r="AB532" s="56" t="s">
        <v>205</v>
      </c>
      <c r="AC532" s="242" t="s">
        <v>6</v>
      </c>
      <c r="AD532" s="235" t="str">
        <f t="shared" si="27"/>
        <v>SÃO PAULO</v>
      </c>
      <c r="AE532" s="234" t="s">
        <v>64</v>
      </c>
      <c r="AF532" s="237"/>
    </row>
    <row r="533" spans="1:32" s="55" customFormat="1" ht="30" customHeight="1">
      <c r="A533" s="215" t="s">
        <v>198</v>
      </c>
      <c r="B533" s="215">
        <v>2694140651</v>
      </c>
      <c r="C533" s="215" t="s">
        <v>128</v>
      </c>
      <c r="D533" s="215" t="s">
        <v>64</v>
      </c>
      <c r="E533" s="215" t="s">
        <v>5</v>
      </c>
      <c r="F533" s="215" t="s">
        <v>1327</v>
      </c>
      <c r="G533" s="215">
        <v>421</v>
      </c>
      <c r="H533" s="215" t="s">
        <v>2667</v>
      </c>
      <c r="I533" s="215" t="s">
        <v>1227</v>
      </c>
      <c r="J533" s="215" t="s">
        <v>1900</v>
      </c>
      <c r="K533" s="215"/>
      <c r="L533" s="216">
        <v>46168.42291666667</v>
      </c>
      <c r="M533" s="216">
        <v>46168.429861111108</v>
      </c>
      <c r="N533" s="215" t="s">
        <v>852</v>
      </c>
      <c r="O533" s="56" t="s">
        <v>205</v>
      </c>
      <c r="P533" s="56"/>
      <c r="Q533" s="56" t="s">
        <v>205</v>
      </c>
      <c r="R533" s="56"/>
      <c r="S533" s="56" t="s">
        <v>205</v>
      </c>
      <c r="T533" s="234"/>
      <c r="U533" s="56" t="s">
        <v>205</v>
      </c>
      <c r="V533" s="234"/>
      <c r="W533" s="56" t="s">
        <v>205</v>
      </c>
      <c r="X533" s="56"/>
      <c r="Y533" s="56" t="s">
        <v>205</v>
      </c>
      <c r="Z533" s="56" t="s">
        <v>205</v>
      </c>
      <c r="AA533" s="234" t="str">
        <f t="shared" si="29"/>
        <v>UTILIZOU O PDA CORRETAMENTE</v>
      </c>
      <c r="AB533" s="56" t="s">
        <v>205</v>
      </c>
      <c r="AC533" s="242" t="s">
        <v>6</v>
      </c>
      <c r="AD533" s="235" t="str">
        <f t="shared" si="27"/>
        <v>SÃO PAULO</v>
      </c>
      <c r="AE533" s="234" t="s">
        <v>64</v>
      </c>
      <c r="AF533" s="237"/>
    </row>
    <row r="534" spans="1:32" s="55" customFormat="1" ht="30" customHeight="1">
      <c r="A534" s="215" t="s">
        <v>198</v>
      </c>
      <c r="B534" s="215">
        <v>2694135862</v>
      </c>
      <c r="C534" s="215" t="s">
        <v>132</v>
      </c>
      <c r="D534" s="215" t="s">
        <v>64</v>
      </c>
      <c r="E534" s="215" t="s">
        <v>5</v>
      </c>
      <c r="F534" s="215" t="s">
        <v>2668</v>
      </c>
      <c r="G534" s="215">
        <v>161</v>
      </c>
      <c r="H534" s="215" t="s">
        <v>226</v>
      </c>
      <c r="I534" s="215" t="s">
        <v>759</v>
      </c>
      <c r="J534" s="215" t="s">
        <v>1908</v>
      </c>
      <c r="K534" s="215" t="s">
        <v>200</v>
      </c>
      <c r="L534" s="216">
        <v>46168.404166666667</v>
      </c>
      <c r="M534" s="216">
        <v>46168.410416666666</v>
      </c>
      <c r="N534" s="215" t="s">
        <v>1956</v>
      </c>
      <c r="O534" s="56" t="s">
        <v>62</v>
      </c>
      <c r="P534" s="56"/>
      <c r="Q534" s="56" t="s">
        <v>62</v>
      </c>
      <c r="R534" s="56"/>
      <c r="S534" s="56" t="s">
        <v>62</v>
      </c>
      <c r="T534" s="234"/>
      <c r="U534" s="56" t="s">
        <v>62</v>
      </c>
      <c r="V534" s="234"/>
      <c r="W534" s="56" t="s">
        <v>62</v>
      </c>
      <c r="X534" s="56"/>
      <c r="Y534" s="56" t="s">
        <v>62</v>
      </c>
      <c r="Z534" s="56" t="s">
        <v>62</v>
      </c>
      <c r="AA534" s="234" t="str">
        <f t="shared" si="29"/>
        <v>NÃO AVALIADO POR FALHA DE SINCRONISMO</v>
      </c>
      <c r="AB534" s="56" t="s">
        <v>205</v>
      </c>
      <c r="AC534" s="242" t="s">
        <v>6</v>
      </c>
      <c r="AD534" s="235" t="str">
        <f t="shared" si="27"/>
        <v>SÃO PAULO</v>
      </c>
      <c r="AE534" s="234" t="s">
        <v>64</v>
      </c>
      <c r="AF534" s="237"/>
    </row>
    <row r="535" spans="1:32" s="55" customFormat="1" ht="30" customHeight="1">
      <c r="A535" s="215" t="s">
        <v>198</v>
      </c>
      <c r="B535" s="215">
        <v>2694146846</v>
      </c>
      <c r="C535" s="215" t="s">
        <v>128</v>
      </c>
      <c r="D535" s="215" t="s">
        <v>64</v>
      </c>
      <c r="E535" s="215" t="s">
        <v>5</v>
      </c>
      <c r="F535" s="215" t="s">
        <v>2669</v>
      </c>
      <c r="G535" s="215">
        <v>280</v>
      </c>
      <c r="H535" s="215"/>
      <c r="I535" s="215" t="s">
        <v>215</v>
      </c>
      <c r="J535" s="215" t="s">
        <v>1898</v>
      </c>
      <c r="K535" s="215"/>
      <c r="L535" s="216">
        <v>46168.354166666664</v>
      </c>
      <c r="M535" s="216">
        <v>46168.364583333336</v>
      </c>
      <c r="N535" s="215" t="s">
        <v>590</v>
      </c>
      <c r="O535" s="56" t="s">
        <v>205</v>
      </c>
      <c r="P535" s="56"/>
      <c r="Q535" s="56" t="s">
        <v>205</v>
      </c>
      <c r="R535" s="56"/>
      <c r="S535" s="56" t="s">
        <v>205</v>
      </c>
      <c r="T535" s="234"/>
      <c r="U535" s="56" t="s">
        <v>205</v>
      </c>
      <c r="V535" s="234"/>
      <c r="W535" s="56" t="s">
        <v>205</v>
      </c>
      <c r="X535" s="56"/>
      <c r="Y535" s="56" t="s">
        <v>205</v>
      </c>
      <c r="Z535" s="56" t="s">
        <v>205</v>
      </c>
      <c r="AA535" s="234" t="str">
        <f t="shared" si="29"/>
        <v>UTILIZOU O PDA CORRETAMENTE</v>
      </c>
      <c r="AB535" s="56" t="s">
        <v>205</v>
      </c>
      <c r="AC535" s="242" t="s">
        <v>6</v>
      </c>
      <c r="AD535" s="235" t="str">
        <f t="shared" si="27"/>
        <v>SÃO PAULO</v>
      </c>
      <c r="AE535" s="234" t="s">
        <v>64</v>
      </c>
      <c r="AF535" s="237"/>
    </row>
    <row r="536" spans="1:32" s="55" customFormat="1" ht="30" customHeight="1">
      <c r="A536" s="215" t="s">
        <v>198</v>
      </c>
      <c r="B536" s="215">
        <v>2694121828</v>
      </c>
      <c r="C536" s="215" t="s">
        <v>128</v>
      </c>
      <c r="D536" s="215" t="s">
        <v>64</v>
      </c>
      <c r="E536" s="215" t="s">
        <v>5</v>
      </c>
      <c r="F536" s="215" t="s">
        <v>1382</v>
      </c>
      <c r="G536" s="215">
        <v>42</v>
      </c>
      <c r="H536" s="215" t="s">
        <v>676</v>
      </c>
      <c r="I536" s="215" t="s">
        <v>546</v>
      </c>
      <c r="J536" s="215" t="s">
        <v>1898</v>
      </c>
      <c r="K536" s="215" t="s">
        <v>200</v>
      </c>
      <c r="L536" s="216">
        <v>46168.442361111112</v>
      </c>
      <c r="M536" s="216">
        <v>46168.45208333333</v>
      </c>
      <c r="N536" s="215" t="s">
        <v>590</v>
      </c>
      <c r="O536" s="56" t="s">
        <v>205</v>
      </c>
      <c r="P536" s="56"/>
      <c r="Q536" s="56" t="s">
        <v>205</v>
      </c>
      <c r="R536" s="56"/>
      <c r="S536" s="56" t="s">
        <v>205</v>
      </c>
      <c r="T536" s="234"/>
      <c r="U536" s="56" t="s">
        <v>205</v>
      </c>
      <c r="V536" s="234"/>
      <c r="W536" s="56" t="s">
        <v>206</v>
      </c>
      <c r="X536" s="56"/>
      <c r="Y536" s="56" t="s">
        <v>205</v>
      </c>
      <c r="Z536" s="56" t="s">
        <v>239</v>
      </c>
      <c r="AA536" s="234" t="str">
        <f t="shared" si="29"/>
        <v>UTILIZOU O PDA CORRETAMENTE. NÃO HÁ FOTOS DE TODAS AS ETAPAS</v>
      </c>
      <c r="AB536" s="56" t="s">
        <v>205</v>
      </c>
      <c r="AC536" s="242" t="s">
        <v>6</v>
      </c>
      <c r="AD536" s="235" t="str">
        <f t="shared" si="27"/>
        <v>SÃO PAULO</v>
      </c>
      <c r="AE536" s="234" t="s">
        <v>64</v>
      </c>
      <c r="AF536" s="237"/>
    </row>
    <row r="537" spans="1:32" s="55" customFormat="1" ht="30" customHeight="1">
      <c r="A537" s="215" t="s">
        <v>198</v>
      </c>
      <c r="B537" s="215">
        <v>2621877903</v>
      </c>
      <c r="C537" s="215" t="s">
        <v>129</v>
      </c>
      <c r="D537" s="215" t="s">
        <v>125</v>
      </c>
      <c r="E537" s="215" t="s">
        <v>5</v>
      </c>
      <c r="F537" s="215" t="s">
        <v>2670</v>
      </c>
      <c r="G537" s="215">
        <v>46</v>
      </c>
      <c r="H537" s="215" t="s">
        <v>387</v>
      </c>
      <c r="I537" s="215" t="s">
        <v>1695</v>
      </c>
      <c r="J537" s="215" t="s">
        <v>1903</v>
      </c>
      <c r="K537" s="215" t="s">
        <v>2671</v>
      </c>
      <c r="L537" s="216">
        <v>46168.400694444441</v>
      </c>
      <c r="M537" s="216">
        <v>46168.402083333334</v>
      </c>
      <c r="N537" s="215" t="s">
        <v>852</v>
      </c>
      <c r="O537" s="56" t="s">
        <v>205</v>
      </c>
      <c r="P537" s="56"/>
      <c r="Q537" s="56" t="s">
        <v>205</v>
      </c>
      <c r="R537" s="56"/>
      <c r="S537" s="56" t="s">
        <v>205</v>
      </c>
      <c r="T537" s="234"/>
      <c r="U537" s="56" t="s">
        <v>205</v>
      </c>
      <c r="V537" s="234"/>
      <c r="W537" s="56" t="s">
        <v>205</v>
      </c>
      <c r="X537" s="56"/>
      <c r="Y537" s="56" t="s">
        <v>205</v>
      </c>
      <c r="Z537" s="56" t="s">
        <v>205</v>
      </c>
      <c r="AA537" s="234" t="str">
        <f t="shared" si="29"/>
        <v>UTILIZOU O PDA CORRETAMENTE</v>
      </c>
      <c r="AB537" s="56" t="s">
        <v>205</v>
      </c>
      <c r="AC537" s="242" t="s">
        <v>6</v>
      </c>
      <c r="AD537" s="235" t="str">
        <f t="shared" si="27"/>
        <v>SÃO PAULO</v>
      </c>
      <c r="AE537" s="234" t="s">
        <v>64</v>
      </c>
      <c r="AF537" s="237"/>
    </row>
    <row r="538" spans="1:32" s="55" customFormat="1" ht="30" customHeight="1">
      <c r="A538" s="215" t="s">
        <v>198</v>
      </c>
      <c r="B538" s="215">
        <v>2694183392</v>
      </c>
      <c r="C538" s="215" t="s">
        <v>131</v>
      </c>
      <c r="D538" s="215" t="s">
        <v>64</v>
      </c>
      <c r="E538" s="215" t="s">
        <v>5</v>
      </c>
      <c r="F538" s="215" t="s">
        <v>2672</v>
      </c>
      <c r="G538" s="215">
        <v>1</v>
      </c>
      <c r="H538" s="215" t="s">
        <v>200</v>
      </c>
      <c r="I538" s="215" t="s">
        <v>215</v>
      </c>
      <c r="J538" s="215" t="s">
        <v>1898</v>
      </c>
      <c r="K538" s="215" t="s">
        <v>200</v>
      </c>
      <c r="L538" s="216">
        <v>46168.635416666664</v>
      </c>
      <c r="M538" s="216">
        <v>46168.638888888891</v>
      </c>
      <c r="N538" s="215" t="s">
        <v>590</v>
      </c>
      <c r="O538" s="56" t="s">
        <v>205</v>
      </c>
      <c r="P538" s="56"/>
      <c r="Q538" s="56" t="s">
        <v>205</v>
      </c>
      <c r="R538" s="56"/>
      <c r="S538" s="56" t="s">
        <v>205</v>
      </c>
      <c r="T538" s="234"/>
      <c r="U538" s="56" t="s">
        <v>205</v>
      </c>
      <c r="V538" s="234"/>
      <c r="W538" s="56" t="s">
        <v>205</v>
      </c>
      <c r="X538" s="56"/>
      <c r="Y538" s="56" t="s">
        <v>205</v>
      </c>
      <c r="Z538" s="56" t="s">
        <v>205</v>
      </c>
      <c r="AA538" s="234" t="str">
        <f t="shared" si="29"/>
        <v>UTILIZOU O PDA CORRETAMENTE</v>
      </c>
      <c r="AB538" s="56" t="s">
        <v>205</v>
      </c>
      <c r="AC538" s="242" t="s">
        <v>6</v>
      </c>
      <c r="AD538" s="235" t="str">
        <f t="shared" si="27"/>
        <v>SÃO PAULO</v>
      </c>
      <c r="AE538" s="234" t="s">
        <v>64</v>
      </c>
      <c r="AF538" s="237"/>
    </row>
    <row r="539" spans="1:32" s="55" customFormat="1" ht="30" customHeight="1">
      <c r="A539" s="215" t="s">
        <v>198</v>
      </c>
      <c r="B539" s="215">
        <v>2694180368</v>
      </c>
      <c r="C539" s="215" t="s">
        <v>128</v>
      </c>
      <c r="D539" s="215" t="s">
        <v>64</v>
      </c>
      <c r="E539" s="215" t="s">
        <v>5</v>
      </c>
      <c r="F539" s="215" t="s">
        <v>2644</v>
      </c>
      <c r="G539" s="215">
        <v>180</v>
      </c>
      <c r="H539" s="215" t="s">
        <v>226</v>
      </c>
      <c r="I539" s="215" t="s">
        <v>1862</v>
      </c>
      <c r="J539" s="215" t="s">
        <v>1898</v>
      </c>
      <c r="K539" s="215"/>
      <c r="L539" s="216">
        <v>46168.441666666666</v>
      </c>
      <c r="M539" s="216">
        <v>46168.448611111111</v>
      </c>
      <c r="N539" s="215" t="s">
        <v>1956</v>
      </c>
      <c r="O539" s="56" t="s">
        <v>205</v>
      </c>
      <c r="P539" s="56"/>
      <c r="Q539" s="56" t="s">
        <v>205</v>
      </c>
      <c r="R539" s="56"/>
      <c r="S539" s="56" t="s">
        <v>205</v>
      </c>
      <c r="T539" s="234"/>
      <c r="U539" s="56" t="s">
        <v>205</v>
      </c>
      <c r="V539" s="234"/>
      <c r="W539" s="56" t="s">
        <v>205</v>
      </c>
      <c r="X539" s="56"/>
      <c r="Y539" s="56" t="s">
        <v>205</v>
      </c>
      <c r="Z539" s="56" t="s">
        <v>205</v>
      </c>
      <c r="AA539" s="234" t="str">
        <f t="shared" si="29"/>
        <v>UTILIZOU O PDA CORRETAMENTE</v>
      </c>
      <c r="AB539" s="56" t="s">
        <v>205</v>
      </c>
      <c r="AC539" s="242" t="s">
        <v>6</v>
      </c>
      <c r="AD539" s="235" t="str">
        <f t="shared" si="27"/>
        <v>SÃO PAULO</v>
      </c>
      <c r="AE539" s="234" t="s">
        <v>64</v>
      </c>
      <c r="AF539" s="237"/>
    </row>
    <row r="540" spans="1:32" s="55" customFormat="1" ht="30" customHeight="1">
      <c r="A540" s="215" t="s">
        <v>198</v>
      </c>
      <c r="B540" s="215">
        <v>2622114817</v>
      </c>
      <c r="C540" s="215" t="s">
        <v>128</v>
      </c>
      <c r="D540" s="215" t="s">
        <v>64</v>
      </c>
      <c r="E540" s="215" t="s">
        <v>5</v>
      </c>
      <c r="F540" s="215" t="s">
        <v>2673</v>
      </c>
      <c r="G540" s="215">
        <v>292</v>
      </c>
      <c r="H540" s="215" t="s">
        <v>226</v>
      </c>
      <c r="I540" s="215" t="s">
        <v>320</v>
      </c>
      <c r="J540" s="215" t="s">
        <v>1898</v>
      </c>
      <c r="K540" s="215" t="s">
        <v>200</v>
      </c>
      <c r="L540" s="216">
        <v>46168.529166666667</v>
      </c>
      <c r="M540" s="216">
        <v>46168.533333333333</v>
      </c>
      <c r="N540" s="215" t="s">
        <v>852</v>
      </c>
      <c r="O540" s="56" t="s">
        <v>205</v>
      </c>
      <c r="P540" s="56"/>
      <c r="Q540" s="56" t="s">
        <v>205</v>
      </c>
      <c r="R540" s="56"/>
      <c r="S540" s="56" t="s">
        <v>205</v>
      </c>
      <c r="T540" s="234"/>
      <c r="U540" s="56" t="s">
        <v>205</v>
      </c>
      <c r="V540" s="234"/>
      <c r="W540" s="56" t="s">
        <v>205</v>
      </c>
      <c r="X540" s="56"/>
      <c r="Y540" s="56" t="s">
        <v>205</v>
      </c>
      <c r="Z540" s="56" t="s">
        <v>205</v>
      </c>
      <c r="AA540" s="234" t="str">
        <f t="shared" si="29"/>
        <v>UTILIZOU O PDA CORRETAMENTE</v>
      </c>
      <c r="AB540" s="56" t="s">
        <v>205</v>
      </c>
      <c r="AC540" s="242" t="s">
        <v>6</v>
      </c>
      <c r="AD540" s="235" t="str">
        <f t="shared" si="27"/>
        <v>SÃO PAULO</v>
      </c>
      <c r="AE540" s="234" t="s">
        <v>64</v>
      </c>
      <c r="AF540" s="237"/>
    </row>
    <row r="541" spans="1:32" s="55" customFormat="1" ht="30" customHeight="1">
      <c r="A541" s="215" t="s">
        <v>198</v>
      </c>
      <c r="B541" s="215">
        <v>2694184315</v>
      </c>
      <c r="C541" s="215" t="s">
        <v>128</v>
      </c>
      <c r="D541" s="215" t="s">
        <v>64</v>
      </c>
      <c r="E541" s="215" t="s">
        <v>5</v>
      </c>
      <c r="F541" s="215" t="s">
        <v>2007</v>
      </c>
      <c r="G541" s="215">
        <v>252</v>
      </c>
      <c r="H541" s="215" t="s">
        <v>318</v>
      </c>
      <c r="I541" s="215" t="s">
        <v>260</v>
      </c>
      <c r="J541" s="215" t="s">
        <v>1898</v>
      </c>
      <c r="K541" s="215"/>
      <c r="L541" s="216">
        <v>46168.625</v>
      </c>
      <c r="M541" s="216">
        <v>46168.62777777778</v>
      </c>
      <c r="N541" s="215" t="s">
        <v>799</v>
      </c>
      <c r="O541" s="56" t="s">
        <v>205</v>
      </c>
      <c r="P541" s="56"/>
      <c r="Q541" s="56" t="s">
        <v>206</v>
      </c>
      <c r="R541" s="56"/>
      <c r="S541" s="56" t="s">
        <v>205</v>
      </c>
      <c r="T541" s="234"/>
      <c r="U541" s="56" t="s">
        <v>205</v>
      </c>
      <c r="V541" s="234"/>
      <c r="W541" s="56" t="s">
        <v>205</v>
      </c>
      <c r="X541" s="56"/>
      <c r="Y541" s="56" t="s">
        <v>205</v>
      </c>
      <c r="Z541" s="56" t="s">
        <v>205</v>
      </c>
      <c r="AA541" s="234" t="str">
        <f t="shared" si="29"/>
        <v>UTILIZOU O PDA CORRETAMENTE</v>
      </c>
      <c r="AB541" s="56" t="s">
        <v>205</v>
      </c>
      <c r="AC541" s="242" t="s">
        <v>6</v>
      </c>
      <c r="AD541" s="235" t="str">
        <f t="shared" si="27"/>
        <v>SÃO PAULO</v>
      </c>
      <c r="AE541" s="234" t="s">
        <v>64</v>
      </c>
      <c r="AF541" s="237"/>
    </row>
    <row r="542" spans="1:32" s="55" customFormat="1" ht="30" customHeight="1">
      <c r="A542" s="215" t="s">
        <v>198</v>
      </c>
      <c r="B542" s="215">
        <v>2622119502</v>
      </c>
      <c r="C542" s="215" t="s">
        <v>128</v>
      </c>
      <c r="D542" s="215" t="s">
        <v>64</v>
      </c>
      <c r="E542" s="215" t="s">
        <v>5</v>
      </c>
      <c r="F542" s="215" t="s">
        <v>2674</v>
      </c>
      <c r="G542" s="215">
        <v>249</v>
      </c>
      <c r="H542" s="215" t="s">
        <v>214</v>
      </c>
      <c r="I542" s="215" t="s">
        <v>343</v>
      </c>
      <c r="J542" s="215" t="s">
        <v>1898</v>
      </c>
      <c r="K542" s="215" t="s">
        <v>200</v>
      </c>
      <c r="L542" s="216">
        <v>46168.663888888892</v>
      </c>
      <c r="M542" s="216">
        <v>46168.67083333333</v>
      </c>
      <c r="N542" s="215" t="s">
        <v>900</v>
      </c>
      <c r="O542" s="56" t="s">
        <v>205</v>
      </c>
      <c r="P542" s="56"/>
      <c r="Q542" s="56" t="s">
        <v>205</v>
      </c>
      <c r="R542" s="56"/>
      <c r="S542" s="56" t="s">
        <v>205</v>
      </c>
      <c r="T542" s="234"/>
      <c r="U542" s="56" t="s">
        <v>205</v>
      </c>
      <c r="V542" s="234"/>
      <c r="W542" s="56" t="s">
        <v>206</v>
      </c>
      <c r="X542" s="56"/>
      <c r="Y542" s="56" t="s">
        <v>205</v>
      </c>
      <c r="Z542" s="56" t="s">
        <v>205</v>
      </c>
      <c r="AA542" s="234" t="str">
        <f t="shared" si="29"/>
        <v>UTILIZOU O PDA CORRETAMENTE</v>
      </c>
      <c r="AB542" s="56" t="s">
        <v>205</v>
      </c>
      <c r="AC542" s="242" t="s">
        <v>6</v>
      </c>
      <c r="AD542" s="235" t="str">
        <f t="shared" si="27"/>
        <v>SÃO PAULO</v>
      </c>
      <c r="AE542" s="234" t="s">
        <v>64</v>
      </c>
      <c r="AF542" s="237"/>
    </row>
    <row r="543" spans="1:32" s="55" customFormat="1" ht="30" customHeight="1">
      <c r="A543" s="215" t="s">
        <v>198</v>
      </c>
      <c r="B543" s="215">
        <v>2694210960</v>
      </c>
      <c r="C543" s="215" t="s">
        <v>132</v>
      </c>
      <c r="D543" s="215" t="s">
        <v>64</v>
      </c>
      <c r="E543" s="215" t="s">
        <v>5</v>
      </c>
      <c r="F543" s="215" t="s">
        <v>2133</v>
      </c>
      <c r="G543" s="215">
        <v>1437</v>
      </c>
      <c r="H543" s="215"/>
      <c r="I543" s="215" t="s">
        <v>274</v>
      </c>
      <c r="J543" s="215" t="s">
        <v>1898</v>
      </c>
      <c r="K543" s="215"/>
      <c r="L543" s="216">
        <v>46168.566666666666</v>
      </c>
      <c r="M543" s="216">
        <v>46168.572222222225</v>
      </c>
      <c r="N543" s="215" t="s">
        <v>852</v>
      </c>
      <c r="O543" s="56" t="s">
        <v>205</v>
      </c>
      <c r="P543" s="56"/>
      <c r="Q543" s="56" t="s">
        <v>205</v>
      </c>
      <c r="R543" s="56"/>
      <c r="S543" s="56" t="s">
        <v>205</v>
      </c>
      <c r="T543" s="234"/>
      <c r="U543" s="56" t="s">
        <v>205</v>
      </c>
      <c r="V543" s="234"/>
      <c r="W543" s="56" t="s">
        <v>205</v>
      </c>
      <c r="X543" s="56"/>
      <c r="Y543" s="56" t="s">
        <v>205</v>
      </c>
      <c r="Z543" s="56" t="s">
        <v>205</v>
      </c>
      <c r="AA543" s="234" t="str">
        <f t="shared" si="29"/>
        <v>UTILIZOU O PDA CORRETAMENTE</v>
      </c>
      <c r="AB543" s="56" t="s">
        <v>205</v>
      </c>
      <c r="AC543" s="242" t="s">
        <v>6</v>
      </c>
      <c r="AD543" s="235" t="str">
        <f t="shared" si="27"/>
        <v>SÃO PAULO</v>
      </c>
      <c r="AE543" s="234" t="s">
        <v>64</v>
      </c>
      <c r="AF543" s="237"/>
    </row>
    <row r="544" spans="1:32" s="55" customFormat="1" ht="30" customHeight="1">
      <c r="A544" s="215" t="s">
        <v>198</v>
      </c>
      <c r="B544" s="215">
        <v>2622125797</v>
      </c>
      <c r="C544" s="215" t="s">
        <v>132</v>
      </c>
      <c r="D544" s="215" t="s">
        <v>64</v>
      </c>
      <c r="E544" s="215" t="s">
        <v>5</v>
      </c>
      <c r="F544" s="215" t="s">
        <v>1385</v>
      </c>
      <c r="G544" s="215">
        <v>373</v>
      </c>
      <c r="H544" s="215" t="s">
        <v>226</v>
      </c>
      <c r="I544" s="215" t="s">
        <v>227</v>
      </c>
      <c r="J544" s="215" t="s">
        <v>1908</v>
      </c>
      <c r="K544" s="215"/>
      <c r="L544" s="216">
        <v>46168.589583333334</v>
      </c>
      <c r="M544" s="216">
        <v>46168.59652777778</v>
      </c>
      <c r="N544" s="215" t="s">
        <v>1919</v>
      </c>
      <c r="O544" s="56" t="s">
        <v>205</v>
      </c>
      <c r="P544" s="56"/>
      <c r="Q544" s="56" t="s">
        <v>205</v>
      </c>
      <c r="R544" s="56"/>
      <c r="S544" s="56" t="s">
        <v>205</v>
      </c>
      <c r="T544" s="234"/>
      <c r="U544" s="56" t="s">
        <v>205</v>
      </c>
      <c r="V544" s="234"/>
      <c r="W544" s="56" t="s">
        <v>205</v>
      </c>
      <c r="X544" s="56"/>
      <c r="Y544" s="56" t="s">
        <v>205</v>
      </c>
      <c r="Z544" s="56" t="s">
        <v>205</v>
      </c>
      <c r="AA544" s="234" t="str">
        <f t="shared" si="29"/>
        <v>UTILIZOU O PDA CORRETAMENTE</v>
      </c>
      <c r="AB544" s="56" t="s">
        <v>205</v>
      </c>
      <c r="AC544" s="242" t="s">
        <v>6</v>
      </c>
      <c r="AD544" s="235" t="str">
        <f t="shared" si="27"/>
        <v>SÃO PAULO</v>
      </c>
      <c r="AE544" s="234" t="s">
        <v>64</v>
      </c>
      <c r="AF544" s="237"/>
    </row>
    <row r="545" spans="1:32" s="55" customFormat="1" ht="30" customHeight="1">
      <c r="A545" s="215" t="s">
        <v>198</v>
      </c>
      <c r="B545" s="215">
        <v>2622155786</v>
      </c>
      <c r="C545" s="215" t="s">
        <v>131</v>
      </c>
      <c r="D545" s="215" t="s">
        <v>64</v>
      </c>
      <c r="E545" s="215" t="s">
        <v>5</v>
      </c>
      <c r="F545" s="215" t="s">
        <v>2675</v>
      </c>
      <c r="G545" s="215">
        <v>158</v>
      </c>
      <c r="H545" s="215" t="s">
        <v>226</v>
      </c>
      <c r="I545" s="215" t="s">
        <v>2183</v>
      </c>
      <c r="J545" s="215" t="s">
        <v>1908</v>
      </c>
      <c r="K545" s="215"/>
      <c r="L545" s="216">
        <v>46168.658333333333</v>
      </c>
      <c r="M545" s="216">
        <v>46168.665972222225</v>
      </c>
      <c r="N545" s="215" t="s">
        <v>799</v>
      </c>
      <c r="O545" s="56" t="s">
        <v>205</v>
      </c>
      <c r="P545" s="56"/>
      <c r="Q545" s="56" t="s">
        <v>205</v>
      </c>
      <c r="R545" s="56"/>
      <c r="S545" s="56" t="s">
        <v>206</v>
      </c>
      <c r="T545" s="234"/>
      <c r="U545" s="56" t="s">
        <v>206</v>
      </c>
      <c r="V545" s="234"/>
      <c r="W545" s="56" t="s">
        <v>205</v>
      </c>
      <c r="X545" s="56"/>
      <c r="Y545" s="56" t="s">
        <v>205</v>
      </c>
      <c r="Z545" s="56" t="s">
        <v>205</v>
      </c>
      <c r="AA545" s="234" t="str">
        <f t="shared" si="29"/>
        <v>UTILIZOU O PDA CORRETAMENTE</v>
      </c>
      <c r="AB545" s="56" t="s">
        <v>205</v>
      </c>
      <c r="AC545" s="242" t="s">
        <v>6</v>
      </c>
      <c r="AD545" s="235" t="str">
        <f t="shared" si="27"/>
        <v>SÃO PAULO</v>
      </c>
      <c r="AE545" s="234" t="s">
        <v>64</v>
      </c>
      <c r="AF545" s="237"/>
    </row>
    <row r="546" spans="1:32" s="55" customFormat="1" ht="30" customHeight="1">
      <c r="A546" s="215" t="s">
        <v>198</v>
      </c>
      <c r="B546" s="215">
        <v>2622151136</v>
      </c>
      <c r="C546" s="215" t="s">
        <v>128</v>
      </c>
      <c r="D546" s="215" t="s">
        <v>64</v>
      </c>
      <c r="E546" s="215" t="s">
        <v>5</v>
      </c>
      <c r="F546" s="215" t="s">
        <v>2656</v>
      </c>
      <c r="G546" s="215">
        <v>80</v>
      </c>
      <c r="H546" s="215" t="s">
        <v>387</v>
      </c>
      <c r="I546" s="215" t="s">
        <v>523</v>
      </c>
      <c r="J546" s="215" t="s">
        <v>1908</v>
      </c>
      <c r="K546" s="215" t="s">
        <v>200</v>
      </c>
      <c r="L546" s="216">
        <v>46168.668055555558</v>
      </c>
      <c r="M546" s="216">
        <v>46168.673611111109</v>
      </c>
      <c r="N546" s="215" t="s">
        <v>799</v>
      </c>
      <c r="O546" s="56" t="s">
        <v>205</v>
      </c>
      <c r="P546" s="56"/>
      <c r="Q546" s="56" t="s">
        <v>205</v>
      </c>
      <c r="R546" s="56"/>
      <c r="S546" s="56" t="s">
        <v>205</v>
      </c>
      <c r="T546" s="234"/>
      <c r="U546" s="56" t="s">
        <v>205</v>
      </c>
      <c r="V546" s="234"/>
      <c r="W546" s="56" t="s">
        <v>205</v>
      </c>
      <c r="X546" s="56"/>
      <c r="Y546" s="56" t="s">
        <v>205</v>
      </c>
      <c r="Z546" s="56" t="s">
        <v>205</v>
      </c>
      <c r="AA546" s="234" t="str">
        <f t="shared" si="29"/>
        <v>UTILIZOU O PDA CORRETAMENTE</v>
      </c>
      <c r="AB546" s="56" t="s">
        <v>205</v>
      </c>
      <c r="AC546" s="242" t="s">
        <v>6</v>
      </c>
      <c r="AD546" s="235" t="str">
        <f t="shared" si="27"/>
        <v>SÃO PAULO</v>
      </c>
      <c r="AE546" s="234" t="s">
        <v>64</v>
      </c>
      <c r="AF546" s="237"/>
    </row>
    <row r="547" spans="1:32" s="55" customFormat="1" ht="30" customHeight="1">
      <c r="A547" s="215" t="s">
        <v>198</v>
      </c>
      <c r="B547" s="215">
        <v>2694161394</v>
      </c>
      <c r="C547" s="215" t="s">
        <v>131</v>
      </c>
      <c r="D547" s="215" t="s">
        <v>64</v>
      </c>
      <c r="E547" s="215" t="s">
        <v>5</v>
      </c>
      <c r="F547" s="215" t="s">
        <v>2085</v>
      </c>
      <c r="G547" s="215">
        <v>573</v>
      </c>
      <c r="H547" s="215"/>
      <c r="I547" s="215" t="s">
        <v>2098</v>
      </c>
      <c r="J547" s="215" t="s">
        <v>1908</v>
      </c>
      <c r="K547" s="215"/>
      <c r="L547" s="216">
        <v>46168.251388888886</v>
      </c>
      <c r="M547" s="216">
        <v>46168.252083333333</v>
      </c>
      <c r="N547" s="215" t="s">
        <v>248</v>
      </c>
      <c r="O547" s="56" t="s">
        <v>62</v>
      </c>
      <c r="P547" s="56"/>
      <c r="Q547" s="56" t="s">
        <v>62</v>
      </c>
      <c r="R547" s="56"/>
      <c r="S547" s="56" t="s">
        <v>62</v>
      </c>
      <c r="T547" s="234"/>
      <c r="U547" s="56" t="s">
        <v>62</v>
      </c>
      <c r="V547" s="234"/>
      <c r="W547" s="56" t="s">
        <v>62</v>
      </c>
      <c r="X547" s="56"/>
      <c r="Y547" s="56" t="s">
        <v>62</v>
      </c>
      <c r="Z547" s="56" t="s">
        <v>62</v>
      </c>
      <c r="AA547" s="234" t="str">
        <f t="shared" si="29"/>
        <v>NÃO AVALIADO POR FALHA DE SINCRONISMO</v>
      </c>
      <c r="AB547" s="56" t="s">
        <v>205</v>
      </c>
      <c r="AC547" s="242" t="s">
        <v>6</v>
      </c>
      <c r="AD547" s="235" t="str">
        <f t="shared" si="27"/>
        <v>SÃO PAULO</v>
      </c>
      <c r="AE547" s="234" t="s">
        <v>64</v>
      </c>
      <c r="AF547" s="237"/>
    </row>
    <row r="548" spans="1:32" s="55" customFormat="1" ht="30" customHeight="1">
      <c r="A548" s="215" t="s">
        <v>198</v>
      </c>
      <c r="B548" s="215">
        <v>2694161394</v>
      </c>
      <c r="C548" s="215" t="s">
        <v>131</v>
      </c>
      <c r="D548" s="215" t="s">
        <v>64</v>
      </c>
      <c r="E548" s="215" t="s">
        <v>5</v>
      </c>
      <c r="F548" s="215" t="s">
        <v>2085</v>
      </c>
      <c r="G548" s="215">
        <v>573</v>
      </c>
      <c r="H548" s="215" t="s">
        <v>200</v>
      </c>
      <c r="I548" s="215" t="s">
        <v>2098</v>
      </c>
      <c r="J548" s="215" t="s">
        <v>1908</v>
      </c>
      <c r="K548" s="215" t="s">
        <v>200</v>
      </c>
      <c r="L548" s="216">
        <v>46168.719444444447</v>
      </c>
      <c r="M548" s="216">
        <v>46168.72152777778</v>
      </c>
      <c r="N548" s="215" t="s">
        <v>248</v>
      </c>
      <c r="O548" s="56" t="s">
        <v>205</v>
      </c>
      <c r="P548" s="56"/>
      <c r="Q548" s="56" t="s">
        <v>205</v>
      </c>
      <c r="R548" s="56"/>
      <c r="S548" s="56" t="s">
        <v>205</v>
      </c>
      <c r="T548" s="234"/>
      <c r="U548" s="56" t="s">
        <v>205</v>
      </c>
      <c r="V548" s="234"/>
      <c r="W548" s="56" t="s">
        <v>205</v>
      </c>
      <c r="X548" s="56"/>
      <c r="Y548" s="56" t="s">
        <v>205</v>
      </c>
      <c r="Z548" s="56" t="s">
        <v>205</v>
      </c>
      <c r="AA548" s="234" t="str">
        <f t="shared" si="29"/>
        <v>UTILIZOU O PDA CORRETAMENTE</v>
      </c>
      <c r="AB548" s="56" t="s">
        <v>205</v>
      </c>
      <c r="AC548" s="242" t="s">
        <v>6</v>
      </c>
      <c r="AD548" s="235" t="str">
        <f t="shared" si="27"/>
        <v>SÃO PAULO</v>
      </c>
      <c r="AE548" s="234" t="s">
        <v>64</v>
      </c>
      <c r="AF548" s="237"/>
    </row>
    <row r="549" spans="1:32" s="55" customFormat="1" ht="30" customHeight="1">
      <c r="A549" s="215" t="s">
        <v>198</v>
      </c>
      <c r="B549" s="215">
        <v>2622162840</v>
      </c>
      <c r="C549" s="215" t="s">
        <v>128</v>
      </c>
      <c r="D549" s="215" t="s">
        <v>64</v>
      </c>
      <c r="E549" s="215" t="s">
        <v>5</v>
      </c>
      <c r="F549" s="215" t="s">
        <v>2676</v>
      </c>
      <c r="G549" s="215">
        <v>13</v>
      </c>
      <c r="H549" s="215" t="s">
        <v>200</v>
      </c>
      <c r="I549" s="215" t="s">
        <v>260</v>
      </c>
      <c r="J549" s="215" t="s">
        <v>1898</v>
      </c>
      <c r="K549" s="215" t="s">
        <v>200</v>
      </c>
      <c r="L549" s="216">
        <v>46169.534722222219</v>
      </c>
      <c r="M549" s="216">
        <v>46169.538888888892</v>
      </c>
      <c r="N549" s="215" t="s">
        <v>799</v>
      </c>
      <c r="O549" s="56" t="s">
        <v>205</v>
      </c>
      <c r="P549" s="56"/>
      <c r="Q549" s="56" t="s">
        <v>205</v>
      </c>
      <c r="R549" s="56"/>
      <c r="S549" s="56" t="s">
        <v>205</v>
      </c>
      <c r="T549" s="234"/>
      <c r="U549" s="56" t="s">
        <v>205</v>
      </c>
      <c r="V549" s="234"/>
      <c r="W549" s="56" t="s">
        <v>205</v>
      </c>
      <c r="X549" s="56"/>
      <c r="Y549" s="56" t="s">
        <v>205</v>
      </c>
      <c r="Z549" s="56" t="s">
        <v>205</v>
      </c>
      <c r="AA549" s="234" t="str">
        <f t="shared" si="29"/>
        <v>UTILIZOU O PDA CORRETAMENTE</v>
      </c>
      <c r="AB549" s="56" t="s">
        <v>205</v>
      </c>
      <c r="AC549" s="242" t="s">
        <v>6</v>
      </c>
      <c r="AD549" s="235"/>
      <c r="AE549" s="234" t="s">
        <v>64</v>
      </c>
      <c r="AF549" s="237"/>
    </row>
    <row r="550" spans="1:32" s="55" customFormat="1" ht="30" customHeight="1">
      <c r="A550" s="215" t="s">
        <v>198</v>
      </c>
      <c r="B550" s="215">
        <v>2622191194</v>
      </c>
      <c r="C550" s="215" t="s">
        <v>128</v>
      </c>
      <c r="D550" s="215" t="s">
        <v>64</v>
      </c>
      <c r="E550" s="215" t="s">
        <v>5</v>
      </c>
      <c r="F550" s="215" t="s">
        <v>992</v>
      </c>
      <c r="G550" s="215">
        <v>451</v>
      </c>
      <c r="H550" s="215" t="s">
        <v>318</v>
      </c>
      <c r="I550" s="215" t="s">
        <v>993</v>
      </c>
      <c r="J550" s="215" t="s">
        <v>1898</v>
      </c>
      <c r="K550" s="215"/>
      <c r="L550" s="216">
        <v>46169.62777777778</v>
      </c>
      <c r="M550" s="216">
        <v>46169.630555555559</v>
      </c>
      <c r="N550" s="215" t="s">
        <v>1956</v>
      </c>
      <c r="O550" s="56" t="s">
        <v>62</v>
      </c>
      <c r="P550" s="56"/>
      <c r="Q550" s="56" t="s">
        <v>62</v>
      </c>
      <c r="R550" s="56"/>
      <c r="S550" s="56" t="s">
        <v>62</v>
      </c>
      <c r="T550" s="234"/>
      <c r="U550" s="56" t="s">
        <v>62</v>
      </c>
      <c r="V550" s="234"/>
      <c r="W550" s="56" t="s">
        <v>62</v>
      </c>
      <c r="X550" s="56" t="s">
        <v>2636</v>
      </c>
      <c r="Y550" s="56" t="s">
        <v>62</v>
      </c>
      <c r="Z550" s="56" t="s">
        <v>62</v>
      </c>
      <c r="AA550" s="234" t="str">
        <f t="shared" si="29"/>
        <v>NÃO AVALIADO POR FALHA DE SINCRONISMO</v>
      </c>
      <c r="AB550" s="56" t="s">
        <v>205</v>
      </c>
      <c r="AC550" s="242" t="s">
        <v>6</v>
      </c>
      <c r="AD550" s="235"/>
      <c r="AE550" s="234" t="s">
        <v>64</v>
      </c>
      <c r="AF550" s="237"/>
    </row>
    <row r="551" spans="1:32" s="55" customFormat="1" ht="30" customHeight="1">
      <c r="A551" s="215" t="s">
        <v>198</v>
      </c>
      <c r="B551" s="215">
        <v>2622133687</v>
      </c>
      <c r="C551" s="215" t="s">
        <v>131</v>
      </c>
      <c r="D551" s="215" t="s">
        <v>64</v>
      </c>
      <c r="E551" s="215" t="s">
        <v>5</v>
      </c>
      <c r="F551" s="215" t="s">
        <v>2677</v>
      </c>
      <c r="G551" s="215">
        <v>45</v>
      </c>
      <c r="H551" s="215" t="s">
        <v>318</v>
      </c>
      <c r="I551" s="215" t="s">
        <v>2678</v>
      </c>
      <c r="J551" s="215" t="s">
        <v>1908</v>
      </c>
      <c r="K551" s="215" t="s">
        <v>200</v>
      </c>
      <c r="L551" s="216">
        <v>46169.25</v>
      </c>
      <c r="M551" s="216">
        <v>46169.253472222219</v>
      </c>
      <c r="N551" s="215" t="s">
        <v>1956</v>
      </c>
      <c r="O551" s="56" t="s">
        <v>62</v>
      </c>
      <c r="P551" s="56"/>
      <c r="Q551" s="56" t="s">
        <v>62</v>
      </c>
      <c r="R551" s="56"/>
      <c r="S551" s="56" t="s">
        <v>62</v>
      </c>
      <c r="T551" s="234"/>
      <c r="U551" s="56" t="s">
        <v>62</v>
      </c>
      <c r="V551" s="234"/>
      <c r="W551" s="56" t="s">
        <v>62</v>
      </c>
      <c r="X551" s="56" t="s">
        <v>2679</v>
      </c>
      <c r="Y551" s="56" t="s">
        <v>62</v>
      </c>
      <c r="Z551" s="56" t="s">
        <v>62</v>
      </c>
      <c r="AA551" s="234" t="str">
        <f t="shared" si="29"/>
        <v>NÃO AVALIADO POR FALHA DE SINCRONISMO</v>
      </c>
      <c r="AB551" s="56" t="s">
        <v>205</v>
      </c>
      <c r="AC551" s="242" t="s">
        <v>6</v>
      </c>
      <c r="AD551" s="235"/>
      <c r="AE551" s="234" t="s">
        <v>64</v>
      </c>
      <c r="AF551" s="237"/>
    </row>
    <row r="552" spans="1:32" s="55" customFormat="1" ht="30" customHeight="1">
      <c r="A552" s="215" t="s">
        <v>198</v>
      </c>
      <c r="B552" s="215">
        <v>2622183262</v>
      </c>
      <c r="C552" s="215" t="s">
        <v>128</v>
      </c>
      <c r="D552" s="215" t="s">
        <v>64</v>
      </c>
      <c r="E552" s="215" t="s">
        <v>5</v>
      </c>
      <c r="F552" s="215" t="s">
        <v>2680</v>
      </c>
      <c r="G552" s="215">
        <v>682</v>
      </c>
      <c r="H552" s="215" t="s">
        <v>200</v>
      </c>
      <c r="I552" s="215" t="s">
        <v>817</v>
      </c>
      <c r="J552" s="215" t="s">
        <v>1898</v>
      </c>
      <c r="K552" s="215" t="s">
        <v>200</v>
      </c>
      <c r="L552" s="216">
        <v>46169.640972222223</v>
      </c>
      <c r="M552" s="216">
        <v>46169.654166666667</v>
      </c>
      <c r="N552" s="215" t="s">
        <v>1956</v>
      </c>
      <c r="O552" s="56" t="s">
        <v>62</v>
      </c>
      <c r="P552" s="56"/>
      <c r="Q552" s="56" t="s">
        <v>62</v>
      </c>
      <c r="R552" s="56"/>
      <c r="S552" s="56" t="s">
        <v>62</v>
      </c>
      <c r="T552" s="234"/>
      <c r="U552" s="56" t="s">
        <v>62</v>
      </c>
      <c r="V552" s="234"/>
      <c r="W552" s="56" t="s">
        <v>62</v>
      </c>
      <c r="X552" s="56" t="s">
        <v>2679</v>
      </c>
      <c r="Y552" s="56" t="s">
        <v>62</v>
      </c>
      <c r="Z552" s="56" t="s">
        <v>62</v>
      </c>
      <c r="AA552" s="234" t="str">
        <f t="shared" si="29"/>
        <v>NÃO AVALIADO POR FALHA DE SINCRONISMO</v>
      </c>
      <c r="AB552" s="56" t="s">
        <v>205</v>
      </c>
      <c r="AC552" s="242" t="s">
        <v>6</v>
      </c>
      <c r="AD552" s="235"/>
      <c r="AE552" s="234" t="s">
        <v>64</v>
      </c>
      <c r="AF552" s="237"/>
    </row>
    <row r="553" spans="1:32" s="55" customFormat="1" ht="30" customHeight="1">
      <c r="A553" s="215" t="s">
        <v>198</v>
      </c>
      <c r="B553" s="215">
        <v>2622149462</v>
      </c>
      <c r="C553" s="215" t="s">
        <v>128</v>
      </c>
      <c r="D553" s="215" t="s">
        <v>64</v>
      </c>
      <c r="E553" s="215" t="s">
        <v>5</v>
      </c>
      <c r="F553" s="215" t="s">
        <v>901</v>
      </c>
      <c r="G553" s="215">
        <v>114</v>
      </c>
      <c r="H553" s="215" t="s">
        <v>226</v>
      </c>
      <c r="I553" s="215" t="s">
        <v>296</v>
      </c>
      <c r="J553" s="215" t="s">
        <v>1898</v>
      </c>
      <c r="K553" s="215"/>
      <c r="L553" s="216">
        <v>46169.372916666667</v>
      </c>
      <c r="M553" s="216">
        <v>46169.373611111114</v>
      </c>
      <c r="N553" s="215" t="s">
        <v>1947</v>
      </c>
      <c r="O553" s="56" t="s">
        <v>205</v>
      </c>
      <c r="P553" s="56"/>
      <c r="Q553" s="56" t="s">
        <v>205</v>
      </c>
      <c r="R553" s="56"/>
      <c r="S553" s="56" t="s">
        <v>205</v>
      </c>
      <c r="T553" s="234"/>
      <c r="U553" s="56" t="s">
        <v>205</v>
      </c>
      <c r="V553" s="234"/>
      <c r="W553" s="56" t="s">
        <v>205</v>
      </c>
      <c r="X553" s="56"/>
      <c r="Y553" s="56" t="s">
        <v>205</v>
      </c>
      <c r="Z553" s="56" t="s">
        <v>205</v>
      </c>
      <c r="AA553" s="234" t="str">
        <f t="shared" si="29"/>
        <v>UTILIZOU O PDA CORRETAMENTE</v>
      </c>
      <c r="AB553" s="56" t="s">
        <v>205</v>
      </c>
      <c r="AC553" s="242" t="s">
        <v>6</v>
      </c>
      <c r="AD553" s="235"/>
      <c r="AE553" s="234" t="s">
        <v>64</v>
      </c>
      <c r="AF553" s="237"/>
    </row>
    <row r="554" spans="1:32" s="55" customFormat="1" ht="30" customHeight="1">
      <c r="A554" s="215" t="s">
        <v>198</v>
      </c>
      <c r="B554" s="215">
        <v>2694229211</v>
      </c>
      <c r="C554" s="215" t="s">
        <v>131</v>
      </c>
      <c r="D554" s="215" t="s">
        <v>64</v>
      </c>
      <c r="E554" s="215" t="s">
        <v>5</v>
      </c>
      <c r="F554" s="215" t="s">
        <v>2681</v>
      </c>
      <c r="G554" s="215">
        <v>520</v>
      </c>
      <c r="H554" s="215" t="s">
        <v>200</v>
      </c>
      <c r="I554" s="215" t="s">
        <v>397</v>
      </c>
      <c r="J554" s="215" t="s">
        <v>1898</v>
      </c>
      <c r="K554" s="215" t="s">
        <v>200</v>
      </c>
      <c r="L554" s="216">
        <v>46169.447916666664</v>
      </c>
      <c r="M554" s="216">
        <v>46169.450694444444</v>
      </c>
      <c r="N554" s="215" t="s">
        <v>590</v>
      </c>
      <c r="O554" s="56" t="s">
        <v>205</v>
      </c>
      <c r="P554" s="56"/>
      <c r="Q554" s="56" t="s">
        <v>205</v>
      </c>
      <c r="R554" s="56"/>
      <c r="S554" s="56" t="s">
        <v>205</v>
      </c>
      <c r="T554" s="234"/>
      <c r="U554" s="56" t="s">
        <v>205</v>
      </c>
      <c r="V554" s="234"/>
      <c r="W554" s="56" t="s">
        <v>205</v>
      </c>
      <c r="X554" s="56"/>
      <c r="Y554" s="56" t="s">
        <v>205</v>
      </c>
      <c r="Z554" s="56" t="s">
        <v>205</v>
      </c>
      <c r="AA554" s="234" t="str">
        <f t="shared" si="29"/>
        <v>UTILIZOU O PDA CORRETAMENTE</v>
      </c>
      <c r="AB554" s="56" t="s">
        <v>205</v>
      </c>
      <c r="AC554" s="242" t="s">
        <v>6</v>
      </c>
      <c r="AD554" s="235"/>
      <c r="AE554" s="234" t="s">
        <v>64</v>
      </c>
      <c r="AF554" s="237"/>
    </row>
    <row r="555" spans="1:32" s="55" customFormat="1" ht="30" customHeight="1">
      <c r="A555" s="215" t="s">
        <v>198</v>
      </c>
      <c r="B555" s="215">
        <v>2622176010</v>
      </c>
      <c r="C555" s="215" t="s">
        <v>128</v>
      </c>
      <c r="D555" s="215" t="s">
        <v>64</v>
      </c>
      <c r="E555" s="215" t="s">
        <v>5</v>
      </c>
      <c r="F555" s="215" t="s">
        <v>2682</v>
      </c>
      <c r="G555" s="215">
        <v>406</v>
      </c>
      <c r="H555" s="215" t="s">
        <v>226</v>
      </c>
      <c r="I555" s="215" t="s">
        <v>1144</v>
      </c>
      <c r="J555" s="215" t="s">
        <v>1900</v>
      </c>
      <c r="K555" s="215"/>
      <c r="L555" s="216">
        <v>46169.393750000003</v>
      </c>
      <c r="M555" s="216">
        <v>46169.404166666667</v>
      </c>
      <c r="N555" s="215" t="s">
        <v>590</v>
      </c>
      <c r="O555" s="56" t="s">
        <v>205</v>
      </c>
      <c r="P555" s="56"/>
      <c r="Q555" s="56" t="s">
        <v>205</v>
      </c>
      <c r="R555" s="56"/>
      <c r="S555" s="56" t="s">
        <v>205</v>
      </c>
      <c r="T555" s="234"/>
      <c r="U555" s="56" t="s">
        <v>205</v>
      </c>
      <c r="V555" s="234"/>
      <c r="W555" s="56" t="s">
        <v>205</v>
      </c>
      <c r="X555" s="56"/>
      <c r="Y555" s="56" t="s">
        <v>205</v>
      </c>
      <c r="Z555" s="56" t="s">
        <v>205</v>
      </c>
      <c r="AA555" s="234" t="str">
        <f t="shared" si="29"/>
        <v>UTILIZOU O PDA CORRETAMENTE</v>
      </c>
      <c r="AB555" s="56" t="s">
        <v>205</v>
      </c>
      <c r="AC555" s="242" t="s">
        <v>6</v>
      </c>
      <c r="AD555" s="235"/>
      <c r="AE555" s="234" t="s">
        <v>64</v>
      </c>
      <c r="AF555" s="237"/>
    </row>
    <row r="556" spans="1:32" s="55" customFormat="1" ht="30" customHeight="1">
      <c r="A556" s="215" t="s">
        <v>198</v>
      </c>
      <c r="B556" s="215">
        <v>2694240001</v>
      </c>
      <c r="C556" s="215" t="s">
        <v>129</v>
      </c>
      <c r="D556" s="215" t="s">
        <v>125</v>
      </c>
      <c r="E556" s="215" t="s">
        <v>5</v>
      </c>
      <c r="F556" s="215" t="s">
        <v>2112</v>
      </c>
      <c r="G556" s="215">
        <v>238</v>
      </c>
      <c r="H556" s="215" t="s">
        <v>318</v>
      </c>
      <c r="I556" s="215" t="s">
        <v>369</v>
      </c>
      <c r="J556" s="215" t="s">
        <v>1903</v>
      </c>
      <c r="K556" s="215" t="s">
        <v>200</v>
      </c>
      <c r="L556" s="216">
        <v>46169.25</v>
      </c>
      <c r="M556" s="216">
        <v>46169.256944444445</v>
      </c>
      <c r="N556" s="215" t="s">
        <v>1947</v>
      </c>
      <c r="O556" s="56" t="s">
        <v>205</v>
      </c>
      <c r="P556" s="56"/>
      <c r="Q556" s="56" t="s">
        <v>205</v>
      </c>
      <c r="R556" s="56"/>
      <c r="S556" s="56" t="s">
        <v>205</v>
      </c>
      <c r="T556" s="234"/>
      <c r="U556" s="56" t="s">
        <v>205</v>
      </c>
      <c r="V556" s="234"/>
      <c r="W556" s="56" t="s">
        <v>205</v>
      </c>
      <c r="X556" s="56"/>
      <c r="Y556" s="56" t="s">
        <v>205</v>
      </c>
      <c r="Z556" s="56" t="s">
        <v>205</v>
      </c>
      <c r="AA556" s="234" t="str">
        <f t="shared" si="29"/>
        <v>UTILIZOU O PDA CORRETAMENTE</v>
      </c>
      <c r="AB556" s="56" t="s">
        <v>205</v>
      </c>
      <c r="AC556" s="242" t="s">
        <v>6</v>
      </c>
      <c r="AD556" s="235"/>
      <c r="AE556" s="234" t="s">
        <v>64</v>
      </c>
      <c r="AF556" s="237"/>
    </row>
    <row r="557" spans="1:32" s="55" customFormat="1" ht="30" customHeight="1">
      <c r="A557" s="215" t="s">
        <v>198</v>
      </c>
      <c r="B557" s="215">
        <v>2694200050</v>
      </c>
      <c r="C557" s="215" t="s">
        <v>128</v>
      </c>
      <c r="D557" s="215" t="s">
        <v>64</v>
      </c>
      <c r="E557" s="215" t="s">
        <v>5</v>
      </c>
      <c r="F557" s="215" t="s">
        <v>1976</v>
      </c>
      <c r="G557" s="215">
        <v>92</v>
      </c>
      <c r="H557" s="215" t="s">
        <v>363</v>
      </c>
      <c r="I557" s="215" t="s">
        <v>1706</v>
      </c>
      <c r="J557" s="215" t="s">
        <v>1898</v>
      </c>
      <c r="K557" s="215"/>
      <c r="L557" s="216">
        <v>46169.376388888886</v>
      </c>
      <c r="M557" s="216">
        <v>46169.388888888891</v>
      </c>
      <c r="N557" s="215" t="s">
        <v>1950</v>
      </c>
      <c r="O557" s="56" t="s">
        <v>205</v>
      </c>
      <c r="P557" s="56"/>
      <c r="Q557" s="56" t="s">
        <v>205</v>
      </c>
      <c r="R557" s="56"/>
      <c r="S557" s="56" t="s">
        <v>205</v>
      </c>
      <c r="T557" s="234"/>
      <c r="U557" s="56" t="s">
        <v>205</v>
      </c>
      <c r="V557" s="234"/>
      <c r="W557" s="56" t="s">
        <v>205</v>
      </c>
      <c r="X557" s="56"/>
      <c r="Y557" s="56" t="s">
        <v>205</v>
      </c>
      <c r="Z557" s="56" t="s">
        <v>205</v>
      </c>
      <c r="AA557" s="234" t="str">
        <f t="shared" si="29"/>
        <v>UTILIZOU O PDA CORRETAMENTE</v>
      </c>
      <c r="AB557" s="56" t="s">
        <v>205</v>
      </c>
      <c r="AC557" s="242" t="s">
        <v>6</v>
      </c>
      <c r="AD557" s="235"/>
      <c r="AE557" s="234" t="s">
        <v>64</v>
      </c>
      <c r="AF557" s="237"/>
    </row>
    <row r="558" spans="1:32" s="55" customFormat="1" ht="30" customHeight="1">
      <c r="A558" s="215" t="s">
        <v>198</v>
      </c>
      <c r="B558" s="215">
        <v>2622153234</v>
      </c>
      <c r="C558" s="215" t="s">
        <v>128</v>
      </c>
      <c r="D558" s="215" t="s">
        <v>64</v>
      </c>
      <c r="E558" s="215" t="s">
        <v>5</v>
      </c>
      <c r="F558" s="215" t="s">
        <v>2683</v>
      </c>
      <c r="G558" s="215">
        <v>3</v>
      </c>
      <c r="H558" s="215" t="s">
        <v>2684</v>
      </c>
      <c r="I558" s="215" t="s">
        <v>343</v>
      </c>
      <c r="J558" s="215" t="s">
        <v>1908</v>
      </c>
      <c r="K558" s="215" t="s">
        <v>200</v>
      </c>
      <c r="L558" s="216">
        <v>46169.439583333333</v>
      </c>
      <c r="M558" s="216">
        <v>46169.468055555553</v>
      </c>
      <c r="N558" s="215" t="s">
        <v>1919</v>
      </c>
      <c r="O558" s="56" t="s">
        <v>205</v>
      </c>
      <c r="P558" s="56"/>
      <c r="Q558" s="56" t="s">
        <v>205</v>
      </c>
      <c r="R558" s="56"/>
      <c r="S558" s="56" t="s">
        <v>205</v>
      </c>
      <c r="T558" s="234"/>
      <c r="U558" s="56" t="s">
        <v>205</v>
      </c>
      <c r="V558" s="234"/>
      <c r="W558" s="56" t="s">
        <v>205</v>
      </c>
      <c r="X558" s="56"/>
      <c r="Y558" s="56" t="s">
        <v>205</v>
      </c>
      <c r="Z558" s="56" t="s">
        <v>205</v>
      </c>
      <c r="AA558" s="234" t="str">
        <f t="shared" si="29"/>
        <v>UTILIZOU O PDA CORRETAMENTE</v>
      </c>
      <c r="AB558" s="56" t="s">
        <v>205</v>
      </c>
      <c r="AC558" s="242" t="s">
        <v>6</v>
      </c>
      <c r="AD558" s="235"/>
      <c r="AE558" s="234" t="s">
        <v>64</v>
      </c>
      <c r="AF558" s="237"/>
    </row>
    <row r="559" spans="1:32" s="55" customFormat="1" ht="30" customHeight="1">
      <c r="A559" s="215" t="s">
        <v>198</v>
      </c>
      <c r="B559" s="215">
        <v>2694209194</v>
      </c>
      <c r="C559" s="215" t="s">
        <v>132</v>
      </c>
      <c r="D559" s="215" t="s">
        <v>64</v>
      </c>
      <c r="E559" s="215" t="s">
        <v>5</v>
      </c>
      <c r="F559" s="215" t="s">
        <v>2685</v>
      </c>
      <c r="G559" s="215">
        <v>175</v>
      </c>
      <c r="H559" s="215"/>
      <c r="I559" s="215" t="s">
        <v>201</v>
      </c>
      <c r="J559" s="215" t="s">
        <v>1898</v>
      </c>
      <c r="K559" s="215"/>
      <c r="L559" s="216">
        <v>46169.395138888889</v>
      </c>
      <c r="M559" s="216">
        <v>46169.402777777781</v>
      </c>
      <c r="N559" s="215" t="s">
        <v>852</v>
      </c>
      <c r="O559" s="56" t="s">
        <v>205</v>
      </c>
      <c r="P559" s="56"/>
      <c r="Q559" s="56" t="s">
        <v>205</v>
      </c>
      <c r="R559" s="56"/>
      <c r="S559" s="56" t="s">
        <v>205</v>
      </c>
      <c r="T559" s="234"/>
      <c r="U559" s="56" t="s">
        <v>205</v>
      </c>
      <c r="V559" s="234"/>
      <c r="W559" s="56" t="s">
        <v>205</v>
      </c>
      <c r="X559" s="56"/>
      <c r="Y559" s="56" t="s">
        <v>205</v>
      </c>
      <c r="Z559" s="56" t="s">
        <v>205</v>
      </c>
      <c r="AA559" s="234" t="str">
        <f t="shared" si="29"/>
        <v>UTILIZOU O PDA CORRETAMENTE</v>
      </c>
      <c r="AB559" s="56" t="s">
        <v>205</v>
      </c>
      <c r="AC559" s="242" t="s">
        <v>6</v>
      </c>
      <c r="AD559" s="235"/>
      <c r="AE559" s="234" t="s">
        <v>64</v>
      </c>
      <c r="AF559" s="237"/>
    </row>
    <row r="560" spans="1:32" s="55" customFormat="1" ht="30" customHeight="1">
      <c r="A560" s="215" t="s">
        <v>198</v>
      </c>
      <c r="B560" s="215">
        <v>2622163161</v>
      </c>
      <c r="C560" s="215" t="s">
        <v>129</v>
      </c>
      <c r="D560" s="215" t="s">
        <v>125</v>
      </c>
      <c r="E560" s="215" t="s">
        <v>5</v>
      </c>
      <c r="F560" s="215" t="s">
        <v>2686</v>
      </c>
      <c r="G560" s="215">
        <v>58</v>
      </c>
      <c r="H560" s="215" t="s">
        <v>200</v>
      </c>
      <c r="I560" s="215" t="s">
        <v>2687</v>
      </c>
      <c r="J560" s="215" t="s">
        <v>1903</v>
      </c>
      <c r="K560" s="215" t="s">
        <v>200</v>
      </c>
      <c r="L560" s="216">
        <v>46169.448611111111</v>
      </c>
      <c r="M560" s="216">
        <v>46169.45</v>
      </c>
      <c r="N560" s="215" t="s">
        <v>799</v>
      </c>
      <c r="O560" s="56" t="s">
        <v>205</v>
      </c>
      <c r="P560" s="56"/>
      <c r="Q560" s="56" t="s">
        <v>205</v>
      </c>
      <c r="R560" s="56"/>
      <c r="S560" s="56" t="s">
        <v>206</v>
      </c>
      <c r="T560" s="234"/>
      <c r="U560" s="56" t="s">
        <v>205</v>
      </c>
      <c r="V560" s="234"/>
      <c r="W560" s="56" t="s">
        <v>205</v>
      </c>
      <c r="X560" s="56"/>
      <c r="Y560" s="56" t="s">
        <v>205</v>
      </c>
      <c r="Z560" s="56" t="s">
        <v>205</v>
      </c>
      <c r="AA560" s="234" t="str">
        <f t="shared" si="29"/>
        <v>UTILIZOU O PDA CORRETAMENTE</v>
      </c>
      <c r="AB560" s="56" t="s">
        <v>205</v>
      </c>
      <c r="AC560" s="242" t="s">
        <v>6</v>
      </c>
      <c r="AD560" s="235"/>
      <c r="AE560" s="234" t="s">
        <v>64</v>
      </c>
      <c r="AF560" s="237"/>
    </row>
    <row r="561" spans="1:32" s="55" customFormat="1" ht="30" customHeight="1">
      <c r="A561" s="215" t="s">
        <v>198</v>
      </c>
      <c r="B561" s="215">
        <v>2622175495</v>
      </c>
      <c r="C561" s="215" t="s">
        <v>129</v>
      </c>
      <c r="D561" s="215" t="s">
        <v>125</v>
      </c>
      <c r="E561" s="215" t="s">
        <v>5</v>
      </c>
      <c r="F561" s="215" t="s">
        <v>2673</v>
      </c>
      <c r="G561" s="215">
        <v>115</v>
      </c>
      <c r="H561" s="215" t="s">
        <v>363</v>
      </c>
      <c r="I561" s="215" t="s">
        <v>328</v>
      </c>
      <c r="J561" s="215" t="s">
        <v>1903</v>
      </c>
      <c r="K561" s="215"/>
      <c r="L561" s="216">
        <v>46169.482638888891</v>
      </c>
      <c r="M561" s="216">
        <v>46169.484722222223</v>
      </c>
      <c r="N561" s="215" t="s">
        <v>799</v>
      </c>
      <c r="O561" s="56" t="s">
        <v>205</v>
      </c>
      <c r="P561" s="56"/>
      <c r="Q561" s="56" t="s">
        <v>205</v>
      </c>
      <c r="R561" s="56"/>
      <c r="S561" s="56" t="s">
        <v>206</v>
      </c>
      <c r="T561" s="234"/>
      <c r="U561" s="56" t="s">
        <v>206</v>
      </c>
      <c r="V561" s="234"/>
      <c r="W561" s="56" t="s">
        <v>205</v>
      </c>
      <c r="X561" s="56"/>
      <c r="Y561" s="56" t="s">
        <v>205</v>
      </c>
      <c r="Z561" s="56" t="s">
        <v>205</v>
      </c>
      <c r="AA561" s="234" t="str">
        <f t="shared" si="29"/>
        <v>UTILIZOU O PDA CORRETAMENTE</v>
      </c>
      <c r="AB561" s="56" t="s">
        <v>205</v>
      </c>
      <c r="AC561" s="242" t="s">
        <v>6</v>
      </c>
      <c r="AD561" s="235"/>
      <c r="AE561" s="234" t="s">
        <v>64</v>
      </c>
      <c r="AF561" s="237"/>
    </row>
    <row r="562" spans="1:32" s="55" customFormat="1" ht="30" customHeight="1">
      <c r="A562" s="215" t="s">
        <v>198</v>
      </c>
      <c r="B562" s="215">
        <v>2694238520</v>
      </c>
      <c r="C562" s="215" t="s">
        <v>131</v>
      </c>
      <c r="D562" s="215" t="s">
        <v>64</v>
      </c>
      <c r="E562" s="215" t="s">
        <v>5</v>
      </c>
      <c r="F562" s="215" t="s">
        <v>2688</v>
      </c>
      <c r="G562" s="215">
        <v>6</v>
      </c>
      <c r="H562" s="215" t="s">
        <v>387</v>
      </c>
      <c r="I562" s="215" t="s">
        <v>2689</v>
      </c>
      <c r="J562" s="215" t="s">
        <v>1898</v>
      </c>
      <c r="K562" s="215" t="s">
        <v>200</v>
      </c>
      <c r="L562" s="216">
        <v>46169.631249999999</v>
      </c>
      <c r="M562" s="216">
        <v>46169.633333333331</v>
      </c>
      <c r="N562" s="215" t="s">
        <v>799</v>
      </c>
      <c r="O562" s="56" t="s">
        <v>205</v>
      </c>
      <c r="P562" s="56"/>
      <c r="Q562" s="56" t="s">
        <v>206</v>
      </c>
      <c r="R562" s="56"/>
      <c r="S562" s="56" t="s">
        <v>205</v>
      </c>
      <c r="T562" s="234"/>
      <c r="U562" s="56" t="s">
        <v>205</v>
      </c>
      <c r="V562" s="234"/>
      <c r="W562" s="56" t="s">
        <v>205</v>
      </c>
      <c r="X562" s="56"/>
      <c r="Y562" s="56" t="s">
        <v>205</v>
      </c>
      <c r="Z562" s="56" t="s">
        <v>205</v>
      </c>
      <c r="AA562" s="234" t="str">
        <f t="shared" si="29"/>
        <v>UTILIZOU O PDA CORRETAMENTE</v>
      </c>
      <c r="AB562" s="56" t="s">
        <v>205</v>
      </c>
      <c r="AC562" s="242" t="s">
        <v>6</v>
      </c>
      <c r="AD562" s="235"/>
      <c r="AE562" s="234" t="s">
        <v>64</v>
      </c>
      <c r="AF562" s="237"/>
    </row>
    <row r="563" spans="1:32" s="55" customFormat="1" ht="30" customHeight="1">
      <c r="A563" s="215" t="s">
        <v>198</v>
      </c>
      <c r="B563" s="215">
        <v>2694261612</v>
      </c>
      <c r="C563" s="215" t="s">
        <v>132</v>
      </c>
      <c r="D563" s="215" t="s">
        <v>64</v>
      </c>
      <c r="E563" s="215" t="s">
        <v>5</v>
      </c>
      <c r="F563" s="215" t="s">
        <v>612</v>
      </c>
      <c r="G563" s="215">
        <v>717</v>
      </c>
      <c r="H563" s="215" t="s">
        <v>226</v>
      </c>
      <c r="I563" s="215" t="s">
        <v>613</v>
      </c>
      <c r="J563" s="215" t="s">
        <v>1908</v>
      </c>
      <c r="K563" s="215"/>
      <c r="L563" s="216">
        <v>46169.645138888889</v>
      </c>
      <c r="M563" s="216">
        <v>46169.652083333334</v>
      </c>
      <c r="N563" s="215" t="s">
        <v>799</v>
      </c>
      <c r="O563" s="56" t="s">
        <v>205</v>
      </c>
      <c r="P563" s="56"/>
      <c r="Q563" s="56" t="s">
        <v>205</v>
      </c>
      <c r="R563" s="56"/>
      <c r="S563" s="56" t="s">
        <v>205</v>
      </c>
      <c r="T563" s="234"/>
      <c r="U563" s="56" t="s">
        <v>205</v>
      </c>
      <c r="V563" s="234"/>
      <c r="W563" s="56" t="s">
        <v>205</v>
      </c>
      <c r="X563" s="56"/>
      <c r="Y563" s="56" t="s">
        <v>205</v>
      </c>
      <c r="Z563" s="56" t="s">
        <v>205</v>
      </c>
      <c r="AA563" s="234" t="str">
        <f t="shared" si="29"/>
        <v>UTILIZOU O PDA CORRETAMENTE</v>
      </c>
      <c r="AB563" s="56" t="s">
        <v>205</v>
      </c>
      <c r="AC563" s="242" t="s">
        <v>6</v>
      </c>
      <c r="AD563" s="235"/>
      <c r="AE563" s="234" t="s">
        <v>64</v>
      </c>
      <c r="AF563" s="237"/>
    </row>
    <row r="564" spans="1:32" s="55" customFormat="1" ht="30" customHeight="1">
      <c r="A564" s="215" t="s">
        <v>198</v>
      </c>
      <c r="B564" s="215">
        <v>2694224387</v>
      </c>
      <c r="C564" s="215" t="s">
        <v>128</v>
      </c>
      <c r="D564" s="215" t="s">
        <v>64</v>
      </c>
      <c r="E564" s="215" t="s">
        <v>5</v>
      </c>
      <c r="F564" s="215" t="s">
        <v>2690</v>
      </c>
      <c r="G564" s="215">
        <v>18</v>
      </c>
      <c r="H564" s="215"/>
      <c r="I564" s="215" t="s">
        <v>274</v>
      </c>
      <c r="J564" s="215" t="s">
        <v>1898</v>
      </c>
      <c r="K564" s="215"/>
      <c r="L564" s="216">
        <v>46169.436805555553</v>
      </c>
      <c r="M564" s="216">
        <v>46169.443055555559</v>
      </c>
      <c r="N564" s="215" t="s">
        <v>852</v>
      </c>
      <c r="O564" s="56" t="s">
        <v>205</v>
      </c>
      <c r="P564" s="56"/>
      <c r="Q564" s="56" t="s">
        <v>205</v>
      </c>
      <c r="R564" s="56"/>
      <c r="S564" s="56" t="s">
        <v>205</v>
      </c>
      <c r="T564" s="234"/>
      <c r="U564" s="56" t="s">
        <v>205</v>
      </c>
      <c r="V564" s="234"/>
      <c r="W564" s="56" t="s">
        <v>205</v>
      </c>
      <c r="X564" s="56"/>
      <c r="Y564" s="56" t="s">
        <v>205</v>
      </c>
      <c r="Z564" s="56" t="s">
        <v>205</v>
      </c>
      <c r="AA564" s="234" t="str">
        <f t="shared" si="29"/>
        <v>UTILIZOU O PDA CORRETAMENTE</v>
      </c>
      <c r="AB564" s="56" t="s">
        <v>205</v>
      </c>
      <c r="AC564" s="242" t="s">
        <v>6</v>
      </c>
      <c r="AD564" s="235"/>
      <c r="AE564" s="234" t="s">
        <v>64</v>
      </c>
      <c r="AF564" s="237"/>
    </row>
    <row r="565" spans="1:32" s="55" customFormat="1" ht="30" customHeight="1">
      <c r="A565" s="215" t="s">
        <v>198</v>
      </c>
      <c r="B565" s="215">
        <v>2694229532</v>
      </c>
      <c r="C565" s="215" t="s">
        <v>131</v>
      </c>
      <c r="D565" s="215" t="s">
        <v>64</v>
      </c>
      <c r="E565" s="215" t="s">
        <v>5</v>
      </c>
      <c r="F565" s="215" t="s">
        <v>2056</v>
      </c>
      <c r="G565" s="215">
        <v>72</v>
      </c>
      <c r="H565" s="215" t="s">
        <v>200</v>
      </c>
      <c r="I565" s="215" t="s">
        <v>346</v>
      </c>
      <c r="J565" s="215" t="s">
        <v>1908</v>
      </c>
      <c r="K565" s="215" t="s">
        <v>200</v>
      </c>
      <c r="L565" s="216">
        <v>46169.25</v>
      </c>
      <c r="M565" s="216">
        <v>46169.253472222219</v>
      </c>
      <c r="N565" s="215" t="s">
        <v>1956</v>
      </c>
      <c r="O565" s="56" t="s">
        <v>62</v>
      </c>
      <c r="P565" s="56"/>
      <c r="Q565" s="56" t="s">
        <v>62</v>
      </c>
      <c r="R565" s="56"/>
      <c r="S565" s="56" t="s">
        <v>62</v>
      </c>
      <c r="T565" s="234"/>
      <c r="U565" s="56" t="s">
        <v>62</v>
      </c>
      <c r="V565" s="234"/>
      <c r="W565" s="56" t="s">
        <v>62</v>
      </c>
      <c r="X565" s="56" t="s">
        <v>2636</v>
      </c>
      <c r="Y565" s="56" t="s">
        <v>62</v>
      </c>
      <c r="Z565" s="56" t="s">
        <v>62</v>
      </c>
      <c r="AA565" s="234" t="str">
        <f t="shared" si="29"/>
        <v>NÃO AVALIADO POR FALHA DE SINCRONISMO</v>
      </c>
      <c r="AB565" s="56" t="s">
        <v>205</v>
      </c>
      <c r="AC565" s="242" t="s">
        <v>6</v>
      </c>
      <c r="AD565" s="235"/>
      <c r="AE565" s="234" t="s">
        <v>64</v>
      </c>
      <c r="AF565" s="237"/>
    </row>
    <row r="566" spans="1:32" s="55" customFormat="1" ht="30" customHeight="1">
      <c r="A566" s="215" t="s">
        <v>198</v>
      </c>
      <c r="B566" s="215">
        <v>2694249152</v>
      </c>
      <c r="C566" s="215" t="s">
        <v>128</v>
      </c>
      <c r="D566" s="215" t="s">
        <v>64</v>
      </c>
      <c r="E566" s="215" t="s">
        <v>5</v>
      </c>
      <c r="F566" s="215" t="s">
        <v>2691</v>
      </c>
      <c r="G566" s="215">
        <v>116</v>
      </c>
      <c r="H566" s="215"/>
      <c r="I566" s="215" t="s">
        <v>1000</v>
      </c>
      <c r="J566" s="215" t="s">
        <v>1898</v>
      </c>
      <c r="K566" s="215"/>
      <c r="L566" s="216">
        <v>46169.402083333334</v>
      </c>
      <c r="M566" s="216">
        <v>46169.407638888886</v>
      </c>
      <c r="N566" s="215" t="s">
        <v>1956</v>
      </c>
      <c r="O566" s="56" t="s">
        <v>62</v>
      </c>
      <c r="P566" s="56"/>
      <c r="Q566" s="56" t="s">
        <v>62</v>
      </c>
      <c r="R566" s="56"/>
      <c r="S566" s="56" t="s">
        <v>62</v>
      </c>
      <c r="T566" s="234"/>
      <c r="U566" s="56" t="s">
        <v>62</v>
      </c>
      <c r="V566" s="234"/>
      <c r="W566" s="56" t="s">
        <v>62</v>
      </c>
      <c r="X566" s="56" t="s">
        <v>2636</v>
      </c>
      <c r="Y566" s="56" t="s">
        <v>62</v>
      </c>
      <c r="Z566" s="56" t="s">
        <v>62</v>
      </c>
      <c r="AA566" s="234" t="str">
        <f t="shared" si="29"/>
        <v>NÃO AVALIADO POR FALHA DE SINCRONISMO</v>
      </c>
      <c r="AB566" s="56" t="s">
        <v>205</v>
      </c>
      <c r="AC566" s="242" t="s">
        <v>6</v>
      </c>
      <c r="AD566" s="235"/>
      <c r="AE566" s="234" t="s">
        <v>64</v>
      </c>
      <c r="AF566" s="237"/>
    </row>
    <row r="567" spans="1:32" s="55" customFormat="1" ht="30" customHeight="1">
      <c r="A567" s="215" t="s">
        <v>198</v>
      </c>
      <c r="B567" s="215">
        <v>2694211895</v>
      </c>
      <c r="C567" s="215" t="s">
        <v>128</v>
      </c>
      <c r="D567" s="215" t="s">
        <v>64</v>
      </c>
      <c r="E567" s="215" t="s">
        <v>5</v>
      </c>
      <c r="F567" s="215" t="s">
        <v>2692</v>
      </c>
      <c r="G567" s="215">
        <v>85</v>
      </c>
      <c r="H567" s="215" t="s">
        <v>379</v>
      </c>
      <c r="I567" s="215" t="s">
        <v>346</v>
      </c>
      <c r="J567" s="215" t="s">
        <v>1898</v>
      </c>
      <c r="K567" s="215" t="s">
        <v>200</v>
      </c>
      <c r="L567" s="216">
        <v>46169.25</v>
      </c>
      <c r="M567" s="216">
        <v>46169.253472222219</v>
      </c>
      <c r="N567" s="215" t="s">
        <v>1956</v>
      </c>
      <c r="O567" s="56" t="s">
        <v>62</v>
      </c>
      <c r="P567" s="56"/>
      <c r="Q567" s="56" t="s">
        <v>62</v>
      </c>
      <c r="R567" s="56"/>
      <c r="S567" s="56" t="s">
        <v>62</v>
      </c>
      <c r="T567" s="234"/>
      <c r="U567" s="56" t="s">
        <v>62</v>
      </c>
      <c r="V567" s="234"/>
      <c r="W567" s="56" t="s">
        <v>62</v>
      </c>
      <c r="X567" s="56" t="s">
        <v>2636</v>
      </c>
      <c r="Y567" s="56" t="s">
        <v>62</v>
      </c>
      <c r="Z567" s="56" t="s">
        <v>62</v>
      </c>
      <c r="AA567" s="234" t="str">
        <f t="shared" si="29"/>
        <v>NÃO AVALIADO POR FALHA DE SINCRONISMO</v>
      </c>
      <c r="AB567" s="56" t="s">
        <v>205</v>
      </c>
      <c r="AC567" s="242" t="s">
        <v>6</v>
      </c>
      <c r="AD567" s="235"/>
      <c r="AE567" s="234" t="s">
        <v>64</v>
      </c>
      <c r="AF567" s="237"/>
    </row>
    <row r="568" spans="1:32" s="55" customFormat="1" ht="30" customHeight="1">
      <c r="A568" s="215" t="s">
        <v>198</v>
      </c>
      <c r="B568" s="215">
        <v>2694271049</v>
      </c>
      <c r="C568" s="215" t="s">
        <v>128</v>
      </c>
      <c r="D568" s="215" t="s">
        <v>64</v>
      </c>
      <c r="E568" s="215" t="s">
        <v>5</v>
      </c>
      <c r="F568" s="215" t="s">
        <v>2693</v>
      </c>
      <c r="G568" s="215">
        <v>301</v>
      </c>
      <c r="H568" s="215" t="s">
        <v>387</v>
      </c>
      <c r="I568" s="215" t="s">
        <v>2098</v>
      </c>
      <c r="J568" s="215" t="s">
        <v>1898</v>
      </c>
      <c r="K568" s="215"/>
      <c r="L568" s="216">
        <v>46169.431250000001</v>
      </c>
      <c r="M568" s="216">
        <v>46169.434027777781</v>
      </c>
      <c r="N568" s="215" t="s">
        <v>900</v>
      </c>
      <c r="O568" s="56" t="s">
        <v>205</v>
      </c>
      <c r="P568" s="56"/>
      <c r="Q568" s="56" t="s">
        <v>205</v>
      </c>
      <c r="R568" s="56"/>
      <c r="S568" s="56" t="s">
        <v>205</v>
      </c>
      <c r="T568" s="234"/>
      <c r="U568" s="56" t="s">
        <v>205</v>
      </c>
      <c r="V568" s="234"/>
      <c r="W568" s="56" t="s">
        <v>205</v>
      </c>
      <c r="X568" s="56"/>
      <c r="Y568" s="56" t="s">
        <v>205</v>
      </c>
      <c r="Z568" s="56" t="s">
        <v>205</v>
      </c>
      <c r="AA568" s="234" t="str">
        <f t="shared" si="29"/>
        <v>UTILIZOU O PDA CORRETAMENTE</v>
      </c>
      <c r="AB568" s="56" t="s">
        <v>205</v>
      </c>
      <c r="AC568" s="242" t="s">
        <v>6</v>
      </c>
      <c r="AD568" s="235"/>
      <c r="AE568" s="234" t="s">
        <v>64</v>
      </c>
      <c r="AF568" s="237"/>
    </row>
    <row r="569" spans="1:32" s="55" customFormat="1" ht="30" customHeight="1">
      <c r="A569" s="215" t="s">
        <v>198</v>
      </c>
      <c r="B569" s="215">
        <v>2694257241</v>
      </c>
      <c r="C569" s="215" t="s">
        <v>128</v>
      </c>
      <c r="D569" s="215" t="s">
        <v>64</v>
      </c>
      <c r="E569" s="215" t="s">
        <v>5</v>
      </c>
      <c r="F569" s="215" t="s">
        <v>2694</v>
      </c>
      <c r="G569" s="215">
        <v>76</v>
      </c>
      <c r="H569" s="215" t="s">
        <v>200</v>
      </c>
      <c r="I569" s="215" t="s">
        <v>1471</v>
      </c>
      <c r="J569" s="215" t="s">
        <v>1898</v>
      </c>
      <c r="K569" s="215" t="s">
        <v>200</v>
      </c>
      <c r="L569" s="216">
        <v>46169.45208333333</v>
      </c>
      <c r="M569" s="216">
        <v>46169.456944444442</v>
      </c>
      <c r="N569" s="215" t="s">
        <v>1956</v>
      </c>
      <c r="O569" s="56" t="s">
        <v>62</v>
      </c>
      <c r="P569" s="56"/>
      <c r="Q569" s="56" t="s">
        <v>62</v>
      </c>
      <c r="R569" s="56"/>
      <c r="S569" s="56" t="s">
        <v>62</v>
      </c>
      <c r="T569" s="234"/>
      <c r="U569" s="56" t="s">
        <v>62</v>
      </c>
      <c r="V569" s="234"/>
      <c r="W569" s="56" t="s">
        <v>62</v>
      </c>
      <c r="X569" s="56" t="s">
        <v>2636</v>
      </c>
      <c r="Y569" s="56" t="s">
        <v>62</v>
      </c>
      <c r="Z569" s="56" t="s">
        <v>62</v>
      </c>
      <c r="AA569" s="234" t="str">
        <f t="shared" si="29"/>
        <v>NÃO AVALIADO POR FALHA DE SINCRONISMO</v>
      </c>
      <c r="AB569" s="56" t="s">
        <v>205</v>
      </c>
      <c r="AC569" s="242" t="s">
        <v>6</v>
      </c>
      <c r="AD569" s="235"/>
      <c r="AE569" s="234" t="s">
        <v>64</v>
      </c>
      <c r="AF569" s="237"/>
    </row>
    <row r="570" spans="1:32" s="55" customFormat="1" ht="30" customHeight="1">
      <c r="A570" s="215" t="s">
        <v>198</v>
      </c>
      <c r="B570" s="215">
        <v>2622265121</v>
      </c>
      <c r="C570" s="215" t="s">
        <v>128</v>
      </c>
      <c r="D570" s="215" t="s">
        <v>64</v>
      </c>
      <c r="E570" s="215" t="s">
        <v>5</v>
      </c>
      <c r="F570" s="215" t="s">
        <v>2695</v>
      </c>
      <c r="G570" s="215">
        <v>56</v>
      </c>
      <c r="H570" s="215" t="s">
        <v>379</v>
      </c>
      <c r="I570" s="215" t="s">
        <v>2696</v>
      </c>
      <c r="J570" s="215" t="s">
        <v>1898</v>
      </c>
      <c r="K570" s="215"/>
      <c r="L570" s="216">
        <v>46169.594444444447</v>
      </c>
      <c r="M570" s="216">
        <v>46169.601388888892</v>
      </c>
      <c r="N570" s="215" t="s">
        <v>1947</v>
      </c>
      <c r="O570" s="56" t="s">
        <v>205</v>
      </c>
      <c r="P570" s="56"/>
      <c r="Q570" s="56" t="s">
        <v>205</v>
      </c>
      <c r="R570" s="56"/>
      <c r="S570" s="56" t="s">
        <v>205</v>
      </c>
      <c r="T570" s="234"/>
      <c r="U570" s="56" t="s">
        <v>205</v>
      </c>
      <c r="V570" s="234"/>
      <c r="W570" s="56" t="s">
        <v>205</v>
      </c>
      <c r="X570" s="56"/>
      <c r="Y570" s="56" t="s">
        <v>205</v>
      </c>
      <c r="Z570" s="56" t="s">
        <v>205</v>
      </c>
      <c r="AA570" s="234" t="str">
        <f t="shared" ref="AA570:AA581" si="30">IF(AND(Y570="C",Z570="C"),"UTILIZOU O PDA CORRETAMENTE",IF(AND(Y570="C",Z570="NC"),"UTILIZOU O PDA CORRETAMENTE. NÃO HÁ FOTOS DE TODAS AS ETAPAS",IF(AND(Y570="NC",Z570="NC"),"NÃO UTILIZOU O PDA",IF(AND(Y570="NA",Z570="NA"),"NÃO AVALIADO POR FALHA DE SINCRONISMO"))))</f>
        <v>UTILIZOU O PDA CORRETAMENTE</v>
      </c>
      <c r="AB570" s="56" t="s">
        <v>205</v>
      </c>
      <c r="AC570" s="242" t="s">
        <v>6</v>
      </c>
      <c r="AD570" s="235"/>
      <c r="AE570" s="234" t="s">
        <v>64</v>
      </c>
      <c r="AF570" s="237"/>
    </row>
    <row r="571" spans="1:32" s="55" customFormat="1" ht="30" customHeight="1">
      <c r="A571" s="215" t="s">
        <v>198</v>
      </c>
      <c r="B571" s="215">
        <v>2622264422</v>
      </c>
      <c r="C571" s="215" t="s">
        <v>129</v>
      </c>
      <c r="D571" s="215" t="s">
        <v>125</v>
      </c>
      <c r="E571" s="215" t="s">
        <v>5</v>
      </c>
      <c r="F571" s="215" t="s">
        <v>2697</v>
      </c>
      <c r="G571" s="215">
        <v>126</v>
      </c>
      <c r="H571" s="215" t="s">
        <v>318</v>
      </c>
      <c r="I571" s="215" t="s">
        <v>343</v>
      </c>
      <c r="J571" s="215" t="s">
        <v>1903</v>
      </c>
      <c r="K571" s="215" t="s">
        <v>200</v>
      </c>
      <c r="L571" s="216">
        <v>46169.688888888886</v>
      </c>
      <c r="M571" s="216">
        <v>46169.691666666666</v>
      </c>
      <c r="N571" s="215" t="s">
        <v>1919</v>
      </c>
      <c r="O571" s="56" t="s">
        <v>205</v>
      </c>
      <c r="P571" s="56"/>
      <c r="Q571" s="56" t="s">
        <v>205</v>
      </c>
      <c r="R571" s="56"/>
      <c r="S571" s="56" t="s">
        <v>205</v>
      </c>
      <c r="T571" s="234"/>
      <c r="U571" s="56" t="s">
        <v>205</v>
      </c>
      <c r="V571" s="234"/>
      <c r="W571" s="56" t="s">
        <v>205</v>
      </c>
      <c r="X571" s="56"/>
      <c r="Y571" s="56" t="s">
        <v>205</v>
      </c>
      <c r="Z571" s="56" t="s">
        <v>205</v>
      </c>
      <c r="AA571" s="234" t="str">
        <f t="shared" si="30"/>
        <v>UTILIZOU O PDA CORRETAMENTE</v>
      </c>
      <c r="AB571" s="56" t="s">
        <v>205</v>
      </c>
      <c r="AC571" s="242" t="s">
        <v>6</v>
      </c>
      <c r="AD571" s="235"/>
      <c r="AE571" s="234" t="s">
        <v>64</v>
      </c>
      <c r="AF571" s="237"/>
    </row>
    <row r="572" spans="1:32" s="55" customFormat="1" ht="30" customHeight="1">
      <c r="A572" s="215" t="s">
        <v>198</v>
      </c>
      <c r="B572" s="215">
        <v>2622264090</v>
      </c>
      <c r="C572" s="215" t="s">
        <v>129</v>
      </c>
      <c r="D572" s="215" t="s">
        <v>125</v>
      </c>
      <c r="E572" s="215" t="s">
        <v>5</v>
      </c>
      <c r="F572" s="215" t="s">
        <v>2670</v>
      </c>
      <c r="G572" s="215">
        <v>17</v>
      </c>
      <c r="H572" s="215" t="s">
        <v>318</v>
      </c>
      <c r="I572" s="215" t="s">
        <v>1695</v>
      </c>
      <c r="J572" s="215" t="s">
        <v>1903</v>
      </c>
      <c r="K572" s="215"/>
      <c r="L572" s="216">
        <v>46169.675694444442</v>
      </c>
      <c r="M572" s="216">
        <v>46169.677777777775</v>
      </c>
      <c r="N572" s="215" t="s">
        <v>852</v>
      </c>
      <c r="O572" s="56" t="s">
        <v>205</v>
      </c>
      <c r="P572" s="56"/>
      <c r="Q572" s="56" t="s">
        <v>205</v>
      </c>
      <c r="R572" s="56"/>
      <c r="S572" s="56" t="s">
        <v>205</v>
      </c>
      <c r="T572" s="234"/>
      <c r="U572" s="56" t="s">
        <v>205</v>
      </c>
      <c r="V572" s="234"/>
      <c r="W572" s="56" t="s">
        <v>205</v>
      </c>
      <c r="X572" s="56"/>
      <c r="Y572" s="56" t="s">
        <v>205</v>
      </c>
      <c r="Z572" s="56" t="s">
        <v>205</v>
      </c>
      <c r="AA572" s="234" t="str">
        <f t="shared" si="30"/>
        <v>UTILIZOU O PDA CORRETAMENTE</v>
      </c>
      <c r="AB572" s="56" t="s">
        <v>205</v>
      </c>
      <c r="AC572" s="242" t="s">
        <v>6</v>
      </c>
      <c r="AD572" s="235"/>
      <c r="AE572" s="234" t="s">
        <v>64</v>
      </c>
      <c r="AF572" s="237"/>
    </row>
    <row r="573" spans="1:32" s="55" customFormat="1" ht="30" customHeight="1">
      <c r="A573" s="215" t="s">
        <v>198</v>
      </c>
      <c r="B573" s="215">
        <v>2694274848</v>
      </c>
      <c r="C573" s="215" t="s">
        <v>128</v>
      </c>
      <c r="D573" s="215" t="s">
        <v>64</v>
      </c>
      <c r="E573" s="215" t="s">
        <v>5</v>
      </c>
      <c r="F573" s="215" t="s">
        <v>2698</v>
      </c>
      <c r="G573" s="215">
        <v>75</v>
      </c>
      <c r="H573" s="215" t="s">
        <v>481</v>
      </c>
      <c r="I573" s="215" t="s">
        <v>369</v>
      </c>
      <c r="J573" s="215" t="s">
        <v>1898</v>
      </c>
      <c r="K573" s="215" t="s">
        <v>2699</v>
      </c>
      <c r="L573" s="216">
        <v>46169.602777777778</v>
      </c>
      <c r="M573" s="216">
        <v>46169.603472222225</v>
      </c>
      <c r="N573" s="215" t="s">
        <v>1947</v>
      </c>
      <c r="O573" s="56" t="s">
        <v>205</v>
      </c>
      <c r="P573" s="56"/>
      <c r="Q573" s="56" t="s">
        <v>205</v>
      </c>
      <c r="R573" s="56"/>
      <c r="S573" s="56" t="s">
        <v>205</v>
      </c>
      <c r="T573" s="234"/>
      <c r="U573" s="56" t="s">
        <v>205</v>
      </c>
      <c r="V573" s="234"/>
      <c r="W573" s="56" t="s">
        <v>205</v>
      </c>
      <c r="X573" s="56"/>
      <c r="Y573" s="56" t="s">
        <v>205</v>
      </c>
      <c r="Z573" s="56" t="s">
        <v>205</v>
      </c>
      <c r="AA573" s="234" t="str">
        <f t="shared" si="30"/>
        <v>UTILIZOU O PDA CORRETAMENTE</v>
      </c>
      <c r="AB573" s="56" t="s">
        <v>205</v>
      </c>
      <c r="AC573" s="242" t="s">
        <v>6</v>
      </c>
      <c r="AD573" s="235"/>
      <c r="AE573" s="234" t="s">
        <v>64</v>
      </c>
      <c r="AF573" s="237"/>
    </row>
    <row r="574" spans="1:32" s="55" customFormat="1" ht="30" customHeight="1">
      <c r="A574" s="215" t="s">
        <v>198</v>
      </c>
      <c r="B574" s="215">
        <v>2694292876</v>
      </c>
      <c r="C574" s="215" t="s">
        <v>131</v>
      </c>
      <c r="D574" s="215" t="s">
        <v>64</v>
      </c>
      <c r="E574" s="215" t="s">
        <v>5</v>
      </c>
      <c r="F574" s="215" t="s">
        <v>2700</v>
      </c>
      <c r="G574" s="215">
        <v>190</v>
      </c>
      <c r="H574" s="215"/>
      <c r="I574" s="215" t="s">
        <v>2131</v>
      </c>
      <c r="J574" s="215" t="s">
        <v>1908</v>
      </c>
      <c r="K574" s="215"/>
      <c r="L574" s="216">
        <v>46169.605555555558</v>
      </c>
      <c r="M574" s="216">
        <v>46169.619444444441</v>
      </c>
      <c r="N574" s="215" t="s">
        <v>1919</v>
      </c>
      <c r="O574" s="56" t="s">
        <v>205</v>
      </c>
      <c r="P574" s="56"/>
      <c r="Q574" s="56" t="s">
        <v>205</v>
      </c>
      <c r="R574" s="56"/>
      <c r="S574" s="56" t="s">
        <v>205</v>
      </c>
      <c r="T574" s="234"/>
      <c r="U574" s="56" t="s">
        <v>205</v>
      </c>
      <c r="V574" s="234"/>
      <c r="W574" s="56" t="s">
        <v>205</v>
      </c>
      <c r="X574" s="56"/>
      <c r="Y574" s="56" t="s">
        <v>205</v>
      </c>
      <c r="Z574" s="56" t="s">
        <v>205</v>
      </c>
      <c r="AA574" s="234" t="str">
        <f t="shared" si="30"/>
        <v>UTILIZOU O PDA CORRETAMENTE</v>
      </c>
      <c r="AB574" s="56" t="s">
        <v>205</v>
      </c>
      <c r="AC574" s="242" t="s">
        <v>6</v>
      </c>
      <c r="AD574" s="235"/>
      <c r="AE574" s="234" t="s">
        <v>64</v>
      </c>
      <c r="AF574" s="237"/>
    </row>
    <row r="575" spans="1:32" s="55" customFormat="1" ht="30" customHeight="1">
      <c r="A575" s="215" t="s">
        <v>198</v>
      </c>
      <c r="B575" s="215">
        <v>2622263711</v>
      </c>
      <c r="C575" s="215" t="s">
        <v>129</v>
      </c>
      <c r="D575" s="215" t="s">
        <v>125</v>
      </c>
      <c r="E575" s="215" t="s">
        <v>5</v>
      </c>
      <c r="F575" s="215" t="s">
        <v>2670</v>
      </c>
      <c r="G575" s="215">
        <v>41</v>
      </c>
      <c r="H575" s="215" t="s">
        <v>226</v>
      </c>
      <c r="I575" s="215" t="s">
        <v>1695</v>
      </c>
      <c r="J575" s="215" t="s">
        <v>1903</v>
      </c>
      <c r="K575" s="215" t="s">
        <v>200</v>
      </c>
      <c r="L575" s="216">
        <v>46169.67083333333</v>
      </c>
      <c r="M575" s="216">
        <v>46169.672222222223</v>
      </c>
      <c r="N575" s="215" t="s">
        <v>852</v>
      </c>
      <c r="O575" s="56" t="s">
        <v>205</v>
      </c>
      <c r="P575" s="56"/>
      <c r="Q575" s="56" t="s">
        <v>205</v>
      </c>
      <c r="R575" s="56"/>
      <c r="S575" s="56" t="s">
        <v>205</v>
      </c>
      <c r="T575" s="234"/>
      <c r="U575" s="56" t="s">
        <v>205</v>
      </c>
      <c r="V575" s="234"/>
      <c r="W575" s="56" t="s">
        <v>205</v>
      </c>
      <c r="X575" s="56"/>
      <c r="Y575" s="56" t="s">
        <v>205</v>
      </c>
      <c r="Z575" s="56" t="s">
        <v>205</v>
      </c>
      <c r="AA575" s="234" t="str">
        <f t="shared" si="30"/>
        <v>UTILIZOU O PDA CORRETAMENTE</v>
      </c>
      <c r="AB575" s="56" t="s">
        <v>205</v>
      </c>
      <c r="AC575" s="242" t="s">
        <v>6</v>
      </c>
      <c r="AD575" s="56"/>
      <c r="AE575" s="234" t="s">
        <v>64</v>
      </c>
      <c r="AF575" s="237"/>
    </row>
    <row r="576" spans="1:32" s="55" customFormat="1" ht="30" customHeight="1">
      <c r="A576" s="215" t="s">
        <v>198</v>
      </c>
      <c r="B576" s="215">
        <v>2622264244</v>
      </c>
      <c r="C576" s="215" t="s">
        <v>129</v>
      </c>
      <c r="D576" s="215" t="s">
        <v>125</v>
      </c>
      <c r="E576" s="215" t="s">
        <v>5</v>
      </c>
      <c r="F576" s="215" t="s">
        <v>2670</v>
      </c>
      <c r="G576" s="215">
        <v>43</v>
      </c>
      <c r="H576" s="215" t="s">
        <v>226</v>
      </c>
      <c r="I576" s="215" t="s">
        <v>1695</v>
      </c>
      <c r="J576" s="215" t="s">
        <v>1903</v>
      </c>
      <c r="K576" s="215"/>
      <c r="L576" s="216">
        <v>46169.668055555558</v>
      </c>
      <c r="M576" s="216">
        <v>46169.670138888891</v>
      </c>
      <c r="N576" s="215" t="s">
        <v>852</v>
      </c>
      <c r="O576" s="56" t="s">
        <v>205</v>
      </c>
      <c r="P576" s="56"/>
      <c r="Q576" s="56" t="s">
        <v>205</v>
      </c>
      <c r="R576" s="56"/>
      <c r="S576" s="56" t="s">
        <v>205</v>
      </c>
      <c r="T576" s="234"/>
      <c r="U576" s="56" t="s">
        <v>205</v>
      </c>
      <c r="V576" s="234"/>
      <c r="W576" s="56" t="s">
        <v>205</v>
      </c>
      <c r="X576" s="56"/>
      <c r="Y576" s="56" t="s">
        <v>205</v>
      </c>
      <c r="Z576" s="56" t="s">
        <v>205</v>
      </c>
      <c r="AA576" s="234" t="str">
        <f t="shared" si="30"/>
        <v>UTILIZOU O PDA CORRETAMENTE</v>
      </c>
      <c r="AB576" s="56" t="s">
        <v>205</v>
      </c>
      <c r="AC576" s="242" t="s">
        <v>6</v>
      </c>
      <c r="AD576" s="56"/>
      <c r="AE576" s="234" t="s">
        <v>64</v>
      </c>
      <c r="AF576" s="237"/>
    </row>
    <row r="577" spans="1:32" s="55" customFormat="1" ht="30" customHeight="1">
      <c r="A577" s="215" t="s">
        <v>198</v>
      </c>
      <c r="B577" s="215">
        <v>2622263276</v>
      </c>
      <c r="C577" s="215" t="s">
        <v>129</v>
      </c>
      <c r="D577" s="215" t="s">
        <v>125</v>
      </c>
      <c r="E577" s="215" t="s">
        <v>5</v>
      </c>
      <c r="F577" s="215" t="s">
        <v>2670</v>
      </c>
      <c r="G577" s="215">
        <v>61</v>
      </c>
      <c r="H577" s="215" t="s">
        <v>318</v>
      </c>
      <c r="I577" s="215" t="s">
        <v>1695</v>
      </c>
      <c r="J577" s="215" t="s">
        <v>1903</v>
      </c>
      <c r="K577" s="215" t="s">
        <v>200</v>
      </c>
      <c r="L577" s="216">
        <v>46169.664583333331</v>
      </c>
      <c r="M577" s="216">
        <v>46169.665972222225</v>
      </c>
      <c r="N577" s="215" t="s">
        <v>852</v>
      </c>
      <c r="O577" s="56" t="s">
        <v>205</v>
      </c>
      <c r="P577" s="56"/>
      <c r="Q577" s="56" t="s">
        <v>205</v>
      </c>
      <c r="R577" s="56"/>
      <c r="S577" s="56" t="s">
        <v>205</v>
      </c>
      <c r="T577" s="234"/>
      <c r="U577" s="56" t="s">
        <v>205</v>
      </c>
      <c r="V577" s="234"/>
      <c r="W577" s="56" t="s">
        <v>205</v>
      </c>
      <c r="X577" s="56"/>
      <c r="Y577" s="56" t="s">
        <v>205</v>
      </c>
      <c r="Z577" s="56" t="s">
        <v>205</v>
      </c>
      <c r="AA577" s="234" t="str">
        <f t="shared" si="30"/>
        <v>UTILIZOU O PDA CORRETAMENTE</v>
      </c>
      <c r="AB577" s="56" t="s">
        <v>205</v>
      </c>
      <c r="AC577" s="242" t="s">
        <v>6</v>
      </c>
      <c r="AD577" s="56"/>
      <c r="AE577" s="234" t="s">
        <v>64</v>
      </c>
      <c r="AF577" s="237"/>
    </row>
    <row r="578" spans="1:32" s="55" customFormat="1" ht="30" customHeight="1">
      <c r="A578" s="215" t="s">
        <v>198</v>
      </c>
      <c r="B578" s="215">
        <v>2694293968</v>
      </c>
      <c r="C578" s="215" t="s">
        <v>128</v>
      </c>
      <c r="D578" s="215" t="s">
        <v>64</v>
      </c>
      <c r="E578" s="215" t="s">
        <v>5</v>
      </c>
      <c r="F578" s="215" t="s">
        <v>2701</v>
      </c>
      <c r="G578" s="215">
        <v>8</v>
      </c>
      <c r="H578" s="215" t="s">
        <v>226</v>
      </c>
      <c r="I578" s="215" t="s">
        <v>215</v>
      </c>
      <c r="J578" s="215" t="s">
        <v>1908</v>
      </c>
      <c r="K578" s="215"/>
      <c r="L578" s="216">
        <v>46169.609722222223</v>
      </c>
      <c r="M578" s="216">
        <v>46169.617361111108</v>
      </c>
      <c r="N578" s="215" t="s">
        <v>590</v>
      </c>
      <c r="O578" s="56" t="s">
        <v>205</v>
      </c>
      <c r="P578" s="56"/>
      <c r="Q578" s="56" t="s">
        <v>205</v>
      </c>
      <c r="R578" s="56"/>
      <c r="S578" s="56" t="s">
        <v>205</v>
      </c>
      <c r="T578" s="234"/>
      <c r="U578" s="56" t="s">
        <v>205</v>
      </c>
      <c r="V578" s="234"/>
      <c r="W578" s="56" t="s">
        <v>205</v>
      </c>
      <c r="X578" s="56"/>
      <c r="Y578" s="56" t="s">
        <v>205</v>
      </c>
      <c r="Z578" s="56" t="s">
        <v>205</v>
      </c>
      <c r="AA578" s="234" t="str">
        <f t="shared" si="30"/>
        <v>UTILIZOU O PDA CORRETAMENTE</v>
      </c>
      <c r="AB578" s="56" t="s">
        <v>205</v>
      </c>
      <c r="AC578" s="242" t="s">
        <v>6</v>
      </c>
      <c r="AD578" s="56"/>
      <c r="AE578" s="234" t="s">
        <v>64</v>
      </c>
      <c r="AF578" s="237"/>
    </row>
    <row r="579" spans="1:32" s="55" customFormat="1" ht="30" customHeight="1">
      <c r="A579" s="215" t="s">
        <v>198</v>
      </c>
      <c r="B579" s="215">
        <v>2622299713</v>
      </c>
      <c r="C579" s="215" t="s">
        <v>132</v>
      </c>
      <c r="D579" s="215" t="s">
        <v>64</v>
      </c>
      <c r="E579" s="215" t="s">
        <v>5</v>
      </c>
      <c r="F579" s="215" t="s">
        <v>2085</v>
      </c>
      <c r="G579" s="215">
        <v>105</v>
      </c>
      <c r="H579" s="215" t="s">
        <v>200</v>
      </c>
      <c r="I579" s="215" t="s">
        <v>2098</v>
      </c>
      <c r="J579" s="215" t="s">
        <v>1908</v>
      </c>
      <c r="K579" s="215" t="s">
        <v>200</v>
      </c>
      <c r="L579" s="216">
        <v>46169.670138888891</v>
      </c>
      <c r="M579" s="216">
        <v>46169.685416666667</v>
      </c>
      <c r="N579" s="215" t="s">
        <v>1956</v>
      </c>
      <c r="O579" s="56" t="s">
        <v>62</v>
      </c>
      <c r="P579" s="56"/>
      <c r="Q579" s="56" t="s">
        <v>62</v>
      </c>
      <c r="R579" s="56"/>
      <c r="S579" s="56" t="s">
        <v>62</v>
      </c>
      <c r="T579" s="234"/>
      <c r="U579" s="56" t="s">
        <v>62</v>
      </c>
      <c r="V579" s="234"/>
      <c r="W579" s="56" t="s">
        <v>62</v>
      </c>
      <c r="X579" s="56" t="s">
        <v>2636</v>
      </c>
      <c r="Y579" s="56" t="s">
        <v>62</v>
      </c>
      <c r="Z579" s="56" t="s">
        <v>62</v>
      </c>
      <c r="AA579" s="234" t="str">
        <f t="shared" si="30"/>
        <v>NÃO AVALIADO POR FALHA DE SINCRONISMO</v>
      </c>
      <c r="AB579" s="56" t="s">
        <v>205</v>
      </c>
      <c r="AC579" s="242" t="s">
        <v>6</v>
      </c>
      <c r="AD579" s="56"/>
      <c r="AE579" s="234" t="s">
        <v>64</v>
      </c>
      <c r="AF579" s="237"/>
    </row>
    <row r="580" spans="1:32" s="55" customFormat="1" ht="30" customHeight="1">
      <c r="A580" s="215" t="s">
        <v>198</v>
      </c>
      <c r="B580" s="215">
        <v>2694294676</v>
      </c>
      <c r="C580" s="215" t="s">
        <v>131</v>
      </c>
      <c r="D580" s="215" t="s">
        <v>64</v>
      </c>
      <c r="E580" s="215" t="s">
        <v>5</v>
      </c>
      <c r="F580" s="215" t="s">
        <v>2702</v>
      </c>
      <c r="G580" s="215">
        <v>80</v>
      </c>
      <c r="H580" s="215" t="s">
        <v>2703</v>
      </c>
      <c r="I580" s="215" t="s">
        <v>215</v>
      </c>
      <c r="J580" s="215" t="s">
        <v>1908</v>
      </c>
      <c r="K580" s="215"/>
      <c r="L580" s="216">
        <v>46169.547222222223</v>
      </c>
      <c r="M580" s="216">
        <v>46169.566666666666</v>
      </c>
      <c r="N580" s="215" t="s">
        <v>590</v>
      </c>
      <c r="O580" s="56" t="s">
        <v>205</v>
      </c>
      <c r="P580" s="56"/>
      <c r="Q580" s="56" t="s">
        <v>205</v>
      </c>
      <c r="R580" s="56"/>
      <c r="S580" s="56" t="s">
        <v>205</v>
      </c>
      <c r="T580" s="234"/>
      <c r="U580" s="56" t="s">
        <v>205</v>
      </c>
      <c r="V580" s="234"/>
      <c r="W580" s="56" t="s">
        <v>205</v>
      </c>
      <c r="X580" s="56"/>
      <c r="Y580" s="56" t="s">
        <v>205</v>
      </c>
      <c r="Z580" s="56" t="s">
        <v>205</v>
      </c>
      <c r="AA580" s="234" t="str">
        <f t="shared" si="30"/>
        <v>UTILIZOU O PDA CORRETAMENTE</v>
      </c>
      <c r="AB580" s="56" t="s">
        <v>205</v>
      </c>
      <c r="AC580" s="242" t="s">
        <v>6</v>
      </c>
      <c r="AD580" s="56"/>
      <c r="AE580" s="234" t="s">
        <v>64</v>
      </c>
      <c r="AF580" s="237"/>
    </row>
    <row r="581" spans="1:32" s="55" customFormat="1" ht="30" customHeight="1">
      <c r="A581" s="215" t="s">
        <v>198</v>
      </c>
      <c r="B581" s="215">
        <v>2694232392</v>
      </c>
      <c r="C581" s="215" t="s">
        <v>131</v>
      </c>
      <c r="D581" s="215" t="s">
        <v>64</v>
      </c>
      <c r="E581" s="215" t="s">
        <v>5</v>
      </c>
      <c r="F581" s="215" t="s">
        <v>2704</v>
      </c>
      <c r="G581" s="215">
        <v>113</v>
      </c>
      <c r="H581" s="215" t="s">
        <v>200</v>
      </c>
      <c r="I581" s="215" t="s">
        <v>1516</v>
      </c>
      <c r="J581" s="215" t="s">
        <v>1908</v>
      </c>
      <c r="K581" s="215" t="s">
        <v>200</v>
      </c>
      <c r="L581" s="216">
        <v>46169.250694444447</v>
      </c>
      <c r="M581" s="216">
        <v>46169.251388888886</v>
      </c>
      <c r="N581" s="215" t="s">
        <v>230</v>
      </c>
      <c r="O581" s="56" t="s">
        <v>205</v>
      </c>
      <c r="P581" s="56"/>
      <c r="Q581" s="56" t="s">
        <v>206</v>
      </c>
      <c r="R581" s="56"/>
      <c r="S581" s="56" t="s">
        <v>205</v>
      </c>
      <c r="T581" s="234"/>
      <c r="U581" s="56" t="s">
        <v>205</v>
      </c>
      <c r="V581" s="234"/>
      <c r="W581" s="56" t="s">
        <v>205</v>
      </c>
      <c r="X581" s="56"/>
      <c r="Y581" s="56" t="s">
        <v>205</v>
      </c>
      <c r="Z581" s="56" t="s">
        <v>205</v>
      </c>
      <c r="AA581" s="234" t="str">
        <f t="shared" si="30"/>
        <v>UTILIZOU O PDA CORRETAMENTE</v>
      </c>
      <c r="AB581" s="56" t="s">
        <v>205</v>
      </c>
      <c r="AC581" s="242" t="s">
        <v>6</v>
      </c>
      <c r="AD581" s="56"/>
      <c r="AE581" s="234" t="s">
        <v>64</v>
      </c>
      <c r="AF581" s="237"/>
    </row>
    <row r="582" spans="1:32" s="55" customFormat="1" ht="30" customHeight="1">
      <c r="A582" s="262"/>
      <c r="B582" s="262"/>
      <c r="C582" s="262"/>
      <c r="D582" s="262"/>
      <c r="E582" s="262"/>
      <c r="F582" s="262"/>
      <c r="G582" s="262"/>
      <c r="H582" s="262"/>
      <c r="I582" s="262"/>
      <c r="J582" s="262"/>
      <c r="K582" s="262"/>
      <c r="L582" s="262"/>
      <c r="M582" s="262"/>
      <c r="N582" s="262"/>
      <c r="O582" s="231"/>
      <c r="P582" s="225"/>
      <c r="Q582" s="224"/>
      <c r="R582" s="225"/>
      <c r="S582" s="224"/>
      <c r="T582" s="225"/>
      <c r="U582" s="224"/>
      <c r="V582" s="225"/>
      <c r="W582" s="224"/>
      <c r="X582" s="225"/>
      <c r="Y582" s="354"/>
      <c r="Z582" s="181" t="str">
        <f t="shared" ref="Z582:Z633" si="31">IF(AND(O582="",Q582="",S582="",U582="",W582=""),"",IF(OR(AND(O582&lt;&gt;"NA",O582&lt;&gt;"C",O582&lt;&gt;"NC",O582&lt;&gt;"SF",O582&lt;&gt;""),AND(Q582&lt;&gt;"NA",Q582&lt;&gt;"C",Q582&lt;&gt;"NC",Q582&lt;&gt;"SF",Q582&lt;&gt;""),AND(S582&lt;&gt;"NA",S582&lt;&gt;"C",S582&lt;&gt;"NC",S582&lt;&gt;"SF",S582&lt;&gt;""),AND(U582&lt;&gt;"NA",U582&lt;&gt;"C",U582&lt;&gt;"NC",U582&lt;&gt;"SF",U582&lt;&gt;""),AND(W582&lt;&gt;"NA",W582&lt;&gt;"C",W582&lt;&gt;"NC",W582&lt;&gt;"SF",W582&lt;&gt;"")),"FALSO",IF(AND(O582="NA",Q582="NA",S582="NA",U582="NA",W582="NA"),"NA",IF(OR(O582="NC",Q582="NC",S582="NC",U582="NC",W582="NC",O582="SF",Q582="SF",S582="SF",U582="SF",W582="SF"),"NC",IF(OR(O582="C",Q582="C",S582="C",U582="C",W582="C"),"C","")))))</f>
        <v/>
      </c>
      <c r="AA582" s="190" t="b">
        <f t="shared" ref="AA582:AA633" si="32">IF(AND(Y582="C",Z582="C"),"UTILIZOU O PDA CORRETAMENTE",IF(AND(Y582="C",Z582="NC"),"UTILIZOU O PDA CORRETAMENTE. NÃO HÁ FOTOS DE TODAS AS ETAPAS",IF(AND(Y582="NC",Z582="NC"),"NÃO UTILIZOU O PDA",IF(AND(Y582="NA",Z582="NA"),"NÃO AVALIADO POR FALHA DE SINCRONISMO"))))</f>
        <v>0</v>
      </c>
      <c r="AB582" s="278"/>
      <c r="AC582" s="241" t="s">
        <v>6</v>
      </c>
      <c r="AD582" s="184">
        <f t="shared" ref="AD582:AD618" si="33">E582</f>
        <v>0</v>
      </c>
      <c r="AE582" s="214" t="s">
        <v>64</v>
      </c>
    </row>
    <row r="583" spans="1:32" s="55" customFormat="1" ht="30" customHeight="1">
      <c r="A583" s="155"/>
      <c r="B583" s="155"/>
      <c r="C583" s="155"/>
      <c r="D583" s="155"/>
      <c r="E583" s="155"/>
      <c r="F583" s="155"/>
      <c r="G583" s="155"/>
      <c r="H583" s="155"/>
      <c r="I583" s="155"/>
      <c r="J583" s="155"/>
      <c r="K583" s="155"/>
      <c r="L583" s="155"/>
      <c r="M583" s="155"/>
      <c r="N583" s="155"/>
      <c r="O583" s="157"/>
      <c r="P583" s="92"/>
      <c r="Q583" s="145"/>
      <c r="R583" s="92"/>
      <c r="S583" s="145"/>
      <c r="T583" s="92"/>
      <c r="U583" s="145"/>
      <c r="V583" s="92"/>
      <c r="W583" s="145"/>
      <c r="X583" s="92"/>
      <c r="Y583" s="352"/>
      <c r="Z583" s="142" t="str">
        <f t="shared" si="31"/>
        <v/>
      </c>
      <c r="AA583" s="226" t="b">
        <f t="shared" si="32"/>
        <v>0</v>
      </c>
      <c r="AB583" s="9"/>
      <c r="AC583" s="162" t="s">
        <v>6</v>
      </c>
      <c r="AD583" s="150">
        <f t="shared" si="33"/>
        <v>0</v>
      </c>
      <c r="AE583" s="95" t="s">
        <v>64</v>
      </c>
    </row>
    <row r="584" spans="1:32" s="55" customFormat="1" ht="30" customHeight="1">
      <c r="A584" s="155"/>
      <c r="B584" s="155"/>
      <c r="C584" s="155"/>
      <c r="D584" s="155"/>
      <c r="E584" s="155"/>
      <c r="F584" s="155"/>
      <c r="G584" s="155"/>
      <c r="H584" s="155"/>
      <c r="I584" s="155"/>
      <c r="J584" s="155"/>
      <c r="K584" s="155"/>
      <c r="L584" s="155"/>
      <c r="M584" s="155"/>
      <c r="N584" s="155"/>
      <c r="O584" s="157"/>
      <c r="P584" s="92"/>
      <c r="Q584" s="145"/>
      <c r="R584" s="92"/>
      <c r="S584" s="145"/>
      <c r="T584" s="92"/>
      <c r="U584" s="145"/>
      <c r="V584" s="92"/>
      <c r="W584" s="145"/>
      <c r="X584" s="92"/>
      <c r="Y584" s="352"/>
      <c r="Z584" s="142" t="str">
        <f t="shared" si="31"/>
        <v/>
      </c>
      <c r="AA584" s="226" t="b">
        <f t="shared" si="32"/>
        <v>0</v>
      </c>
      <c r="AB584" s="9"/>
      <c r="AC584" s="162" t="s">
        <v>6</v>
      </c>
      <c r="AD584" s="150">
        <f t="shared" si="33"/>
        <v>0</v>
      </c>
      <c r="AE584" s="95" t="s">
        <v>64</v>
      </c>
    </row>
    <row r="585" spans="1:32" s="55" customFormat="1" ht="30" customHeight="1">
      <c r="A585" s="155"/>
      <c r="B585" s="155"/>
      <c r="C585" s="155"/>
      <c r="D585" s="155"/>
      <c r="E585" s="155"/>
      <c r="F585" s="155"/>
      <c r="G585" s="155"/>
      <c r="H585" s="155"/>
      <c r="I585" s="155"/>
      <c r="J585" s="155"/>
      <c r="K585" s="155"/>
      <c r="L585" s="155"/>
      <c r="M585" s="155"/>
      <c r="N585" s="155"/>
      <c r="O585" s="157"/>
      <c r="P585" s="92"/>
      <c r="Q585" s="145"/>
      <c r="R585" s="92"/>
      <c r="S585" s="145"/>
      <c r="T585" s="92"/>
      <c r="U585" s="145"/>
      <c r="V585" s="92"/>
      <c r="W585" s="145"/>
      <c r="X585" s="92"/>
      <c r="Y585" s="352"/>
      <c r="Z585" s="142" t="str">
        <f t="shared" si="31"/>
        <v/>
      </c>
      <c r="AA585" s="226" t="b">
        <f t="shared" si="32"/>
        <v>0</v>
      </c>
      <c r="AB585" s="9"/>
      <c r="AC585" s="162" t="s">
        <v>6</v>
      </c>
      <c r="AD585" s="150">
        <f t="shared" si="33"/>
        <v>0</v>
      </c>
      <c r="AE585" s="95" t="s">
        <v>64</v>
      </c>
    </row>
    <row r="586" spans="1:32" s="55" customFormat="1" ht="30" customHeight="1">
      <c r="A586" s="155"/>
      <c r="B586" s="155"/>
      <c r="C586" s="155"/>
      <c r="D586" s="155"/>
      <c r="E586" s="155"/>
      <c r="F586" s="155"/>
      <c r="G586" s="155"/>
      <c r="H586" s="155"/>
      <c r="I586" s="155"/>
      <c r="J586" s="155"/>
      <c r="K586" s="155"/>
      <c r="L586" s="155"/>
      <c r="M586" s="155"/>
      <c r="N586" s="155"/>
      <c r="O586" s="157"/>
      <c r="P586" s="92"/>
      <c r="Q586" s="145"/>
      <c r="R586" s="92"/>
      <c r="S586" s="145"/>
      <c r="T586" s="92"/>
      <c r="U586" s="145"/>
      <c r="V586" s="92"/>
      <c r="W586" s="145"/>
      <c r="X586" s="92"/>
      <c r="Y586" s="352"/>
      <c r="Z586" s="142" t="str">
        <f t="shared" si="31"/>
        <v/>
      </c>
      <c r="AA586" s="226" t="b">
        <f t="shared" si="32"/>
        <v>0</v>
      </c>
      <c r="AB586" s="9"/>
      <c r="AC586" s="162" t="s">
        <v>6</v>
      </c>
      <c r="AD586" s="150">
        <f t="shared" si="33"/>
        <v>0</v>
      </c>
      <c r="AE586" s="95" t="s">
        <v>64</v>
      </c>
    </row>
    <row r="587" spans="1:32" s="55" customFormat="1" ht="30" customHeight="1">
      <c r="A587" s="155"/>
      <c r="B587" s="155"/>
      <c r="C587" s="155"/>
      <c r="D587" s="155"/>
      <c r="E587" s="155"/>
      <c r="F587" s="155"/>
      <c r="G587" s="155"/>
      <c r="H587" s="155"/>
      <c r="I587" s="155"/>
      <c r="J587" s="155"/>
      <c r="K587" s="155"/>
      <c r="L587" s="155"/>
      <c r="M587" s="155"/>
      <c r="N587" s="155"/>
      <c r="O587" s="157"/>
      <c r="P587" s="92"/>
      <c r="Q587" s="145"/>
      <c r="R587" s="92"/>
      <c r="S587" s="145"/>
      <c r="T587" s="92"/>
      <c r="U587" s="145"/>
      <c r="V587" s="92"/>
      <c r="W587" s="145"/>
      <c r="X587" s="92"/>
      <c r="Y587" s="352"/>
      <c r="Z587" s="142" t="str">
        <f t="shared" si="31"/>
        <v/>
      </c>
      <c r="AA587" s="226" t="b">
        <f t="shared" si="32"/>
        <v>0</v>
      </c>
      <c r="AB587" s="9"/>
      <c r="AC587" s="162" t="s">
        <v>6</v>
      </c>
      <c r="AD587" s="150">
        <f t="shared" si="33"/>
        <v>0</v>
      </c>
      <c r="AE587" s="95" t="s">
        <v>64</v>
      </c>
    </row>
    <row r="588" spans="1:32" s="55" customFormat="1" ht="30" customHeight="1">
      <c r="A588" s="155"/>
      <c r="B588" s="155"/>
      <c r="C588" s="155"/>
      <c r="D588" s="155"/>
      <c r="E588" s="155"/>
      <c r="F588" s="155"/>
      <c r="G588" s="155"/>
      <c r="H588" s="155"/>
      <c r="I588" s="155"/>
      <c r="J588" s="155"/>
      <c r="K588" s="155"/>
      <c r="L588" s="155"/>
      <c r="M588" s="155"/>
      <c r="N588" s="155"/>
      <c r="O588" s="157"/>
      <c r="P588" s="92"/>
      <c r="Q588" s="145"/>
      <c r="R588" s="92"/>
      <c r="S588" s="145"/>
      <c r="T588" s="92"/>
      <c r="U588" s="145"/>
      <c r="V588" s="92"/>
      <c r="W588" s="145"/>
      <c r="X588" s="92"/>
      <c r="Y588" s="352"/>
      <c r="Z588" s="142" t="str">
        <f t="shared" si="31"/>
        <v/>
      </c>
      <c r="AA588" s="226" t="b">
        <f t="shared" si="32"/>
        <v>0</v>
      </c>
      <c r="AB588" s="9"/>
      <c r="AC588" s="162" t="s">
        <v>6</v>
      </c>
      <c r="AD588" s="150">
        <f t="shared" si="33"/>
        <v>0</v>
      </c>
      <c r="AE588" s="95" t="s">
        <v>64</v>
      </c>
    </row>
    <row r="589" spans="1:32" s="55" customFormat="1" ht="30" customHeight="1">
      <c r="A589" s="155"/>
      <c r="B589" s="155"/>
      <c r="C589" s="155"/>
      <c r="D589" s="155"/>
      <c r="E589" s="155"/>
      <c r="F589" s="155"/>
      <c r="G589" s="155"/>
      <c r="H589" s="155"/>
      <c r="I589" s="155"/>
      <c r="J589" s="155"/>
      <c r="K589" s="155"/>
      <c r="L589" s="155"/>
      <c r="M589" s="155"/>
      <c r="N589" s="155"/>
      <c r="O589" s="157"/>
      <c r="P589" s="92"/>
      <c r="Q589" s="145"/>
      <c r="R589" s="92"/>
      <c r="S589" s="145"/>
      <c r="T589" s="92"/>
      <c r="U589" s="145"/>
      <c r="V589" s="92"/>
      <c r="W589" s="145"/>
      <c r="X589" s="92"/>
      <c r="Y589" s="352"/>
      <c r="Z589" s="142" t="str">
        <f t="shared" si="31"/>
        <v/>
      </c>
      <c r="AA589" s="226" t="b">
        <f t="shared" si="32"/>
        <v>0</v>
      </c>
      <c r="AB589" s="9"/>
      <c r="AC589" s="162" t="s">
        <v>6</v>
      </c>
      <c r="AD589" s="150">
        <f t="shared" si="33"/>
        <v>0</v>
      </c>
      <c r="AE589" s="95" t="s">
        <v>64</v>
      </c>
    </row>
    <row r="590" spans="1:32" s="55" customFormat="1" ht="30" customHeight="1">
      <c r="A590" s="155"/>
      <c r="B590" s="155"/>
      <c r="C590" s="155"/>
      <c r="D590" s="155"/>
      <c r="E590" s="155"/>
      <c r="F590" s="155"/>
      <c r="G590" s="155"/>
      <c r="H590" s="155"/>
      <c r="I590" s="155"/>
      <c r="J590" s="155"/>
      <c r="K590" s="155"/>
      <c r="L590" s="155"/>
      <c r="M590" s="155"/>
      <c r="N590" s="155"/>
      <c r="O590" s="157"/>
      <c r="P590" s="92"/>
      <c r="Q590" s="145"/>
      <c r="R590" s="92"/>
      <c r="S590" s="145"/>
      <c r="T590" s="92"/>
      <c r="U590" s="145"/>
      <c r="V590" s="92"/>
      <c r="W590" s="145"/>
      <c r="X590" s="92"/>
      <c r="Y590" s="352"/>
      <c r="Z590" s="142" t="str">
        <f t="shared" si="31"/>
        <v/>
      </c>
      <c r="AA590" s="226" t="b">
        <f t="shared" si="32"/>
        <v>0</v>
      </c>
      <c r="AB590" s="9"/>
      <c r="AC590" s="162" t="s">
        <v>6</v>
      </c>
      <c r="AD590" s="150">
        <f t="shared" si="33"/>
        <v>0</v>
      </c>
      <c r="AE590" s="95" t="s">
        <v>64</v>
      </c>
    </row>
    <row r="591" spans="1:32" s="55" customFormat="1" ht="30" customHeight="1">
      <c r="A591" s="155"/>
      <c r="B591" s="155"/>
      <c r="C591" s="155"/>
      <c r="D591" s="155"/>
      <c r="E591" s="155"/>
      <c r="F591" s="155"/>
      <c r="G591" s="155"/>
      <c r="H591" s="155"/>
      <c r="I591" s="155"/>
      <c r="J591" s="155"/>
      <c r="K591" s="155"/>
      <c r="L591" s="155"/>
      <c r="M591" s="155"/>
      <c r="N591" s="155"/>
      <c r="O591" s="157"/>
      <c r="P591" s="92"/>
      <c r="Q591" s="145"/>
      <c r="R591" s="92"/>
      <c r="S591" s="145"/>
      <c r="T591" s="92"/>
      <c r="U591" s="145"/>
      <c r="V591" s="92"/>
      <c r="W591" s="145"/>
      <c r="X591" s="92"/>
      <c r="Y591" s="352"/>
      <c r="Z591" s="142" t="str">
        <f t="shared" si="31"/>
        <v/>
      </c>
      <c r="AA591" s="226" t="b">
        <f t="shared" si="32"/>
        <v>0</v>
      </c>
      <c r="AB591" s="9"/>
      <c r="AC591" s="162" t="s">
        <v>6</v>
      </c>
      <c r="AD591" s="150">
        <f t="shared" si="33"/>
        <v>0</v>
      </c>
      <c r="AE591" s="95" t="s">
        <v>64</v>
      </c>
    </row>
    <row r="592" spans="1:32" s="55" customFormat="1" ht="30" customHeight="1">
      <c r="A592" s="155"/>
      <c r="B592" s="155"/>
      <c r="C592" s="155"/>
      <c r="D592" s="155"/>
      <c r="E592" s="155"/>
      <c r="F592" s="155"/>
      <c r="G592" s="155"/>
      <c r="H592" s="155"/>
      <c r="I592" s="155"/>
      <c r="J592" s="155"/>
      <c r="K592" s="155"/>
      <c r="L592" s="155"/>
      <c r="M592" s="155"/>
      <c r="N592" s="155"/>
      <c r="O592" s="157"/>
      <c r="P592" s="92"/>
      <c r="Q592" s="145"/>
      <c r="R592" s="92"/>
      <c r="S592" s="145"/>
      <c r="T592" s="92"/>
      <c r="U592" s="145"/>
      <c r="V592" s="92"/>
      <c r="W592" s="145"/>
      <c r="X592" s="92"/>
      <c r="Y592" s="352"/>
      <c r="Z592" s="142" t="str">
        <f t="shared" si="31"/>
        <v/>
      </c>
      <c r="AA592" s="226" t="b">
        <f t="shared" si="32"/>
        <v>0</v>
      </c>
      <c r="AB592" s="9"/>
      <c r="AC592" s="162" t="s">
        <v>6</v>
      </c>
      <c r="AD592" s="150">
        <f t="shared" si="33"/>
        <v>0</v>
      </c>
      <c r="AE592" s="95" t="s">
        <v>64</v>
      </c>
    </row>
    <row r="593" spans="1:31" s="55" customFormat="1" ht="30" customHeight="1">
      <c r="A593" s="155"/>
      <c r="B593" s="155"/>
      <c r="C593" s="155"/>
      <c r="D593" s="155"/>
      <c r="E593" s="155"/>
      <c r="F593" s="155"/>
      <c r="G593" s="155"/>
      <c r="H593" s="155"/>
      <c r="I593" s="155"/>
      <c r="J593" s="155"/>
      <c r="K593" s="155"/>
      <c r="L593" s="155"/>
      <c r="M593" s="155"/>
      <c r="N593" s="155"/>
      <c r="O593" s="157"/>
      <c r="P593" s="92"/>
      <c r="Q593" s="145"/>
      <c r="R593" s="92"/>
      <c r="S593" s="145"/>
      <c r="T593" s="92"/>
      <c r="U593" s="145"/>
      <c r="V593" s="92"/>
      <c r="W593" s="145"/>
      <c r="X593" s="92"/>
      <c r="Y593" s="352"/>
      <c r="Z593" s="142" t="str">
        <f t="shared" si="31"/>
        <v/>
      </c>
      <c r="AA593" s="226" t="b">
        <f t="shared" si="32"/>
        <v>0</v>
      </c>
      <c r="AB593" s="9"/>
      <c r="AC593" s="162" t="s">
        <v>6</v>
      </c>
      <c r="AD593" s="150">
        <f t="shared" si="33"/>
        <v>0</v>
      </c>
      <c r="AE593" s="95" t="s">
        <v>64</v>
      </c>
    </row>
    <row r="594" spans="1:31" s="55" customFormat="1" ht="30" customHeight="1">
      <c r="A594" s="155"/>
      <c r="B594" s="155"/>
      <c r="C594" s="155"/>
      <c r="D594" s="155"/>
      <c r="E594" s="155"/>
      <c r="F594" s="155"/>
      <c r="G594" s="155"/>
      <c r="H594" s="155"/>
      <c r="I594" s="155"/>
      <c r="J594" s="155"/>
      <c r="K594" s="155"/>
      <c r="L594" s="155"/>
      <c r="M594" s="155"/>
      <c r="N594" s="155"/>
      <c r="O594" s="157"/>
      <c r="P594" s="92"/>
      <c r="Q594" s="145"/>
      <c r="R594" s="92"/>
      <c r="S594" s="145"/>
      <c r="T594" s="92"/>
      <c r="U594" s="145"/>
      <c r="V594" s="92"/>
      <c r="W594" s="145"/>
      <c r="X594" s="92"/>
      <c r="Y594" s="352"/>
      <c r="Z594" s="142" t="str">
        <f t="shared" si="31"/>
        <v/>
      </c>
      <c r="AA594" s="226" t="b">
        <f t="shared" si="32"/>
        <v>0</v>
      </c>
      <c r="AB594" s="9"/>
      <c r="AC594" s="162" t="s">
        <v>6</v>
      </c>
      <c r="AD594" s="150">
        <f t="shared" si="33"/>
        <v>0</v>
      </c>
      <c r="AE594" s="95" t="s">
        <v>64</v>
      </c>
    </row>
    <row r="595" spans="1:31" s="55" customFormat="1" ht="30" customHeight="1">
      <c r="A595" s="155"/>
      <c r="B595" s="155"/>
      <c r="C595" s="155"/>
      <c r="D595" s="155"/>
      <c r="E595" s="155"/>
      <c r="F595" s="155"/>
      <c r="G595" s="155"/>
      <c r="H595" s="155"/>
      <c r="I595" s="155"/>
      <c r="J595" s="155"/>
      <c r="K595" s="155"/>
      <c r="L595" s="155"/>
      <c r="M595" s="155"/>
      <c r="N595" s="155"/>
      <c r="O595" s="157"/>
      <c r="P595" s="92"/>
      <c r="Q595" s="145"/>
      <c r="R595" s="92"/>
      <c r="S595" s="145"/>
      <c r="T595" s="92"/>
      <c r="U595" s="145"/>
      <c r="V595" s="92"/>
      <c r="W595" s="145"/>
      <c r="X595" s="92"/>
      <c r="Y595" s="352"/>
      <c r="Z595" s="142" t="str">
        <f t="shared" si="31"/>
        <v/>
      </c>
      <c r="AA595" s="226" t="b">
        <f t="shared" si="32"/>
        <v>0</v>
      </c>
      <c r="AB595" s="9"/>
      <c r="AC595" s="162" t="s">
        <v>6</v>
      </c>
      <c r="AD595" s="150">
        <f t="shared" si="33"/>
        <v>0</v>
      </c>
      <c r="AE595" s="95" t="s">
        <v>64</v>
      </c>
    </row>
    <row r="596" spans="1:31" s="55" customFormat="1" ht="30" customHeight="1">
      <c r="A596" s="155"/>
      <c r="B596" s="155"/>
      <c r="C596" s="155"/>
      <c r="D596" s="155"/>
      <c r="E596" s="155"/>
      <c r="F596" s="155"/>
      <c r="G596" s="155"/>
      <c r="H596" s="155"/>
      <c r="I596" s="155"/>
      <c r="J596" s="155"/>
      <c r="K596" s="155"/>
      <c r="L596" s="155"/>
      <c r="M596" s="155"/>
      <c r="N596" s="155"/>
      <c r="O596" s="157"/>
      <c r="P596" s="92"/>
      <c r="Q596" s="145"/>
      <c r="R596" s="92"/>
      <c r="S596" s="145"/>
      <c r="T596" s="92"/>
      <c r="U596" s="145"/>
      <c r="V596" s="92"/>
      <c r="W596" s="145"/>
      <c r="X596" s="92"/>
      <c r="Y596" s="352"/>
      <c r="Z596" s="142" t="str">
        <f t="shared" si="31"/>
        <v/>
      </c>
      <c r="AA596" s="226" t="b">
        <f t="shared" si="32"/>
        <v>0</v>
      </c>
      <c r="AB596" s="9"/>
      <c r="AC596" s="162" t="s">
        <v>6</v>
      </c>
      <c r="AD596" s="150">
        <f t="shared" si="33"/>
        <v>0</v>
      </c>
      <c r="AE596" s="95" t="s">
        <v>64</v>
      </c>
    </row>
    <row r="597" spans="1:31" s="55" customFormat="1" ht="30" customHeight="1">
      <c r="A597" s="155"/>
      <c r="B597" s="155"/>
      <c r="C597" s="155"/>
      <c r="D597" s="155"/>
      <c r="E597" s="155"/>
      <c r="F597" s="155"/>
      <c r="G597" s="155"/>
      <c r="H597" s="155"/>
      <c r="I597" s="155"/>
      <c r="J597" s="155"/>
      <c r="K597" s="155"/>
      <c r="L597" s="155"/>
      <c r="M597" s="155"/>
      <c r="N597" s="155"/>
      <c r="O597" s="157"/>
      <c r="P597" s="92"/>
      <c r="Q597" s="145"/>
      <c r="R597" s="92"/>
      <c r="S597" s="145"/>
      <c r="T597" s="92"/>
      <c r="U597" s="145"/>
      <c r="V597" s="92"/>
      <c r="W597" s="145"/>
      <c r="X597" s="92"/>
      <c r="Y597" s="352"/>
      <c r="Z597" s="142" t="str">
        <f t="shared" si="31"/>
        <v/>
      </c>
      <c r="AA597" s="226" t="b">
        <f t="shared" si="32"/>
        <v>0</v>
      </c>
      <c r="AB597" s="9"/>
      <c r="AC597" s="162" t="s">
        <v>6</v>
      </c>
      <c r="AD597" s="150">
        <f t="shared" si="33"/>
        <v>0</v>
      </c>
      <c r="AE597" s="95" t="s">
        <v>64</v>
      </c>
    </row>
    <row r="598" spans="1:31" s="55" customFormat="1" ht="30" customHeight="1">
      <c r="A598" s="155"/>
      <c r="B598" s="155"/>
      <c r="C598" s="155"/>
      <c r="D598" s="155"/>
      <c r="E598" s="155"/>
      <c r="F598" s="155"/>
      <c r="G598" s="155"/>
      <c r="H598" s="155"/>
      <c r="I598" s="155"/>
      <c r="J598" s="155"/>
      <c r="K598" s="155"/>
      <c r="L598" s="155"/>
      <c r="M598" s="155"/>
      <c r="N598" s="155"/>
      <c r="O598" s="157"/>
      <c r="P598" s="92"/>
      <c r="Q598" s="145"/>
      <c r="R598" s="92"/>
      <c r="S598" s="145"/>
      <c r="T598" s="92"/>
      <c r="U598" s="145"/>
      <c r="V598" s="92"/>
      <c r="W598" s="145"/>
      <c r="X598" s="92"/>
      <c r="Y598" s="352"/>
      <c r="Z598" s="142" t="str">
        <f t="shared" si="31"/>
        <v/>
      </c>
      <c r="AA598" s="226" t="b">
        <f t="shared" si="32"/>
        <v>0</v>
      </c>
      <c r="AB598" s="9"/>
      <c r="AC598" s="162" t="s">
        <v>6</v>
      </c>
      <c r="AD598" s="150">
        <f t="shared" si="33"/>
        <v>0</v>
      </c>
      <c r="AE598" s="95" t="s">
        <v>64</v>
      </c>
    </row>
    <row r="599" spans="1:31" s="55" customFormat="1" ht="30" customHeight="1">
      <c r="A599" s="155"/>
      <c r="B599" s="155"/>
      <c r="C599" s="155"/>
      <c r="D599" s="155"/>
      <c r="E599" s="155"/>
      <c r="F599" s="155"/>
      <c r="G599" s="155"/>
      <c r="H599" s="155"/>
      <c r="I599" s="155"/>
      <c r="J599" s="155"/>
      <c r="K599" s="155"/>
      <c r="L599" s="155"/>
      <c r="M599" s="155"/>
      <c r="N599" s="155"/>
      <c r="O599" s="157"/>
      <c r="P599" s="92"/>
      <c r="Q599" s="145"/>
      <c r="R599" s="92"/>
      <c r="S599" s="145"/>
      <c r="T599" s="92"/>
      <c r="U599" s="145"/>
      <c r="V599" s="92"/>
      <c r="W599" s="145"/>
      <c r="X599" s="92"/>
      <c r="Y599" s="352"/>
      <c r="Z599" s="142" t="str">
        <f t="shared" si="31"/>
        <v/>
      </c>
      <c r="AA599" s="226" t="b">
        <f t="shared" si="32"/>
        <v>0</v>
      </c>
      <c r="AB599" s="9"/>
      <c r="AC599" s="162" t="s">
        <v>6</v>
      </c>
      <c r="AD599" s="150">
        <f t="shared" si="33"/>
        <v>0</v>
      </c>
      <c r="AE599" s="95" t="s">
        <v>64</v>
      </c>
    </row>
    <row r="600" spans="1:31" s="55" customFormat="1" ht="30" customHeight="1">
      <c r="A600" s="155"/>
      <c r="B600" s="155"/>
      <c r="C600" s="155"/>
      <c r="D600" s="155"/>
      <c r="E600" s="155"/>
      <c r="F600" s="155"/>
      <c r="G600" s="155"/>
      <c r="H600" s="155"/>
      <c r="I600" s="155"/>
      <c r="J600" s="155"/>
      <c r="K600" s="155"/>
      <c r="L600" s="155"/>
      <c r="M600" s="155"/>
      <c r="N600" s="155"/>
      <c r="O600" s="157"/>
      <c r="P600" s="92"/>
      <c r="Q600" s="145"/>
      <c r="R600" s="92"/>
      <c r="S600" s="145"/>
      <c r="T600" s="92"/>
      <c r="U600" s="145"/>
      <c r="V600" s="92"/>
      <c r="W600" s="145"/>
      <c r="X600" s="92"/>
      <c r="Y600" s="352"/>
      <c r="Z600" s="142" t="str">
        <f t="shared" si="31"/>
        <v/>
      </c>
      <c r="AA600" s="226" t="b">
        <f t="shared" si="32"/>
        <v>0</v>
      </c>
      <c r="AB600" s="9"/>
      <c r="AC600" s="162" t="s">
        <v>6</v>
      </c>
      <c r="AD600" s="150">
        <f t="shared" si="33"/>
        <v>0</v>
      </c>
      <c r="AE600" s="95" t="s">
        <v>64</v>
      </c>
    </row>
    <row r="601" spans="1:31" s="55" customFormat="1" ht="30" customHeight="1">
      <c r="A601" s="155"/>
      <c r="B601" s="155"/>
      <c r="C601" s="155"/>
      <c r="D601" s="155"/>
      <c r="E601" s="155"/>
      <c r="F601" s="155"/>
      <c r="G601" s="155"/>
      <c r="H601" s="155"/>
      <c r="I601" s="155"/>
      <c r="J601" s="155"/>
      <c r="K601" s="155"/>
      <c r="L601" s="155"/>
      <c r="M601" s="155"/>
      <c r="N601" s="155"/>
      <c r="O601" s="157"/>
      <c r="P601" s="92"/>
      <c r="Q601" s="145"/>
      <c r="R601" s="92"/>
      <c r="S601" s="145"/>
      <c r="T601" s="92"/>
      <c r="U601" s="145"/>
      <c r="V601" s="92"/>
      <c r="W601" s="145"/>
      <c r="X601" s="92"/>
      <c r="Y601" s="352"/>
      <c r="Z601" s="142" t="str">
        <f t="shared" si="31"/>
        <v/>
      </c>
      <c r="AA601" s="226" t="b">
        <f t="shared" si="32"/>
        <v>0</v>
      </c>
      <c r="AB601" s="9"/>
      <c r="AC601" s="162" t="s">
        <v>6</v>
      </c>
      <c r="AD601" s="150">
        <f t="shared" si="33"/>
        <v>0</v>
      </c>
      <c r="AE601" s="95" t="s">
        <v>64</v>
      </c>
    </row>
    <row r="602" spans="1:31" s="55" customFormat="1" ht="30" customHeight="1">
      <c r="A602" s="155"/>
      <c r="B602" s="155"/>
      <c r="C602" s="155"/>
      <c r="D602" s="155"/>
      <c r="E602" s="155"/>
      <c r="F602" s="155"/>
      <c r="G602" s="155"/>
      <c r="H602" s="155"/>
      <c r="I602" s="155"/>
      <c r="J602" s="155"/>
      <c r="K602" s="155"/>
      <c r="L602" s="155"/>
      <c r="M602" s="155"/>
      <c r="N602" s="155"/>
      <c r="O602" s="157"/>
      <c r="P602" s="92"/>
      <c r="Q602" s="145"/>
      <c r="R602" s="92"/>
      <c r="S602" s="145"/>
      <c r="T602" s="92"/>
      <c r="U602" s="145"/>
      <c r="V602" s="92"/>
      <c r="W602" s="145"/>
      <c r="X602" s="92"/>
      <c r="Y602" s="352"/>
      <c r="Z602" s="142" t="str">
        <f t="shared" si="31"/>
        <v/>
      </c>
      <c r="AA602" s="226" t="b">
        <f t="shared" si="32"/>
        <v>0</v>
      </c>
      <c r="AB602" s="9"/>
      <c r="AC602" s="162" t="s">
        <v>6</v>
      </c>
      <c r="AD602" s="150">
        <f t="shared" si="33"/>
        <v>0</v>
      </c>
      <c r="AE602" s="95" t="s">
        <v>64</v>
      </c>
    </row>
    <row r="603" spans="1:31" s="55" customFormat="1" ht="30" customHeight="1">
      <c r="A603" s="155"/>
      <c r="B603" s="155"/>
      <c r="C603" s="155"/>
      <c r="D603" s="155"/>
      <c r="E603" s="155"/>
      <c r="F603" s="155"/>
      <c r="G603" s="155"/>
      <c r="H603" s="155"/>
      <c r="I603" s="155"/>
      <c r="J603" s="155"/>
      <c r="K603" s="155"/>
      <c r="L603" s="155"/>
      <c r="M603" s="155"/>
      <c r="N603" s="155"/>
      <c r="O603" s="157"/>
      <c r="P603" s="92"/>
      <c r="Q603" s="145"/>
      <c r="R603" s="92"/>
      <c r="S603" s="145"/>
      <c r="T603" s="92"/>
      <c r="U603" s="145"/>
      <c r="V603" s="92"/>
      <c r="W603" s="145"/>
      <c r="X603" s="92"/>
      <c r="Y603" s="352"/>
      <c r="Z603" s="142" t="str">
        <f t="shared" si="31"/>
        <v/>
      </c>
      <c r="AA603" s="226" t="b">
        <f t="shared" si="32"/>
        <v>0</v>
      </c>
      <c r="AB603" s="9"/>
      <c r="AC603" s="162" t="s">
        <v>6</v>
      </c>
      <c r="AD603" s="150">
        <f t="shared" si="33"/>
        <v>0</v>
      </c>
      <c r="AE603" s="95" t="s">
        <v>64</v>
      </c>
    </row>
    <row r="604" spans="1:31" s="55" customFormat="1" ht="30" customHeight="1">
      <c r="A604" s="155"/>
      <c r="B604" s="155"/>
      <c r="C604" s="155"/>
      <c r="D604" s="155"/>
      <c r="E604" s="155"/>
      <c r="F604" s="155"/>
      <c r="G604" s="155"/>
      <c r="H604" s="155"/>
      <c r="I604" s="155"/>
      <c r="J604" s="155"/>
      <c r="K604" s="155"/>
      <c r="L604" s="155"/>
      <c r="M604" s="155"/>
      <c r="N604" s="155"/>
      <c r="O604" s="157"/>
      <c r="P604" s="92"/>
      <c r="Q604" s="145"/>
      <c r="R604" s="92"/>
      <c r="S604" s="145"/>
      <c r="T604" s="92"/>
      <c r="U604" s="145"/>
      <c r="V604" s="92"/>
      <c r="W604" s="145"/>
      <c r="X604" s="92"/>
      <c r="Y604" s="352"/>
      <c r="Z604" s="142" t="str">
        <f t="shared" si="31"/>
        <v/>
      </c>
      <c r="AA604" s="226" t="b">
        <f t="shared" si="32"/>
        <v>0</v>
      </c>
      <c r="AB604" s="9"/>
      <c r="AC604" s="162" t="s">
        <v>6</v>
      </c>
      <c r="AD604" s="150">
        <f t="shared" si="33"/>
        <v>0</v>
      </c>
      <c r="AE604" s="95" t="s">
        <v>64</v>
      </c>
    </row>
    <row r="605" spans="1:31" s="55" customFormat="1" ht="30" customHeight="1">
      <c r="A605" s="155"/>
      <c r="B605" s="155"/>
      <c r="C605" s="155"/>
      <c r="D605" s="155"/>
      <c r="E605" s="155"/>
      <c r="F605" s="155"/>
      <c r="G605" s="155"/>
      <c r="H605" s="155"/>
      <c r="I605" s="155"/>
      <c r="J605" s="155"/>
      <c r="K605" s="155"/>
      <c r="L605" s="155"/>
      <c r="M605" s="155"/>
      <c r="N605" s="155"/>
      <c r="O605" s="157"/>
      <c r="P605" s="92"/>
      <c r="Q605" s="145"/>
      <c r="R605" s="92"/>
      <c r="S605" s="145"/>
      <c r="T605" s="92"/>
      <c r="U605" s="145"/>
      <c r="V605" s="92"/>
      <c r="W605" s="145"/>
      <c r="X605" s="92"/>
      <c r="Y605" s="352"/>
      <c r="Z605" s="142" t="str">
        <f t="shared" si="31"/>
        <v/>
      </c>
      <c r="AA605" s="226" t="b">
        <f t="shared" si="32"/>
        <v>0</v>
      </c>
      <c r="AB605" s="9"/>
      <c r="AC605" s="162" t="s">
        <v>6</v>
      </c>
      <c r="AD605" s="150">
        <f t="shared" si="33"/>
        <v>0</v>
      </c>
      <c r="AE605" s="95" t="s">
        <v>64</v>
      </c>
    </row>
    <row r="606" spans="1:31" s="55" customFormat="1" ht="30" customHeight="1">
      <c r="A606" s="155"/>
      <c r="B606" s="155"/>
      <c r="C606" s="155"/>
      <c r="D606" s="155"/>
      <c r="E606" s="155"/>
      <c r="F606" s="155"/>
      <c r="G606" s="155"/>
      <c r="H606" s="155"/>
      <c r="I606" s="155"/>
      <c r="J606" s="155"/>
      <c r="K606" s="155"/>
      <c r="L606" s="155"/>
      <c r="M606" s="155"/>
      <c r="N606" s="155"/>
      <c r="O606" s="157"/>
      <c r="P606" s="92"/>
      <c r="Q606" s="145"/>
      <c r="R606" s="92"/>
      <c r="S606" s="145"/>
      <c r="T606" s="92"/>
      <c r="U606" s="145"/>
      <c r="V606" s="92"/>
      <c r="W606" s="145"/>
      <c r="X606" s="92"/>
      <c r="Y606" s="352"/>
      <c r="Z606" s="142" t="str">
        <f t="shared" si="31"/>
        <v/>
      </c>
      <c r="AA606" s="226" t="b">
        <f t="shared" si="32"/>
        <v>0</v>
      </c>
      <c r="AB606" s="9"/>
      <c r="AC606" s="162" t="s">
        <v>6</v>
      </c>
      <c r="AD606" s="150">
        <f t="shared" si="33"/>
        <v>0</v>
      </c>
      <c r="AE606" s="95" t="s">
        <v>64</v>
      </c>
    </row>
    <row r="607" spans="1:31" s="55" customFormat="1" ht="30" customHeight="1">
      <c r="A607" s="155"/>
      <c r="B607" s="155"/>
      <c r="C607" s="155"/>
      <c r="D607" s="155"/>
      <c r="E607" s="155"/>
      <c r="F607" s="155"/>
      <c r="G607" s="155"/>
      <c r="H607" s="155"/>
      <c r="I607" s="155"/>
      <c r="J607" s="155"/>
      <c r="K607" s="155"/>
      <c r="L607" s="155"/>
      <c r="M607" s="155"/>
      <c r="N607" s="155"/>
      <c r="O607" s="157"/>
      <c r="P607" s="92"/>
      <c r="Q607" s="145"/>
      <c r="R607" s="92"/>
      <c r="S607" s="145"/>
      <c r="T607" s="92"/>
      <c r="U607" s="145"/>
      <c r="V607" s="92"/>
      <c r="W607" s="145"/>
      <c r="X607" s="92"/>
      <c r="Y607" s="352"/>
      <c r="Z607" s="142" t="str">
        <f t="shared" si="31"/>
        <v/>
      </c>
      <c r="AA607" s="226" t="b">
        <f t="shared" si="32"/>
        <v>0</v>
      </c>
      <c r="AB607" s="9"/>
      <c r="AC607" s="162" t="s">
        <v>6</v>
      </c>
      <c r="AD607" s="150">
        <f t="shared" si="33"/>
        <v>0</v>
      </c>
      <c r="AE607" s="95" t="s">
        <v>64</v>
      </c>
    </row>
    <row r="608" spans="1:31" s="55" customFormat="1" ht="30" customHeight="1">
      <c r="A608" s="155"/>
      <c r="B608" s="155"/>
      <c r="C608" s="155"/>
      <c r="D608" s="155"/>
      <c r="E608" s="155"/>
      <c r="F608" s="155"/>
      <c r="G608" s="155"/>
      <c r="H608" s="155"/>
      <c r="I608" s="155"/>
      <c r="J608" s="155"/>
      <c r="K608" s="155"/>
      <c r="L608" s="155"/>
      <c r="M608" s="155"/>
      <c r="N608" s="155"/>
      <c r="O608" s="157"/>
      <c r="P608" s="92"/>
      <c r="Q608" s="145"/>
      <c r="R608" s="92"/>
      <c r="S608" s="145"/>
      <c r="T608" s="92"/>
      <c r="U608" s="145"/>
      <c r="V608" s="92"/>
      <c r="W608" s="145"/>
      <c r="X608" s="92"/>
      <c r="Y608" s="352"/>
      <c r="Z608" s="142" t="str">
        <f t="shared" si="31"/>
        <v/>
      </c>
      <c r="AA608" s="226" t="b">
        <f t="shared" si="32"/>
        <v>0</v>
      </c>
      <c r="AB608" s="9"/>
      <c r="AC608" s="162" t="s">
        <v>6</v>
      </c>
      <c r="AD608" s="150">
        <f t="shared" si="33"/>
        <v>0</v>
      </c>
      <c r="AE608" s="95" t="s">
        <v>64</v>
      </c>
    </row>
    <row r="609" spans="1:31" s="55" customFormat="1" ht="30" customHeight="1">
      <c r="A609" s="155"/>
      <c r="B609" s="155"/>
      <c r="C609" s="155"/>
      <c r="D609" s="155"/>
      <c r="E609" s="155"/>
      <c r="F609" s="155"/>
      <c r="G609" s="155"/>
      <c r="H609" s="155"/>
      <c r="I609" s="155"/>
      <c r="J609" s="155"/>
      <c r="K609" s="155"/>
      <c r="L609" s="155"/>
      <c r="M609" s="155"/>
      <c r="N609" s="155"/>
      <c r="O609" s="157"/>
      <c r="P609" s="92"/>
      <c r="Q609" s="145"/>
      <c r="R609" s="92"/>
      <c r="S609" s="145"/>
      <c r="T609" s="92"/>
      <c r="U609" s="145"/>
      <c r="V609" s="92"/>
      <c r="W609" s="145"/>
      <c r="X609" s="92"/>
      <c r="Y609" s="352"/>
      <c r="Z609" s="142" t="str">
        <f t="shared" si="31"/>
        <v/>
      </c>
      <c r="AA609" s="226" t="b">
        <f t="shared" si="32"/>
        <v>0</v>
      </c>
      <c r="AB609" s="9"/>
      <c r="AC609" s="162" t="s">
        <v>6</v>
      </c>
      <c r="AD609" s="150">
        <f t="shared" si="33"/>
        <v>0</v>
      </c>
      <c r="AE609" s="95" t="s">
        <v>64</v>
      </c>
    </row>
    <row r="610" spans="1:31" s="55" customFormat="1" ht="30" customHeight="1">
      <c r="A610" s="155"/>
      <c r="B610" s="155"/>
      <c r="C610" s="155"/>
      <c r="D610" s="155"/>
      <c r="E610" s="155"/>
      <c r="F610" s="155"/>
      <c r="G610" s="155"/>
      <c r="H610" s="155"/>
      <c r="I610" s="155"/>
      <c r="J610" s="155"/>
      <c r="K610" s="155"/>
      <c r="L610" s="155"/>
      <c r="M610" s="155"/>
      <c r="N610" s="155"/>
      <c r="O610" s="157"/>
      <c r="P610" s="92"/>
      <c r="Q610" s="145"/>
      <c r="R610" s="92"/>
      <c r="S610" s="145"/>
      <c r="T610" s="92"/>
      <c r="U610" s="145"/>
      <c r="V610" s="92"/>
      <c r="W610" s="145"/>
      <c r="X610" s="92"/>
      <c r="Y610" s="352"/>
      <c r="Z610" s="142" t="str">
        <f t="shared" si="31"/>
        <v/>
      </c>
      <c r="AA610" s="226" t="b">
        <f t="shared" si="32"/>
        <v>0</v>
      </c>
      <c r="AB610" s="9"/>
      <c r="AC610" s="162" t="s">
        <v>6</v>
      </c>
      <c r="AD610" s="150">
        <f t="shared" si="33"/>
        <v>0</v>
      </c>
      <c r="AE610" s="95" t="s">
        <v>64</v>
      </c>
    </row>
    <row r="611" spans="1:31" s="55" customFormat="1" ht="30" customHeight="1">
      <c r="A611" s="155"/>
      <c r="B611" s="155"/>
      <c r="C611" s="155"/>
      <c r="D611" s="155"/>
      <c r="E611" s="155"/>
      <c r="F611" s="155"/>
      <c r="G611" s="155"/>
      <c r="H611" s="155"/>
      <c r="I611" s="155"/>
      <c r="J611" s="155"/>
      <c r="K611" s="155"/>
      <c r="L611" s="155"/>
      <c r="M611" s="155"/>
      <c r="N611" s="155"/>
      <c r="O611" s="157"/>
      <c r="P611" s="92"/>
      <c r="Q611" s="145"/>
      <c r="R611" s="92"/>
      <c r="S611" s="145"/>
      <c r="T611" s="92"/>
      <c r="U611" s="145"/>
      <c r="V611" s="92"/>
      <c r="W611" s="145"/>
      <c r="X611" s="92"/>
      <c r="Y611" s="352"/>
      <c r="Z611" s="142" t="str">
        <f t="shared" si="31"/>
        <v/>
      </c>
      <c r="AA611" s="226" t="b">
        <f t="shared" si="32"/>
        <v>0</v>
      </c>
      <c r="AB611" s="9"/>
      <c r="AC611" s="162" t="s">
        <v>6</v>
      </c>
      <c r="AD611" s="150">
        <f t="shared" si="33"/>
        <v>0</v>
      </c>
      <c r="AE611" s="95" t="s">
        <v>64</v>
      </c>
    </row>
    <row r="612" spans="1:31" s="55" customFormat="1" ht="30" customHeight="1">
      <c r="A612" s="155"/>
      <c r="B612" s="155"/>
      <c r="C612" s="155"/>
      <c r="D612" s="155"/>
      <c r="E612" s="155"/>
      <c r="F612" s="155"/>
      <c r="G612" s="155"/>
      <c r="H612" s="155"/>
      <c r="I612" s="155"/>
      <c r="J612" s="155"/>
      <c r="K612" s="155"/>
      <c r="L612" s="155"/>
      <c r="M612" s="155"/>
      <c r="N612" s="155"/>
      <c r="O612" s="157"/>
      <c r="P612" s="92"/>
      <c r="Q612" s="145"/>
      <c r="R612" s="92"/>
      <c r="S612" s="145"/>
      <c r="T612" s="92"/>
      <c r="U612" s="145"/>
      <c r="V612" s="92"/>
      <c r="W612" s="145"/>
      <c r="X612" s="92"/>
      <c r="Y612" s="352"/>
      <c r="Z612" s="142" t="str">
        <f t="shared" si="31"/>
        <v/>
      </c>
      <c r="AA612" s="226" t="b">
        <f t="shared" si="32"/>
        <v>0</v>
      </c>
      <c r="AB612" s="9"/>
      <c r="AC612" s="162" t="s">
        <v>6</v>
      </c>
      <c r="AD612" s="150">
        <f t="shared" si="33"/>
        <v>0</v>
      </c>
      <c r="AE612" s="95" t="s">
        <v>64</v>
      </c>
    </row>
    <row r="613" spans="1:31" s="55" customFormat="1" ht="30" customHeight="1">
      <c r="A613" s="155"/>
      <c r="B613" s="155"/>
      <c r="C613" s="155"/>
      <c r="D613" s="155"/>
      <c r="E613" s="155"/>
      <c r="F613" s="155"/>
      <c r="G613" s="155"/>
      <c r="H613" s="155"/>
      <c r="I613" s="155"/>
      <c r="J613" s="155"/>
      <c r="K613" s="155"/>
      <c r="L613" s="155"/>
      <c r="M613" s="155"/>
      <c r="N613" s="155"/>
      <c r="O613" s="157"/>
      <c r="P613" s="92"/>
      <c r="Q613" s="145"/>
      <c r="R613" s="92"/>
      <c r="S613" s="145"/>
      <c r="T613" s="92"/>
      <c r="U613" s="145"/>
      <c r="V613" s="92"/>
      <c r="W613" s="145"/>
      <c r="X613" s="92"/>
      <c r="Y613" s="352"/>
      <c r="Z613" s="142" t="str">
        <f t="shared" si="31"/>
        <v/>
      </c>
      <c r="AA613" s="226" t="b">
        <f t="shared" si="32"/>
        <v>0</v>
      </c>
      <c r="AB613" s="9"/>
      <c r="AC613" s="162" t="s">
        <v>6</v>
      </c>
      <c r="AD613" s="150">
        <f t="shared" si="33"/>
        <v>0</v>
      </c>
      <c r="AE613" s="95" t="s">
        <v>64</v>
      </c>
    </row>
    <row r="614" spans="1:31" s="55" customFormat="1" ht="30" customHeight="1">
      <c r="A614" s="155"/>
      <c r="B614" s="155"/>
      <c r="C614" s="155"/>
      <c r="D614" s="155"/>
      <c r="E614" s="155"/>
      <c r="F614" s="155"/>
      <c r="G614" s="155"/>
      <c r="H614" s="155"/>
      <c r="I614" s="155"/>
      <c r="J614" s="155"/>
      <c r="K614" s="155"/>
      <c r="L614" s="155"/>
      <c r="M614" s="155"/>
      <c r="N614" s="155"/>
      <c r="O614" s="157"/>
      <c r="P614" s="92"/>
      <c r="Q614" s="145"/>
      <c r="R614" s="92"/>
      <c r="S614" s="145"/>
      <c r="T614" s="92"/>
      <c r="U614" s="145"/>
      <c r="V614" s="92"/>
      <c r="W614" s="145"/>
      <c r="X614" s="92"/>
      <c r="Y614" s="352"/>
      <c r="Z614" s="142" t="str">
        <f t="shared" si="31"/>
        <v/>
      </c>
      <c r="AA614" s="226" t="b">
        <f t="shared" si="32"/>
        <v>0</v>
      </c>
      <c r="AB614" s="9"/>
      <c r="AC614" s="162" t="s">
        <v>6</v>
      </c>
      <c r="AD614" s="150">
        <f t="shared" si="33"/>
        <v>0</v>
      </c>
      <c r="AE614" s="95" t="s">
        <v>64</v>
      </c>
    </row>
    <row r="615" spans="1:31" s="55" customFormat="1" ht="30" customHeight="1">
      <c r="A615" s="155"/>
      <c r="B615" s="155"/>
      <c r="C615" s="155"/>
      <c r="D615" s="155"/>
      <c r="E615" s="155"/>
      <c r="F615" s="155"/>
      <c r="G615" s="155"/>
      <c r="H615" s="155"/>
      <c r="I615" s="155"/>
      <c r="J615" s="155"/>
      <c r="K615" s="155"/>
      <c r="L615" s="155"/>
      <c r="M615" s="155"/>
      <c r="N615" s="155"/>
      <c r="O615" s="157"/>
      <c r="P615" s="92"/>
      <c r="Q615" s="145"/>
      <c r="R615" s="92"/>
      <c r="S615" s="145"/>
      <c r="T615" s="92"/>
      <c r="U615" s="145"/>
      <c r="V615" s="92"/>
      <c r="W615" s="145"/>
      <c r="X615" s="92"/>
      <c r="Y615" s="352"/>
      <c r="Z615" s="142" t="str">
        <f t="shared" si="31"/>
        <v/>
      </c>
      <c r="AA615" s="226" t="b">
        <f t="shared" si="32"/>
        <v>0</v>
      </c>
      <c r="AB615" s="9"/>
      <c r="AC615" s="162" t="s">
        <v>6</v>
      </c>
      <c r="AD615" s="150">
        <f t="shared" si="33"/>
        <v>0</v>
      </c>
      <c r="AE615" s="95" t="s">
        <v>64</v>
      </c>
    </row>
    <row r="616" spans="1:31" s="55" customFormat="1" ht="30" customHeight="1">
      <c r="A616" s="155"/>
      <c r="B616" s="155"/>
      <c r="C616" s="155"/>
      <c r="D616" s="155"/>
      <c r="E616" s="155"/>
      <c r="F616" s="155"/>
      <c r="G616" s="155"/>
      <c r="H616" s="155"/>
      <c r="I616" s="155"/>
      <c r="J616" s="155"/>
      <c r="K616" s="155"/>
      <c r="L616" s="155"/>
      <c r="M616" s="155"/>
      <c r="N616" s="155"/>
      <c r="O616" s="157"/>
      <c r="P616" s="92"/>
      <c r="Q616" s="145"/>
      <c r="R616" s="92"/>
      <c r="S616" s="145"/>
      <c r="T616" s="92"/>
      <c r="U616" s="145"/>
      <c r="V616" s="92"/>
      <c r="W616" s="145"/>
      <c r="X616" s="92"/>
      <c r="Y616" s="352"/>
      <c r="Z616" s="142" t="str">
        <f t="shared" si="31"/>
        <v/>
      </c>
      <c r="AA616" s="226" t="b">
        <f t="shared" si="32"/>
        <v>0</v>
      </c>
      <c r="AB616" s="9"/>
      <c r="AC616" s="162" t="s">
        <v>6</v>
      </c>
      <c r="AD616" s="150">
        <f t="shared" si="33"/>
        <v>0</v>
      </c>
      <c r="AE616" s="95" t="s">
        <v>64</v>
      </c>
    </row>
    <row r="617" spans="1:31" s="55" customFormat="1" ht="30" customHeight="1">
      <c r="A617" s="155"/>
      <c r="B617" s="155"/>
      <c r="C617" s="155"/>
      <c r="D617" s="155"/>
      <c r="E617" s="155"/>
      <c r="F617" s="155"/>
      <c r="G617" s="155"/>
      <c r="H617" s="155"/>
      <c r="I617" s="155"/>
      <c r="J617" s="155"/>
      <c r="K617" s="155"/>
      <c r="L617" s="155"/>
      <c r="M617" s="155"/>
      <c r="N617" s="155"/>
      <c r="O617" s="157"/>
      <c r="P617" s="92"/>
      <c r="Q617" s="145"/>
      <c r="R617" s="92"/>
      <c r="S617" s="145"/>
      <c r="T617" s="92"/>
      <c r="U617" s="145"/>
      <c r="V617" s="92"/>
      <c r="W617" s="145"/>
      <c r="X617" s="92"/>
      <c r="Y617" s="352"/>
      <c r="Z617" s="142" t="str">
        <f t="shared" si="31"/>
        <v/>
      </c>
      <c r="AA617" s="226" t="b">
        <f t="shared" si="32"/>
        <v>0</v>
      </c>
      <c r="AB617" s="9"/>
      <c r="AC617" s="162" t="s">
        <v>6</v>
      </c>
      <c r="AD617" s="150">
        <f t="shared" si="33"/>
        <v>0</v>
      </c>
      <c r="AE617" s="95" t="s">
        <v>64</v>
      </c>
    </row>
    <row r="618" spans="1:31" s="55" customFormat="1" ht="30" customHeight="1">
      <c r="A618" s="155"/>
      <c r="B618" s="155"/>
      <c r="C618" s="155"/>
      <c r="D618" s="155"/>
      <c r="E618" s="155"/>
      <c r="F618" s="155"/>
      <c r="G618" s="155"/>
      <c r="H618" s="155"/>
      <c r="I618" s="155"/>
      <c r="J618" s="155"/>
      <c r="K618" s="155"/>
      <c r="L618" s="155"/>
      <c r="M618" s="155"/>
      <c r="N618" s="155"/>
      <c r="O618" s="157"/>
      <c r="P618" s="92"/>
      <c r="Q618" s="145"/>
      <c r="R618" s="92"/>
      <c r="S618" s="145"/>
      <c r="T618" s="92"/>
      <c r="U618" s="145"/>
      <c r="V618" s="92"/>
      <c r="W618" s="145"/>
      <c r="X618" s="92"/>
      <c r="Y618" s="352"/>
      <c r="Z618" s="142" t="str">
        <f t="shared" si="31"/>
        <v/>
      </c>
      <c r="AA618" s="226" t="b">
        <f t="shared" si="32"/>
        <v>0</v>
      </c>
      <c r="AB618" s="9"/>
      <c r="AC618" s="162" t="s">
        <v>6</v>
      </c>
      <c r="AD618" s="150">
        <f t="shared" si="33"/>
        <v>0</v>
      </c>
      <c r="AE618" s="95" t="s">
        <v>64</v>
      </c>
    </row>
    <row r="619" spans="1:31" s="55" customFormat="1" ht="30" customHeight="1">
      <c r="A619" s="155"/>
      <c r="B619" s="155"/>
      <c r="C619" s="155"/>
      <c r="D619" s="155"/>
      <c r="E619" s="155"/>
      <c r="F619" s="155"/>
      <c r="G619" s="155"/>
      <c r="H619" s="155"/>
      <c r="I619" s="155"/>
      <c r="J619" s="155"/>
      <c r="K619" s="155"/>
      <c r="L619" s="155"/>
      <c r="M619" s="155"/>
      <c r="N619" s="155"/>
      <c r="O619" s="157"/>
      <c r="P619" s="92"/>
      <c r="Q619" s="145"/>
      <c r="R619" s="92"/>
      <c r="S619" s="145"/>
      <c r="T619" s="92"/>
      <c r="U619" s="145"/>
      <c r="V619" s="92"/>
      <c r="W619" s="145"/>
      <c r="X619" s="92"/>
      <c r="Y619" s="352"/>
      <c r="Z619" s="142" t="str">
        <f t="shared" si="31"/>
        <v/>
      </c>
      <c r="AA619" s="226" t="b">
        <f t="shared" si="32"/>
        <v>0</v>
      </c>
      <c r="AB619" s="9"/>
      <c r="AC619" s="162" t="s">
        <v>6</v>
      </c>
      <c r="AD619" s="150">
        <f t="shared" ref="AD619:AD682" si="34">E619</f>
        <v>0</v>
      </c>
      <c r="AE619" s="95" t="s">
        <v>64</v>
      </c>
    </row>
    <row r="620" spans="1:31" s="55" customFormat="1" ht="30" customHeight="1">
      <c r="A620" s="155"/>
      <c r="B620" s="155"/>
      <c r="C620" s="155"/>
      <c r="D620" s="155"/>
      <c r="E620" s="155"/>
      <c r="F620" s="155"/>
      <c r="G620" s="155"/>
      <c r="H620" s="155"/>
      <c r="I620" s="155"/>
      <c r="J620" s="155"/>
      <c r="K620" s="155"/>
      <c r="L620" s="155"/>
      <c r="M620" s="155"/>
      <c r="N620" s="155"/>
      <c r="O620" s="157"/>
      <c r="P620" s="92"/>
      <c r="Q620" s="145"/>
      <c r="R620" s="92"/>
      <c r="S620" s="145"/>
      <c r="T620" s="92"/>
      <c r="U620" s="145"/>
      <c r="V620" s="92"/>
      <c r="W620" s="145"/>
      <c r="X620" s="92"/>
      <c r="Y620" s="352"/>
      <c r="Z620" s="142" t="str">
        <f t="shared" si="31"/>
        <v/>
      </c>
      <c r="AA620" s="226" t="b">
        <f t="shared" si="32"/>
        <v>0</v>
      </c>
      <c r="AB620" s="9"/>
      <c r="AC620" s="162" t="s">
        <v>6</v>
      </c>
      <c r="AD620" s="150">
        <f t="shared" si="34"/>
        <v>0</v>
      </c>
      <c r="AE620" s="95" t="s">
        <v>64</v>
      </c>
    </row>
    <row r="621" spans="1:31" s="55" customFormat="1" ht="30" customHeight="1">
      <c r="A621" s="155"/>
      <c r="B621" s="155"/>
      <c r="C621" s="155"/>
      <c r="D621" s="155"/>
      <c r="E621" s="155"/>
      <c r="F621" s="155"/>
      <c r="G621" s="155"/>
      <c r="H621" s="155"/>
      <c r="I621" s="155"/>
      <c r="J621" s="155"/>
      <c r="K621" s="155"/>
      <c r="L621" s="155"/>
      <c r="M621" s="155"/>
      <c r="N621" s="155"/>
      <c r="O621" s="157"/>
      <c r="P621" s="92"/>
      <c r="Q621" s="145"/>
      <c r="R621" s="92"/>
      <c r="S621" s="145"/>
      <c r="T621" s="92"/>
      <c r="U621" s="145"/>
      <c r="V621" s="92"/>
      <c r="W621" s="145"/>
      <c r="X621" s="92"/>
      <c r="Y621" s="352"/>
      <c r="Z621" s="142" t="str">
        <f t="shared" si="31"/>
        <v/>
      </c>
      <c r="AA621" s="226" t="b">
        <f t="shared" si="32"/>
        <v>0</v>
      </c>
      <c r="AB621" s="9"/>
      <c r="AC621" s="162" t="s">
        <v>6</v>
      </c>
      <c r="AD621" s="150">
        <f t="shared" si="34"/>
        <v>0</v>
      </c>
      <c r="AE621" s="95" t="s">
        <v>64</v>
      </c>
    </row>
    <row r="622" spans="1:31" s="55" customFormat="1" ht="30" customHeight="1">
      <c r="A622" s="155"/>
      <c r="B622" s="155"/>
      <c r="C622" s="155"/>
      <c r="D622" s="155"/>
      <c r="E622" s="155"/>
      <c r="F622" s="155"/>
      <c r="G622" s="155"/>
      <c r="H622" s="155"/>
      <c r="I622" s="155"/>
      <c r="J622" s="155"/>
      <c r="K622" s="155"/>
      <c r="L622" s="155"/>
      <c r="M622" s="155"/>
      <c r="N622" s="155"/>
      <c r="O622" s="157"/>
      <c r="P622" s="92"/>
      <c r="Q622" s="145"/>
      <c r="R622" s="92"/>
      <c r="S622" s="145"/>
      <c r="T622" s="92"/>
      <c r="U622" s="145"/>
      <c r="V622" s="92"/>
      <c r="W622" s="145"/>
      <c r="X622" s="92"/>
      <c r="Y622" s="352"/>
      <c r="Z622" s="142" t="str">
        <f t="shared" si="31"/>
        <v/>
      </c>
      <c r="AA622" s="226" t="b">
        <f t="shared" si="32"/>
        <v>0</v>
      </c>
      <c r="AB622" s="9"/>
      <c r="AC622" s="162" t="s">
        <v>6</v>
      </c>
      <c r="AD622" s="150">
        <f t="shared" si="34"/>
        <v>0</v>
      </c>
      <c r="AE622" s="95" t="s">
        <v>64</v>
      </c>
    </row>
    <row r="623" spans="1:31" s="55" customFormat="1" ht="30" customHeight="1">
      <c r="A623" s="155"/>
      <c r="B623" s="155"/>
      <c r="C623" s="155"/>
      <c r="D623" s="155"/>
      <c r="E623" s="155"/>
      <c r="F623" s="155"/>
      <c r="G623" s="155"/>
      <c r="H623" s="155"/>
      <c r="I623" s="155"/>
      <c r="J623" s="155"/>
      <c r="K623" s="155"/>
      <c r="L623" s="155"/>
      <c r="M623" s="155"/>
      <c r="N623" s="155"/>
      <c r="O623" s="157"/>
      <c r="P623" s="92"/>
      <c r="Q623" s="145"/>
      <c r="R623" s="92"/>
      <c r="S623" s="145"/>
      <c r="T623" s="92"/>
      <c r="U623" s="145"/>
      <c r="V623" s="92"/>
      <c r="W623" s="145"/>
      <c r="X623" s="92"/>
      <c r="Y623" s="352"/>
      <c r="Z623" s="142" t="str">
        <f t="shared" si="31"/>
        <v/>
      </c>
      <c r="AA623" s="226" t="b">
        <f t="shared" si="32"/>
        <v>0</v>
      </c>
      <c r="AB623" s="9"/>
      <c r="AC623" s="162" t="s">
        <v>6</v>
      </c>
      <c r="AD623" s="150">
        <f t="shared" si="34"/>
        <v>0</v>
      </c>
      <c r="AE623" s="95" t="s">
        <v>64</v>
      </c>
    </row>
    <row r="624" spans="1:31" s="55" customFormat="1" ht="30" customHeight="1">
      <c r="A624" s="155"/>
      <c r="B624" s="155"/>
      <c r="C624" s="155"/>
      <c r="D624" s="155"/>
      <c r="E624" s="155"/>
      <c r="F624" s="155"/>
      <c r="G624" s="155"/>
      <c r="H624" s="155"/>
      <c r="I624" s="155"/>
      <c r="J624" s="155"/>
      <c r="K624" s="155"/>
      <c r="L624" s="155"/>
      <c r="M624" s="155"/>
      <c r="N624" s="155"/>
      <c r="O624" s="157"/>
      <c r="P624" s="92"/>
      <c r="Q624" s="145"/>
      <c r="R624" s="92"/>
      <c r="S624" s="145"/>
      <c r="T624" s="92"/>
      <c r="U624" s="145"/>
      <c r="V624" s="92"/>
      <c r="W624" s="145"/>
      <c r="X624" s="92"/>
      <c r="Y624" s="352"/>
      <c r="Z624" s="142" t="str">
        <f t="shared" si="31"/>
        <v/>
      </c>
      <c r="AA624" s="226" t="b">
        <f t="shared" si="32"/>
        <v>0</v>
      </c>
      <c r="AB624" s="9"/>
      <c r="AC624" s="162" t="s">
        <v>6</v>
      </c>
      <c r="AD624" s="150">
        <f t="shared" si="34"/>
        <v>0</v>
      </c>
      <c r="AE624" s="95" t="s">
        <v>64</v>
      </c>
    </row>
    <row r="625" spans="1:31" s="55" customFormat="1" ht="30" customHeight="1">
      <c r="A625" s="155"/>
      <c r="B625" s="155"/>
      <c r="C625" s="155"/>
      <c r="D625" s="155"/>
      <c r="E625" s="155"/>
      <c r="F625" s="155"/>
      <c r="G625" s="155"/>
      <c r="H625" s="155"/>
      <c r="I625" s="155"/>
      <c r="J625" s="155"/>
      <c r="K625" s="155"/>
      <c r="L625" s="155"/>
      <c r="M625" s="155"/>
      <c r="N625" s="155"/>
      <c r="O625" s="157"/>
      <c r="P625" s="92"/>
      <c r="Q625" s="145"/>
      <c r="R625" s="92"/>
      <c r="S625" s="145"/>
      <c r="T625" s="92"/>
      <c r="U625" s="145"/>
      <c r="V625" s="92"/>
      <c r="W625" s="145"/>
      <c r="X625" s="92"/>
      <c r="Y625" s="352"/>
      <c r="Z625" s="142" t="str">
        <f t="shared" si="31"/>
        <v/>
      </c>
      <c r="AA625" s="226" t="b">
        <f t="shared" si="32"/>
        <v>0</v>
      </c>
      <c r="AB625" s="9"/>
      <c r="AC625" s="162" t="s">
        <v>6</v>
      </c>
      <c r="AD625" s="150">
        <f t="shared" si="34"/>
        <v>0</v>
      </c>
      <c r="AE625" s="95" t="s">
        <v>64</v>
      </c>
    </row>
    <row r="626" spans="1:31" s="55" customFormat="1" ht="30" customHeight="1">
      <c r="A626" s="155"/>
      <c r="B626" s="155"/>
      <c r="C626" s="155"/>
      <c r="D626" s="155"/>
      <c r="E626" s="155"/>
      <c r="F626" s="155"/>
      <c r="G626" s="155"/>
      <c r="H626" s="155"/>
      <c r="I626" s="155"/>
      <c r="J626" s="155"/>
      <c r="K626" s="155"/>
      <c r="L626" s="155"/>
      <c r="M626" s="155"/>
      <c r="N626" s="155"/>
      <c r="O626" s="157"/>
      <c r="P626" s="92"/>
      <c r="Q626" s="145"/>
      <c r="R626" s="92"/>
      <c r="S626" s="145"/>
      <c r="T626" s="92"/>
      <c r="U626" s="145"/>
      <c r="V626" s="92"/>
      <c r="W626" s="145"/>
      <c r="X626" s="92"/>
      <c r="Y626" s="352"/>
      <c r="Z626" s="142" t="str">
        <f t="shared" si="31"/>
        <v/>
      </c>
      <c r="AA626" s="226" t="b">
        <f t="shared" si="32"/>
        <v>0</v>
      </c>
      <c r="AB626" s="9"/>
      <c r="AC626" s="162" t="s">
        <v>6</v>
      </c>
      <c r="AD626" s="150">
        <f t="shared" si="34"/>
        <v>0</v>
      </c>
      <c r="AE626" s="95" t="s">
        <v>64</v>
      </c>
    </row>
    <row r="627" spans="1:31" s="55" customFormat="1" ht="30" customHeight="1">
      <c r="A627" s="155"/>
      <c r="B627" s="155"/>
      <c r="C627" s="155"/>
      <c r="D627" s="155"/>
      <c r="E627" s="155"/>
      <c r="F627" s="155"/>
      <c r="G627" s="155"/>
      <c r="H627" s="155"/>
      <c r="I627" s="155"/>
      <c r="J627" s="155"/>
      <c r="K627" s="155"/>
      <c r="L627" s="155"/>
      <c r="M627" s="155"/>
      <c r="N627" s="155"/>
      <c r="O627" s="157"/>
      <c r="P627" s="92"/>
      <c r="Q627" s="145"/>
      <c r="R627" s="92"/>
      <c r="S627" s="145"/>
      <c r="T627" s="92"/>
      <c r="U627" s="145"/>
      <c r="V627" s="92"/>
      <c r="W627" s="145"/>
      <c r="X627" s="92"/>
      <c r="Y627" s="352"/>
      <c r="Z627" s="142" t="str">
        <f t="shared" si="31"/>
        <v/>
      </c>
      <c r="AA627" s="226" t="b">
        <f t="shared" si="32"/>
        <v>0</v>
      </c>
      <c r="AB627" s="9"/>
      <c r="AC627" s="162" t="s">
        <v>6</v>
      </c>
      <c r="AD627" s="150">
        <f t="shared" si="34"/>
        <v>0</v>
      </c>
      <c r="AE627" s="95" t="s">
        <v>64</v>
      </c>
    </row>
    <row r="628" spans="1:31" s="55" customFormat="1" ht="30" customHeight="1">
      <c r="A628" s="155"/>
      <c r="B628" s="155"/>
      <c r="C628" s="155"/>
      <c r="D628" s="155"/>
      <c r="E628" s="155"/>
      <c r="F628" s="155"/>
      <c r="G628" s="155"/>
      <c r="H628" s="155"/>
      <c r="I628" s="155"/>
      <c r="J628" s="155"/>
      <c r="K628" s="155"/>
      <c r="L628" s="155"/>
      <c r="M628" s="155"/>
      <c r="N628" s="155"/>
      <c r="O628" s="157"/>
      <c r="P628" s="92"/>
      <c r="Q628" s="145"/>
      <c r="R628" s="92"/>
      <c r="S628" s="145"/>
      <c r="T628" s="92"/>
      <c r="U628" s="145"/>
      <c r="V628" s="92"/>
      <c r="W628" s="145"/>
      <c r="X628" s="92"/>
      <c r="Y628" s="352"/>
      <c r="Z628" s="142" t="str">
        <f t="shared" si="31"/>
        <v/>
      </c>
      <c r="AA628" s="226" t="b">
        <f t="shared" si="32"/>
        <v>0</v>
      </c>
      <c r="AB628" s="9"/>
      <c r="AC628" s="162" t="s">
        <v>6</v>
      </c>
      <c r="AD628" s="150">
        <f t="shared" si="34"/>
        <v>0</v>
      </c>
      <c r="AE628" s="95" t="s">
        <v>64</v>
      </c>
    </row>
    <row r="629" spans="1:31" s="55" customFormat="1" ht="30" customHeight="1">
      <c r="A629" s="155"/>
      <c r="B629" s="155"/>
      <c r="C629" s="155"/>
      <c r="D629" s="155"/>
      <c r="E629" s="155"/>
      <c r="F629" s="155"/>
      <c r="G629" s="155"/>
      <c r="H629" s="155"/>
      <c r="I629" s="155"/>
      <c r="J629" s="155"/>
      <c r="K629" s="155"/>
      <c r="L629" s="155"/>
      <c r="M629" s="155"/>
      <c r="N629" s="155"/>
      <c r="O629" s="157"/>
      <c r="P629" s="92"/>
      <c r="Q629" s="145"/>
      <c r="R629" s="92"/>
      <c r="S629" s="145"/>
      <c r="T629" s="92"/>
      <c r="U629" s="145"/>
      <c r="V629" s="92"/>
      <c r="W629" s="145"/>
      <c r="X629" s="92"/>
      <c r="Y629" s="352"/>
      <c r="Z629" s="142" t="str">
        <f t="shared" si="31"/>
        <v/>
      </c>
      <c r="AA629" s="226" t="b">
        <f t="shared" si="32"/>
        <v>0</v>
      </c>
      <c r="AB629" s="9"/>
      <c r="AC629" s="162" t="s">
        <v>6</v>
      </c>
      <c r="AD629" s="150">
        <f t="shared" si="34"/>
        <v>0</v>
      </c>
      <c r="AE629" s="95" t="s">
        <v>64</v>
      </c>
    </row>
    <row r="630" spans="1:31" s="55" customFormat="1" ht="30" customHeight="1">
      <c r="A630" s="155"/>
      <c r="B630" s="155"/>
      <c r="C630" s="155"/>
      <c r="D630" s="155"/>
      <c r="E630" s="155"/>
      <c r="F630" s="155"/>
      <c r="G630" s="155"/>
      <c r="H630" s="155"/>
      <c r="I630" s="155"/>
      <c r="J630" s="155"/>
      <c r="K630" s="155"/>
      <c r="L630" s="155"/>
      <c r="M630" s="155"/>
      <c r="N630" s="155"/>
      <c r="O630" s="157"/>
      <c r="P630" s="92"/>
      <c r="Q630" s="145"/>
      <c r="R630" s="92"/>
      <c r="S630" s="145"/>
      <c r="T630" s="92"/>
      <c r="U630" s="145"/>
      <c r="V630" s="92"/>
      <c r="W630" s="145"/>
      <c r="X630" s="92"/>
      <c r="Y630" s="352"/>
      <c r="Z630" s="142" t="str">
        <f t="shared" si="31"/>
        <v/>
      </c>
      <c r="AA630" s="226" t="b">
        <f t="shared" si="32"/>
        <v>0</v>
      </c>
      <c r="AB630" s="9"/>
      <c r="AC630" s="162" t="s">
        <v>6</v>
      </c>
      <c r="AD630" s="150">
        <f t="shared" si="34"/>
        <v>0</v>
      </c>
      <c r="AE630" s="95" t="s">
        <v>64</v>
      </c>
    </row>
    <row r="631" spans="1:31" s="55" customFormat="1" ht="30" customHeight="1">
      <c r="A631" s="155"/>
      <c r="B631" s="155"/>
      <c r="C631" s="155"/>
      <c r="D631" s="155"/>
      <c r="E631" s="155"/>
      <c r="F631" s="155"/>
      <c r="G631" s="155"/>
      <c r="H631" s="155"/>
      <c r="I631" s="155"/>
      <c r="J631" s="155"/>
      <c r="K631" s="155"/>
      <c r="L631" s="155"/>
      <c r="M631" s="155"/>
      <c r="N631" s="155"/>
      <c r="O631" s="157"/>
      <c r="P631" s="92"/>
      <c r="Q631" s="145"/>
      <c r="R631" s="92"/>
      <c r="S631" s="145"/>
      <c r="T631" s="92"/>
      <c r="U631" s="145"/>
      <c r="V631" s="92"/>
      <c r="W631" s="145"/>
      <c r="X631" s="92"/>
      <c r="Y631" s="352"/>
      <c r="Z631" s="142" t="str">
        <f t="shared" si="31"/>
        <v/>
      </c>
      <c r="AA631" s="226" t="b">
        <f t="shared" si="32"/>
        <v>0</v>
      </c>
      <c r="AB631" s="9"/>
      <c r="AC631" s="162" t="s">
        <v>6</v>
      </c>
      <c r="AD631" s="150">
        <f t="shared" si="34"/>
        <v>0</v>
      </c>
      <c r="AE631" s="95" t="s">
        <v>64</v>
      </c>
    </row>
    <row r="632" spans="1:31" s="55" customFormat="1" ht="30" customHeight="1">
      <c r="A632" s="155"/>
      <c r="B632" s="155"/>
      <c r="C632" s="155"/>
      <c r="D632" s="155"/>
      <c r="E632" s="155"/>
      <c r="F632" s="155"/>
      <c r="G632" s="155"/>
      <c r="H632" s="155"/>
      <c r="I632" s="155"/>
      <c r="J632" s="155"/>
      <c r="K632" s="155"/>
      <c r="L632" s="155"/>
      <c r="M632" s="155"/>
      <c r="N632" s="155"/>
      <c r="O632" s="157"/>
      <c r="P632" s="92"/>
      <c r="Q632" s="145"/>
      <c r="R632" s="92"/>
      <c r="S632" s="145"/>
      <c r="T632" s="92"/>
      <c r="U632" s="145"/>
      <c r="V632" s="92"/>
      <c r="W632" s="145"/>
      <c r="X632" s="92"/>
      <c r="Y632" s="352"/>
      <c r="Z632" s="142" t="str">
        <f t="shared" si="31"/>
        <v/>
      </c>
      <c r="AA632" s="226" t="b">
        <f t="shared" si="32"/>
        <v>0</v>
      </c>
      <c r="AB632" s="9"/>
      <c r="AC632" s="162" t="s">
        <v>6</v>
      </c>
      <c r="AD632" s="150">
        <f t="shared" si="34"/>
        <v>0</v>
      </c>
      <c r="AE632" s="95" t="s">
        <v>64</v>
      </c>
    </row>
    <row r="633" spans="1:31" s="55" customFormat="1" ht="30" customHeight="1">
      <c r="A633" s="155"/>
      <c r="B633" s="155"/>
      <c r="C633" s="155"/>
      <c r="D633" s="155"/>
      <c r="E633" s="155"/>
      <c r="F633" s="155"/>
      <c r="G633" s="155"/>
      <c r="H633" s="155"/>
      <c r="I633" s="155"/>
      <c r="J633" s="155"/>
      <c r="K633" s="155"/>
      <c r="L633" s="155"/>
      <c r="M633" s="155"/>
      <c r="N633" s="155"/>
      <c r="O633" s="157"/>
      <c r="P633" s="92"/>
      <c r="Q633" s="145"/>
      <c r="R633" s="92"/>
      <c r="S633" s="145"/>
      <c r="T633" s="92"/>
      <c r="U633" s="145"/>
      <c r="V633" s="92"/>
      <c r="W633" s="145"/>
      <c r="X633" s="92"/>
      <c r="Y633" s="352"/>
      <c r="Z633" s="142" t="str">
        <f t="shared" si="31"/>
        <v/>
      </c>
      <c r="AA633" s="226" t="b">
        <f t="shared" si="32"/>
        <v>0</v>
      </c>
      <c r="AB633" s="9"/>
      <c r="AC633" s="162" t="s">
        <v>6</v>
      </c>
      <c r="AD633" s="150">
        <f t="shared" si="34"/>
        <v>0</v>
      </c>
      <c r="AE633" s="95" t="s">
        <v>64</v>
      </c>
    </row>
    <row r="634" spans="1:31" s="55" customFormat="1" ht="30" customHeight="1">
      <c r="A634" s="155"/>
      <c r="B634" s="155"/>
      <c r="C634" s="155"/>
      <c r="D634" s="155"/>
      <c r="E634" s="155"/>
      <c r="F634" s="155"/>
      <c r="G634" s="155"/>
      <c r="H634" s="155"/>
      <c r="I634" s="155"/>
      <c r="J634" s="155"/>
      <c r="K634" s="155"/>
      <c r="L634" s="155"/>
      <c r="M634" s="155"/>
      <c r="N634" s="155"/>
      <c r="O634" s="157"/>
      <c r="P634" s="92"/>
      <c r="Q634" s="145"/>
      <c r="R634" s="92"/>
      <c r="S634" s="145"/>
      <c r="T634" s="92"/>
      <c r="U634" s="145"/>
      <c r="V634" s="92"/>
      <c r="W634" s="145"/>
      <c r="X634" s="92"/>
      <c r="Y634" s="352"/>
      <c r="Z634" s="142" t="str">
        <f t="shared" ref="Z634:Z697" si="35">IF(AND(O634="",Q634="",S634="",U634="",W634=""),"",IF(OR(AND(O634&lt;&gt;"NA",O634&lt;&gt;"C",O634&lt;&gt;"NC",O634&lt;&gt;"SF",O634&lt;&gt;""),AND(Q634&lt;&gt;"NA",Q634&lt;&gt;"C",Q634&lt;&gt;"NC",Q634&lt;&gt;"SF",Q634&lt;&gt;""),AND(S634&lt;&gt;"NA",S634&lt;&gt;"C",S634&lt;&gt;"NC",S634&lt;&gt;"SF",S634&lt;&gt;""),AND(U634&lt;&gt;"NA",U634&lt;&gt;"C",U634&lt;&gt;"NC",U634&lt;&gt;"SF",U634&lt;&gt;""),AND(W634&lt;&gt;"NA",W634&lt;&gt;"C",W634&lt;&gt;"NC",W634&lt;&gt;"SF",W634&lt;&gt;"")),"FALSO",IF(AND(O634="NA",Q634="NA",S634="NA",U634="NA",W634="NA"),"NA",IF(OR(O634="NC",Q634="NC",S634="NC",U634="NC",W634="NC",O634="SF",Q634="SF",S634="SF",U634="SF",W634="SF"),"NC",IF(OR(O634="C",Q634="C",S634="C",U634="C",W634="C"),"C","")))))</f>
        <v/>
      </c>
      <c r="AA634" s="226" t="b">
        <f t="shared" ref="AA634:AA697" si="36">IF(AND(Y634="C",Z634="C"),"UTILIZOU O PDA CORRETAMENTE",IF(AND(Y634="C",Z634="NC"),"UTILIZOU O PDA CORRETAMENTE. NÃO HÁ FOTOS DE TODAS AS ETAPAS",IF(AND(Y634="NC",Z634="NC"),"NÃO UTILIZOU O PDA",IF(AND(Y634="NA",Z634="NA"),"NÃO AVALIADO POR FALHA DE SINCRONISMO"))))</f>
        <v>0</v>
      </c>
      <c r="AB634" s="9"/>
      <c r="AC634" s="162" t="s">
        <v>6</v>
      </c>
      <c r="AD634" s="150">
        <f t="shared" si="34"/>
        <v>0</v>
      </c>
      <c r="AE634" s="95" t="s">
        <v>64</v>
      </c>
    </row>
    <row r="635" spans="1:31" s="55" customFormat="1" ht="30" customHeight="1">
      <c r="A635" s="155"/>
      <c r="B635" s="155"/>
      <c r="C635" s="155"/>
      <c r="D635" s="155"/>
      <c r="E635" s="155"/>
      <c r="F635" s="155"/>
      <c r="G635" s="155"/>
      <c r="H635" s="155"/>
      <c r="I635" s="155"/>
      <c r="J635" s="155"/>
      <c r="K635" s="155"/>
      <c r="L635" s="155"/>
      <c r="M635" s="155"/>
      <c r="N635" s="155"/>
      <c r="O635" s="157"/>
      <c r="P635" s="92"/>
      <c r="Q635" s="145"/>
      <c r="R635" s="92"/>
      <c r="S635" s="145"/>
      <c r="T635" s="92"/>
      <c r="U635" s="145"/>
      <c r="V635" s="92"/>
      <c r="W635" s="145"/>
      <c r="X635" s="92"/>
      <c r="Y635" s="352"/>
      <c r="Z635" s="142" t="str">
        <f t="shared" si="35"/>
        <v/>
      </c>
      <c r="AA635" s="226" t="b">
        <f t="shared" si="36"/>
        <v>0</v>
      </c>
      <c r="AB635" s="9"/>
      <c r="AC635" s="162" t="s">
        <v>6</v>
      </c>
      <c r="AD635" s="150">
        <f t="shared" si="34"/>
        <v>0</v>
      </c>
      <c r="AE635" s="95" t="s">
        <v>64</v>
      </c>
    </row>
    <row r="636" spans="1:31" s="55" customFormat="1" ht="30" customHeight="1">
      <c r="A636" s="155"/>
      <c r="B636" s="155"/>
      <c r="C636" s="155"/>
      <c r="D636" s="155"/>
      <c r="E636" s="155"/>
      <c r="F636" s="155"/>
      <c r="G636" s="155"/>
      <c r="H636" s="155"/>
      <c r="I636" s="155"/>
      <c r="J636" s="155"/>
      <c r="K636" s="155"/>
      <c r="L636" s="155"/>
      <c r="M636" s="155"/>
      <c r="N636" s="155"/>
      <c r="O636" s="157"/>
      <c r="P636" s="92"/>
      <c r="Q636" s="145"/>
      <c r="R636" s="92"/>
      <c r="S636" s="145"/>
      <c r="T636" s="92"/>
      <c r="U636" s="145"/>
      <c r="V636" s="92"/>
      <c r="W636" s="145"/>
      <c r="X636" s="92"/>
      <c r="Y636" s="352"/>
      <c r="Z636" s="142" t="str">
        <f t="shared" si="35"/>
        <v/>
      </c>
      <c r="AA636" s="226" t="b">
        <f t="shared" si="36"/>
        <v>0</v>
      </c>
      <c r="AB636" s="9"/>
      <c r="AC636" s="162" t="s">
        <v>6</v>
      </c>
      <c r="AD636" s="150">
        <f t="shared" si="34"/>
        <v>0</v>
      </c>
      <c r="AE636" s="95" t="s">
        <v>64</v>
      </c>
    </row>
    <row r="637" spans="1:31" s="55" customFormat="1" ht="30" customHeight="1">
      <c r="A637" s="155"/>
      <c r="B637" s="155"/>
      <c r="C637" s="155"/>
      <c r="D637" s="155"/>
      <c r="E637" s="155"/>
      <c r="F637" s="155"/>
      <c r="G637" s="155"/>
      <c r="H637" s="155"/>
      <c r="I637" s="155"/>
      <c r="J637" s="155"/>
      <c r="K637" s="155"/>
      <c r="L637" s="155"/>
      <c r="M637" s="155"/>
      <c r="N637" s="155"/>
      <c r="O637" s="157"/>
      <c r="P637" s="92"/>
      <c r="Q637" s="145"/>
      <c r="R637" s="92"/>
      <c r="S637" s="145"/>
      <c r="T637" s="92"/>
      <c r="U637" s="145"/>
      <c r="V637" s="92"/>
      <c r="W637" s="145"/>
      <c r="X637" s="92"/>
      <c r="Y637" s="352"/>
      <c r="Z637" s="142" t="str">
        <f t="shared" si="35"/>
        <v/>
      </c>
      <c r="AA637" s="226" t="b">
        <f t="shared" si="36"/>
        <v>0</v>
      </c>
      <c r="AB637" s="9"/>
      <c r="AC637" s="162" t="s">
        <v>6</v>
      </c>
      <c r="AD637" s="150">
        <f t="shared" si="34"/>
        <v>0</v>
      </c>
      <c r="AE637" s="95" t="s">
        <v>64</v>
      </c>
    </row>
    <row r="638" spans="1:31" s="55" customFormat="1" ht="30" customHeight="1">
      <c r="A638" s="155"/>
      <c r="B638" s="155"/>
      <c r="C638" s="155"/>
      <c r="D638" s="155"/>
      <c r="E638" s="155"/>
      <c r="F638" s="155"/>
      <c r="G638" s="155"/>
      <c r="H638" s="155"/>
      <c r="I638" s="155"/>
      <c r="J638" s="155"/>
      <c r="K638" s="155"/>
      <c r="L638" s="155"/>
      <c r="M638" s="155"/>
      <c r="N638" s="155"/>
      <c r="O638" s="157"/>
      <c r="P638" s="92"/>
      <c r="Q638" s="145"/>
      <c r="R638" s="92"/>
      <c r="S638" s="145"/>
      <c r="T638" s="92"/>
      <c r="U638" s="145"/>
      <c r="V638" s="92"/>
      <c r="W638" s="145"/>
      <c r="X638" s="92"/>
      <c r="Y638" s="352"/>
      <c r="Z638" s="142" t="str">
        <f t="shared" si="35"/>
        <v/>
      </c>
      <c r="AA638" s="226" t="b">
        <f t="shared" si="36"/>
        <v>0</v>
      </c>
      <c r="AB638" s="9"/>
      <c r="AC638" s="162" t="s">
        <v>6</v>
      </c>
      <c r="AD638" s="150">
        <f t="shared" si="34"/>
        <v>0</v>
      </c>
      <c r="AE638" s="95" t="s">
        <v>64</v>
      </c>
    </row>
    <row r="639" spans="1:31" s="55" customFormat="1" ht="30" customHeight="1">
      <c r="A639" s="155"/>
      <c r="B639" s="155"/>
      <c r="C639" s="155"/>
      <c r="D639" s="155"/>
      <c r="E639" s="155"/>
      <c r="F639" s="155"/>
      <c r="G639" s="155"/>
      <c r="H639" s="155"/>
      <c r="I639" s="155"/>
      <c r="J639" s="155"/>
      <c r="K639" s="155"/>
      <c r="L639" s="155"/>
      <c r="M639" s="155"/>
      <c r="N639" s="155"/>
      <c r="O639" s="157"/>
      <c r="P639" s="92"/>
      <c r="Q639" s="145"/>
      <c r="R639" s="92"/>
      <c r="S639" s="145"/>
      <c r="T639" s="92"/>
      <c r="U639" s="145"/>
      <c r="V639" s="92"/>
      <c r="W639" s="145"/>
      <c r="X639" s="92"/>
      <c r="Y639" s="352"/>
      <c r="Z639" s="142" t="str">
        <f t="shared" si="35"/>
        <v/>
      </c>
      <c r="AA639" s="226" t="b">
        <f t="shared" si="36"/>
        <v>0</v>
      </c>
      <c r="AB639" s="9"/>
      <c r="AC639" s="162" t="s">
        <v>6</v>
      </c>
      <c r="AD639" s="150">
        <f t="shared" si="34"/>
        <v>0</v>
      </c>
      <c r="AE639" s="95" t="s">
        <v>64</v>
      </c>
    </row>
    <row r="640" spans="1:31" s="55" customFormat="1" ht="30" customHeight="1">
      <c r="A640" s="155"/>
      <c r="B640" s="155"/>
      <c r="C640" s="155"/>
      <c r="D640" s="155"/>
      <c r="E640" s="155"/>
      <c r="F640" s="155"/>
      <c r="G640" s="155"/>
      <c r="H640" s="155"/>
      <c r="I640" s="155"/>
      <c r="J640" s="155"/>
      <c r="K640" s="155"/>
      <c r="L640" s="155"/>
      <c r="M640" s="155"/>
      <c r="N640" s="155"/>
      <c r="O640" s="157"/>
      <c r="P640" s="92"/>
      <c r="Q640" s="145"/>
      <c r="R640" s="92"/>
      <c r="S640" s="145"/>
      <c r="T640" s="92"/>
      <c r="U640" s="145"/>
      <c r="V640" s="92"/>
      <c r="W640" s="145"/>
      <c r="X640" s="92"/>
      <c r="Y640" s="352"/>
      <c r="Z640" s="142" t="str">
        <f t="shared" si="35"/>
        <v/>
      </c>
      <c r="AA640" s="226" t="b">
        <f t="shared" si="36"/>
        <v>0</v>
      </c>
      <c r="AB640" s="9"/>
      <c r="AC640" s="162" t="s">
        <v>6</v>
      </c>
      <c r="AD640" s="150">
        <f t="shared" si="34"/>
        <v>0</v>
      </c>
      <c r="AE640" s="95" t="s">
        <v>64</v>
      </c>
    </row>
    <row r="641" spans="1:31" s="55" customFormat="1" ht="30" customHeight="1">
      <c r="A641" s="155"/>
      <c r="B641" s="155"/>
      <c r="C641" s="155"/>
      <c r="D641" s="155"/>
      <c r="E641" s="155"/>
      <c r="F641" s="155"/>
      <c r="G641" s="155"/>
      <c r="H641" s="155"/>
      <c r="I641" s="155"/>
      <c r="J641" s="155"/>
      <c r="K641" s="155"/>
      <c r="L641" s="155"/>
      <c r="M641" s="155"/>
      <c r="N641" s="155"/>
      <c r="O641" s="157"/>
      <c r="P641" s="92"/>
      <c r="Q641" s="145"/>
      <c r="R641" s="92"/>
      <c r="S641" s="145"/>
      <c r="T641" s="92"/>
      <c r="U641" s="145"/>
      <c r="V641" s="92"/>
      <c r="W641" s="145"/>
      <c r="X641" s="92"/>
      <c r="Y641" s="352"/>
      <c r="Z641" s="142" t="str">
        <f t="shared" si="35"/>
        <v/>
      </c>
      <c r="AA641" s="226" t="b">
        <f t="shared" si="36"/>
        <v>0</v>
      </c>
      <c r="AB641" s="9"/>
      <c r="AC641" s="162" t="s">
        <v>6</v>
      </c>
      <c r="AD641" s="150">
        <f t="shared" si="34"/>
        <v>0</v>
      </c>
      <c r="AE641" s="95" t="s">
        <v>64</v>
      </c>
    </row>
    <row r="642" spans="1:31" s="55" customFormat="1" ht="30" customHeight="1">
      <c r="A642" s="155"/>
      <c r="B642" s="155"/>
      <c r="C642" s="155"/>
      <c r="D642" s="155"/>
      <c r="E642" s="155"/>
      <c r="F642" s="155"/>
      <c r="G642" s="155"/>
      <c r="H642" s="155"/>
      <c r="I642" s="155"/>
      <c r="J642" s="155"/>
      <c r="K642" s="155"/>
      <c r="L642" s="155"/>
      <c r="M642" s="155"/>
      <c r="N642" s="155"/>
      <c r="O642" s="157"/>
      <c r="P642" s="92"/>
      <c r="Q642" s="145"/>
      <c r="R642" s="92"/>
      <c r="S642" s="145"/>
      <c r="T642" s="92"/>
      <c r="U642" s="145"/>
      <c r="V642" s="92"/>
      <c r="W642" s="145"/>
      <c r="X642" s="92"/>
      <c r="Y642" s="352"/>
      <c r="Z642" s="142" t="str">
        <f t="shared" si="35"/>
        <v/>
      </c>
      <c r="AA642" s="226" t="b">
        <f t="shared" si="36"/>
        <v>0</v>
      </c>
      <c r="AB642" s="9"/>
      <c r="AC642" s="162" t="s">
        <v>6</v>
      </c>
      <c r="AD642" s="150">
        <f t="shared" si="34"/>
        <v>0</v>
      </c>
      <c r="AE642" s="95" t="s">
        <v>64</v>
      </c>
    </row>
    <row r="643" spans="1:31" s="55" customFormat="1" ht="30" customHeight="1">
      <c r="A643" s="155"/>
      <c r="B643" s="155"/>
      <c r="C643" s="155"/>
      <c r="D643" s="155"/>
      <c r="E643" s="155"/>
      <c r="F643" s="155"/>
      <c r="G643" s="155"/>
      <c r="H643" s="155"/>
      <c r="I643" s="155"/>
      <c r="J643" s="155"/>
      <c r="K643" s="155"/>
      <c r="L643" s="155"/>
      <c r="M643" s="155"/>
      <c r="N643" s="155"/>
      <c r="O643" s="157"/>
      <c r="P643" s="92"/>
      <c r="Q643" s="145"/>
      <c r="R643" s="92"/>
      <c r="S643" s="145"/>
      <c r="T643" s="92"/>
      <c r="U643" s="145"/>
      <c r="V643" s="92"/>
      <c r="W643" s="145"/>
      <c r="X643" s="92"/>
      <c r="Y643" s="352"/>
      <c r="Z643" s="142" t="str">
        <f t="shared" si="35"/>
        <v/>
      </c>
      <c r="AA643" s="226" t="b">
        <f t="shared" si="36"/>
        <v>0</v>
      </c>
      <c r="AB643" s="9"/>
      <c r="AC643" s="162" t="s">
        <v>6</v>
      </c>
      <c r="AD643" s="150">
        <f t="shared" si="34"/>
        <v>0</v>
      </c>
      <c r="AE643" s="95" t="s">
        <v>64</v>
      </c>
    </row>
    <row r="644" spans="1:31" s="55" customFormat="1" ht="30" customHeight="1">
      <c r="A644" s="155"/>
      <c r="B644" s="155"/>
      <c r="C644" s="155"/>
      <c r="D644" s="155"/>
      <c r="E644" s="155"/>
      <c r="F644" s="155"/>
      <c r="G644" s="155"/>
      <c r="H644" s="155"/>
      <c r="I644" s="155"/>
      <c r="J644" s="155"/>
      <c r="K644" s="155"/>
      <c r="L644" s="155"/>
      <c r="M644" s="155"/>
      <c r="N644" s="155"/>
      <c r="O644" s="157"/>
      <c r="P644" s="92"/>
      <c r="Q644" s="145"/>
      <c r="R644" s="92"/>
      <c r="S644" s="145"/>
      <c r="T644" s="92"/>
      <c r="U644" s="145"/>
      <c r="V644" s="92"/>
      <c r="W644" s="145"/>
      <c r="X644" s="92"/>
      <c r="Y644" s="352"/>
      <c r="Z644" s="142" t="str">
        <f t="shared" si="35"/>
        <v/>
      </c>
      <c r="AA644" s="226" t="b">
        <f t="shared" si="36"/>
        <v>0</v>
      </c>
      <c r="AB644" s="9"/>
      <c r="AC644" s="162" t="s">
        <v>6</v>
      </c>
      <c r="AD644" s="150">
        <f t="shared" si="34"/>
        <v>0</v>
      </c>
      <c r="AE644" s="95" t="s">
        <v>64</v>
      </c>
    </row>
    <row r="645" spans="1:31" s="55" customFormat="1" ht="30" customHeight="1">
      <c r="A645" s="155"/>
      <c r="B645" s="155"/>
      <c r="C645" s="155"/>
      <c r="D645" s="155"/>
      <c r="E645" s="155"/>
      <c r="F645" s="155"/>
      <c r="G645" s="155"/>
      <c r="H645" s="155"/>
      <c r="I645" s="155"/>
      <c r="J645" s="155"/>
      <c r="K645" s="155"/>
      <c r="L645" s="155"/>
      <c r="M645" s="155"/>
      <c r="N645" s="155"/>
      <c r="O645" s="157"/>
      <c r="P645" s="92"/>
      <c r="Q645" s="145"/>
      <c r="R645" s="92"/>
      <c r="S645" s="145"/>
      <c r="T645" s="92"/>
      <c r="U645" s="145"/>
      <c r="V645" s="92"/>
      <c r="W645" s="145"/>
      <c r="X645" s="92"/>
      <c r="Y645" s="352"/>
      <c r="Z645" s="142" t="str">
        <f t="shared" si="35"/>
        <v/>
      </c>
      <c r="AA645" s="226" t="b">
        <f t="shared" si="36"/>
        <v>0</v>
      </c>
      <c r="AB645" s="9"/>
      <c r="AC645" s="162" t="s">
        <v>6</v>
      </c>
      <c r="AD645" s="150">
        <f t="shared" si="34"/>
        <v>0</v>
      </c>
      <c r="AE645" s="95" t="s">
        <v>64</v>
      </c>
    </row>
    <row r="646" spans="1:31" s="55" customFormat="1" ht="30" customHeight="1">
      <c r="A646" s="155"/>
      <c r="B646" s="155"/>
      <c r="C646" s="155"/>
      <c r="D646" s="155"/>
      <c r="E646" s="155"/>
      <c r="F646" s="155"/>
      <c r="G646" s="155"/>
      <c r="H646" s="155"/>
      <c r="I646" s="155"/>
      <c r="J646" s="155"/>
      <c r="K646" s="155"/>
      <c r="L646" s="155"/>
      <c r="M646" s="155"/>
      <c r="N646" s="155"/>
      <c r="O646" s="157"/>
      <c r="P646" s="92"/>
      <c r="Q646" s="145"/>
      <c r="R646" s="92"/>
      <c r="S646" s="145"/>
      <c r="T646" s="92"/>
      <c r="U646" s="145"/>
      <c r="V646" s="92"/>
      <c r="W646" s="145"/>
      <c r="X646" s="92"/>
      <c r="Y646" s="352"/>
      <c r="Z646" s="142" t="str">
        <f t="shared" si="35"/>
        <v/>
      </c>
      <c r="AA646" s="226" t="b">
        <f t="shared" si="36"/>
        <v>0</v>
      </c>
      <c r="AB646" s="9"/>
      <c r="AC646" s="162" t="s">
        <v>6</v>
      </c>
      <c r="AD646" s="150">
        <f t="shared" si="34"/>
        <v>0</v>
      </c>
      <c r="AE646" s="95" t="s">
        <v>64</v>
      </c>
    </row>
    <row r="647" spans="1:31" s="55" customFormat="1" ht="30" customHeight="1">
      <c r="A647" s="155"/>
      <c r="B647" s="155"/>
      <c r="C647" s="155"/>
      <c r="D647" s="155"/>
      <c r="E647" s="155"/>
      <c r="F647" s="155"/>
      <c r="G647" s="155"/>
      <c r="H647" s="155"/>
      <c r="I647" s="155"/>
      <c r="J647" s="155"/>
      <c r="K647" s="155"/>
      <c r="L647" s="155"/>
      <c r="M647" s="155"/>
      <c r="N647" s="155"/>
      <c r="O647" s="157"/>
      <c r="P647" s="92"/>
      <c r="Q647" s="145"/>
      <c r="R647" s="92"/>
      <c r="S647" s="145"/>
      <c r="T647" s="92"/>
      <c r="U647" s="145"/>
      <c r="V647" s="92"/>
      <c r="W647" s="145"/>
      <c r="X647" s="92"/>
      <c r="Y647" s="352"/>
      <c r="Z647" s="142" t="str">
        <f t="shared" si="35"/>
        <v/>
      </c>
      <c r="AA647" s="226" t="b">
        <f t="shared" si="36"/>
        <v>0</v>
      </c>
      <c r="AB647" s="9"/>
      <c r="AC647" s="162" t="s">
        <v>6</v>
      </c>
      <c r="AD647" s="150">
        <f t="shared" si="34"/>
        <v>0</v>
      </c>
      <c r="AE647" s="95" t="s">
        <v>64</v>
      </c>
    </row>
    <row r="648" spans="1:31" s="55" customFormat="1" ht="30" customHeight="1">
      <c r="A648" s="155"/>
      <c r="B648" s="155"/>
      <c r="C648" s="155"/>
      <c r="D648" s="155"/>
      <c r="E648" s="155"/>
      <c r="F648" s="155"/>
      <c r="G648" s="155"/>
      <c r="H648" s="155"/>
      <c r="I648" s="155"/>
      <c r="J648" s="155"/>
      <c r="K648" s="155"/>
      <c r="L648" s="155"/>
      <c r="M648" s="155"/>
      <c r="N648" s="155"/>
      <c r="O648" s="157"/>
      <c r="P648" s="92"/>
      <c r="Q648" s="145"/>
      <c r="R648" s="92"/>
      <c r="S648" s="145"/>
      <c r="T648" s="92"/>
      <c r="U648" s="145"/>
      <c r="V648" s="92"/>
      <c r="W648" s="145"/>
      <c r="X648" s="92"/>
      <c r="Y648" s="352"/>
      <c r="Z648" s="142" t="str">
        <f t="shared" si="35"/>
        <v/>
      </c>
      <c r="AA648" s="226" t="b">
        <f t="shared" si="36"/>
        <v>0</v>
      </c>
      <c r="AB648" s="9"/>
      <c r="AC648" s="162" t="s">
        <v>6</v>
      </c>
      <c r="AD648" s="150">
        <f t="shared" si="34"/>
        <v>0</v>
      </c>
      <c r="AE648" s="95" t="s">
        <v>64</v>
      </c>
    </row>
    <row r="649" spans="1:31" s="55" customFormat="1" ht="30" customHeight="1">
      <c r="A649" s="155"/>
      <c r="B649" s="155"/>
      <c r="C649" s="155"/>
      <c r="D649" s="155"/>
      <c r="E649" s="155"/>
      <c r="F649" s="155"/>
      <c r="G649" s="155"/>
      <c r="H649" s="155"/>
      <c r="I649" s="155"/>
      <c r="J649" s="155"/>
      <c r="K649" s="155"/>
      <c r="L649" s="155"/>
      <c r="M649" s="155"/>
      <c r="N649" s="155"/>
      <c r="O649" s="157"/>
      <c r="P649" s="92"/>
      <c r="Q649" s="145"/>
      <c r="R649" s="92"/>
      <c r="S649" s="145"/>
      <c r="T649" s="92"/>
      <c r="U649" s="145"/>
      <c r="V649" s="92"/>
      <c r="W649" s="145"/>
      <c r="X649" s="92"/>
      <c r="Y649" s="352"/>
      <c r="Z649" s="142" t="str">
        <f t="shared" si="35"/>
        <v/>
      </c>
      <c r="AA649" s="226" t="b">
        <f t="shared" si="36"/>
        <v>0</v>
      </c>
      <c r="AB649" s="9"/>
      <c r="AC649" s="162" t="s">
        <v>6</v>
      </c>
      <c r="AD649" s="150">
        <f t="shared" si="34"/>
        <v>0</v>
      </c>
      <c r="AE649" s="95" t="s">
        <v>64</v>
      </c>
    </row>
    <row r="650" spans="1:31" s="55" customFormat="1" ht="30" customHeight="1">
      <c r="A650" s="155"/>
      <c r="B650" s="155"/>
      <c r="C650" s="155"/>
      <c r="D650" s="155"/>
      <c r="E650" s="155"/>
      <c r="F650" s="155"/>
      <c r="G650" s="155"/>
      <c r="H650" s="155"/>
      <c r="I650" s="155"/>
      <c r="J650" s="155"/>
      <c r="K650" s="155"/>
      <c r="L650" s="155"/>
      <c r="M650" s="155"/>
      <c r="N650" s="155"/>
      <c r="O650" s="157"/>
      <c r="P650" s="92"/>
      <c r="Q650" s="145"/>
      <c r="R650" s="92"/>
      <c r="S650" s="145"/>
      <c r="T650" s="92"/>
      <c r="U650" s="145"/>
      <c r="V650" s="92"/>
      <c r="W650" s="145"/>
      <c r="X650" s="92"/>
      <c r="Y650" s="352"/>
      <c r="Z650" s="142" t="str">
        <f t="shared" si="35"/>
        <v/>
      </c>
      <c r="AA650" s="226" t="b">
        <f t="shared" si="36"/>
        <v>0</v>
      </c>
      <c r="AB650" s="9"/>
      <c r="AC650" s="162" t="s">
        <v>6</v>
      </c>
      <c r="AD650" s="150">
        <f t="shared" si="34"/>
        <v>0</v>
      </c>
      <c r="AE650" s="95" t="s">
        <v>64</v>
      </c>
    </row>
    <row r="651" spans="1:31" s="55" customFormat="1" ht="30" customHeight="1">
      <c r="A651" s="155"/>
      <c r="B651" s="155"/>
      <c r="C651" s="155"/>
      <c r="D651" s="155"/>
      <c r="E651" s="155"/>
      <c r="F651" s="155"/>
      <c r="G651" s="155"/>
      <c r="H651" s="155"/>
      <c r="I651" s="155"/>
      <c r="J651" s="155"/>
      <c r="K651" s="155"/>
      <c r="L651" s="155"/>
      <c r="M651" s="155"/>
      <c r="N651" s="155"/>
      <c r="O651" s="157"/>
      <c r="P651" s="92"/>
      <c r="Q651" s="145"/>
      <c r="R651" s="92"/>
      <c r="S651" s="145"/>
      <c r="T651" s="92"/>
      <c r="U651" s="145"/>
      <c r="V651" s="92"/>
      <c r="W651" s="145"/>
      <c r="X651" s="92"/>
      <c r="Y651" s="352"/>
      <c r="Z651" s="142" t="str">
        <f t="shared" si="35"/>
        <v/>
      </c>
      <c r="AA651" s="226" t="b">
        <f t="shared" si="36"/>
        <v>0</v>
      </c>
      <c r="AB651" s="9"/>
      <c r="AC651" s="162" t="s">
        <v>6</v>
      </c>
      <c r="AD651" s="150">
        <f t="shared" si="34"/>
        <v>0</v>
      </c>
      <c r="AE651" s="95" t="s">
        <v>64</v>
      </c>
    </row>
    <row r="652" spans="1:31" s="55" customFormat="1" ht="30" customHeight="1">
      <c r="A652" s="155"/>
      <c r="B652" s="155"/>
      <c r="C652" s="155"/>
      <c r="D652" s="155"/>
      <c r="E652" s="155"/>
      <c r="F652" s="155"/>
      <c r="G652" s="155"/>
      <c r="H652" s="155"/>
      <c r="I652" s="155"/>
      <c r="J652" s="155"/>
      <c r="K652" s="155"/>
      <c r="L652" s="155"/>
      <c r="M652" s="155"/>
      <c r="N652" s="155"/>
      <c r="O652" s="157"/>
      <c r="P652" s="92"/>
      <c r="Q652" s="145"/>
      <c r="R652" s="92"/>
      <c r="S652" s="145"/>
      <c r="T652" s="92"/>
      <c r="U652" s="145"/>
      <c r="V652" s="92"/>
      <c r="W652" s="145"/>
      <c r="X652" s="92"/>
      <c r="Y652" s="352"/>
      <c r="Z652" s="142" t="str">
        <f t="shared" si="35"/>
        <v/>
      </c>
      <c r="AA652" s="226" t="b">
        <f t="shared" si="36"/>
        <v>0</v>
      </c>
      <c r="AB652" s="9"/>
      <c r="AC652" s="162" t="s">
        <v>6</v>
      </c>
      <c r="AD652" s="150">
        <f t="shared" si="34"/>
        <v>0</v>
      </c>
      <c r="AE652" s="95" t="s">
        <v>64</v>
      </c>
    </row>
    <row r="653" spans="1:31" s="55" customFormat="1" ht="30" customHeight="1">
      <c r="A653" s="155"/>
      <c r="B653" s="155"/>
      <c r="C653" s="155"/>
      <c r="D653" s="155"/>
      <c r="E653" s="155"/>
      <c r="F653" s="155"/>
      <c r="G653" s="155"/>
      <c r="H653" s="155"/>
      <c r="I653" s="155"/>
      <c r="J653" s="155"/>
      <c r="K653" s="155"/>
      <c r="L653" s="155"/>
      <c r="M653" s="155"/>
      <c r="N653" s="155"/>
      <c r="O653" s="157"/>
      <c r="P653" s="92"/>
      <c r="Q653" s="145"/>
      <c r="R653" s="92"/>
      <c r="S653" s="145"/>
      <c r="T653" s="92"/>
      <c r="U653" s="145"/>
      <c r="V653" s="92"/>
      <c r="W653" s="145"/>
      <c r="X653" s="92"/>
      <c r="Y653" s="352"/>
      <c r="Z653" s="142" t="str">
        <f t="shared" si="35"/>
        <v/>
      </c>
      <c r="AA653" s="226" t="b">
        <f t="shared" si="36"/>
        <v>0</v>
      </c>
      <c r="AB653" s="9"/>
      <c r="AC653" s="162" t="s">
        <v>6</v>
      </c>
      <c r="AD653" s="150">
        <f t="shared" si="34"/>
        <v>0</v>
      </c>
      <c r="AE653" s="95" t="s">
        <v>64</v>
      </c>
    </row>
    <row r="654" spans="1:31" s="55" customFormat="1" ht="30" customHeight="1">
      <c r="A654" s="155"/>
      <c r="B654" s="155"/>
      <c r="C654" s="155"/>
      <c r="D654" s="155"/>
      <c r="E654" s="155"/>
      <c r="F654" s="155"/>
      <c r="G654" s="155"/>
      <c r="H654" s="155"/>
      <c r="I654" s="155"/>
      <c r="J654" s="155"/>
      <c r="K654" s="155"/>
      <c r="L654" s="155"/>
      <c r="M654" s="155"/>
      <c r="N654" s="155"/>
      <c r="O654" s="157"/>
      <c r="P654" s="92"/>
      <c r="Q654" s="145"/>
      <c r="R654" s="92"/>
      <c r="S654" s="145"/>
      <c r="T654" s="92"/>
      <c r="U654" s="145"/>
      <c r="V654" s="92"/>
      <c r="W654" s="145"/>
      <c r="X654" s="92"/>
      <c r="Y654" s="352"/>
      <c r="Z654" s="142" t="str">
        <f t="shared" si="35"/>
        <v/>
      </c>
      <c r="AA654" s="226" t="b">
        <f t="shared" si="36"/>
        <v>0</v>
      </c>
      <c r="AB654" s="9"/>
      <c r="AC654" s="162" t="s">
        <v>6</v>
      </c>
      <c r="AD654" s="150">
        <f t="shared" si="34"/>
        <v>0</v>
      </c>
      <c r="AE654" s="95" t="s">
        <v>64</v>
      </c>
    </row>
    <row r="655" spans="1:31" s="55" customFormat="1" ht="30" customHeight="1">
      <c r="A655" s="155"/>
      <c r="B655" s="155"/>
      <c r="C655" s="155"/>
      <c r="D655" s="155"/>
      <c r="E655" s="155"/>
      <c r="F655" s="155"/>
      <c r="G655" s="155"/>
      <c r="H655" s="155"/>
      <c r="I655" s="155"/>
      <c r="J655" s="155"/>
      <c r="K655" s="155"/>
      <c r="L655" s="155"/>
      <c r="M655" s="155"/>
      <c r="N655" s="155"/>
      <c r="O655" s="157"/>
      <c r="P655" s="92"/>
      <c r="Q655" s="145"/>
      <c r="R655" s="92"/>
      <c r="S655" s="145"/>
      <c r="T655" s="92"/>
      <c r="U655" s="145"/>
      <c r="V655" s="92"/>
      <c r="W655" s="145"/>
      <c r="X655" s="92"/>
      <c r="Y655" s="352"/>
      <c r="Z655" s="142" t="str">
        <f t="shared" si="35"/>
        <v/>
      </c>
      <c r="AA655" s="226" t="b">
        <f t="shared" si="36"/>
        <v>0</v>
      </c>
      <c r="AB655" s="9"/>
      <c r="AC655" s="162" t="s">
        <v>6</v>
      </c>
      <c r="AD655" s="150">
        <f t="shared" si="34"/>
        <v>0</v>
      </c>
      <c r="AE655" s="95" t="s">
        <v>64</v>
      </c>
    </row>
    <row r="656" spans="1:31" s="55" customFormat="1" ht="30" customHeight="1">
      <c r="A656" s="155"/>
      <c r="B656" s="155"/>
      <c r="C656" s="155"/>
      <c r="D656" s="155"/>
      <c r="E656" s="155"/>
      <c r="F656" s="155"/>
      <c r="G656" s="155"/>
      <c r="H656" s="155"/>
      <c r="I656" s="155"/>
      <c r="J656" s="155"/>
      <c r="K656" s="155"/>
      <c r="L656" s="155"/>
      <c r="M656" s="155"/>
      <c r="N656" s="155"/>
      <c r="O656" s="157"/>
      <c r="P656" s="92"/>
      <c r="Q656" s="145"/>
      <c r="R656" s="92"/>
      <c r="S656" s="145"/>
      <c r="T656" s="92"/>
      <c r="U656" s="145"/>
      <c r="V656" s="92"/>
      <c r="W656" s="145"/>
      <c r="X656" s="92"/>
      <c r="Y656" s="352"/>
      <c r="Z656" s="142" t="str">
        <f t="shared" si="35"/>
        <v/>
      </c>
      <c r="AA656" s="226" t="b">
        <f t="shared" si="36"/>
        <v>0</v>
      </c>
      <c r="AB656" s="9"/>
      <c r="AC656" s="162" t="s">
        <v>6</v>
      </c>
      <c r="AD656" s="150">
        <f t="shared" si="34"/>
        <v>0</v>
      </c>
      <c r="AE656" s="95" t="s">
        <v>64</v>
      </c>
    </row>
    <row r="657" spans="1:31" s="55" customFormat="1" ht="30" customHeight="1">
      <c r="A657" s="155"/>
      <c r="B657" s="155"/>
      <c r="C657" s="155"/>
      <c r="D657" s="155"/>
      <c r="E657" s="155"/>
      <c r="F657" s="155"/>
      <c r="G657" s="155"/>
      <c r="H657" s="155"/>
      <c r="I657" s="155"/>
      <c r="J657" s="155"/>
      <c r="K657" s="155"/>
      <c r="L657" s="155"/>
      <c r="M657" s="155"/>
      <c r="N657" s="155"/>
      <c r="O657" s="157"/>
      <c r="P657" s="92"/>
      <c r="Q657" s="145"/>
      <c r="R657" s="92"/>
      <c r="S657" s="145"/>
      <c r="T657" s="92"/>
      <c r="U657" s="145"/>
      <c r="V657" s="92"/>
      <c r="W657" s="145"/>
      <c r="X657" s="92"/>
      <c r="Y657" s="352"/>
      <c r="Z657" s="142" t="str">
        <f t="shared" si="35"/>
        <v/>
      </c>
      <c r="AA657" s="226" t="b">
        <f t="shared" si="36"/>
        <v>0</v>
      </c>
      <c r="AB657" s="9"/>
      <c r="AC657" s="162" t="s">
        <v>6</v>
      </c>
      <c r="AD657" s="150">
        <f t="shared" si="34"/>
        <v>0</v>
      </c>
      <c r="AE657" s="95" t="s">
        <v>64</v>
      </c>
    </row>
    <row r="658" spans="1:31" s="55" customFormat="1" ht="30" customHeight="1">
      <c r="A658" s="155"/>
      <c r="B658" s="155"/>
      <c r="C658" s="155"/>
      <c r="D658" s="155"/>
      <c r="E658" s="155"/>
      <c r="F658" s="155"/>
      <c r="G658" s="155"/>
      <c r="H658" s="155"/>
      <c r="I658" s="155"/>
      <c r="J658" s="155"/>
      <c r="K658" s="155"/>
      <c r="L658" s="155"/>
      <c r="M658" s="155"/>
      <c r="N658" s="155"/>
      <c r="O658" s="157"/>
      <c r="P658" s="92"/>
      <c r="Q658" s="145"/>
      <c r="R658" s="92"/>
      <c r="S658" s="145"/>
      <c r="T658" s="92"/>
      <c r="U658" s="145"/>
      <c r="V658" s="92"/>
      <c r="W658" s="145"/>
      <c r="X658" s="92"/>
      <c r="Y658" s="352"/>
      <c r="Z658" s="142" t="str">
        <f t="shared" si="35"/>
        <v/>
      </c>
      <c r="AA658" s="226" t="b">
        <f t="shared" si="36"/>
        <v>0</v>
      </c>
      <c r="AB658" s="9"/>
      <c r="AC658" s="162" t="s">
        <v>6</v>
      </c>
      <c r="AD658" s="150">
        <f t="shared" si="34"/>
        <v>0</v>
      </c>
      <c r="AE658" s="95" t="s">
        <v>64</v>
      </c>
    </row>
    <row r="659" spans="1:31" s="55" customFormat="1" ht="30" customHeight="1">
      <c r="A659" s="155"/>
      <c r="B659" s="155"/>
      <c r="C659" s="155"/>
      <c r="D659" s="155"/>
      <c r="E659" s="155"/>
      <c r="F659" s="155"/>
      <c r="G659" s="155"/>
      <c r="H659" s="155"/>
      <c r="I659" s="155"/>
      <c r="J659" s="155"/>
      <c r="K659" s="155"/>
      <c r="L659" s="155"/>
      <c r="M659" s="155"/>
      <c r="N659" s="155"/>
      <c r="O659" s="157"/>
      <c r="P659" s="92"/>
      <c r="Q659" s="145"/>
      <c r="R659" s="92"/>
      <c r="S659" s="145"/>
      <c r="T659" s="92"/>
      <c r="U659" s="145"/>
      <c r="V659" s="92"/>
      <c r="W659" s="145"/>
      <c r="X659" s="92"/>
      <c r="Y659" s="352"/>
      <c r="Z659" s="142" t="str">
        <f t="shared" si="35"/>
        <v/>
      </c>
      <c r="AA659" s="226" t="b">
        <f t="shared" si="36"/>
        <v>0</v>
      </c>
      <c r="AB659" s="9"/>
      <c r="AC659" s="162" t="s">
        <v>6</v>
      </c>
      <c r="AD659" s="150">
        <f t="shared" si="34"/>
        <v>0</v>
      </c>
      <c r="AE659" s="95" t="s">
        <v>64</v>
      </c>
    </row>
    <row r="660" spans="1:31" s="55" customFormat="1" ht="30" customHeight="1">
      <c r="A660" s="155"/>
      <c r="B660" s="155"/>
      <c r="C660" s="155"/>
      <c r="D660" s="155"/>
      <c r="E660" s="155"/>
      <c r="F660" s="155"/>
      <c r="G660" s="155"/>
      <c r="H660" s="155"/>
      <c r="I660" s="155"/>
      <c r="J660" s="155"/>
      <c r="K660" s="155"/>
      <c r="L660" s="155"/>
      <c r="M660" s="155"/>
      <c r="N660" s="155"/>
      <c r="O660" s="157"/>
      <c r="P660" s="92"/>
      <c r="Q660" s="145"/>
      <c r="R660" s="92"/>
      <c r="S660" s="145"/>
      <c r="T660" s="92"/>
      <c r="U660" s="145"/>
      <c r="V660" s="92"/>
      <c r="W660" s="145"/>
      <c r="X660" s="92"/>
      <c r="Y660" s="352"/>
      <c r="Z660" s="142" t="str">
        <f t="shared" si="35"/>
        <v/>
      </c>
      <c r="AA660" s="226" t="b">
        <f t="shared" si="36"/>
        <v>0</v>
      </c>
      <c r="AB660" s="9"/>
      <c r="AC660" s="162" t="s">
        <v>6</v>
      </c>
      <c r="AD660" s="150">
        <f t="shared" si="34"/>
        <v>0</v>
      </c>
      <c r="AE660" s="95" t="s">
        <v>64</v>
      </c>
    </row>
    <row r="661" spans="1:31" s="55" customFormat="1" ht="30" customHeight="1">
      <c r="A661" s="155"/>
      <c r="B661" s="155"/>
      <c r="C661" s="155"/>
      <c r="D661" s="155"/>
      <c r="E661" s="155"/>
      <c r="F661" s="155"/>
      <c r="G661" s="155"/>
      <c r="H661" s="155"/>
      <c r="I661" s="155"/>
      <c r="J661" s="155"/>
      <c r="K661" s="155"/>
      <c r="L661" s="155"/>
      <c r="M661" s="155"/>
      <c r="N661" s="155"/>
      <c r="O661" s="157"/>
      <c r="P661" s="92"/>
      <c r="Q661" s="145"/>
      <c r="R661" s="92"/>
      <c r="S661" s="145"/>
      <c r="T661" s="92"/>
      <c r="U661" s="145"/>
      <c r="V661" s="92"/>
      <c r="W661" s="145"/>
      <c r="X661" s="92"/>
      <c r="Y661" s="352"/>
      <c r="Z661" s="142" t="str">
        <f t="shared" si="35"/>
        <v/>
      </c>
      <c r="AA661" s="226" t="b">
        <f t="shared" si="36"/>
        <v>0</v>
      </c>
      <c r="AB661" s="9"/>
      <c r="AC661" s="162" t="s">
        <v>6</v>
      </c>
      <c r="AD661" s="150">
        <f t="shared" si="34"/>
        <v>0</v>
      </c>
      <c r="AE661" s="95" t="s">
        <v>64</v>
      </c>
    </row>
    <row r="662" spans="1:31" s="55" customFormat="1" ht="30" customHeight="1">
      <c r="A662" s="155"/>
      <c r="B662" s="155"/>
      <c r="C662" s="155"/>
      <c r="D662" s="155"/>
      <c r="E662" s="155"/>
      <c r="F662" s="155"/>
      <c r="G662" s="155"/>
      <c r="H662" s="155"/>
      <c r="I662" s="155"/>
      <c r="J662" s="155"/>
      <c r="K662" s="155"/>
      <c r="L662" s="155"/>
      <c r="M662" s="155"/>
      <c r="N662" s="155"/>
      <c r="O662" s="157"/>
      <c r="P662" s="92"/>
      <c r="Q662" s="145"/>
      <c r="R662" s="92"/>
      <c r="S662" s="145"/>
      <c r="T662" s="92"/>
      <c r="U662" s="145"/>
      <c r="V662" s="92"/>
      <c r="W662" s="145"/>
      <c r="X662" s="92"/>
      <c r="Y662" s="352"/>
      <c r="Z662" s="142" t="str">
        <f t="shared" si="35"/>
        <v/>
      </c>
      <c r="AA662" s="226" t="b">
        <f t="shared" si="36"/>
        <v>0</v>
      </c>
      <c r="AB662" s="9"/>
      <c r="AC662" s="162" t="s">
        <v>6</v>
      </c>
      <c r="AD662" s="150">
        <f t="shared" si="34"/>
        <v>0</v>
      </c>
      <c r="AE662" s="95" t="s">
        <v>64</v>
      </c>
    </row>
    <row r="663" spans="1:31" s="55" customFormat="1" ht="30" customHeight="1">
      <c r="A663" s="155"/>
      <c r="B663" s="155"/>
      <c r="C663" s="155"/>
      <c r="D663" s="155"/>
      <c r="E663" s="155"/>
      <c r="F663" s="155"/>
      <c r="G663" s="155"/>
      <c r="H663" s="155"/>
      <c r="I663" s="155"/>
      <c r="J663" s="155"/>
      <c r="K663" s="155"/>
      <c r="L663" s="155"/>
      <c r="M663" s="155"/>
      <c r="N663" s="155"/>
      <c r="O663" s="157"/>
      <c r="P663" s="92"/>
      <c r="Q663" s="145"/>
      <c r="R663" s="92"/>
      <c r="S663" s="145"/>
      <c r="T663" s="92"/>
      <c r="U663" s="145"/>
      <c r="V663" s="92"/>
      <c r="W663" s="145"/>
      <c r="X663" s="92"/>
      <c r="Y663" s="352"/>
      <c r="Z663" s="142" t="str">
        <f t="shared" si="35"/>
        <v/>
      </c>
      <c r="AA663" s="226" t="b">
        <f t="shared" si="36"/>
        <v>0</v>
      </c>
      <c r="AB663" s="9"/>
      <c r="AC663" s="162" t="s">
        <v>6</v>
      </c>
      <c r="AD663" s="150">
        <f t="shared" si="34"/>
        <v>0</v>
      </c>
      <c r="AE663" s="95" t="s">
        <v>64</v>
      </c>
    </row>
    <row r="664" spans="1:31" s="55" customFormat="1" ht="30" customHeight="1">
      <c r="A664" s="155"/>
      <c r="B664" s="155"/>
      <c r="C664" s="155"/>
      <c r="D664" s="155"/>
      <c r="E664" s="155"/>
      <c r="F664" s="155"/>
      <c r="G664" s="155"/>
      <c r="H664" s="155"/>
      <c r="I664" s="155"/>
      <c r="J664" s="155"/>
      <c r="K664" s="155"/>
      <c r="L664" s="155"/>
      <c r="M664" s="155"/>
      <c r="N664" s="155"/>
      <c r="O664" s="157"/>
      <c r="P664" s="92"/>
      <c r="Q664" s="145"/>
      <c r="R664" s="92"/>
      <c r="S664" s="145"/>
      <c r="T664" s="92"/>
      <c r="U664" s="145"/>
      <c r="V664" s="92"/>
      <c r="W664" s="145"/>
      <c r="X664" s="92"/>
      <c r="Y664" s="352"/>
      <c r="Z664" s="142" t="str">
        <f t="shared" si="35"/>
        <v/>
      </c>
      <c r="AA664" s="226" t="b">
        <f t="shared" si="36"/>
        <v>0</v>
      </c>
      <c r="AB664" s="9"/>
      <c r="AC664" s="162" t="s">
        <v>6</v>
      </c>
      <c r="AD664" s="150">
        <f t="shared" si="34"/>
        <v>0</v>
      </c>
      <c r="AE664" s="95" t="s">
        <v>64</v>
      </c>
    </row>
    <row r="665" spans="1:31" s="55" customFormat="1" ht="30" customHeight="1">
      <c r="A665" s="155"/>
      <c r="B665" s="155"/>
      <c r="C665" s="155"/>
      <c r="D665" s="155"/>
      <c r="E665" s="155"/>
      <c r="F665" s="155"/>
      <c r="G665" s="155"/>
      <c r="H665" s="155"/>
      <c r="I665" s="155"/>
      <c r="J665" s="155"/>
      <c r="K665" s="155"/>
      <c r="L665" s="155"/>
      <c r="M665" s="155"/>
      <c r="N665" s="155"/>
      <c r="O665" s="157"/>
      <c r="P665" s="92"/>
      <c r="Q665" s="145"/>
      <c r="R665" s="92"/>
      <c r="S665" s="145"/>
      <c r="T665" s="92"/>
      <c r="U665" s="145"/>
      <c r="V665" s="92"/>
      <c r="W665" s="145"/>
      <c r="X665" s="92"/>
      <c r="Y665" s="352"/>
      <c r="Z665" s="142" t="str">
        <f t="shared" si="35"/>
        <v/>
      </c>
      <c r="AA665" s="226" t="b">
        <f t="shared" si="36"/>
        <v>0</v>
      </c>
      <c r="AB665" s="9"/>
      <c r="AC665" s="162" t="s">
        <v>6</v>
      </c>
      <c r="AD665" s="150">
        <f t="shared" si="34"/>
        <v>0</v>
      </c>
      <c r="AE665" s="95" t="s">
        <v>64</v>
      </c>
    </row>
    <row r="666" spans="1:31" s="55" customFormat="1" ht="30" customHeight="1">
      <c r="A666" s="155"/>
      <c r="B666" s="155"/>
      <c r="C666" s="155"/>
      <c r="D666" s="155"/>
      <c r="E666" s="155"/>
      <c r="F666" s="155"/>
      <c r="G666" s="155"/>
      <c r="H666" s="155"/>
      <c r="I666" s="155"/>
      <c r="J666" s="155"/>
      <c r="K666" s="155"/>
      <c r="L666" s="155"/>
      <c r="M666" s="155"/>
      <c r="N666" s="155"/>
      <c r="O666" s="157"/>
      <c r="P666" s="92"/>
      <c r="Q666" s="145"/>
      <c r="R666" s="92"/>
      <c r="S666" s="145"/>
      <c r="T666" s="92"/>
      <c r="U666" s="145"/>
      <c r="V666" s="92"/>
      <c r="W666" s="145"/>
      <c r="X666" s="92"/>
      <c r="Y666" s="352"/>
      <c r="Z666" s="142" t="str">
        <f t="shared" si="35"/>
        <v/>
      </c>
      <c r="AA666" s="226" t="b">
        <f t="shared" si="36"/>
        <v>0</v>
      </c>
      <c r="AB666" s="9"/>
      <c r="AC666" s="162" t="s">
        <v>6</v>
      </c>
      <c r="AD666" s="150">
        <f t="shared" si="34"/>
        <v>0</v>
      </c>
      <c r="AE666" s="95" t="s">
        <v>64</v>
      </c>
    </row>
    <row r="667" spans="1:31" s="55" customFormat="1" ht="30" customHeight="1">
      <c r="A667" s="155"/>
      <c r="B667" s="155"/>
      <c r="C667" s="155"/>
      <c r="D667" s="155"/>
      <c r="E667" s="155"/>
      <c r="F667" s="155"/>
      <c r="G667" s="155"/>
      <c r="H667" s="155"/>
      <c r="I667" s="155"/>
      <c r="J667" s="155"/>
      <c r="K667" s="155"/>
      <c r="L667" s="155"/>
      <c r="M667" s="155"/>
      <c r="N667" s="155"/>
      <c r="O667" s="157"/>
      <c r="P667" s="92"/>
      <c r="Q667" s="145"/>
      <c r="R667" s="92"/>
      <c r="S667" s="145"/>
      <c r="T667" s="92"/>
      <c r="U667" s="145"/>
      <c r="V667" s="92"/>
      <c r="W667" s="145"/>
      <c r="X667" s="92"/>
      <c r="Y667" s="352"/>
      <c r="Z667" s="142" t="str">
        <f t="shared" si="35"/>
        <v/>
      </c>
      <c r="AA667" s="226" t="b">
        <f t="shared" si="36"/>
        <v>0</v>
      </c>
      <c r="AB667" s="9"/>
      <c r="AC667" s="162" t="s">
        <v>6</v>
      </c>
      <c r="AD667" s="150">
        <f t="shared" si="34"/>
        <v>0</v>
      </c>
      <c r="AE667" s="95" t="s">
        <v>64</v>
      </c>
    </row>
    <row r="668" spans="1:31" s="55" customFormat="1" ht="30" customHeight="1">
      <c r="A668" s="155"/>
      <c r="B668" s="155"/>
      <c r="C668" s="155"/>
      <c r="D668" s="155"/>
      <c r="E668" s="155"/>
      <c r="F668" s="155"/>
      <c r="G668" s="155"/>
      <c r="H668" s="155"/>
      <c r="I668" s="155"/>
      <c r="J668" s="155"/>
      <c r="K668" s="155"/>
      <c r="L668" s="155"/>
      <c r="M668" s="155"/>
      <c r="N668" s="155"/>
      <c r="O668" s="157"/>
      <c r="P668" s="92"/>
      <c r="Q668" s="145"/>
      <c r="R668" s="92"/>
      <c r="S668" s="145"/>
      <c r="T668" s="92"/>
      <c r="U668" s="145"/>
      <c r="V668" s="92"/>
      <c r="W668" s="145"/>
      <c r="X668" s="92"/>
      <c r="Y668" s="352"/>
      <c r="Z668" s="142" t="str">
        <f t="shared" si="35"/>
        <v/>
      </c>
      <c r="AA668" s="226" t="b">
        <f t="shared" si="36"/>
        <v>0</v>
      </c>
      <c r="AB668" s="9"/>
      <c r="AC668" s="162" t="s">
        <v>6</v>
      </c>
      <c r="AD668" s="150">
        <f t="shared" si="34"/>
        <v>0</v>
      </c>
      <c r="AE668" s="95" t="s">
        <v>64</v>
      </c>
    </row>
    <row r="669" spans="1:31" s="55" customFormat="1" ht="30" customHeight="1">
      <c r="A669" s="155"/>
      <c r="B669" s="155"/>
      <c r="C669" s="155"/>
      <c r="D669" s="155"/>
      <c r="E669" s="155"/>
      <c r="F669" s="155"/>
      <c r="G669" s="155"/>
      <c r="H669" s="155"/>
      <c r="I669" s="155"/>
      <c r="J669" s="155"/>
      <c r="K669" s="155"/>
      <c r="L669" s="155"/>
      <c r="M669" s="155"/>
      <c r="N669" s="155"/>
      <c r="O669" s="157"/>
      <c r="P669" s="92"/>
      <c r="Q669" s="145"/>
      <c r="R669" s="92"/>
      <c r="S669" s="145"/>
      <c r="T669" s="92"/>
      <c r="U669" s="145"/>
      <c r="V669" s="92"/>
      <c r="W669" s="145"/>
      <c r="X669" s="92"/>
      <c r="Y669" s="352"/>
      <c r="Z669" s="142" t="str">
        <f t="shared" si="35"/>
        <v/>
      </c>
      <c r="AA669" s="226" t="b">
        <f t="shared" si="36"/>
        <v>0</v>
      </c>
      <c r="AB669" s="9"/>
      <c r="AC669" s="162" t="s">
        <v>6</v>
      </c>
      <c r="AD669" s="150">
        <f t="shared" si="34"/>
        <v>0</v>
      </c>
      <c r="AE669" s="95" t="s">
        <v>64</v>
      </c>
    </row>
    <row r="670" spans="1:31" s="55" customFormat="1" ht="30" customHeight="1">
      <c r="A670" s="155"/>
      <c r="B670" s="155"/>
      <c r="C670" s="155"/>
      <c r="D670" s="155"/>
      <c r="E670" s="155"/>
      <c r="F670" s="155"/>
      <c r="G670" s="155"/>
      <c r="H670" s="155"/>
      <c r="I670" s="155"/>
      <c r="J670" s="155"/>
      <c r="K670" s="155"/>
      <c r="L670" s="155"/>
      <c r="M670" s="155"/>
      <c r="N670" s="155"/>
      <c r="O670" s="157"/>
      <c r="P670" s="92"/>
      <c r="Q670" s="145"/>
      <c r="R670" s="92"/>
      <c r="S670" s="145"/>
      <c r="T670" s="92"/>
      <c r="U670" s="145"/>
      <c r="V670" s="92"/>
      <c r="W670" s="145"/>
      <c r="X670" s="92"/>
      <c r="Y670" s="352"/>
      <c r="Z670" s="142" t="str">
        <f t="shared" si="35"/>
        <v/>
      </c>
      <c r="AA670" s="226" t="b">
        <f t="shared" si="36"/>
        <v>0</v>
      </c>
      <c r="AB670" s="9"/>
      <c r="AC670" s="162" t="s">
        <v>6</v>
      </c>
      <c r="AD670" s="150">
        <f t="shared" si="34"/>
        <v>0</v>
      </c>
      <c r="AE670" s="95" t="s">
        <v>64</v>
      </c>
    </row>
    <row r="671" spans="1:31" s="55" customFormat="1" ht="30" customHeight="1">
      <c r="A671" s="155"/>
      <c r="B671" s="155"/>
      <c r="C671" s="155"/>
      <c r="D671" s="155"/>
      <c r="E671" s="155"/>
      <c r="F671" s="155"/>
      <c r="G671" s="155"/>
      <c r="H671" s="155"/>
      <c r="I671" s="155"/>
      <c r="J671" s="155"/>
      <c r="K671" s="155"/>
      <c r="L671" s="155"/>
      <c r="M671" s="155"/>
      <c r="N671" s="155"/>
      <c r="O671" s="157"/>
      <c r="P671" s="92"/>
      <c r="Q671" s="145"/>
      <c r="R671" s="92"/>
      <c r="S671" s="145"/>
      <c r="T671" s="92"/>
      <c r="U671" s="145"/>
      <c r="V671" s="92"/>
      <c r="W671" s="145"/>
      <c r="X671" s="92"/>
      <c r="Y671" s="352"/>
      <c r="Z671" s="142" t="str">
        <f t="shared" si="35"/>
        <v/>
      </c>
      <c r="AA671" s="226" t="b">
        <f t="shared" si="36"/>
        <v>0</v>
      </c>
      <c r="AB671" s="9"/>
      <c r="AC671" s="162" t="s">
        <v>6</v>
      </c>
      <c r="AD671" s="150">
        <f t="shared" si="34"/>
        <v>0</v>
      </c>
      <c r="AE671" s="95" t="s">
        <v>64</v>
      </c>
    </row>
    <row r="672" spans="1:31" s="55" customFormat="1" ht="30" customHeight="1">
      <c r="A672" s="155"/>
      <c r="B672" s="155"/>
      <c r="C672" s="155"/>
      <c r="D672" s="155"/>
      <c r="E672" s="155"/>
      <c r="F672" s="155"/>
      <c r="G672" s="155"/>
      <c r="H672" s="155"/>
      <c r="I672" s="155"/>
      <c r="J672" s="155"/>
      <c r="K672" s="155"/>
      <c r="L672" s="155"/>
      <c r="M672" s="155"/>
      <c r="N672" s="155"/>
      <c r="O672" s="157"/>
      <c r="P672" s="92"/>
      <c r="Q672" s="145"/>
      <c r="R672" s="92"/>
      <c r="S672" s="145"/>
      <c r="T672" s="92"/>
      <c r="U672" s="145"/>
      <c r="V672" s="92"/>
      <c r="W672" s="145"/>
      <c r="X672" s="92"/>
      <c r="Y672" s="352"/>
      <c r="Z672" s="142" t="str">
        <f t="shared" si="35"/>
        <v/>
      </c>
      <c r="AA672" s="226" t="b">
        <f t="shared" si="36"/>
        <v>0</v>
      </c>
      <c r="AB672" s="9"/>
      <c r="AC672" s="162" t="s">
        <v>6</v>
      </c>
      <c r="AD672" s="150">
        <f t="shared" si="34"/>
        <v>0</v>
      </c>
      <c r="AE672" s="95" t="s">
        <v>64</v>
      </c>
    </row>
    <row r="673" spans="1:31" s="55" customFormat="1" ht="30" customHeight="1">
      <c r="A673" s="155"/>
      <c r="B673" s="155"/>
      <c r="C673" s="155"/>
      <c r="D673" s="155"/>
      <c r="E673" s="155"/>
      <c r="F673" s="155"/>
      <c r="G673" s="155"/>
      <c r="H673" s="155"/>
      <c r="I673" s="155"/>
      <c r="J673" s="155"/>
      <c r="K673" s="155"/>
      <c r="L673" s="155"/>
      <c r="M673" s="155"/>
      <c r="N673" s="155"/>
      <c r="O673" s="157"/>
      <c r="P673" s="92"/>
      <c r="Q673" s="145"/>
      <c r="R673" s="92"/>
      <c r="S673" s="145"/>
      <c r="T673" s="92"/>
      <c r="U673" s="145"/>
      <c r="V673" s="92"/>
      <c r="W673" s="145"/>
      <c r="X673" s="92"/>
      <c r="Y673" s="352"/>
      <c r="Z673" s="142" t="str">
        <f t="shared" si="35"/>
        <v/>
      </c>
      <c r="AA673" s="226" t="b">
        <f t="shared" si="36"/>
        <v>0</v>
      </c>
      <c r="AB673" s="9"/>
      <c r="AC673" s="162" t="s">
        <v>6</v>
      </c>
      <c r="AD673" s="150">
        <f t="shared" si="34"/>
        <v>0</v>
      </c>
      <c r="AE673" s="95" t="s">
        <v>64</v>
      </c>
    </row>
    <row r="674" spans="1:31" s="55" customFormat="1" ht="30" customHeight="1">
      <c r="A674" s="155"/>
      <c r="B674" s="155"/>
      <c r="C674" s="155"/>
      <c r="D674" s="155"/>
      <c r="E674" s="155"/>
      <c r="F674" s="155"/>
      <c r="G674" s="155"/>
      <c r="H674" s="155"/>
      <c r="I674" s="155"/>
      <c r="J674" s="155"/>
      <c r="K674" s="155"/>
      <c r="L674" s="155"/>
      <c r="M674" s="155"/>
      <c r="N674" s="155"/>
      <c r="O674" s="157"/>
      <c r="P674" s="92"/>
      <c r="Q674" s="145"/>
      <c r="R674" s="92"/>
      <c r="S674" s="145"/>
      <c r="T674" s="92"/>
      <c r="U674" s="145"/>
      <c r="V674" s="92"/>
      <c r="W674" s="145"/>
      <c r="X674" s="92"/>
      <c r="Y674" s="352"/>
      <c r="Z674" s="142" t="str">
        <f t="shared" si="35"/>
        <v/>
      </c>
      <c r="AA674" s="226" t="b">
        <f t="shared" si="36"/>
        <v>0</v>
      </c>
      <c r="AB674" s="9"/>
      <c r="AC674" s="162" t="s">
        <v>6</v>
      </c>
      <c r="AD674" s="150">
        <f t="shared" si="34"/>
        <v>0</v>
      </c>
      <c r="AE674" s="95" t="s">
        <v>64</v>
      </c>
    </row>
    <row r="675" spans="1:31" s="55" customFormat="1" ht="30" customHeight="1">
      <c r="A675" s="155"/>
      <c r="B675" s="155"/>
      <c r="C675" s="155"/>
      <c r="D675" s="155"/>
      <c r="E675" s="155"/>
      <c r="F675" s="155"/>
      <c r="G675" s="155"/>
      <c r="H675" s="155"/>
      <c r="I675" s="155"/>
      <c r="J675" s="155"/>
      <c r="K675" s="155"/>
      <c r="L675" s="155"/>
      <c r="M675" s="155"/>
      <c r="N675" s="155"/>
      <c r="O675" s="157"/>
      <c r="P675" s="92"/>
      <c r="Q675" s="145"/>
      <c r="R675" s="92"/>
      <c r="S675" s="145"/>
      <c r="T675" s="92"/>
      <c r="U675" s="145"/>
      <c r="V675" s="92"/>
      <c r="W675" s="145"/>
      <c r="X675" s="92"/>
      <c r="Y675" s="352"/>
      <c r="Z675" s="142" t="str">
        <f t="shared" si="35"/>
        <v/>
      </c>
      <c r="AA675" s="226" t="b">
        <f t="shared" si="36"/>
        <v>0</v>
      </c>
      <c r="AB675" s="9"/>
      <c r="AC675" s="162" t="s">
        <v>6</v>
      </c>
      <c r="AD675" s="150">
        <f t="shared" si="34"/>
        <v>0</v>
      </c>
      <c r="AE675" s="95" t="s">
        <v>64</v>
      </c>
    </row>
    <row r="676" spans="1:31" s="55" customFormat="1" ht="30" customHeight="1">
      <c r="A676" s="155"/>
      <c r="B676" s="155"/>
      <c r="C676" s="155"/>
      <c r="D676" s="155"/>
      <c r="E676" s="155"/>
      <c r="F676" s="155"/>
      <c r="G676" s="155"/>
      <c r="H676" s="155"/>
      <c r="I676" s="155"/>
      <c r="J676" s="155"/>
      <c r="K676" s="155"/>
      <c r="L676" s="155"/>
      <c r="M676" s="155"/>
      <c r="N676" s="155"/>
      <c r="O676" s="157"/>
      <c r="P676" s="92"/>
      <c r="Q676" s="145"/>
      <c r="R676" s="92"/>
      <c r="S676" s="145"/>
      <c r="T676" s="92"/>
      <c r="U676" s="145"/>
      <c r="V676" s="92"/>
      <c r="W676" s="145"/>
      <c r="X676" s="92"/>
      <c r="Y676" s="352"/>
      <c r="Z676" s="142" t="str">
        <f t="shared" si="35"/>
        <v/>
      </c>
      <c r="AA676" s="226" t="b">
        <f t="shared" si="36"/>
        <v>0</v>
      </c>
      <c r="AB676" s="9"/>
      <c r="AC676" s="162" t="s">
        <v>6</v>
      </c>
      <c r="AD676" s="150">
        <f t="shared" si="34"/>
        <v>0</v>
      </c>
      <c r="AE676" s="95" t="s">
        <v>64</v>
      </c>
    </row>
    <row r="677" spans="1:31" s="55" customFormat="1" ht="30" customHeight="1">
      <c r="A677" s="155"/>
      <c r="B677" s="155"/>
      <c r="C677" s="155"/>
      <c r="D677" s="155"/>
      <c r="E677" s="155"/>
      <c r="F677" s="155"/>
      <c r="G677" s="155"/>
      <c r="H677" s="155"/>
      <c r="I677" s="155"/>
      <c r="J677" s="155"/>
      <c r="K677" s="155"/>
      <c r="L677" s="155"/>
      <c r="M677" s="155"/>
      <c r="N677" s="155"/>
      <c r="O677" s="157"/>
      <c r="P677" s="92"/>
      <c r="Q677" s="145"/>
      <c r="R677" s="92"/>
      <c r="S677" s="145"/>
      <c r="T677" s="92"/>
      <c r="U677" s="145"/>
      <c r="V677" s="92"/>
      <c r="W677" s="145"/>
      <c r="X677" s="92"/>
      <c r="Y677" s="352"/>
      <c r="Z677" s="142" t="str">
        <f t="shared" si="35"/>
        <v/>
      </c>
      <c r="AA677" s="226" t="b">
        <f t="shared" si="36"/>
        <v>0</v>
      </c>
      <c r="AB677" s="9"/>
      <c r="AC677" s="162" t="s">
        <v>6</v>
      </c>
      <c r="AD677" s="150">
        <f t="shared" si="34"/>
        <v>0</v>
      </c>
      <c r="AE677" s="95" t="s">
        <v>64</v>
      </c>
    </row>
    <row r="678" spans="1:31" s="55" customFormat="1" ht="30" customHeight="1">
      <c r="A678" s="155"/>
      <c r="B678" s="155"/>
      <c r="C678" s="155"/>
      <c r="D678" s="155"/>
      <c r="E678" s="155"/>
      <c r="F678" s="155"/>
      <c r="G678" s="155"/>
      <c r="H678" s="155"/>
      <c r="I678" s="155"/>
      <c r="J678" s="155"/>
      <c r="K678" s="155"/>
      <c r="L678" s="155"/>
      <c r="M678" s="155"/>
      <c r="N678" s="155"/>
      <c r="O678" s="157"/>
      <c r="P678" s="92"/>
      <c r="Q678" s="145"/>
      <c r="R678" s="92"/>
      <c r="S678" s="145"/>
      <c r="T678" s="92"/>
      <c r="U678" s="145"/>
      <c r="V678" s="92"/>
      <c r="W678" s="145"/>
      <c r="X678" s="92"/>
      <c r="Y678" s="352"/>
      <c r="Z678" s="142" t="str">
        <f t="shared" si="35"/>
        <v/>
      </c>
      <c r="AA678" s="226" t="b">
        <f t="shared" si="36"/>
        <v>0</v>
      </c>
      <c r="AB678" s="9"/>
      <c r="AC678" s="162" t="s">
        <v>6</v>
      </c>
      <c r="AD678" s="150">
        <f t="shared" si="34"/>
        <v>0</v>
      </c>
      <c r="AE678" s="95" t="s">
        <v>64</v>
      </c>
    </row>
    <row r="679" spans="1:31" s="55" customFormat="1" ht="30" customHeight="1">
      <c r="A679" s="155"/>
      <c r="B679" s="155"/>
      <c r="C679" s="155"/>
      <c r="D679" s="155"/>
      <c r="E679" s="155"/>
      <c r="F679" s="155"/>
      <c r="G679" s="155"/>
      <c r="H679" s="155"/>
      <c r="I679" s="155"/>
      <c r="J679" s="155"/>
      <c r="K679" s="155"/>
      <c r="L679" s="155"/>
      <c r="M679" s="155"/>
      <c r="N679" s="155"/>
      <c r="O679" s="157"/>
      <c r="P679" s="92"/>
      <c r="Q679" s="145"/>
      <c r="R679" s="92"/>
      <c r="S679" s="145"/>
      <c r="T679" s="92"/>
      <c r="U679" s="145"/>
      <c r="V679" s="92"/>
      <c r="W679" s="145"/>
      <c r="X679" s="92"/>
      <c r="Y679" s="352"/>
      <c r="Z679" s="142" t="str">
        <f t="shared" si="35"/>
        <v/>
      </c>
      <c r="AA679" s="226" t="b">
        <f t="shared" si="36"/>
        <v>0</v>
      </c>
      <c r="AB679" s="9"/>
      <c r="AC679" s="162" t="s">
        <v>6</v>
      </c>
      <c r="AD679" s="150">
        <f t="shared" si="34"/>
        <v>0</v>
      </c>
      <c r="AE679" s="95" t="s">
        <v>64</v>
      </c>
    </row>
    <row r="680" spans="1:31" s="55" customFormat="1" ht="30" customHeight="1">
      <c r="A680" s="155"/>
      <c r="B680" s="155"/>
      <c r="C680" s="155"/>
      <c r="D680" s="155"/>
      <c r="E680" s="155"/>
      <c r="F680" s="155"/>
      <c r="G680" s="155"/>
      <c r="H680" s="155"/>
      <c r="I680" s="155"/>
      <c r="J680" s="155"/>
      <c r="K680" s="155"/>
      <c r="L680" s="155"/>
      <c r="M680" s="155"/>
      <c r="N680" s="155"/>
      <c r="O680" s="157"/>
      <c r="P680" s="92"/>
      <c r="Q680" s="145"/>
      <c r="R680" s="92"/>
      <c r="S680" s="145"/>
      <c r="T680" s="92"/>
      <c r="U680" s="145"/>
      <c r="V680" s="92"/>
      <c r="W680" s="145"/>
      <c r="X680" s="92"/>
      <c r="Y680" s="352"/>
      <c r="Z680" s="142" t="str">
        <f t="shared" si="35"/>
        <v/>
      </c>
      <c r="AA680" s="226" t="b">
        <f t="shared" si="36"/>
        <v>0</v>
      </c>
      <c r="AB680" s="9"/>
      <c r="AC680" s="162" t="s">
        <v>6</v>
      </c>
      <c r="AD680" s="150">
        <f t="shared" si="34"/>
        <v>0</v>
      </c>
      <c r="AE680" s="95" t="s">
        <v>64</v>
      </c>
    </row>
    <row r="681" spans="1:31" s="55" customFormat="1" ht="30" customHeight="1">
      <c r="A681" s="155"/>
      <c r="B681" s="155"/>
      <c r="C681" s="155"/>
      <c r="D681" s="155"/>
      <c r="E681" s="155"/>
      <c r="F681" s="155"/>
      <c r="G681" s="155"/>
      <c r="H681" s="155"/>
      <c r="I681" s="155"/>
      <c r="J681" s="155"/>
      <c r="K681" s="155"/>
      <c r="L681" s="155"/>
      <c r="M681" s="155"/>
      <c r="N681" s="155"/>
      <c r="O681" s="157"/>
      <c r="P681" s="92"/>
      <c r="Q681" s="145"/>
      <c r="R681" s="92"/>
      <c r="S681" s="145"/>
      <c r="T681" s="92"/>
      <c r="U681" s="145"/>
      <c r="V681" s="92"/>
      <c r="W681" s="145"/>
      <c r="X681" s="92"/>
      <c r="Y681" s="352"/>
      <c r="Z681" s="142" t="str">
        <f t="shared" si="35"/>
        <v/>
      </c>
      <c r="AA681" s="226" t="b">
        <f t="shared" si="36"/>
        <v>0</v>
      </c>
      <c r="AB681" s="9"/>
      <c r="AC681" s="162" t="s">
        <v>6</v>
      </c>
      <c r="AD681" s="150">
        <f t="shared" si="34"/>
        <v>0</v>
      </c>
      <c r="AE681" s="95" t="s">
        <v>64</v>
      </c>
    </row>
    <row r="682" spans="1:31" s="55" customFormat="1" ht="30" customHeight="1">
      <c r="A682" s="155"/>
      <c r="B682" s="155"/>
      <c r="C682" s="155"/>
      <c r="D682" s="155"/>
      <c r="E682" s="155"/>
      <c r="F682" s="155"/>
      <c r="G682" s="155"/>
      <c r="H682" s="155"/>
      <c r="I682" s="155"/>
      <c r="J682" s="155"/>
      <c r="K682" s="155"/>
      <c r="L682" s="155"/>
      <c r="M682" s="155"/>
      <c r="N682" s="155"/>
      <c r="O682" s="157"/>
      <c r="P682" s="92"/>
      <c r="Q682" s="145"/>
      <c r="R682" s="92"/>
      <c r="S682" s="145"/>
      <c r="T682" s="92"/>
      <c r="U682" s="145"/>
      <c r="V682" s="92"/>
      <c r="W682" s="145"/>
      <c r="X682" s="92"/>
      <c r="Y682" s="352"/>
      <c r="Z682" s="142" t="str">
        <f t="shared" si="35"/>
        <v/>
      </c>
      <c r="AA682" s="226" t="b">
        <f t="shared" si="36"/>
        <v>0</v>
      </c>
      <c r="AB682" s="9"/>
      <c r="AC682" s="162" t="s">
        <v>6</v>
      </c>
      <c r="AD682" s="150">
        <f t="shared" si="34"/>
        <v>0</v>
      </c>
      <c r="AE682" s="95" t="s">
        <v>64</v>
      </c>
    </row>
    <row r="683" spans="1:31" s="55" customFormat="1" ht="30" customHeight="1">
      <c r="A683" s="155"/>
      <c r="B683" s="155"/>
      <c r="C683" s="155"/>
      <c r="D683" s="155"/>
      <c r="E683" s="155"/>
      <c r="F683" s="155"/>
      <c r="G683" s="155"/>
      <c r="H683" s="155"/>
      <c r="I683" s="155"/>
      <c r="J683" s="155"/>
      <c r="K683" s="155"/>
      <c r="L683" s="155"/>
      <c r="M683" s="155"/>
      <c r="N683" s="155"/>
      <c r="O683" s="157"/>
      <c r="P683" s="92"/>
      <c r="Q683" s="145"/>
      <c r="R683" s="92"/>
      <c r="S683" s="145"/>
      <c r="T683" s="92"/>
      <c r="U683" s="145"/>
      <c r="V683" s="92"/>
      <c r="W683" s="145"/>
      <c r="X683" s="92"/>
      <c r="Y683" s="352"/>
      <c r="Z683" s="142" t="str">
        <f t="shared" si="35"/>
        <v/>
      </c>
      <c r="AA683" s="226" t="b">
        <f t="shared" si="36"/>
        <v>0</v>
      </c>
      <c r="AB683" s="9"/>
      <c r="AC683" s="162" t="s">
        <v>6</v>
      </c>
      <c r="AD683" s="150">
        <f t="shared" ref="AD683:AD746" si="37">E683</f>
        <v>0</v>
      </c>
      <c r="AE683" s="95" t="s">
        <v>64</v>
      </c>
    </row>
    <row r="684" spans="1:31" s="55" customFormat="1" ht="30" customHeight="1">
      <c r="A684" s="155"/>
      <c r="B684" s="155"/>
      <c r="C684" s="155"/>
      <c r="D684" s="155"/>
      <c r="E684" s="155"/>
      <c r="F684" s="155"/>
      <c r="G684" s="155"/>
      <c r="H684" s="155"/>
      <c r="I684" s="155"/>
      <c r="J684" s="155"/>
      <c r="K684" s="155"/>
      <c r="L684" s="155"/>
      <c r="M684" s="155"/>
      <c r="N684" s="155"/>
      <c r="O684" s="157"/>
      <c r="P684" s="92"/>
      <c r="Q684" s="145"/>
      <c r="R684" s="92"/>
      <c r="S684" s="145"/>
      <c r="T684" s="92"/>
      <c r="U684" s="145"/>
      <c r="V684" s="92"/>
      <c r="W684" s="145"/>
      <c r="X684" s="92"/>
      <c r="Y684" s="352"/>
      <c r="Z684" s="142" t="str">
        <f t="shared" si="35"/>
        <v/>
      </c>
      <c r="AA684" s="226" t="b">
        <f t="shared" si="36"/>
        <v>0</v>
      </c>
      <c r="AB684" s="9"/>
      <c r="AC684" s="162" t="s">
        <v>6</v>
      </c>
      <c r="AD684" s="150">
        <f t="shared" si="37"/>
        <v>0</v>
      </c>
      <c r="AE684" s="95" t="s">
        <v>64</v>
      </c>
    </row>
    <row r="685" spans="1:31" s="55" customFormat="1" ht="30" customHeight="1">
      <c r="A685" s="155"/>
      <c r="B685" s="155"/>
      <c r="C685" s="155"/>
      <c r="D685" s="155"/>
      <c r="E685" s="155"/>
      <c r="F685" s="155"/>
      <c r="G685" s="155"/>
      <c r="H685" s="155"/>
      <c r="I685" s="155"/>
      <c r="J685" s="155"/>
      <c r="K685" s="155"/>
      <c r="L685" s="155"/>
      <c r="M685" s="155"/>
      <c r="N685" s="155"/>
      <c r="O685" s="157"/>
      <c r="P685" s="92"/>
      <c r="Q685" s="145"/>
      <c r="R685" s="92"/>
      <c r="S685" s="145"/>
      <c r="T685" s="92"/>
      <c r="U685" s="145"/>
      <c r="V685" s="92"/>
      <c r="W685" s="145"/>
      <c r="X685" s="92"/>
      <c r="Y685" s="352"/>
      <c r="Z685" s="142" t="str">
        <f t="shared" si="35"/>
        <v/>
      </c>
      <c r="AA685" s="226" t="b">
        <f t="shared" si="36"/>
        <v>0</v>
      </c>
      <c r="AB685" s="9"/>
      <c r="AC685" s="162" t="s">
        <v>6</v>
      </c>
      <c r="AD685" s="150">
        <f t="shared" si="37"/>
        <v>0</v>
      </c>
      <c r="AE685" s="95" t="s">
        <v>64</v>
      </c>
    </row>
    <row r="686" spans="1:31" s="55" customFormat="1" ht="30" customHeight="1">
      <c r="A686" s="155"/>
      <c r="B686" s="155"/>
      <c r="C686" s="155"/>
      <c r="D686" s="155"/>
      <c r="E686" s="155"/>
      <c r="F686" s="155"/>
      <c r="G686" s="155"/>
      <c r="H686" s="155"/>
      <c r="I686" s="155"/>
      <c r="J686" s="155"/>
      <c r="K686" s="155"/>
      <c r="L686" s="155"/>
      <c r="M686" s="155"/>
      <c r="N686" s="155"/>
      <c r="O686" s="157"/>
      <c r="P686" s="92"/>
      <c r="Q686" s="145"/>
      <c r="R686" s="92"/>
      <c r="S686" s="145"/>
      <c r="T686" s="92"/>
      <c r="U686" s="145"/>
      <c r="V686" s="92"/>
      <c r="W686" s="145"/>
      <c r="X686" s="92"/>
      <c r="Y686" s="352"/>
      <c r="Z686" s="142" t="str">
        <f t="shared" si="35"/>
        <v/>
      </c>
      <c r="AA686" s="226" t="b">
        <f t="shared" si="36"/>
        <v>0</v>
      </c>
      <c r="AB686" s="9"/>
      <c r="AC686" s="162" t="s">
        <v>6</v>
      </c>
      <c r="AD686" s="150">
        <f t="shared" si="37"/>
        <v>0</v>
      </c>
      <c r="AE686" s="95" t="s">
        <v>64</v>
      </c>
    </row>
    <row r="687" spans="1:31" s="55" customFormat="1" ht="30" customHeight="1">
      <c r="A687" s="155"/>
      <c r="B687" s="155"/>
      <c r="C687" s="155"/>
      <c r="D687" s="155"/>
      <c r="E687" s="155"/>
      <c r="F687" s="155"/>
      <c r="G687" s="155"/>
      <c r="H687" s="155"/>
      <c r="I687" s="155"/>
      <c r="J687" s="155"/>
      <c r="K687" s="155"/>
      <c r="L687" s="155"/>
      <c r="M687" s="155"/>
      <c r="N687" s="155"/>
      <c r="O687" s="157"/>
      <c r="P687" s="92"/>
      <c r="Q687" s="145"/>
      <c r="R687" s="92"/>
      <c r="S687" s="145"/>
      <c r="T687" s="92"/>
      <c r="U687" s="145"/>
      <c r="V687" s="92"/>
      <c r="W687" s="145"/>
      <c r="X687" s="92"/>
      <c r="Y687" s="352"/>
      <c r="Z687" s="142" t="str">
        <f t="shared" si="35"/>
        <v/>
      </c>
      <c r="AA687" s="226" t="b">
        <f t="shared" si="36"/>
        <v>0</v>
      </c>
      <c r="AB687" s="9"/>
      <c r="AC687" s="162" t="s">
        <v>6</v>
      </c>
      <c r="AD687" s="150">
        <f t="shared" si="37"/>
        <v>0</v>
      </c>
      <c r="AE687" s="95" t="s">
        <v>64</v>
      </c>
    </row>
    <row r="688" spans="1:31" s="55" customFormat="1" ht="30" customHeight="1">
      <c r="A688" s="155"/>
      <c r="B688" s="155"/>
      <c r="C688" s="155"/>
      <c r="D688" s="155"/>
      <c r="E688" s="155"/>
      <c r="F688" s="155"/>
      <c r="G688" s="155"/>
      <c r="H688" s="155"/>
      <c r="I688" s="155"/>
      <c r="J688" s="155"/>
      <c r="K688" s="155"/>
      <c r="L688" s="155"/>
      <c r="M688" s="155"/>
      <c r="N688" s="155"/>
      <c r="O688" s="157"/>
      <c r="P688" s="92"/>
      <c r="Q688" s="145"/>
      <c r="R688" s="92"/>
      <c r="S688" s="145"/>
      <c r="T688" s="92"/>
      <c r="U688" s="145"/>
      <c r="V688" s="92"/>
      <c r="W688" s="145"/>
      <c r="X688" s="92"/>
      <c r="Y688" s="352"/>
      <c r="Z688" s="142" t="str">
        <f t="shared" si="35"/>
        <v/>
      </c>
      <c r="AA688" s="226" t="b">
        <f t="shared" si="36"/>
        <v>0</v>
      </c>
      <c r="AB688" s="9"/>
      <c r="AC688" s="162" t="s">
        <v>6</v>
      </c>
      <c r="AD688" s="150">
        <f t="shared" si="37"/>
        <v>0</v>
      </c>
      <c r="AE688" s="95" t="s">
        <v>64</v>
      </c>
    </row>
    <row r="689" spans="1:31" s="55" customFormat="1" ht="30" customHeight="1">
      <c r="A689" s="155"/>
      <c r="B689" s="155"/>
      <c r="C689" s="155"/>
      <c r="D689" s="155"/>
      <c r="E689" s="155"/>
      <c r="F689" s="155"/>
      <c r="G689" s="155"/>
      <c r="H689" s="155"/>
      <c r="I689" s="155"/>
      <c r="J689" s="155"/>
      <c r="K689" s="155"/>
      <c r="L689" s="155"/>
      <c r="M689" s="155"/>
      <c r="N689" s="155"/>
      <c r="O689" s="157"/>
      <c r="P689" s="92"/>
      <c r="Q689" s="145"/>
      <c r="R689" s="92"/>
      <c r="S689" s="145"/>
      <c r="T689" s="92"/>
      <c r="U689" s="145"/>
      <c r="V689" s="92"/>
      <c r="W689" s="145"/>
      <c r="X689" s="92"/>
      <c r="Y689" s="352"/>
      <c r="Z689" s="142" t="str">
        <f t="shared" si="35"/>
        <v/>
      </c>
      <c r="AA689" s="226" t="b">
        <f t="shared" si="36"/>
        <v>0</v>
      </c>
      <c r="AB689" s="9"/>
      <c r="AC689" s="162" t="s">
        <v>6</v>
      </c>
      <c r="AD689" s="150">
        <f t="shared" si="37"/>
        <v>0</v>
      </c>
      <c r="AE689" s="95" t="s">
        <v>64</v>
      </c>
    </row>
    <row r="690" spans="1:31" s="55" customFormat="1" ht="30" customHeight="1">
      <c r="A690" s="155"/>
      <c r="B690" s="155"/>
      <c r="C690" s="155"/>
      <c r="D690" s="155"/>
      <c r="E690" s="155"/>
      <c r="F690" s="155"/>
      <c r="G690" s="155"/>
      <c r="H690" s="155"/>
      <c r="I690" s="155"/>
      <c r="J690" s="155"/>
      <c r="K690" s="155"/>
      <c r="L690" s="155"/>
      <c r="M690" s="155"/>
      <c r="N690" s="155"/>
      <c r="O690" s="157"/>
      <c r="P690" s="92"/>
      <c r="Q690" s="145"/>
      <c r="R690" s="92"/>
      <c r="S690" s="145"/>
      <c r="T690" s="92"/>
      <c r="U690" s="145"/>
      <c r="V690" s="92"/>
      <c r="W690" s="145"/>
      <c r="X690" s="92"/>
      <c r="Y690" s="352"/>
      <c r="Z690" s="142" t="str">
        <f t="shared" si="35"/>
        <v/>
      </c>
      <c r="AA690" s="226" t="b">
        <f t="shared" si="36"/>
        <v>0</v>
      </c>
      <c r="AB690" s="9"/>
      <c r="AC690" s="162" t="s">
        <v>6</v>
      </c>
      <c r="AD690" s="150">
        <f t="shared" si="37"/>
        <v>0</v>
      </c>
      <c r="AE690" s="95" t="s">
        <v>64</v>
      </c>
    </row>
    <row r="691" spans="1:31" s="55" customFormat="1" ht="30" customHeight="1">
      <c r="A691" s="155"/>
      <c r="B691" s="155"/>
      <c r="C691" s="155"/>
      <c r="D691" s="155"/>
      <c r="E691" s="155"/>
      <c r="F691" s="155"/>
      <c r="G691" s="155"/>
      <c r="H691" s="155"/>
      <c r="I691" s="155"/>
      <c r="J691" s="155"/>
      <c r="K691" s="155"/>
      <c r="L691" s="155"/>
      <c r="M691" s="155"/>
      <c r="N691" s="155"/>
      <c r="O691" s="157"/>
      <c r="P691" s="92"/>
      <c r="Q691" s="145"/>
      <c r="R691" s="92"/>
      <c r="S691" s="145"/>
      <c r="T691" s="92"/>
      <c r="U691" s="145"/>
      <c r="V691" s="92"/>
      <c r="W691" s="145"/>
      <c r="X691" s="92"/>
      <c r="Y691" s="352"/>
      <c r="Z691" s="142" t="str">
        <f t="shared" si="35"/>
        <v/>
      </c>
      <c r="AA691" s="226" t="b">
        <f t="shared" si="36"/>
        <v>0</v>
      </c>
      <c r="AB691" s="9"/>
      <c r="AC691" s="162" t="s">
        <v>6</v>
      </c>
      <c r="AD691" s="150">
        <f t="shared" si="37"/>
        <v>0</v>
      </c>
      <c r="AE691" s="95" t="s">
        <v>64</v>
      </c>
    </row>
    <row r="692" spans="1:31" s="55" customFormat="1" ht="30" customHeight="1">
      <c r="A692" s="155"/>
      <c r="B692" s="155"/>
      <c r="C692" s="155"/>
      <c r="D692" s="155"/>
      <c r="E692" s="155"/>
      <c r="F692" s="155"/>
      <c r="G692" s="155"/>
      <c r="H692" s="155"/>
      <c r="I692" s="155"/>
      <c r="J692" s="155"/>
      <c r="K692" s="155"/>
      <c r="L692" s="155"/>
      <c r="M692" s="155"/>
      <c r="N692" s="155"/>
      <c r="O692" s="157"/>
      <c r="P692" s="92"/>
      <c r="Q692" s="145"/>
      <c r="R692" s="92"/>
      <c r="S692" s="145"/>
      <c r="T692" s="92"/>
      <c r="U692" s="145"/>
      <c r="V692" s="92"/>
      <c r="W692" s="145"/>
      <c r="X692" s="92"/>
      <c r="Y692" s="352"/>
      <c r="Z692" s="142" t="str">
        <f t="shared" si="35"/>
        <v/>
      </c>
      <c r="AA692" s="226" t="b">
        <f t="shared" si="36"/>
        <v>0</v>
      </c>
      <c r="AB692" s="9"/>
      <c r="AC692" s="162" t="s">
        <v>6</v>
      </c>
      <c r="AD692" s="150">
        <f t="shared" si="37"/>
        <v>0</v>
      </c>
      <c r="AE692" s="95" t="s">
        <v>64</v>
      </c>
    </row>
    <row r="693" spans="1:31" s="55" customFormat="1" ht="30" customHeight="1">
      <c r="A693" s="155"/>
      <c r="B693" s="155"/>
      <c r="C693" s="155"/>
      <c r="D693" s="155"/>
      <c r="E693" s="155"/>
      <c r="F693" s="155"/>
      <c r="G693" s="155"/>
      <c r="H693" s="155"/>
      <c r="I693" s="155"/>
      <c r="J693" s="155"/>
      <c r="K693" s="155"/>
      <c r="L693" s="155"/>
      <c r="M693" s="155"/>
      <c r="N693" s="155"/>
      <c r="O693" s="157"/>
      <c r="P693" s="92"/>
      <c r="Q693" s="145"/>
      <c r="R693" s="92"/>
      <c r="S693" s="145"/>
      <c r="T693" s="92"/>
      <c r="U693" s="145"/>
      <c r="V693" s="92"/>
      <c r="W693" s="145"/>
      <c r="X693" s="92"/>
      <c r="Y693" s="352"/>
      <c r="Z693" s="142" t="str">
        <f t="shared" si="35"/>
        <v/>
      </c>
      <c r="AA693" s="226" t="b">
        <f t="shared" si="36"/>
        <v>0</v>
      </c>
      <c r="AB693" s="9"/>
      <c r="AC693" s="162" t="s">
        <v>6</v>
      </c>
      <c r="AD693" s="150">
        <f t="shared" si="37"/>
        <v>0</v>
      </c>
      <c r="AE693" s="95" t="s">
        <v>64</v>
      </c>
    </row>
    <row r="694" spans="1:31" s="55" customFormat="1" ht="30" customHeight="1">
      <c r="A694" s="155"/>
      <c r="B694" s="155"/>
      <c r="C694" s="155"/>
      <c r="D694" s="155"/>
      <c r="E694" s="155"/>
      <c r="F694" s="155"/>
      <c r="G694" s="155"/>
      <c r="H694" s="155"/>
      <c r="I694" s="155"/>
      <c r="J694" s="155"/>
      <c r="K694" s="155"/>
      <c r="L694" s="155"/>
      <c r="M694" s="155"/>
      <c r="N694" s="155"/>
      <c r="O694" s="157"/>
      <c r="P694" s="92"/>
      <c r="Q694" s="145"/>
      <c r="R694" s="92"/>
      <c r="S694" s="145"/>
      <c r="T694" s="92"/>
      <c r="U694" s="145"/>
      <c r="V694" s="92"/>
      <c r="W694" s="145"/>
      <c r="X694" s="92"/>
      <c r="Y694" s="352"/>
      <c r="Z694" s="142" t="str">
        <f t="shared" si="35"/>
        <v/>
      </c>
      <c r="AA694" s="226" t="b">
        <f t="shared" si="36"/>
        <v>0</v>
      </c>
      <c r="AB694" s="9"/>
      <c r="AC694" s="162" t="s">
        <v>6</v>
      </c>
      <c r="AD694" s="150">
        <f t="shared" si="37"/>
        <v>0</v>
      </c>
      <c r="AE694" s="95" t="s">
        <v>64</v>
      </c>
    </row>
    <row r="695" spans="1:31" s="55" customFormat="1" ht="30" customHeight="1">
      <c r="A695" s="155"/>
      <c r="B695" s="155"/>
      <c r="C695" s="155"/>
      <c r="D695" s="155"/>
      <c r="E695" s="155"/>
      <c r="F695" s="155"/>
      <c r="G695" s="155"/>
      <c r="H695" s="155"/>
      <c r="I695" s="155"/>
      <c r="J695" s="155"/>
      <c r="K695" s="155"/>
      <c r="L695" s="155"/>
      <c r="M695" s="155"/>
      <c r="N695" s="155"/>
      <c r="O695" s="157"/>
      <c r="P695" s="92"/>
      <c r="Q695" s="145"/>
      <c r="R695" s="92"/>
      <c r="S695" s="145"/>
      <c r="T695" s="92"/>
      <c r="U695" s="145"/>
      <c r="V695" s="92"/>
      <c r="W695" s="145"/>
      <c r="X695" s="92"/>
      <c r="Y695" s="352"/>
      <c r="Z695" s="142" t="str">
        <f t="shared" si="35"/>
        <v/>
      </c>
      <c r="AA695" s="226" t="b">
        <f t="shared" si="36"/>
        <v>0</v>
      </c>
      <c r="AB695" s="9"/>
      <c r="AC695" s="162" t="s">
        <v>6</v>
      </c>
      <c r="AD695" s="150">
        <f t="shared" si="37"/>
        <v>0</v>
      </c>
      <c r="AE695" s="95" t="s">
        <v>64</v>
      </c>
    </row>
    <row r="696" spans="1:31" s="55" customFormat="1" ht="30" customHeight="1">
      <c r="A696" s="155"/>
      <c r="B696" s="155"/>
      <c r="C696" s="155"/>
      <c r="D696" s="155"/>
      <c r="E696" s="155"/>
      <c r="F696" s="155"/>
      <c r="G696" s="155"/>
      <c r="H696" s="155"/>
      <c r="I696" s="155"/>
      <c r="J696" s="155"/>
      <c r="K696" s="155"/>
      <c r="L696" s="155"/>
      <c r="M696" s="155"/>
      <c r="N696" s="155"/>
      <c r="O696" s="157"/>
      <c r="P696" s="92"/>
      <c r="Q696" s="145"/>
      <c r="R696" s="92"/>
      <c r="S696" s="145"/>
      <c r="T696" s="92"/>
      <c r="U696" s="145"/>
      <c r="V696" s="92"/>
      <c r="W696" s="145"/>
      <c r="X696" s="92"/>
      <c r="Y696" s="352"/>
      <c r="Z696" s="142" t="str">
        <f t="shared" si="35"/>
        <v/>
      </c>
      <c r="AA696" s="226" t="b">
        <f t="shared" si="36"/>
        <v>0</v>
      </c>
      <c r="AB696" s="9"/>
      <c r="AC696" s="162" t="s">
        <v>6</v>
      </c>
      <c r="AD696" s="150">
        <f t="shared" si="37"/>
        <v>0</v>
      </c>
      <c r="AE696" s="95" t="s">
        <v>64</v>
      </c>
    </row>
    <row r="697" spans="1:31" s="55" customFormat="1" ht="30" customHeight="1">
      <c r="A697" s="155"/>
      <c r="B697" s="155"/>
      <c r="C697" s="155"/>
      <c r="D697" s="155"/>
      <c r="E697" s="155"/>
      <c r="F697" s="155"/>
      <c r="G697" s="155"/>
      <c r="H697" s="155"/>
      <c r="I697" s="155"/>
      <c r="J697" s="155"/>
      <c r="K697" s="155"/>
      <c r="L697" s="155"/>
      <c r="M697" s="155"/>
      <c r="N697" s="155"/>
      <c r="O697" s="157"/>
      <c r="P697" s="92"/>
      <c r="Q697" s="145"/>
      <c r="R697" s="92"/>
      <c r="S697" s="145"/>
      <c r="T697" s="92"/>
      <c r="U697" s="145"/>
      <c r="V697" s="92"/>
      <c r="W697" s="145"/>
      <c r="X697" s="92"/>
      <c r="Y697" s="352"/>
      <c r="Z697" s="142" t="str">
        <f t="shared" si="35"/>
        <v/>
      </c>
      <c r="AA697" s="226" t="b">
        <f t="shared" si="36"/>
        <v>0</v>
      </c>
      <c r="AB697" s="9"/>
      <c r="AC697" s="162" t="s">
        <v>6</v>
      </c>
      <c r="AD697" s="150">
        <f t="shared" si="37"/>
        <v>0</v>
      </c>
      <c r="AE697" s="95" t="s">
        <v>64</v>
      </c>
    </row>
    <row r="698" spans="1:31" s="55" customFormat="1" ht="30" customHeight="1">
      <c r="A698" s="155"/>
      <c r="B698" s="155"/>
      <c r="C698" s="155"/>
      <c r="D698" s="155"/>
      <c r="E698" s="155"/>
      <c r="F698" s="155"/>
      <c r="G698" s="155"/>
      <c r="H698" s="155"/>
      <c r="I698" s="155"/>
      <c r="J698" s="155"/>
      <c r="K698" s="155"/>
      <c r="L698" s="155"/>
      <c r="M698" s="155"/>
      <c r="N698" s="155"/>
      <c r="O698" s="157"/>
      <c r="P698" s="92"/>
      <c r="Q698" s="145"/>
      <c r="R698" s="92"/>
      <c r="S698" s="145"/>
      <c r="T698" s="92"/>
      <c r="U698" s="145"/>
      <c r="V698" s="92"/>
      <c r="W698" s="145"/>
      <c r="X698" s="92"/>
      <c r="Y698" s="352"/>
      <c r="Z698" s="142" t="str">
        <f t="shared" ref="Z698:Z761" si="38">IF(AND(O698="",Q698="",S698="",U698="",W698=""),"",IF(OR(AND(O698&lt;&gt;"NA",O698&lt;&gt;"C",O698&lt;&gt;"NC",O698&lt;&gt;"SF",O698&lt;&gt;""),AND(Q698&lt;&gt;"NA",Q698&lt;&gt;"C",Q698&lt;&gt;"NC",Q698&lt;&gt;"SF",Q698&lt;&gt;""),AND(S698&lt;&gt;"NA",S698&lt;&gt;"C",S698&lt;&gt;"NC",S698&lt;&gt;"SF",S698&lt;&gt;""),AND(U698&lt;&gt;"NA",U698&lt;&gt;"C",U698&lt;&gt;"NC",U698&lt;&gt;"SF",U698&lt;&gt;""),AND(W698&lt;&gt;"NA",W698&lt;&gt;"C",W698&lt;&gt;"NC",W698&lt;&gt;"SF",W698&lt;&gt;"")),"FALSO",IF(AND(O698="NA",Q698="NA",S698="NA",U698="NA",W698="NA"),"NA",IF(OR(O698="NC",Q698="NC",S698="NC",U698="NC",W698="NC",O698="SF",Q698="SF",S698="SF",U698="SF",W698="SF"),"NC",IF(OR(O698="C",Q698="C",S698="C",U698="C",W698="C"),"C","")))))</f>
        <v/>
      </c>
      <c r="AA698" s="226" t="b">
        <f t="shared" ref="AA698:AA761" si="39">IF(AND(Y698="C",Z698="C"),"UTILIZOU O PDA CORRETAMENTE",IF(AND(Y698="C",Z698="NC"),"UTILIZOU O PDA CORRETAMENTE. NÃO HÁ FOTOS DE TODAS AS ETAPAS",IF(AND(Y698="NC",Z698="NC"),"NÃO UTILIZOU O PDA",IF(AND(Y698="NA",Z698="NA"),"NÃO AVALIADO POR FALHA DE SINCRONISMO"))))</f>
        <v>0</v>
      </c>
      <c r="AB698" s="9"/>
      <c r="AC698" s="162" t="s">
        <v>6</v>
      </c>
      <c r="AD698" s="150">
        <f t="shared" si="37"/>
        <v>0</v>
      </c>
      <c r="AE698" s="95" t="s">
        <v>64</v>
      </c>
    </row>
    <row r="699" spans="1:31" s="55" customFormat="1" ht="30" customHeight="1">
      <c r="A699" s="155"/>
      <c r="B699" s="155"/>
      <c r="C699" s="155"/>
      <c r="D699" s="155"/>
      <c r="E699" s="155"/>
      <c r="F699" s="155"/>
      <c r="G699" s="155"/>
      <c r="H699" s="155"/>
      <c r="I699" s="155"/>
      <c r="J699" s="155"/>
      <c r="K699" s="155"/>
      <c r="L699" s="155"/>
      <c r="M699" s="155"/>
      <c r="N699" s="155"/>
      <c r="O699" s="157"/>
      <c r="P699" s="92"/>
      <c r="Q699" s="145"/>
      <c r="R699" s="92"/>
      <c r="S699" s="145"/>
      <c r="T699" s="92"/>
      <c r="U699" s="145"/>
      <c r="V699" s="92"/>
      <c r="W699" s="145"/>
      <c r="X699" s="92"/>
      <c r="Y699" s="352"/>
      <c r="Z699" s="142" t="str">
        <f t="shared" si="38"/>
        <v/>
      </c>
      <c r="AA699" s="226" t="b">
        <f t="shared" si="39"/>
        <v>0</v>
      </c>
      <c r="AB699" s="9"/>
      <c r="AC699" s="162" t="s">
        <v>6</v>
      </c>
      <c r="AD699" s="150">
        <f t="shared" si="37"/>
        <v>0</v>
      </c>
      <c r="AE699" s="95" t="s">
        <v>64</v>
      </c>
    </row>
    <row r="700" spans="1:31" s="55" customFormat="1" ht="30" customHeight="1">
      <c r="A700" s="155"/>
      <c r="B700" s="155"/>
      <c r="C700" s="155"/>
      <c r="D700" s="155"/>
      <c r="E700" s="155"/>
      <c r="F700" s="155"/>
      <c r="G700" s="155"/>
      <c r="H700" s="155"/>
      <c r="I700" s="155"/>
      <c r="J700" s="155"/>
      <c r="K700" s="155"/>
      <c r="L700" s="155"/>
      <c r="M700" s="155"/>
      <c r="N700" s="155"/>
      <c r="O700" s="157"/>
      <c r="P700" s="92"/>
      <c r="Q700" s="145"/>
      <c r="R700" s="92"/>
      <c r="S700" s="145"/>
      <c r="T700" s="92"/>
      <c r="U700" s="145"/>
      <c r="V700" s="92"/>
      <c r="W700" s="145"/>
      <c r="X700" s="92"/>
      <c r="Y700" s="352"/>
      <c r="Z700" s="142" t="str">
        <f t="shared" si="38"/>
        <v/>
      </c>
      <c r="AA700" s="226" t="b">
        <f t="shared" si="39"/>
        <v>0</v>
      </c>
      <c r="AB700" s="9"/>
      <c r="AC700" s="162" t="s">
        <v>6</v>
      </c>
      <c r="AD700" s="150">
        <f t="shared" si="37"/>
        <v>0</v>
      </c>
      <c r="AE700" s="95" t="s">
        <v>64</v>
      </c>
    </row>
    <row r="701" spans="1:31" s="55" customFormat="1" ht="30" customHeight="1">
      <c r="A701" s="155"/>
      <c r="B701" s="155"/>
      <c r="C701" s="155"/>
      <c r="D701" s="155"/>
      <c r="E701" s="155"/>
      <c r="F701" s="155"/>
      <c r="G701" s="155"/>
      <c r="H701" s="155"/>
      <c r="I701" s="155"/>
      <c r="J701" s="155"/>
      <c r="K701" s="155"/>
      <c r="L701" s="155"/>
      <c r="M701" s="155"/>
      <c r="N701" s="155"/>
      <c r="O701" s="157"/>
      <c r="P701" s="92"/>
      <c r="Q701" s="145"/>
      <c r="R701" s="92"/>
      <c r="S701" s="145"/>
      <c r="T701" s="92"/>
      <c r="U701" s="145"/>
      <c r="V701" s="92"/>
      <c r="W701" s="145"/>
      <c r="X701" s="92"/>
      <c r="Y701" s="352"/>
      <c r="Z701" s="142" t="str">
        <f t="shared" si="38"/>
        <v/>
      </c>
      <c r="AA701" s="226" t="b">
        <f t="shared" si="39"/>
        <v>0</v>
      </c>
      <c r="AB701" s="9"/>
      <c r="AC701" s="162" t="s">
        <v>6</v>
      </c>
      <c r="AD701" s="150">
        <f t="shared" si="37"/>
        <v>0</v>
      </c>
      <c r="AE701" s="95" t="s">
        <v>64</v>
      </c>
    </row>
    <row r="702" spans="1:31" s="55" customFormat="1" ht="30" customHeight="1">
      <c r="A702" s="155"/>
      <c r="B702" s="155"/>
      <c r="C702" s="155"/>
      <c r="D702" s="155"/>
      <c r="E702" s="155"/>
      <c r="F702" s="155"/>
      <c r="G702" s="155"/>
      <c r="H702" s="155"/>
      <c r="I702" s="155"/>
      <c r="J702" s="155"/>
      <c r="K702" s="155"/>
      <c r="L702" s="155"/>
      <c r="M702" s="155"/>
      <c r="N702" s="155"/>
      <c r="O702" s="157"/>
      <c r="P702" s="92"/>
      <c r="Q702" s="145"/>
      <c r="R702" s="92"/>
      <c r="S702" s="145"/>
      <c r="T702" s="92"/>
      <c r="U702" s="145"/>
      <c r="V702" s="92"/>
      <c r="W702" s="145"/>
      <c r="X702" s="92"/>
      <c r="Y702" s="352"/>
      <c r="Z702" s="142" t="str">
        <f t="shared" si="38"/>
        <v/>
      </c>
      <c r="AA702" s="226" t="b">
        <f t="shared" si="39"/>
        <v>0</v>
      </c>
      <c r="AB702" s="9"/>
      <c r="AC702" s="162" t="s">
        <v>6</v>
      </c>
      <c r="AD702" s="150">
        <f t="shared" si="37"/>
        <v>0</v>
      </c>
      <c r="AE702" s="95" t="s">
        <v>64</v>
      </c>
    </row>
    <row r="703" spans="1:31" s="55" customFormat="1" ht="30" customHeight="1">
      <c r="A703" s="155"/>
      <c r="B703" s="155"/>
      <c r="C703" s="155"/>
      <c r="D703" s="155"/>
      <c r="E703" s="155"/>
      <c r="F703" s="155"/>
      <c r="G703" s="155"/>
      <c r="H703" s="155"/>
      <c r="I703" s="155"/>
      <c r="J703" s="155"/>
      <c r="K703" s="155"/>
      <c r="L703" s="155"/>
      <c r="M703" s="155"/>
      <c r="N703" s="155"/>
      <c r="O703" s="157"/>
      <c r="P703" s="92"/>
      <c r="Q703" s="145"/>
      <c r="R703" s="92"/>
      <c r="S703" s="145"/>
      <c r="T703" s="92"/>
      <c r="U703" s="145"/>
      <c r="V703" s="92"/>
      <c r="W703" s="145"/>
      <c r="X703" s="92"/>
      <c r="Y703" s="352"/>
      <c r="Z703" s="142" t="str">
        <f t="shared" si="38"/>
        <v/>
      </c>
      <c r="AA703" s="226" t="b">
        <f t="shared" si="39"/>
        <v>0</v>
      </c>
      <c r="AB703" s="9"/>
      <c r="AC703" s="162" t="s">
        <v>6</v>
      </c>
      <c r="AD703" s="150">
        <f t="shared" si="37"/>
        <v>0</v>
      </c>
      <c r="AE703" s="95" t="s">
        <v>64</v>
      </c>
    </row>
    <row r="704" spans="1:31" s="55" customFormat="1" ht="30" customHeight="1">
      <c r="A704" s="155"/>
      <c r="B704" s="155"/>
      <c r="C704" s="155"/>
      <c r="D704" s="155"/>
      <c r="E704" s="155"/>
      <c r="F704" s="155"/>
      <c r="G704" s="155"/>
      <c r="H704" s="155"/>
      <c r="I704" s="155"/>
      <c r="J704" s="155"/>
      <c r="K704" s="155"/>
      <c r="L704" s="155"/>
      <c r="M704" s="155"/>
      <c r="N704" s="155"/>
      <c r="O704" s="157"/>
      <c r="P704" s="92"/>
      <c r="Q704" s="145"/>
      <c r="R704" s="92"/>
      <c r="S704" s="145"/>
      <c r="T704" s="92"/>
      <c r="U704" s="145"/>
      <c r="V704" s="92"/>
      <c r="W704" s="145"/>
      <c r="X704" s="92"/>
      <c r="Y704" s="352"/>
      <c r="Z704" s="142" t="str">
        <f t="shared" si="38"/>
        <v/>
      </c>
      <c r="AA704" s="226" t="b">
        <f t="shared" si="39"/>
        <v>0</v>
      </c>
      <c r="AB704" s="9"/>
      <c r="AC704" s="162" t="s">
        <v>6</v>
      </c>
      <c r="AD704" s="150">
        <f t="shared" si="37"/>
        <v>0</v>
      </c>
      <c r="AE704" s="95" t="s">
        <v>64</v>
      </c>
    </row>
    <row r="705" spans="1:31" s="55" customFormat="1" ht="30" customHeight="1">
      <c r="A705" s="155"/>
      <c r="B705" s="155"/>
      <c r="C705" s="155"/>
      <c r="D705" s="155"/>
      <c r="E705" s="155"/>
      <c r="F705" s="155"/>
      <c r="G705" s="155"/>
      <c r="H705" s="155"/>
      <c r="I705" s="155"/>
      <c r="J705" s="155"/>
      <c r="K705" s="155"/>
      <c r="L705" s="155"/>
      <c r="M705" s="155"/>
      <c r="N705" s="155"/>
      <c r="O705" s="157"/>
      <c r="P705" s="92"/>
      <c r="Q705" s="145"/>
      <c r="R705" s="92"/>
      <c r="S705" s="145"/>
      <c r="T705" s="92"/>
      <c r="U705" s="145"/>
      <c r="V705" s="92"/>
      <c r="W705" s="145"/>
      <c r="X705" s="92"/>
      <c r="Y705" s="352"/>
      <c r="Z705" s="142" t="str">
        <f t="shared" si="38"/>
        <v/>
      </c>
      <c r="AA705" s="226" t="b">
        <f t="shared" si="39"/>
        <v>0</v>
      </c>
      <c r="AB705" s="9"/>
      <c r="AC705" s="162" t="s">
        <v>6</v>
      </c>
      <c r="AD705" s="150">
        <f t="shared" si="37"/>
        <v>0</v>
      </c>
      <c r="AE705" s="95" t="s">
        <v>64</v>
      </c>
    </row>
    <row r="706" spans="1:31" s="55" customFormat="1" ht="30" customHeight="1">
      <c r="A706" s="155"/>
      <c r="B706" s="155"/>
      <c r="C706" s="155"/>
      <c r="D706" s="155"/>
      <c r="E706" s="155"/>
      <c r="F706" s="155"/>
      <c r="G706" s="155"/>
      <c r="H706" s="155"/>
      <c r="I706" s="155"/>
      <c r="J706" s="155"/>
      <c r="K706" s="155"/>
      <c r="L706" s="155"/>
      <c r="M706" s="155"/>
      <c r="N706" s="155"/>
      <c r="O706" s="157"/>
      <c r="P706" s="92"/>
      <c r="Q706" s="145"/>
      <c r="R706" s="92"/>
      <c r="S706" s="145"/>
      <c r="T706" s="92"/>
      <c r="U706" s="145"/>
      <c r="V706" s="92"/>
      <c r="W706" s="145"/>
      <c r="X706" s="92"/>
      <c r="Y706" s="352"/>
      <c r="Z706" s="142" t="str">
        <f t="shared" si="38"/>
        <v/>
      </c>
      <c r="AA706" s="226" t="b">
        <f t="shared" si="39"/>
        <v>0</v>
      </c>
      <c r="AB706" s="9"/>
      <c r="AC706" s="162" t="s">
        <v>6</v>
      </c>
      <c r="AD706" s="150">
        <f t="shared" si="37"/>
        <v>0</v>
      </c>
      <c r="AE706" s="95" t="s">
        <v>64</v>
      </c>
    </row>
    <row r="707" spans="1:31" s="55" customFormat="1" ht="30" customHeight="1">
      <c r="A707" s="155"/>
      <c r="B707" s="155"/>
      <c r="C707" s="155"/>
      <c r="D707" s="155"/>
      <c r="E707" s="155"/>
      <c r="F707" s="155"/>
      <c r="G707" s="155"/>
      <c r="H707" s="155"/>
      <c r="I707" s="155"/>
      <c r="J707" s="155"/>
      <c r="K707" s="155"/>
      <c r="L707" s="155"/>
      <c r="M707" s="155"/>
      <c r="N707" s="155"/>
      <c r="O707" s="157"/>
      <c r="P707" s="92"/>
      <c r="Q707" s="145"/>
      <c r="R707" s="92"/>
      <c r="S707" s="145"/>
      <c r="T707" s="92"/>
      <c r="U707" s="145"/>
      <c r="V707" s="92"/>
      <c r="W707" s="145"/>
      <c r="X707" s="92"/>
      <c r="Y707" s="352"/>
      <c r="Z707" s="142" t="str">
        <f t="shared" si="38"/>
        <v/>
      </c>
      <c r="AA707" s="226" t="b">
        <f t="shared" si="39"/>
        <v>0</v>
      </c>
      <c r="AB707" s="9"/>
      <c r="AC707" s="162" t="s">
        <v>6</v>
      </c>
      <c r="AD707" s="150">
        <f t="shared" si="37"/>
        <v>0</v>
      </c>
      <c r="AE707" s="95" t="s">
        <v>64</v>
      </c>
    </row>
    <row r="708" spans="1:31" s="55" customFormat="1" ht="30" customHeight="1">
      <c r="A708" s="155"/>
      <c r="B708" s="155"/>
      <c r="C708" s="155"/>
      <c r="D708" s="155"/>
      <c r="E708" s="155"/>
      <c r="F708" s="155"/>
      <c r="G708" s="155"/>
      <c r="H708" s="155"/>
      <c r="I708" s="155"/>
      <c r="J708" s="155"/>
      <c r="K708" s="155"/>
      <c r="L708" s="155"/>
      <c r="M708" s="155"/>
      <c r="N708" s="155"/>
      <c r="O708" s="157"/>
      <c r="P708" s="92"/>
      <c r="Q708" s="145"/>
      <c r="R708" s="92"/>
      <c r="S708" s="145"/>
      <c r="T708" s="92"/>
      <c r="U708" s="145"/>
      <c r="V708" s="92"/>
      <c r="W708" s="145"/>
      <c r="X708" s="92"/>
      <c r="Y708" s="352"/>
      <c r="Z708" s="142" t="str">
        <f t="shared" si="38"/>
        <v/>
      </c>
      <c r="AA708" s="226" t="b">
        <f t="shared" si="39"/>
        <v>0</v>
      </c>
      <c r="AB708" s="9"/>
      <c r="AC708" s="162" t="s">
        <v>6</v>
      </c>
      <c r="AD708" s="150">
        <f t="shared" si="37"/>
        <v>0</v>
      </c>
      <c r="AE708" s="95" t="s">
        <v>64</v>
      </c>
    </row>
    <row r="709" spans="1:31" s="55" customFormat="1" ht="30" customHeight="1">
      <c r="A709" s="155"/>
      <c r="B709" s="155"/>
      <c r="C709" s="155"/>
      <c r="D709" s="155"/>
      <c r="E709" s="155"/>
      <c r="F709" s="155"/>
      <c r="G709" s="155"/>
      <c r="H709" s="155"/>
      <c r="I709" s="155"/>
      <c r="J709" s="155"/>
      <c r="K709" s="155"/>
      <c r="L709" s="155"/>
      <c r="M709" s="155"/>
      <c r="N709" s="155"/>
      <c r="O709" s="157"/>
      <c r="P709" s="92"/>
      <c r="Q709" s="145"/>
      <c r="R709" s="92"/>
      <c r="S709" s="145"/>
      <c r="T709" s="92"/>
      <c r="U709" s="145"/>
      <c r="V709" s="92"/>
      <c r="W709" s="145"/>
      <c r="X709" s="92"/>
      <c r="Y709" s="352"/>
      <c r="Z709" s="142" t="str">
        <f t="shared" si="38"/>
        <v/>
      </c>
      <c r="AA709" s="226" t="b">
        <f t="shared" si="39"/>
        <v>0</v>
      </c>
      <c r="AB709" s="9"/>
      <c r="AC709" s="162" t="s">
        <v>6</v>
      </c>
      <c r="AD709" s="150">
        <f t="shared" si="37"/>
        <v>0</v>
      </c>
      <c r="AE709" s="95" t="s">
        <v>64</v>
      </c>
    </row>
    <row r="710" spans="1:31" s="55" customFormat="1" ht="30" customHeight="1">
      <c r="A710" s="155"/>
      <c r="B710" s="155"/>
      <c r="C710" s="155"/>
      <c r="D710" s="155"/>
      <c r="E710" s="155"/>
      <c r="F710" s="155"/>
      <c r="G710" s="155"/>
      <c r="H710" s="155"/>
      <c r="I710" s="155"/>
      <c r="J710" s="155"/>
      <c r="K710" s="155"/>
      <c r="L710" s="155"/>
      <c r="M710" s="155"/>
      <c r="N710" s="155"/>
      <c r="O710" s="157"/>
      <c r="P710" s="92"/>
      <c r="Q710" s="145"/>
      <c r="R710" s="92"/>
      <c r="S710" s="145"/>
      <c r="T710" s="92"/>
      <c r="U710" s="145"/>
      <c r="V710" s="92"/>
      <c r="W710" s="145"/>
      <c r="X710" s="92"/>
      <c r="Y710" s="352"/>
      <c r="Z710" s="142" t="str">
        <f t="shared" si="38"/>
        <v/>
      </c>
      <c r="AA710" s="226" t="b">
        <f t="shared" si="39"/>
        <v>0</v>
      </c>
      <c r="AB710" s="9"/>
      <c r="AC710" s="162" t="s">
        <v>6</v>
      </c>
      <c r="AD710" s="150">
        <f t="shared" si="37"/>
        <v>0</v>
      </c>
      <c r="AE710" s="95" t="s">
        <v>64</v>
      </c>
    </row>
    <row r="711" spans="1:31" s="55" customFormat="1" ht="30" customHeight="1">
      <c r="A711" s="155"/>
      <c r="B711" s="155"/>
      <c r="C711" s="155"/>
      <c r="D711" s="155"/>
      <c r="E711" s="155"/>
      <c r="F711" s="155"/>
      <c r="G711" s="155"/>
      <c r="H711" s="155"/>
      <c r="I711" s="155"/>
      <c r="J711" s="155"/>
      <c r="K711" s="155"/>
      <c r="L711" s="155"/>
      <c r="M711" s="155"/>
      <c r="N711" s="155"/>
      <c r="O711" s="157"/>
      <c r="P711" s="92"/>
      <c r="Q711" s="145"/>
      <c r="R711" s="92"/>
      <c r="S711" s="145"/>
      <c r="T711" s="92"/>
      <c r="U711" s="145"/>
      <c r="V711" s="92"/>
      <c r="W711" s="145"/>
      <c r="X711" s="92"/>
      <c r="Y711" s="352"/>
      <c r="Z711" s="142" t="str">
        <f t="shared" si="38"/>
        <v/>
      </c>
      <c r="AA711" s="226" t="b">
        <f t="shared" si="39"/>
        <v>0</v>
      </c>
      <c r="AB711" s="9"/>
      <c r="AC711" s="162" t="s">
        <v>6</v>
      </c>
      <c r="AD711" s="150">
        <f t="shared" si="37"/>
        <v>0</v>
      </c>
      <c r="AE711" s="95" t="s">
        <v>64</v>
      </c>
    </row>
    <row r="712" spans="1:31" s="55" customFormat="1" ht="30" customHeight="1">
      <c r="A712" s="155"/>
      <c r="B712" s="155"/>
      <c r="C712" s="155"/>
      <c r="D712" s="155"/>
      <c r="E712" s="155"/>
      <c r="F712" s="155"/>
      <c r="G712" s="155"/>
      <c r="H712" s="155"/>
      <c r="I712" s="155"/>
      <c r="J712" s="155"/>
      <c r="K712" s="155"/>
      <c r="L712" s="155"/>
      <c r="M712" s="155"/>
      <c r="N712" s="155"/>
      <c r="O712" s="157"/>
      <c r="P712" s="92"/>
      <c r="Q712" s="145"/>
      <c r="R712" s="92"/>
      <c r="S712" s="145"/>
      <c r="T712" s="92"/>
      <c r="U712" s="145"/>
      <c r="V712" s="92"/>
      <c r="W712" s="145"/>
      <c r="X712" s="92"/>
      <c r="Y712" s="352"/>
      <c r="Z712" s="142" t="str">
        <f t="shared" si="38"/>
        <v/>
      </c>
      <c r="AA712" s="226" t="b">
        <f t="shared" si="39"/>
        <v>0</v>
      </c>
      <c r="AB712" s="9"/>
      <c r="AC712" s="162" t="s">
        <v>6</v>
      </c>
      <c r="AD712" s="150">
        <f t="shared" si="37"/>
        <v>0</v>
      </c>
      <c r="AE712" s="95" t="s">
        <v>64</v>
      </c>
    </row>
    <row r="713" spans="1:31" s="55" customFormat="1" ht="30" customHeight="1">
      <c r="A713" s="155"/>
      <c r="B713" s="155"/>
      <c r="C713" s="155"/>
      <c r="D713" s="155"/>
      <c r="E713" s="155"/>
      <c r="F713" s="155"/>
      <c r="G713" s="155"/>
      <c r="H713" s="155"/>
      <c r="I713" s="155"/>
      <c r="J713" s="155"/>
      <c r="K713" s="155"/>
      <c r="L713" s="155"/>
      <c r="M713" s="155"/>
      <c r="N713" s="155"/>
      <c r="O713" s="157"/>
      <c r="P713" s="92"/>
      <c r="Q713" s="145"/>
      <c r="R713" s="92"/>
      <c r="S713" s="145"/>
      <c r="T713" s="92"/>
      <c r="U713" s="145"/>
      <c r="V713" s="92"/>
      <c r="W713" s="145"/>
      <c r="X713" s="92"/>
      <c r="Y713" s="352"/>
      <c r="Z713" s="142" t="str">
        <f t="shared" si="38"/>
        <v/>
      </c>
      <c r="AA713" s="226" t="b">
        <f t="shared" si="39"/>
        <v>0</v>
      </c>
      <c r="AB713" s="9"/>
      <c r="AC713" s="162" t="s">
        <v>6</v>
      </c>
      <c r="AD713" s="150">
        <f t="shared" si="37"/>
        <v>0</v>
      </c>
      <c r="AE713" s="95" t="s">
        <v>64</v>
      </c>
    </row>
    <row r="714" spans="1:31" s="55" customFormat="1" ht="30" customHeight="1">
      <c r="A714" s="155"/>
      <c r="B714" s="155"/>
      <c r="C714" s="155"/>
      <c r="D714" s="155"/>
      <c r="E714" s="155"/>
      <c r="F714" s="155"/>
      <c r="G714" s="155"/>
      <c r="H714" s="155"/>
      <c r="I714" s="155"/>
      <c r="J714" s="155"/>
      <c r="K714" s="155"/>
      <c r="L714" s="155"/>
      <c r="M714" s="155"/>
      <c r="N714" s="155"/>
      <c r="O714" s="157"/>
      <c r="P714" s="92"/>
      <c r="Q714" s="145"/>
      <c r="R714" s="92"/>
      <c r="S714" s="145"/>
      <c r="T714" s="92"/>
      <c r="U714" s="145"/>
      <c r="V714" s="92"/>
      <c r="W714" s="145"/>
      <c r="X714" s="92"/>
      <c r="Y714" s="352"/>
      <c r="Z714" s="142" t="str">
        <f t="shared" si="38"/>
        <v/>
      </c>
      <c r="AA714" s="226" t="b">
        <f t="shared" si="39"/>
        <v>0</v>
      </c>
      <c r="AB714" s="9"/>
      <c r="AC714" s="162" t="s">
        <v>6</v>
      </c>
      <c r="AD714" s="150">
        <f t="shared" si="37"/>
        <v>0</v>
      </c>
      <c r="AE714" s="95" t="s">
        <v>64</v>
      </c>
    </row>
    <row r="715" spans="1:31" s="55" customFormat="1" ht="30" customHeight="1">
      <c r="A715" s="155"/>
      <c r="B715" s="155"/>
      <c r="C715" s="155"/>
      <c r="D715" s="155"/>
      <c r="E715" s="155"/>
      <c r="F715" s="155"/>
      <c r="G715" s="155"/>
      <c r="H715" s="155"/>
      <c r="I715" s="155"/>
      <c r="J715" s="155"/>
      <c r="K715" s="155"/>
      <c r="L715" s="155"/>
      <c r="M715" s="155"/>
      <c r="N715" s="155"/>
      <c r="O715" s="157"/>
      <c r="P715" s="92"/>
      <c r="Q715" s="145"/>
      <c r="R715" s="92"/>
      <c r="S715" s="145"/>
      <c r="T715" s="92"/>
      <c r="U715" s="145"/>
      <c r="V715" s="92"/>
      <c r="W715" s="145"/>
      <c r="X715" s="92"/>
      <c r="Y715" s="352"/>
      <c r="Z715" s="142" t="str">
        <f t="shared" si="38"/>
        <v/>
      </c>
      <c r="AA715" s="226" t="b">
        <f t="shared" si="39"/>
        <v>0</v>
      </c>
      <c r="AB715" s="9"/>
      <c r="AC715" s="162" t="s">
        <v>6</v>
      </c>
      <c r="AD715" s="150">
        <f t="shared" si="37"/>
        <v>0</v>
      </c>
      <c r="AE715" s="95" t="s">
        <v>64</v>
      </c>
    </row>
    <row r="716" spans="1:31" s="55" customFormat="1" ht="30" customHeight="1">
      <c r="A716" s="155"/>
      <c r="B716" s="155"/>
      <c r="C716" s="155"/>
      <c r="D716" s="155"/>
      <c r="E716" s="155"/>
      <c r="F716" s="155"/>
      <c r="G716" s="155"/>
      <c r="H716" s="155"/>
      <c r="I716" s="155"/>
      <c r="J716" s="155"/>
      <c r="K716" s="155"/>
      <c r="L716" s="155"/>
      <c r="M716" s="155"/>
      <c r="N716" s="155"/>
      <c r="O716" s="157"/>
      <c r="P716" s="92"/>
      <c r="Q716" s="145"/>
      <c r="R716" s="92"/>
      <c r="S716" s="145"/>
      <c r="T716" s="92"/>
      <c r="U716" s="145"/>
      <c r="V716" s="92"/>
      <c r="W716" s="145"/>
      <c r="X716" s="92"/>
      <c r="Y716" s="352"/>
      <c r="Z716" s="142" t="str">
        <f t="shared" si="38"/>
        <v/>
      </c>
      <c r="AA716" s="226" t="b">
        <f t="shared" si="39"/>
        <v>0</v>
      </c>
      <c r="AB716" s="9"/>
      <c r="AC716" s="162" t="s">
        <v>6</v>
      </c>
      <c r="AD716" s="150">
        <f t="shared" si="37"/>
        <v>0</v>
      </c>
      <c r="AE716" s="95" t="s">
        <v>64</v>
      </c>
    </row>
    <row r="717" spans="1:31" s="55" customFormat="1" ht="30" customHeight="1">
      <c r="A717" s="155"/>
      <c r="B717" s="155"/>
      <c r="C717" s="155"/>
      <c r="D717" s="155"/>
      <c r="E717" s="155"/>
      <c r="F717" s="155"/>
      <c r="G717" s="155"/>
      <c r="H717" s="155"/>
      <c r="I717" s="155"/>
      <c r="J717" s="155"/>
      <c r="K717" s="155"/>
      <c r="L717" s="155"/>
      <c r="M717" s="155"/>
      <c r="N717" s="155"/>
      <c r="O717" s="157"/>
      <c r="P717" s="92"/>
      <c r="Q717" s="145"/>
      <c r="R717" s="92"/>
      <c r="S717" s="145"/>
      <c r="T717" s="92"/>
      <c r="U717" s="145"/>
      <c r="V717" s="92"/>
      <c r="W717" s="145"/>
      <c r="X717" s="92"/>
      <c r="Y717" s="352"/>
      <c r="Z717" s="142" t="str">
        <f t="shared" si="38"/>
        <v/>
      </c>
      <c r="AA717" s="226" t="b">
        <f t="shared" si="39"/>
        <v>0</v>
      </c>
      <c r="AB717" s="9"/>
      <c r="AC717" s="162" t="s">
        <v>6</v>
      </c>
      <c r="AD717" s="150">
        <f t="shared" si="37"/>
        <v>0</v>
      </c>
      <c r="AE717" s="95" t="s">
        <v>64</v>
      </c>
    </row>
    <row r="718" spans="1:31" s="55" customFormat="1" ht="30" customHeight="1">
      <c r="A718" s="155"/>
      <c r="B718" s="155"/>
      <c r="C718" s="155"/>
      <c r="D718" s="155"/>
      <c r="E718" s="155"/>
      <c r="F718" s="155"/>
      <c r="G718" s="155"/>
      <c r="H718" s="155"/>
      <c r="I718" s="155"/>
      <c r="J718" s="155"/>
      <c r="K718" s="155"/>
      <c r="L718" s="155"/>
      <c r="M718" s="155"/>
      <c r="N718" s="155"/>
      <c r="O718" s="157"/>
      <c r="P718" s="92"/>
      <c r="Q718" s="145"/>
      <c r="R718" s="92"/>
      <c r="S718" s="145"/>
      <c r="T718" s="92"/>
      <c r="U718" s="145"/>
      <c r="V718" s="92"/>
      <c r="W718" s="145"/>
      <c r="X718" s="92"/>
      <c r="Y718" s="352"/>
      <c r="Z718" s="142" t="str">
        <f t="shared" si="38"/>
        <v/>
      </c>
      <c r="AA718" s="226" t="b">
        <f t="shared" si="39"/>
        <v>0</v>
      </c>
      <c r="AB718" s="9"/>
      <c r="AC718" s="162" t="s">
        <v>6</v>
      </c>
      <c r="AD718" s="150">
        <f t="shared" si="37"/>
        <v>0</v>
      </c>
      <c r="AE718" s="95" t="s">
        <v>64</v>
      </c>
    </row>
    <row r="719" spans="1:31" s="55" customFormat="1" ht="30" customHeight="1">
      <c r="A719" s="155"/>
      <c r="B719" s="155"/>
      <c r="C719" s="155"/>
      <c r="D719" s="155"/>
      <c r="E719" s="155"/>
      <c r="F719" s="155"/>
      <c r="G719" s="155"/>
      <c r="H719" s="155"/>
      <c r="I719" s="155"/>
      <c r="J719" s="155"/>
      <c r="K719" s="155"/>
      <c r="L719" s="155"/>
      <c r="M719" s="155"/>
      <c r="N719" s="155"/>
      <c r="O719" s="157"/>
      <c r="P719" s="92"/>
      <c r="Q719" s="145"/>
      <c r="R719" s="92"/>
      <c r="S719" s="145"/>
      <c r="T719" s="92"/>
      <c r="U719" s="145"/>
      <c r="V719" s="92"/>
      <c r="W719" s="145"/>
      <c r="X719" s="92"/>
      <c r="Y719" s="352"/>
      <c r="Z719" s="142" t="str">
        <f t="shared" si="38"/>
        <v/>
      </c>
      <c r="AA719" s="226" t="b">
        <f t="shared" si="39"/>
        <v>0</v>
      </c>
      <c r="AB719" s="9"/>
      <c r="AC719" s="162" t="s">
        <v>6</v>
      </c>
      <c r="AD719" s="150">
        <f t="shared" si="37"/>
        <v>0</v>
      </c>
      <c r="AE719" s="95" t="s">
        <v>64</v>
      </c>
    </row>
    <row r="720" spans="1:31" s="55" customFormat="1" ht="30" customHeight="1">
      <c r="A720" s="155"/>
      <c r="B720" s="155"/>
      <c r="C720" s="155"/>
      <c r="D720" s="155"/>
      <c r="E720" s="155"/>
      <c r="F720" s="155"/>
      <c r="G720" s="155"/>
      <c r="H720" s="155"/>
      <c r="I720" s="155"/>
      <c r="J720" s="155"/>
      <c r="K720" s="155"/>
      <c r="L720" s="155"/>
      <c r="M720" s="155"/>
      <c r="N720" s="155"/>
      <c r="O720" s="157"/>
      <c r="P720" s="92"/>
      <c r="Q720" s="145"/>
      <c r="R720" s="92"/>
      <c r="S720" s="145"/>
      <c r="T720" s="92"/>
      <c r="U720" s="145"/>
      <c r="V720" s="92"/>
      <c r="W720" s="145"/>
      <c r="X720" s="92"/>
      <c r="Y720" s="352"/>
      <c r="Z720" s="142" t="str">
        <f t="shared" si="38"/>
        <v/>
      </c>
      <c r="AA720" s="226" t="b">
        <f t="shared" si="39"/>
        <v>0</v>
      </c>
      <c r="AB720" s="9"/>
      <c r="AC720" s="162" t="s">
        <v>6</v>
      </c>
      <c r="AD720" s="150">
        <f t="shared" si="37"/>
        <v>0</v>
      </c>
      <c r="AE720" s="95" t="s">
        <v>64</v>
      </c>
    </row>
    <row r="721" spans="1:31" s="55" customFormat="1" ht="30" customHeight="1">
      <c r="A721" s="155"/>
      <c r="B721" s="155"/>
      <c r="C721" s="155"/>
      <c r="D721" s="155"/>
      <c r="E721" s="155"/>
      <c r="F721" s="155"/>
      <c r="G721" s="155"/>
      <c r="H721" s="155"/>
      <c r="I721" s="155"/>
      <c r="J721" s="155"/>
      <c r="K721" s="155"/>
      <c r="L721" s="155"/>
      <c r="M721" s="155"/>
      <c r="N721" s="155"/>
      <c r="O721" s="157"/>
      <c r="P721" s="92"/>
      <c r="Q721" s="145"/>
      <c r="R721" s="92"/>
      <c r="S721" s="145"/>
      <c r="T721" s="92"/>
      <c r="U721" s="145"/>
      <c r="V721" s="92"/>
      <c r="W721" s="145"/>
      <c r="X721" s="92"/>
      <c r="Y721" s="352"/>
      <c r="Z721" s="142" t="str">
        <f t="shared" si="38"/>
        <v/>
      </c>
      <c r="AA721" s="226" t="b">
        <f t="shared" si="39"/>
        <v>0</v>
      </c>
      <c r="AB721" s="9"/>
      <c r="AC721" s="162" t="s">
        <v>6</v>
      </c>
      <c r="AD721" s="150">
        <f t="shared" si="37"/>
        <v>0</v>
      </c>
      <c r="AE721" s="95" t="s">
        <v>64</v>
      </c>
    </row>
    <row r="722" spans="1:31" s="55" customFormat="1" ht="30" customHeight="1">
      <c r="A722" s="155"/>
      <c r="B722" s="155"/>
      <c r="C722" s="155"/>
      <c r="D722" s="155"/>
      <c r="E722" s="155"/>
      <c r="F722" s="155"/>
      <c r="G722" s="155"/>
      <c r="H722" s="155"/>
      <c r="I722" s="155"/>
      <c r="J722" s="155"/>
      <c r="K722" s="155"/>
      <c r="L722" s="155"/>
      <c r="M722" s="155"/>
      <c r="N722" s="155"/>
      <c r="O722" s="157"/>
      <c r="P722" s="92"/>
      <c r="Q722" s="145"/>
      <c r="R722" s="92"/>
      <c r="S722" s="145"/>
      <c r="T722" s="92"/>
      <c r="U722" s="145"/>
      <c r="V722" s="92"/>
      <c r="W722" s="145"/>
      <c r="X722" s="92"/>
      <c r="Y722" s="352"/>
      <c r="Z722" s="142" t="str">
        <f t="shared" si="38"/>
        <v/>
      </c>
      <c r="AA722" s="226" t="b">
        <f t="shared" si="39"/>
        <v>0</v>
      </c>
      <c r="AB722" s="9"/>
      <c r="AC722" s="162" t="s">
        <v>6</v>
      </c>
      <c r="AD722" s="150">
        <f t="shared" si="37"/>
        <v>0</v>
      </c>
      <c r="AE722" s="95" t="s">
        <v>64</v>
      </c>
    </row>
    <row r="723" spans="1:31" s="55" customFormat="1" ht="30" customHeight="1">
      <c r="A723" s="155"/>
      <c r="B723" s="155"/>
      <c r="C723" s="155"/>
      <c r="D723" s="155"/>
      <c r="E723" s="155"/>
      <c r="F723" s="155"/>
      <c r="G723" s="155"/>
      <c r="H723" s="155"/>
      <c r="I723" s="155"/>
      <c r="J723" s="155"/>
      <c r="K723" s="155"/>
      <c r="L723" s="155"/>
      <c r="M723" s="155"/>
      <c r="N723" s="155"/>
      <c r="O723" s="157"/>
      <c r="P723" s="92"/>
      <c r="Q723" s="145"/>
      <c r="R723" s="92"/>
      <c r="S723" s="145"/>
      <c r="T723" s="92"/>
      <c r="U723" s="145"/>
      <c r="V723" s="92"/>
      <c r="W723" s="145"/>
      <c r="X723" s="92"/>
      <c r="Y723" s="352"/>
      <c r="Z723" s="142" t="str">
        <f t="shared" si="38"/>
        <v/>
      </c>
      <c r="AA723" s="226" t="b">
        <f t="shared" si="39"/>
        <v>0</v>
      </c>
      <c r="AB723" s="9"/>
      <c r="AC723" s="162" t="s">
        <v>6</v>
      </c>
      <c r="AD723" s="150">
        <f t="shared" si="37"/>
        <v>0</v>
      </c>
      <c r="AE723" s="95" t="s">
        <v>64</v>
      </c>
    </row>
    <row r="724" spans="1:31" s="55" customFormat="1" ht="30" customHeight="1">
      <c r="A724" s="155"/>
      <c r="B724" s="155"/>
      <c r="C724" s="155"/>
      <c r="D724" s="155"/>
      <c r="E724" s="155"/>
      <c r="F724" s="155"/>
      <c r="G724" s="155"/>
      <c r="H724" s="155"/>
      <c r="I724" s="155"/>
      <c r="J724" s="155"/>
      <c r="K724" s="155"/>
      <c r="L724" s="155"/>
      <c r="M724" s="155"/>
      <c r="N724" s="155"/>
      <c r="O724" s="157"/>
      <c r="P724" s="92"/>
      <c r="Q724" s="145"/>
      <c r="R724" s="92"/>
      <c r="S724" s="145"/>
      <c r="T724" s="92"/>
      <c r="U724" s="145"/>
      <c r="V724" s="92"/>
      <c r="W724" s="145"/>
      <c r="X724" s="92"/>
      <c r="Y724" s="352"/>
      <c r="Z724" s="142" t="str">
        <f t="shared" si="38"/>
        <v/>
      </c>
      <c r="AA724" s="226" t="b">
        <f t="shared" si="39"/>
        <v>0</v>
      </c>
      <c r="AB724" s="9"/>
      <c r="AC724" s="162" t="s">
        <v>6</v>
      </c>
      <c r="AD724" s="150">
        <f t="shared" si="37"/>
        <v>0</v>
      </c>
      <c r="AE724" s="95" t="s">
        <v>64</v>
      </c>
    </row>
    <row r="725" spans="1:31" s="55" customFormat="1" ht="30" customHeight="1">
      <c r="A725" s="155"/>
      <c r="B725" s="155"/>
      <c r="C725" s="155"/>
      <c r="D725" s="155"/>
      <c r="E725" s="155"/>
      <c r="F725" s="155"/>
      <c r="G725" s="155"/>
      <c r="H725" s="155"/>
      <c r="I725" s="155"/>
      <c r="J725" s="155"/>
      <c r="K725" s="155"/>
      <c r="L725" s="155"/>
      <c r="M725" s="155"/>
      <c r="N725" s="155"/>
      <c r="O725" s="157"/>
      <c r="P725" s="92"/>
      <c r="Q725" s="145"/>
      <c r="R725" s="92"/>
      <c r="S725" s="145"/>
      <c r="T725" s="92"/>
      <c r="U725" s="145"/>
      <c r="V725" s="92"/>
      <c r="W725" s="145"/>
      <c r="X725" s="92"/>
      <c r="Y725" s="352"/>
      <c r="Z725" s="142" t="str">
        <f t="shared" si="38"/>
        <v/>
      </c>
      <c r="AA725" s="226" t="b">
        <f t="shared" si="39"/>
        <v>0</v>
      </c>
      <c r="AB725" s="9"/>
      <c r="AC725" s="162" t="s">
        <v>6</v>
      </c>
      <c r="AD725" s="150">
        <f t="shared" si="37"/>
        <v>0</v>
      </c>
      <c r="AE725" s="95" t="s">
        <v>64</v>
      </c>
    </row>
    <row r="726" spans="1:31" s="55" customFormat="1" ht="30" customHeight="1">
      <c r="A726" s="155"/>
      <c r="B726" s="155"/>
      <c r="C726" s="155"/>
      <c r="D726" s="155"/>
      <c r="E726" s="155"/>
      <c r="F726" s="155"/>
      <c r="G726" s="155"/>
      <c r="H726" s="155"/>
      <c r="I726" s="155"/>
      <c r="J726" s="155"/>
      <c r="K726" s="155"/>
      <c r="L726" s="155"/>
      <c r="M726" s="155"/>
      <c r="N726" s="155"/>
      <c r="O726" s="157"/>
      <c r="P726" s="92"/>
      <c r="Q726" s="145"/>
      <c r="R726" s="92"/>
      <c r="S726" s="145"/>
      <c r="T726" s="92"/>
      <c r="U726" s="145"/>
      <c r="V726" s="92"/>
      <c r="W726" s="145"/>
      <c r="X726" s="92"/>
      <c r="Y726" s="352"/>
      <c r="Z726" s="142" t="str">
        <f t="shared" si="38"/>
        <v/>
      </c>
      <c r="AA726" s="226" t="b">
        <f t="shared" si="39"/>
        <v>0</v>
      </c>
      <c r="AB726" s="9"/>
      <c r="AC726" s="162" t="s">
        <v>6</v>
      </c>
      <c r="AD726" s="150">
        <f t="shared" si="37"/>
        <v>0</v>
      </c>
      <c r="AE726" s="95" t="s">
        <v>64</v>
      </c>
    </row>
    <row r="727" spans="1:31" s="55" customFormat="1" ht="30" customHeight="1">
      <c r="A727" s="155"/>
      <c r="B727" s="155"/>
      <c r="C727" s="155"/>
      <c r="D727" s="155"/>
      <c r="E727" s="155"/>
      <c r="F727" s="155"/>
      <c r="G727" s="155"/>
      <c r="H727" s="155"/>
      <c r="I727" s="155"/>
      <c r="J727" s="155"/>
      <c r="K727" s="155"/>
      <c r="L727" s="155"/>
      <c r="M727" s="155"/>
      <c r="N727" s="155"/>
      <c r="O727" s="157"/>
      <c r="P727" s="92"/>
      <c r="Q727" s="145"/>
      <c r="R727" s="92"/>
      <c r="S727" s="145"/>
      <c r="T727" s="92"/>
      <c r="U727" s="145"/>
      <c r="V727" s="92"/>
      <c r="W727" s="145"/>
      <c r="X727" s="92"/>
      <c r="Y727" s="352"/>
      <c r="Z727" s="142" t="str">
        <f t="shared" si="38"/>
        <v/>
      </c>
      <c r="AA727" s="226" t="b">
        <f t="shared" si="39"/>
        <v>0</v>
      </c>
      <c r="AB727" s="9"/>
      <c r="AC727" s="162" t="s">
        <v>6</v>
      </c>
      <c r="AD727" s="150">
        <f t="shared" si="37"/>
        <v>0</v>
      </c>
      <c r="AE727" s="95" t="s">
        <v>64</v>
      </c>
    </row>
    <row r="728" spans="1:31" s="55" customFormat="1" ht="30" customHeight="1">
      <c r="A728" s="155"/>
      <c r="B728" s="155"/>
      <c r="C728" s="155"/>
      <c r="D728" s="155"/>
      <c r="E728" s="155"/>
      <c r="F728" s="155"/>
      <c r="G728" s="155"/>
      <c r="H728" s="155"/>
      <c r="I728" s="155"/>
      <c r="J728" s="155"/>
      <c r="K728" s="155"/>
      <c r="L728" s="155"/>
      <c r="M728" s="155"/>
      <c r="N728" s="155"/>
      <c r="O728" s="157"/>
      <c r="P728" s="92"/>
      <c r="Q728" s="145"/>
      <c r="R728" s="92"/>
      <c r="S728" s="145"/>
      <c r="T728" s="92"/>
      <c r="U728" s="145"/>
      <c r="V728" s="92"/>
      <c r="W728" s="145"/>
      <c r="X728" s="92"/>
      <c r="Y728" s="352"/>
      <c r="Z728" s="142" t="str">
        <f t="shared" si="38"/>
        <v/>
      </c>
      <c r="AA728" s="226" t="b">
        <f t="shared" si="39"/>
        <v>0</v>
      </c>
      <c r="AB728" s="9"/>
      <c r="AC728" s="162" t="s">
        <v>6</v>
      </c>
      <c r="AD728" s="150">
        <f t="shared" si="37"/>
        <v>0</v>
      </c>
      <c r="AE728" s="95" t="s">
        <v>64</v>
      </c>
    </row>
    <row r="729" spans="1:31" s="55" customFormat="1" ht="30" customHeight="1">
      <c r="A729" s="155"/>
      <c r="B729" s="155"/>
      <c r="C729" s="155"/>
      <c r="D729" s="155"/>
      <c r="E729" s="155"/>
      <c r="F729" s="155"/>
      <c r="G729" s="155"/>
      <c r="H729" s="155"/>
      <c r="I729" s="155"/>
      <c r="J729" s="155"/>
      <c r="K729" s="155"/>
      <c r="L729" s="155"/>
      <c r="M729" s="155"/>
      <c r="N729" s="155"/>
      <c r="O729" s="157"/>
      <c r="P729" s="92"/>
      <c r="Q729" s="145"/>
      <c r="R729" s="92"/>
      <c r="S729" s="145"/>
      <c r="T729" s="92"/>
      <c r="U729" s="145"/>
      <c r="V729" s="92"/>
      <c r="W729" s="145"/>
      <c r="X729" s="92"/>
      <c r="Y729" s="352"/>
      <c r="Z729" s="142" t="str">
        <f t="shared" si="38"/>
        <v/>
      </c>
      <c r="AA729" s="226" t="b">
        <f t="shared" si="39"/>
        <v>0</v>
      </c>
      <c r="AB729" s="9"/>
      <c r="AC729" s="162" t="s">
        <v>6</v>
      </c>
      <c r="AD729" s="150">
        <f t="shared" si="37"/>
        <v>0</v>
      </c>
      <c r="AE729" s="95" t="s">
        <v>64</v>
      </c>
    </row>
    <row r="730" spans="1:31" s="55" customFormat="1" ht="30" customHeight="1">
      <c r="A730" s="155"/>
      <c r="B730" s="155"/>
      <c r="C730" s="155"/>
      <c r="D730" s="155"/>
      <c r="E730" s="155"/>
      <c r="F730" s="155"/>
      <c r="G730" s="155"/>
      <c r="H730" s="155"/>
      <c r="I730" s="155"/>
      <c r="J730" s="155"/>
      <c r="K730" s="155"/>
      <c r="L730" s="155"/>
      <c r="M730" s="155"/>
      <c r="N730" s="155"/>
      <c r="O730" s="157"/>
      <c r="P730" s="92"/>
      <c r="Q730" s="145"/>
      <c r="R730" s="92"/>
      <c r="S730" s="145"/>
      <c r="T730" s="92"/>
      <c r="U730" s="145"/>
      <c r="V730" s="92"/>
      <c r="W730" s="145"/>
      <c r="X730" s="92"/>
      <c r="Y730" s="352"/>
      <c r="Z730" s="142" t="str">
        <f t="shared" si="38"/>
        <v/>
      </c>
      <c r="AA730" s="226" t="b">
        <f t="shared" si="39"/>
        <v>0</v>
      </c>
      <c r="AB730" s="9"/>
      <c r="AC730" s="162" t="s">
        <v>6</v>
      </c>
      <c r="AD730" s="150">
        <f t="shared" si="37"/>
        <v>0</v>
      </c>
      <c r="AE730" s="95" t="s">
        <v>64</v>
      </c>
    </row>
    <row r="731" spans="1:31" s="55" customFormat="1" ht="30" customHeight="1">
      <c r="A731" s="155"/>
      <c r="B731" s="155"/>
      <c r="C731" s="155"/>
      <c r="D731" s="155"/>
      <c r="E731" s="155"/>
      <c r="F731" s="155"/>
      <c r="G731" s="155"/>
      <c r="H731" s="155"/>
      <c r="I731" s="155"/>
      <c r="J731" s="155"/>
      <c r="K731" s="155"/>
      <c r="L731" s="155"/>
      <c r="M731" s="155"/>
      <c r="N731" s="155"/>
      <c r="O731" s="157"/>
      <c r="P731" s="92"/>
      <c r="Q731" s="145"/>
      <c r="R731" s="92"/>
      <c r="S731" s="145"/>
      <c r="T731" s="92"/>
      <c r="U731" s="145"/>
      <c r="V731" s="92"/>
      <c r="W731" s="145"/>
      <c r="X731" s="92"/>
      <c r="Y731" s="352"/>
      <c r="Z731" s="142" t="str">
        <f t="shared" si="38"/>
        <v/>
      </c>
      <c r="AA731" s="226" t="b">
        <f t="shared" si="39"/>
        <v>0</v>
      </c>
      <c r="AB731" s="9"/>
      <c r="AC731" s="162" t="s">
        <v>6</v>
      </c>
      <c r="AD731" s="150">
        <f t="shared" si="37"/>
        <v>0</v>
      </c>
      <c r="AE731" s="95" t="s">
        <v>64</v>
      </c>
    </row>
    <row r="732" spans="1:31" s="55" customFormat="1" ht="30" customHeight="1">
      <c r="A732" s="155"/>
      <c r="B732" s="155"/>
      <c r="C732" s="155"/>
      <c r="D732" s="155"/>
      <c r="E732" s="155"/>
      <c r="F732" s="155"/>
      <c r="G732" s="155"/>
      <c r="H732" s="155"/>
      <c r="I732" s="155"/>
      <c r="J732" s="155"/>
      <c r="K732" s="155"/>
      <c r="L732" s="155"/>
      <c r="M732" s="155"/>
      <c r="N732" s="155"/>
      <c r="O732" s="157"/>
      <c r="P732" s="92"/>
      <c r="Q732" s="145"/>
      <c r="R732" s="92"/>
      <c r="S732" s="145"/>
      <c r="T732" s="92"/>
      <c r="U732" s="145"/>
      <c r="V732" s="92"/>
      <c r="W732" s="145"/>
      <c r="X732" s="92"/>
      <c r="Y732" s="352"/>
      <c r="Z732" s="142" t="str">
        <f t="shared" si="38"/>
        <v/>
      </c>
      <c r="AA732" s="226" t="b">
        <f t="shared" si="39"/>
        <v>0</v>
      </c>
      <c r="AB732" s="9"/>
      <c r="AC732" s="162" t="s">
        <v>6</v>
      </c>
      <c r="AD732" s="150">
        <f t="shared" si="37"/>
        <v>0</v>
      </c>
      <c r="AE732" s="95" t="s">
        <v>64</v>
      </c>
    </row>
    <row r="733" spans="1:31" s="55" customFormat="1" ht="30" customHeight="1">
      <c r="A733" s="155"/>
      <c r="B733" s="155"/>
      <c r="C733" s="155"/>
      <c r="D733" s="155"/>
      <c r="E733" s="155"/>
      <c r="F733" s="155"/>
      <c r="G733" s="155"/>
      <c r="H733" s="155"/>
      <c r="I733" s="155"/>
      <c r="J733" s="155"/>
      <c r="K733" s="155"/>
      <c r="L733" s="155"/>
      <c r="M733" s="155"/>
      <c r="N733" s="155"/>
      <c r="O733" s="157"/>
      <c r="P733" s="92"/>
      <c r="Q733" s="145"/>
      <c r="R733" s="92"/>
      <c r="S733" s="145"/>
      <c r="T733" s="92"/>
      <c r="U733" s="145"/>
      <c r="V733" s="92"/>
      <c r="W733" s="145"/>
      <c r="X733" s="92"/>
      <c r="Y733" s="352"/>
      <c r="Z733" s="142" t="str">
        <f t="shared" si="38"/>
        <v/>
      </c>
      <c r="AA733" s="226" t="b">
        <f t="shared" si="39"/>
        <v>0</v>
      </c>
      <c r="AB733" s="9"/>
      <c r="AC733" s="162" t="s">
        <v>6</v>
      </c>
      <c r="AD733" s="150">
        <f t="shared" si="37"/>
        <v>0</v>
      </c>
      <c r="AE733" s="95" t="s">
        <v>64</v>
      </c>
    </row>
    <row r="734" spans="1:31" s="55" customFormat="1" ht="30" customHeight="1">
      <c r="A734" s="155"/>
      <c r="B734" s="155"/>
      <c r="C734" s="155"/>
      <c r="D734" s="155"/>
      <c r="E734" s="155"/>
      <c r="F734" s="155"/>
      <c r="G734" s="155"/>
      <c r="H734" s="155"/>
      <c r="I734" s="155"/>
      <c r="J734" s="155"/>
      <c r="K734" s="155"/>
      <c r="L734" s="155"/>
      <c r="M734" s="155"/>
      <c r="N734" s="155"/>
      <c r="O734" s="157"/>
      <c r="P734" s="92"/>
      <c r="Q734" s="145"/>
      <c r="R734" s="92"/>
      <c r="S734" s="145"/>
      <c r="T734" s="92"/>
      <c r="U734" s="145"/>
      <c r="V734" s="92"/>
      <c r="W734" s="145"/>
      <c r="X734" s="92"/>
      <c r="Y734" s="352"/>
      <c r="Z734" s="142" t="str">
        <f t="shared" si="38"/>
        <v/>
      </c>
      <c r="AA734" s="226" t="b">
        <f t="shared" si="39"/>
        <v>0</v>
      </c>
      <c r="AB734" s="9"/>
      <c r="AC734" s="162" t="s">
        <v>6</v>
      </c>
      <c r="AD734" s="150">
        <f t="shared" si="37"/>
        <v>0</v>
      </c>
      <c r="AE734" s="95" t="s">
        <v>64</v>
      </c>
    </row>
    <row r="735" spans="1:31" s="55" customFormat="1" ht="30" customHeight="1">
      <c r="A735" s="155"/>
      <c r="B735" s="155"/>
      <c r="C735" s="155"/>
      <c r="D735" s="155"/>
      <c r="E735" s="155"/>
      <c r="F735" s="155"/>
      <c r="G735" s="155"/>
      <c r="H735" s="155"/>
      <c r="I735" s="155"/>
      <c r="J735" s="155"/>
      <c r="K735" s="155"/>
      <c r="L735" s="155"/>
      <c r="M735" s="155"/>
      <c r="N735" s="155"/>
      <c r="O735" s="157"/>
      <c r="P735" s="92"/>
      <c r="Q735" s="145"/>
      <c r="R735" s="92"/>
      <c r="S735" s="145"/>
      <c r="T735" s="92"/>
      <c r="U735" s="145"/>
      <c r="V735" s="92"/>
      <c r="W735" s="145"/>
      <c r="X735" s="92"/>
      <c r="Y735" s="352"/>
      <c r="Z735" s="142" t="str">
        <f t="shared" si="38"/>
        <v/>
      </c>
      <c r="AA735" s="226" t="b">
        <f t="shared" si="39"/>
        <v>0</v>
      </c>
      <c r="AB735" s="9"/>
      <c r="AC735" s="162" t="s">
        <v>6</v>
      </c>
      <c r="AD735" s="150">
        <f t="shared" si="37"/>
        <v>0</v>
      </c>
      <c r="AE735" s="95" t="s">
        <v>64</v>
      </c>
    </row>
    <row r="736" spans="1:31" s="55" customFormat="1" ht="30" customHeight="1">
      <c r="A736" s="155"/>
      <c r="B736" s="155"/>
      <c r="C736" s="155"/>
      <c r="D736" s="155"/>
      <c r="E736" s="155"/>
      <c r="F736" s="155"/>
      <c r="G736" s="155"/>
      <c r="H736" s="155"/>
      <c r="I736" s="155"/>
      <c r="J736" s="155"/>
      <c r="K736" s="155"/>
      <c r="L736" s="155"/>
      <c r="M736" s="155"/>
      <c r="N736" s="155"/>
      <c r="O736" s="157"/>
      <c r="P736" s="92"/>
      <c r="Q736" s="145"/>
      <c r="R736" s="92"/>
      <c r="S736" s="145"/>
      <c r="T736" s="92"/>
      <c r="U736" s="145"/>
      <c r="V736" s="92"/>
      <c r="W736" s="145"/>
      <c r="X736" s="92"/>
      <c r="Y736" s="352"/>
      <c r="Z736" s="142" t="str">
        <f t="shared" si="38"/>
        <v/>
      </c>
      <c r="AA736" s="226" t="b">
        <f t="shared" si="39"/>
        <v>0</v>
      </c>
      <c r="AB736" s="9"/>
      <c r="AC736" s="162" t="s">
        <v>6</v>
      </c>
      <c r="AD736" s="150">
        <f t="shared" si="37"/>
        <v>0</v>
      </c>
      <c r="AE736" s="95" t="s">
        <v>64</v>
      </c>
    </row>
    <row r="737" spans="1:31" s="55" customFormat="1" ht="30" customHeight="1">
      <c r="A737" s="155"/>
      <c r="B737" s="155"/>
      <c r="C737" s="155"/>
      <c r="D737" s="155"/>
      <c r="E737" s="155"/>
      <c r="F737" s="155"/>
      <c r="G737" s="155"/>
      <c r="H737" s="155"/>
      <c r="I737" s="155"/>
      <c r="J737" s="155"/>
      <c r="K737" s="155"/>
      <c r="L737" s="155"/>
      <c r="M737" s="155"/>
      <c r="N737" s="155"/>
      <c r="O737" s="157"/>
      <c r="P737" s="92"/>
      <c r="Q737" s="145"/>
      <c r="R737" s="92"/>
      <c r="S737" s="145"/>
      <c r="T737" s="92"/>
      <c r="U737" s="145"/>
      <c r="V737" s="92"/>
      <c r="W737" s="145"/>
      <c r="X737" s="92"/>
      <c r="Y737" s="352"/>
      <c r="Z737" s="142" t="str">
        <f t="shared" si="38"/>
        <v/>
      </c>
      <c r="AA737" s="226" t="b">
        <f t="shared" si="39"/>
        <v>0</v>
      </c>
      <c r="AB737" s="9"/>
      <c r="AC737" s="162" t="s">
        <v>6</v>
      </c>
      <c r="AD737" s="150">
        <f t="shared" si="37"/>
        <v>0</v>
      </c>
      <c r="AE737" s="95" t="s">
        <v>64</v>
      </c>
    </row>
    <row r="738" spans="1:31" s="55" customFormat="1" ht="30" customHeight="1">
      <c r="A738" s="155"/>
      <c r="B738" s="155"/>
      <c r="C738" s="155"/>
      <c r="D738" s="155"/>
      <c r="E738" s="155"/>
      <c r="F738" s="155"/>
      <c r="G738" s="155"/>
      <c r="H738" s="155"/>
      <c r="I738" s="155"/>
      <c r="J738" s="155"/>
      <c r="K738" s="155"/>
      <c r="L738" s="155"/>
      <c r="M738" s="155"/>
      <c r="N738" s="155"/>
      <c r="O738" s="157"/>
      <c r="P738" s="92"/>
      <c r="Q738" s="145"/>
      <c r="R738" s="92"/>
      <c r="S738" s="145"/>
      <c r="T738" s="92"/>
      <c r="U738" s="145"/>
      <c r="V738" s="92"/>
      <c r="W738" s="145"/>
      <c r="X738" s="92"/>
      <c r="Y738" s="352"/>
      <c r="Z738" s="142" t="str">
        <f t="shared" si="38"/>
        <v/>
      </c>
      <c r="AA738" s="226" t="b">
        <f t="shared" si="39"/>
        <v>0</v>
      </c>
      <c r="AB738" s="9"/>
      <c r="AC738" s="162" t="s">
        <v>6</v>
      </c>
      <c r="AD738" s="150">
        <f t="shared" si="37"/>
        <v>0</v>
      </c>
      <c r="AE738" s="95" t="s">
        <v>64</v>
      </c>
    </row>
    <row r="739" spans="1:31" s="55" customFormat="1" ht="30" customHeight="1">
      <c r="A739" s="155"/>
      <c r="B739" s="155"/>
      <c r="C739" s="155"/>
      <c r="D739" s="155"/>
      <c r="E739" s="155"/>
      <c r="F739" s="155"/>
      <c r="G739" s="155"/>
      <c r="H739" s="155"/>
      <c r="I739" s="155"/>
      <c r="J739" s="155"/>
      <c r="K739" s="155"/>
      <c r="L739" s="155"/>
      <c r="M739" s="155"/>
      <c r="N739" s="155"/>
      <c r="O739" s="157"/>
      <c r="P739" s="92"/>
      <c r="Q739" s="145"/>
      <c r="R739" s="92"/>
      <c r="S739" s="145"/>
      <c r="T739" s="92"/>
      <c r="U739" s="145"/>
      <c r="V739" s="92"/>
      <c r="W739" s="145"/>
      <c r="X739" s="92"/>
      <c r="Y739" s="352"/>
      <c r="Z739" s="142" t="str">
        <f t="shared" si="38"/>
        <v/>
      </c>
      <c r="AA739" s="226" t="b">
        <f t="shared" si="39"/>
        <v>0</v>
      </c>
      <c r="AB739" s="9"/>
      <c r="AC739" s="162" t="s">
        <v>6</v>
      </c>
      <c r="AD739" s="150">
        <f t="shared" si="37"/>
        <v>0</v>
      </c>
      <c r="AE739" s="95" t="s">
        <v>64</v>
      </c>
    </row>
    <row r="740" spans="1:31" s="55" customFormat="1" ht="30" customHeight="1">
      <c r="A740" s="155"/>
      <c r="B740" s="155"/>
      <c r="C740" s="155"/>
      <c r="D740" s="155"/>
      <c r="E740" s="155"/>
      <c r="F740" s="155"/>
      <c r="G740" s="155"/>
      <c r="H740" s="155"/>
      <c r="I740" s="155"/>
      <c r="J740" s="155"/>
      <c r="K740" s="155"/>
      <c r="L740" s="155"/>
      <c r="M740" s="155"/>
      <c r="N740" s="155"/>
      <c r="O740" s="157"/>
      <c r="P740" s="92"/>
      <c r="Q740" s="145"/>
      <c r="R740" s="92"/>
      <c r="S740" s="145"/>
      <c r="T740" s="92"/>
      <c r="U740" s="145"/>
      <c r="V740" s="92"/>
      <c r="W740" s="145"/>
      <c r="X740" s="92"/>
      <c r="Y740" s="352"/>
      <c r="Z740" s="142" t="str">
        <f t="shared" si="38"/>
        <v/>
      </c>
      <c r="AA740" s="226" t="b">
        <f t="shared" si="39"/>
        <v>0</v>
      </c>
      <c r="AB740" s="9"/>
      <c r="AC740" s="162" t="s">
        <v>6</v>
      </c>
      <c r="AD740" s="150">
        <f t="shared" si="37"/>
        <v>0</v>
      </c>
      <c r="AE740" s="95" t="s">
        <v>64</v>
      </c>
    </row>
    <row r="741" spans="1:31" s="55" customFormat="1" ht="30" customHeight="1">
      <c r="A741" s="155"/>
      <c r="B741" s="155"/>
      <c r="C741" s="155"/>
      <c r="D741" s="155"/>
      <c r="E741" s="155"/>
      <c r="F741" s="155"/>
      <c r="G741" s="155"/>
      <c r="H741" s="155"/>
      <c r="I741" s="155"/>
      <c r="J741" s="155"/>
      <c r="K741" s="155"/>
      <c r="L741" s="155"/>
      <c r="M741" s="155"/>
      <c r="N741" s="155"/>
      <c r="O741" s="157"/>
      <c r="P741" s="92"/>
      <c r="Q741" s="145"/>
      <c r="R741" s="92"/>
      <c r="S741" s="145"/>
      <c r="T741" s="92"/>
      <c r="U741" s="145"/>
      <c r="V741" s="92"/>
      <c r="W741" s="145"/>
      <c r="X741" s="92"/>
      <c r="Y741" s="352"/>
      <c r="Z741" s="142" t="str">
        <f t="shared" si="38"/>
        <v/>
      </c>
      <c r="AA741" s="226" t="b">
        <f t="shared" si="39"/>
        <v>0</v>
      </c>
      <c r="AB741" s="9"/>
      <c r="AC741" s="162" t="s">
        <v>6</v>
      </c>
      <c r="AD741" s="150">
        <f t="shared" si="37"/>
        <v>0</v>
      </c>
      <c r="AE741" s="95" t="s">
        <v>64</v>
      </c>
    </row>
    <row r="742" spans="1:31" s="55" customFormat="1" ht="30" customHeight="1">
      <c r="A742" s="155"/>
      <c r="B742" s="155"/>
      <c r="C742" s="155"/>
      <c r="D742" s="155"/>
      <c r="E742" s="155"/>
      <c r="F742" s="155"/>
      <c r="G742" s="155"/>
      <c r="H742" s="155"/>
      <c r="I742" s="155"/>
      <c r="J742" s="155"/>
      <c r="K742" s="155"/>
      <c r="L742" s="155"/>
      <c r="M742" s="155"/>
      <c r="N742" s="155"/>
      <c r="O742" s="157"/>
      <c r="P742" s="92"/>
      <c r="Q742" s="145"/>
      <c r="R742" s="92"/>
      <c r="S742" s="145"/>
      <c r="T742" s="92"/>
      <c r="U742" s="145"/>
      <c r="V742" s="92"/>
      <c r="W742" s="145"/>
      <c r="X742" s="92"/>
      <c r="Y742" s="352"/>
      <c r="Z742" s="142" t="str">
        <f t="shared" si="38"/>
        <v/>
      </c>
      <c r="AA742" s="226" t="b">
        <f t="shared" si="39"/>
        <v>0</v>
      </c>
      <c r="AB742" s="9"/>
      <c r="AC742" s="162" t="s">
        <v>6</v>
      </c>
      <c r="AD742" s="150">
        <f t="shared" si="37"/>
        <v>0</v>
      </c>
      <c r="AE742" s="95" t="s">
        <v>64</v>
      </c>
    </row>
    <row r="743" spans="1:31" s="55" customFormat="1" ht="30" customHeight="1">
      <c r="A743" s="155"/>
      <c r="B743" s="155"/>
      <c r="C743" s="155"/>
      <c r="D743" s="155"/>
      <c r="E743" s="155"/>
      <c r="F743" s="155"/>
      <c r="G743" s="155"/>
      <c r="H743" s="155"/>
      <c r="I743" s="155"/>
      <c r="J743" s="155"/>
      <c r="K743" s="155"/>
      <c r="L743" s="155"/>
      <c r="M743" s="155"/>
      <c r="N743" s="155"/>
      <c r="O743" s="157"/>
      <c r="P743" s="92"/>
      <c r="Q743" s="145"/>
      <c r="R743" s="92"/>
      <c r="S743" s="145"/>
      <c r="T743" s="92"/>
      <c r="U743" s="145"/>
      <c r="V743" s="92"/>
      <c r="W743" s="145"/>
      <c r="X743" s="92"/>
      <c r="Y743" s="352"/>
      <c r="Z743" s="142" t="str">
        <f t="shared" si="38"/>
        <v/>
      </c>
      <c r="AA743" s="226" t="b">
        <f t="shared" si="39"/>
        <v>0</v>
      </c>
      <c r="AB743" s="9"/>
      <c r="AC743" s="162" t="s">
        <v>6</v>
      </c>
      <c r="AD743" s="150">
        <f t="shared" si="37"/>
        <v>0</v>
      </c>
      <c r="AE743" s="95" t="s">
        <v>64</v>
      </c>
    </row>
    <row r="744" spans="1:31" s="55" customFormat="1" ht="30" customHeight="1">
      <c r="A744" s="155"/>
      <c r="B744" s="155"/>
      <c r="C744" s="155"/>
      <c r="D744" s="155"/>
      <c r="E744" s="155"/>
      <c r="F744" s="155"/>
      <c r="G744" s="155"/>
      <c r="H744" s="155"/>
      <c r="I744" s="155"/>
      <c r="J744" s="155"/>
      <c r="K744" s="155"/>
      <c r="L744" s="155"/>
      <c r="M744" s="155"/>
      <c r="N744" s="155"/>
      <c r="O744" s="157"/>
      <c r="P744" s="92"/>
      <c r="Q744" s="145"/>
      <c r="R744" s="92"/>
      <c r="S744" s="145"/>
      <c r="T744" s="92"/>
      <c r="U744" s="145"/>
      <c r="V744" s="92"/>
      <c r="W744" s="145"/>
      <c r="X744" s="92"/>
      <c r="Y744" s="352"/>
      <c r="Z744" s="142" t="str">
        <f t="shared" si="38"/>
        <v/>
      </c>
      <c r="AA744" s="226" t="b">
        <f t="shared" si="39"/>
        <v>0</v>
      </c>
      <c r="AB744" s="9"/>
      <c r="AC744" s="162" t="s">
        <v>6</v>
      </c>
      <c r="AD744" s="150">
        <f t="shared" si="37"/>
        <v>0</v>
      </c>
      <c r="AE744" s="95" t="s">
        <v>64</v>
      </c>
    </row>
    <row r="745" spans="1:31" s="55" customFormat="1" ht="30" customHeight="1">
      <c r="A745" s="155"/>
      <c r="B745" s="155"/>
      <c r="C745" s="155"/>
      <c r="D745" s="155"/>
      <c r="E745" s="155"/>
      <c r="F745" s="155"/>
      <c r="G745" s="155"/>
      <c r="H745" s="155"/>
      <c r="I745" s="155"/>
      <c r="J745" s="155"/>
      <c r="K745" s="155"/>
      <c r="L745" s="155"/>
      <c r="M745" s="155"/>
      <c r="N745" s="155"/>
      <c r="O745" s="157"/>
      <c r="P745" s="92"/>
      <c r="Q745" s="145"/>
      <c r="R745" s="92"/>
      <c r="S745" s="145"/>
      <c r="T745" s="92"/>
      <c r="U745" s="145"/>
      <c r="V745" s="92"/>
      <c r="W745" s="145"/>
      <c r="X745" s="92"/>
      <c r="Y745" s="352"/>
      <c r="Z745" s="142" t="str">
        <f t="shared" si="38"/>
        <v/>
      </c>
      <c r="AA745" s="226" t="b">
        <f t="shared" si="39"/>
        <v>0</v>
      </c>
      <c r="AB745" s="9"/>
      <c r="AC745" s="162" t="s">
        <v>6</v>
      </c>
      <c r="AD745" s="150">
        <f t="shared" si="37"/>
        <v>0</v>
      </c>
      <c r="AE745" s="95" t="s">
        <v>64</v>
      </c>
    </row>
    <row r="746" spans="1:31" s="55" customFormat="1" ht="30" customHeight="1">
      <c r="A746" s="155"/>
      <c r="B746" s="155"/>
      <c r="C746" s="155"/>
      <c r="D746" s="155"/>
      <c r="E746" s="155"/>
      <c r="F746" s="155"/>
      <c r="G746" s="155"/>
      <c r="H746" s="155"/>
      <c r="I746" s="155"/>
      <c r="J746" s="155"/>
      <c r="K746" s="155"/>
      <c r="L746" s="155"/>
      <c r="M746" s="155"/>
      <c r="N746" s="155"/>
      <c r="O746" s="157"/>
      <c r="P746" s="92"/>
      <c r="Q746" s="145"/>
      <c r="R746" s="92"/>
      <c r="S746" s="145"/>
      <c r="T746" s="92"/>
      <c r="U746" s="145"/>
      <c r="V746" s="92"/>
      <c r="W746" s="145"/>
      <c r="X746" s="92"/>
      <c r="Y746" s="352"/>
      <c r="Z746" s="142" t="str">
        <f t="shared" si="38"/>
        <v/>
      </c>
      <c r="AA746" s="226" t="b">
        <f t="shared" si="39"/>
        <v>0</v>
      </c>
      <c r="AB746" s="9"/>
      <c r="AC746" s="162" t="s">
        <v>6</v>
      </c>
      <c r="AD746" s="150">
        <f t="shared" si="37"/>
        <v>0</v>
      </c>
      <c r="AE746" s="95" t="s">
        <v>64</v>
      </c>
    </row>
    <row r="747" spans="1:31" s="55" customFormat="1" ht="30" customHeight="1">
      <c r="A747" s="155"/>
      <c r="B747" s="155"/>
      <c r="C747" s="155"/>
      <c r="D747" s="155"/>
      <c r="E747" s="155"/>
      <c r="F747" s="155"/>
      <c r="G747" s="155"/>
      <c r="H747" s="155"/>
      <c r="I747" s="155"/>
      <c r="J747" s="155"/>
      <c r="K747" s="155"/>
      <c r="L747" s="155"/>
      <c r="M747" s="155"/>
      <c r="N747" s="155"/>
      <c r="O747" s="157"/>
      <c r="P747" s="92"/>
      <c r="Q747" s="145"/>
      <c r="R747" s="92"/>
      <c r="S747" s="145"/>
      <c r="T747" s="92"/>
      <c r="U747" s="145"/>
      <c r="V747" s="92"/>
      <c r="W747" s="145"/>
      <c r="X747" s="92"/>
      <c r="Y747" s="352"/>
      <c r="Z747" s="142" t="str">
        <f t="shared" si="38"/>
        <v/>
      </c>
      <c r="AA747" s="226" t="b">
        <f t="shared" si="39"/>
        <v>0</v>
      </c>
      <c r="AB747" s="9"/>
      <c r="AC747" s="162" t="s">
        <v>6</v>
      </c>
      <c r="AD747" s="150">
        <f t="shared" ref="AD747:AD810" si="40">E747</f>
        <v>0</v>
      </c>
      <c r="AE747" s="95" t="s">
        <v>64</v>
      </c>
    </row>
    <row r="748" spans="1:31" s="55" customFormat="1" ht="30" customHeight="1">
      <c r="A748" s="155"/>
      <c r="B748" s="155"/>
      <c r="C748" s="155"/>
      <c r="D748" s="155"/>
      <c r="E748" s="155"/>
      <c r="F748" s="155"/>
      <c r="G748" s="155"/>
      <c r="H748" s="155"/>
      <c r="I748" s="155"/>
      <c r="J748" s="155"/>
      <c r="K748" s="155"/>
      <c r="L748" s="155"/>
      <c r="M748" s="155"/>
      <c r="N748" s="155"/>
      <c r="O748" s="157"/>
      <c r="P748" s="92"/>
      <c r="Q748" s="145"/>
      <c r="R748" s="92"/>
      <c r="S748" s="145"/>
      <c r="T748" s="92"/>
      <c r="U748" s="145"/>
      <c r="V748" s="92"/>
      <c r="W748" s="145"/>
      <c r="X748" s="92"/>
      <c r="Y748" s="352"/>
      <c r="Z748" s="142" t="str">
        <f t="shared" si="38"/>
        <v/>
      </c>
      <c r="AA748" s="226" t="b">
        <f t="shared" si="39"/>
        <v>0</v>
      </c>
      <c r="AB748" s="9"/>
      <c r="AC748" s="162" t="s">
        <v>6</v>
      </c>
      <c r="AD748" s="150">
        <f t="shared" si="40"/>
        <v>0</v>
      </c>
      <c r="AE748" s="95" t="s">
        <v>64</v>
      </c>
    </row>
    <row r="749" spans="1:31" s="55" customFormat="1" ht="30" customHeight="1">
      <c r="A749" s="155"/>
      <c r="B749" s="155"/>
      <c r="C749" s="155"/>
      <c r="D749" s="155"/>
      <c r="E749" s="155"/>
      <c r="F749" s="155"/>
      <c r="G749" s="155"/>
      <c r="H749" s="155"/>
      <c r="I749" s="155"/>
      <c r="J749" s="155"/>
      <c r="K749" s="155"/>
      <c r="L749" s="155"/>
      <c r="M749" s="155"/>
      <c r="N749" s="155"/>
      <c r="O749" s="157"/>
      <c r="P749" s="92"/>
      <c r="Q749" s="145"/>
      <c r="R749" s="92"/>
      <c r="S749" s="145"/>
      <c r="T749" s="92"/>
      <c r="U749" s="145"/>
      <c r="V749" s="92"/>
      <c r="W749" s="145"/>
      <c r="X749" s="92"/>
      <c r="Y749" s="352"/>
      <c r="Z749" s="142" t="str">
        <f t="shared" si="38"/>
        <v/>
      </c>
      <c r="AA749" s="226" t="b">
        <f t="shared" si="39"/>
        <v>0</v>
      </c>
      <c r="AB749" s="9"/>
      <c r="AC749" s="162" t="s">
        <v>6</v>
      </c>
      <c r="AD749" s="150">
        <f t="shared" si="40"/>
        <v>0</v>
      </c>
      <c r="AE749" s="95" t="s">
        <v>64</v>
      </c>
    </row>
    <row r="750" spans="1:31" s="55" customFormat="1" ht="30" customHeight="1">
      <c r="A750" s="155"/>
      <c r="B750" s="155"/>
      <c r="C750" s="155"/>
      <c r="D750" s="155"/>
      <c r="E750" s="155"/>
      <c r="F750" s="155"/>
      <c r="G750" s="155"/>
      <c r="H750" s="155"/>
      <c r="I750" s="155"/>
      <c r="J750" s="155"/>
      <c r="K750" s="155"/>
      <c r="L750" s="155"/>
      <c r="M750" s="155"/>
      <c r="N750" s="155"/>
      <c r="O750" s="157"/>
      <c r="P750" s="92"/>
      <c r="Q750" s="145"/>
      <c r="R750" s="92"/>
      <c r="S750" s="145"/>
      <c r="T750" s="92"/>
      <c r="U750" s="145"/>
      <c r="V750" s="92"/>
      <c r="W750" s="145"/>
      <c r="X750" s="92"/>
      <c r="Y750" s="352"/>
      <c r="Z750" s="142" t="str">
        <f t="shared" si="38"/>
        <v/>
      </c>
      <c r="AA750" s="226" t="b">
        <f t="shared" si="39"/>
        <v>0</v>
      </c>
      <c r="AB750" s="9"/>
      <c r="AC750" s="162" t="s">
        <v>6</v>
      </c>
      <c r="AD750" s="150">
        <f t="shared" si="40"/>
        <v>0</v>
      </c>
      <c r="AE750" s="95" t="s">
        <v>64</v>
      </c>
    </row>
    <row r="751" spans="1:31" s="55" customFormat="1" ht="30" customHeight="1">
      <c r="A751" s="155"/>
      <c r="B751" s="155"/>
      <c r="C751" s="155"/>
      <c r="D751" s="155"/>
      <c r="E751" s="155"/>
      <c r="F751" s="155"/>
      <c r="G751" s="155"/>
      <c r="H751" s="155"/>
      <c r="I751" s="155"/>
      <c r="J751" s="155"/>
      <c r="K751" s="155"/>
      <c r="L751" s="155"/>
      <c r="M751" s="155"/>
      <c r="N751" s="155"/>
      <c r="O751" s="157"/>
      <c r="P751" s="92"/>
      <c r="Q751" s="145"/>
      <c r="R751" s="92"/>
      <c r="S751" s="145"/>
      <c r="T751" s="92"/>
      <c r="U751" s="145"/>
      <c r="V751" s="92"/>
      <c r="W751" s="145"/>
      <c r="X751" s="92"/>
      <c r="Y751" s="352"/>
      <c r="Z751" s="142" t="str">
        <f t="shared" si="38"/>
        <v/>
      </c>
      <c r="AA751" s="226" t="b">
        <f t="shared" si="39"/>
        <v>0</v>
      </c>
      <c r="AB751" s="9"/>
      <c r="AC751" s="162" t="s">
        <v>6</v>
      </c>
      <c r="AD751" s="150">
        <f t="shared" si="40"/>
        <v>0</v>
      </c>
      <c r="AE751" s="95" t="s">
        <v>64</v>
      </c>
    </row>
    <row r="752" spans="1:31" s="55" customFormat="1" ht="30" customHeight="1">
      <c r="A752" s="155"/>
      <c r="B752" s="155"/>
      <c r="C752" s="155"/>
      <c r="D752" s="155"/>
      <c r="E752" s="155"/>
      <c r="F752" s="155"/>
      <c r="G752" s="155"/>
      <c r="H752" s="155"/>
      <c r="I752" s="155"/>
      <c r="J752" s="155"/>
      <c r="K752" s="155"/>
      <c r="L752" s="155"/>
      <c r="M752" s="155"/>
      <c r="N752" s="155"/>
      <c r="O752" s="157"/>
      <c r="P752" s="92"/>
      <c r="Q752" s="145"/>
      <c r="R752" s="92"/>
      <c r="S752" s="145"/>
      <c r="T752" s="92"/>
      <c r="U752" s="145"/>
      <c r="V752" s="92"/>
      <c r="W752" s="145"/>
      <c r="X752" s="92"/>
      <c r="Y752" s="352"/>
      <c r="Z752" s="142" t="str">
        <f t="shared" si="38"/>
        <v/>
      </c>
      <c r="AA752" s="226" t="b">
        <f t="shared" si="39"/>
        <v>0</v>
      </c>
      <c r="AB752" s="9"/>
      <c r="AC752" s="162" t="s">
        <v>6</v>
      </c>
      <c r="AD752" s="150">
        <f t="shared" si="40"/>
        <v>0</v>
      </c>
      <c r="AE752" s="95" t="s">
        <v>64</v>
      </c>
    </row>
    <row r="753" spans="1:31" s="55" customFormat="1" ht="30" customHeight="1">
      <c r="A753" s="155"/>
      <c r="B753" s="155"/>
      <c r="C753" s="155"/>
      <c r="D753" s="155"/>
      <c r="E753" s="155"/>
      <c r="F753" s="155"/>
      <c r="G753" s="155"/>
      <c r="H753" s="155"/>
      <c r="I753" s="155"/>
      <c r="J753" s="155"/>
      <c r="K753" s="155"/>
      <c r="L753" s="155"/>
      <c r="M753" s="155"/>
      <c r="N753" s="155"/>
      <c r="O753" s="157"/>
      <c r="P753" s="92"/>
      <c r="Q753" s="145"/>
      <c r="R753" s="92"/>
      <c r="S753" s="145"/>
      <c r="T753" s="92"/>
      <c r="U753" s="145"/>
      <c r="V753" s="92"/>
      <c r="W753" s="145"/>
      <c r="X753" s="92"/>
      <c r="Y753" s="352"/>
      <c r="Z753" s="142" t="str">
        <f t="shared" si="38"/>
        <v/>
      </c>
      <c r="AA753" s="226" t="b">
        <f t="shared" si="39"/>
        <v>0</v>
      </c>
      <c r="AB753" s="9"/>
      <c r="AC753" s="162" t="s">
        <v>6</v>
      </c>
      <c r="AD753" s="150">
        <f t="shared" si="40"/>
        <v>0</v>
      </c>
      <c r="AE753" s="95" t="s">
        <v>64</v>
      </c>
    </row>
    <row r="754" spans="1:31" s="55" customFormat="1" ht="30" customHeight="1">
      <c r="A754" s="155"/>
      <c r="B754" s="155"/>
      <c r="C754" s="155"/>
      <c r="D754" s="155"/>
      <c r="E754" s="155"/>
      <c r="F754" s="155"/>
      <c r="G754" s="155"/>
      <c r="H754" s="155"/>
      <c r="I754" s="155"/>
      <c r="J754" s="155"/>
      <c r="K754" s="155"/>
      <c r="L754" s="155"/>
      <c r="M754" s="155"/>
      <c r="N754" s="155"/>
      <c r="O754" s="157"/>
      <c r="P754" s="92"/>
      <c r="Q754" s="145"/>
      <c r="R754" s="92"/>
      <c r="S754" s="145"/>
      <c r="T754" s="92"/>
      <c r="U754" s="145"/>
      <c r="V754" s="92"/>
      <c r="W754" s="145"/>
      <c r="X754" s="92"/>
      <c r="Y754" s="352"/>
      <c r="Z754" s="142" t="str">
        <f t="shared" si="38"/>
        <v/>
      </c>
      <c r="AA754" s="226" t="b">
        <f t="shared" si="39"/>
        <v>0</v>
      </c>
      <c r="AB754" s="9"/>
      <c r="AC754" s="162" t="s">
        <v>6</v>
      </c>
      <c r="AD754" s="150">
        <f t="shared" si="40"/>
        <v>0</v>
      </c>
      <c r="AE754" s="95" t="s">
        <v>64</v>
      </c>
    </row>
    <row r="755" spans="1:31" s="55" customFormat="1" ht="30" customHeight="1">
      <c r="A755" s="155"/>
      <c r="B755" s="155"/>
      <c r="C755" s="155"/>
      <c r="D755" s="155"/>
      <c r="E755" s="155"/>
      <c r="F755" s="155"/>
      <c r="G755" s="155"/>
      <c r="H755" s="155"/>
      <c r="I755" s="155"/>
      <c r="J755" s="155"/>
      <c r="K755" s="155"/>
      <c r="L755" s="155"/>
      <c r="M755" s="155"/>
      <c r="N755" s="155"/>
      <c r="O755" s="157"/>
      <c r="P755" s="92"/>
      <c r="Q755" s="145"/>
      <c r="R755" s="92"/>
      <c r="S755" s="145"/>
      <c r="T755" s="92"/>
      <c r="U755" s="145"/>
      <c r="V755" s="92"/>
      <c r="W755" s="145"/>
      <c r="X755" s="92"/>
      <c r="Y755" s="352"/>
      <c r="Z755" s="142" t="str">
        <f t="shared" si="38"/>
        <v/>
      </c>
      <c r="AA755" s="226" t="b">
        <f t="shared" si="39"/>
        <v>0</v>
      </c>
      <c r="AB755" s="9"/>
      <c r="AC755" s="162" t="s">
        <v>6</v>
      </c>
      <c r="AD755" s="150">
        <f t="shared" si="40"/>
        <v>0</v>
      </c>
      <c r="AE755" s="95" t="s">
        <v>64</v>
      </c>
    </row>
    <row r="756" spans="1:31" s="55" customFormat="1" ht="30" customHeight="1">
      <c r="A756" s="155"/>
      <c r="B756" s="155"/>
      <c r="C756" s="155"/>
      <c r="D756" s="155"/>
      <c r="E756" s="155"/>
      <c r="F756" s="155"/>
      <c r="G756" s="155"/>
      <c r="H756" s="155"/>
      <c r="I756" s="155"/>
      <c r="J756" s="155"/>
      <c r="K756" s="155"/>
      <c r="L756" s="155"/>
      <c r="M756" s="155"/>
      <c r="N756" s="155"/>
      <c r="O756" s="157"/>
      <c r="P756" s="92"/>
      <c r="Q756" s="145"/>
      <c r="R756" s="92"/>
      <c r="S756" s="145"/>
      <c r="T756" s="92"/>
      <c r="U756" s="145"/>
      <c r="V756" s="92"/>
      <c r="W756" s="145"/>
      <c r="X756" s="92"/>
      <c r="Y756" s="352"/>
      <c r="Z756" s="142" t="str">
        <f t="shared" si="38"/>
        <v/>
      </c>
      <c r="AA756" s="226" t="b">
        <f t="shared" si="39"/>
        <v>0</v>
      </c>
      <c r="AB756" s="9"/>
      <c r="AC756" s="162" t="s">
        <v>6</v>
      </c>
      <c r="AD756" s="150">
        <f t="shared" si="40"/>
        <v>0</v>
      </c>
      <c r="AE756" s="95" t="s">
        <v>64</v>
      </c>
    </row>
    <row r="757" spans="1:31" s="55" customFormat="1" ht="30" customHeight="1">
      <c r="A757" s="155"/>
      <c r="B757" s="155"/>
      <c r="C757" s="155"/>
      <c r="D757" s="155"/>
      <c r="E757" s="155"/>
      <c r="F757" s="155"/>
      <c r="G757" s="155"/>
      <c r="H757" s="155"/>
      <c r="I757" s="155"/>
      <c r="J757" s="155"/>
      <c r="K757" s="155"/>
      <c r="L757" s="155"/>
      <c r="M757" s="155"/>
      <c r="N757" s="155"/>
      <c r="O757" s="157"/>
      <c r="P757" s="92"/>
      <c r="Q757" s="145"/>
      <c r="R757" s="92"/>
      <c r="S757" s="145"/>
      <c r="T757" s="92"/>
      <c r="U757" s="145"/>
      <c r="V757" s="92"/>
      <c r="W757" s="145"/>
      <c r="X757" s="92"/>
      <c r="Y757" s="352"/>
      <c r="Z757" s="142" t="str">
        <f t="shared" si="38"/>
        <v/>
      </c>
      <c r="AA757" s="226" t="b">
        <f t="shared" si="39"/>
        <v>0</v>
      </c>
      <c r="AB757" s="9"/>
      <c r="AC757" s="162" t="s">
        <v>6</v>
      </c>
      <c r="AD757" s="150">
        <f t="shared" si="40"/>
        <v>0</v>
      </c>
      <c r="AE757" s="95" t="s">
        <v>64</v>
      </c>
    </row>
    <row r="758" spans="1:31" s="55" customFormat="1" ht="30" customHeight="1">
      <c r="A758" s="155"/>
      <c r="B758" s="155"/>
      <c r="C758" s="155"/>
      <c r="D758" s="155"/>
      <c r="E758" s="155"/>
      <c r="F758" s="155"/>
      <c r="G758" s="155"/>
      <c r="H758" s="155"/>
      <c r="I758" s="155"/>
      <c r="J758" s="155"/>
      <c r="K758" s="155"/>
      <c r="L758" s="155"/>
      <c r="M758" s="155"/>
      <c r="N758" s="155"/>
      <c r="O758" s="157"/>
      <c r="P758" s="92"/>
      <c r="Q758" s="145"/>
      <c r="R758" s="92"/>
      <c r="S758" s="145"/>
      <c r="T758" s="92"/>
      <c r="U758" s="145"/>
      <c r="V758" s="92"/>
      <c r="W758" s="145"/>
      <c r="X758" s="92"/>
      <c r="Y758" s="352"/>
      <c r="Z758" s="142" t="str">
        <f t="shared" si="38"/>
        <v/>
      </c>
      <c r="AA758" s="226" t="b">
        <f t="shared" si="39"/>
        <v>0</v>
      </c>
      <c r="AB758" s="9"/>
      <c r="AC758" s="162" t="s">
        <v>6</v>
      </c>
      <c r="AD758" s="150">
        <f t="shared" si="40"/>
        <v>0</v>
      </c>
      <c r="AE758" s="95" t="s">
        <v>64</v>
      </c>
    </row>
    <row r="759" spans="1:31" s="55" customFormat="1" ht="30" customHeight="1">
      <c r="A759" s="155"/>
      <c r="B759" s="155"/>
      <c r="C759" s="155"/>
      <c r="D759" s="155"/>
      <c r="E759" s="155"/>
      <c r="F759" s="155"/>
      <c r="G759" s="155"/>
      <c r="H759" s="155"/>
      <c r="I759" s="155"/>
      <c r="J759" s="155"/>
      <c r="K759" s="155"/>
      <c r="L759" s="155"/>
      <c r="M759" s="155"/>
      <c r="N759" s="155"/>
      <c r="O759" s="157"/>
      <c r="P759" s="92"/>
      <c r="Q759" s="145"/>
      <c r="R759" s="92"/>
      <c r="S759" s="145"/>
      <c r="T759" s="92"/>
      <c r="U759" s="145"/>
      <c r="V759" s="92"/>
      <c r="W759" s="145"/>
      <c r="X759" s="92"/>
      <c r="Y759" s="352"/>
      <c r="Z759" s="142" t="str">
        <f t="shared" si="38"/>
        <v/>
      </c>
      <c r="AA759" s="226" t="b">
        <f t="shared" si="39"/>
        <v>0</v>
      </c>
      <c r="AB759" s="9"/>
      <c r="AC759" s="162" t="s">
        <v>6</v>
      </c>
      <c r="AD759" s="150">
        <f t="shared" si="40"/>
        <v>0</v>
      </c>
      <c r="AE759" s="95" t="s">
        <v>64</v>
      </c>
    </row>
    <row r="760" spans="1:31" s="55" customFormat="1" ht="30" customHeight="1">
      <c r="A760" s="155"/>
      <c r="B760" s="155"/>
      <c r="C760" s="155"/>
      <c r="D760" s="155"/>
      <c r="E760" s="155"/>
      <c r="F760" s="155"/>
      <c r="G760" s="155"/>
      <c r="H760" s="155"/>
      <c r="I760" s="155"/>
      <c r="J760" s="155"/>
      <c r="K760" s="155"/>
      <c r="L760" s="155"/>
      <c r="M760" s="155"/>
      <c r="N760" s="155"/>
      <c r="O760" s="157"/>
      <c r="P760" s="92"/>
      <c r="Q760" s="145"/>
      <c r="R760" s="92"/>
      <c r="S760" s="145"/>
      <c r="T760" s="92"/>
      <c r="U760" s="145"/>
      <c r="V760" s="92"/>
      <c r="W760" s="145"/>
      <c r="X760" s="92"/>
      <c r="Y760" s="352"/>
      <c r="Z760" s="142" t="str">
        <f t="shared" si="38"/>
        <v/>
      </c>
      <c r="AA760" s="226" t="b">
        <f t="shared" si="39"/>
        <v>0</v>
      </c>
      <c r="AB760" s="9"/>
      <c r="AC760" s="162" t="s">
        <v>6</v>
      </c>
      <c r="AD760" s="150">
        <f t="shared" si="40"/>
        <v>0</v>
      </c>
      <c r="AE760" s="95" t="s">
        <v>64</v>
      </c>
    </row>
    <row r="761" spans="1:31" s="55" customFormat="1" ht="30" customHeight="1">
      <c r="A761" s="155"/>
      <c r="B761" s="155"/>
      <c r="C761" s="155"/>
      <c r="D761" s="155"/>
      <c r="E761" s="155"/>
      <c r="F761" s="155"/>
      <c r="G761" s="155"/>
      <c r="H761" s="155"/>
      <c r="I761" s="155"/>
      <c r="J761" s="155"/>
      <c r="K761" s="155"/>
      <c r="L761" s="155"/>
      <c r="M761" s="155"/>
      <c r="N761" s="155"/>
      <c r="O761" s="157"/>
      <c r="P761" s="92"/>
      <c r="Q761" s="145"/>
      <c r="R761" s="92"/>
      <c r="S761" s="145"/>
      <c r="T761" s="92"/>
      <c r="U761" s="145"/>
      <c r="V761" s="92"/>
      <c r="W761" s="145"/>
      <c r="X761" s="92"/>
      <c r="Y761" s="352"/>
      <c r="Z761" s="142" t="str">
        <f t="shared" si="38"/>
        <v/>
      </c>
      <c r="AA761" s="226" t="b">
        <f t="shared" si="39"/>
        <v>0</v>
      </c>
      <c r="AB761" s="9"/>
      <c r="AC761" s="162" t="s">
        <v>6</v>
      </c>
      <c r="AD761" s="150">
        <f t="shared" si="40"/>
        <v>0</v>
      </c>
      <c r="AE761" s="95" t="s">
        <v>64</v>
      </c>
    </row>
    <row r="762" spans="1:31" s="55" customFormat="1" ht="30" customHeight="1">
      <c r="A762" s="155"/>
      <c r="B762" s="155"/>
      <c r="C762" s="155"/>
      <c r="D762" s="155"/>
      <c r="E762" s="155"/>
      <c r="F762" s="155"/>
      <c r="G762" s="155"/>
      <c r="H762" s="155"/>
      <c r="I762" s="155"/>
      <c r="J762" s="155"/>
      <c r="K762" s="155"/>
      <c r="L762" s="155"/>
      <c r="M762" s="155"/>
      <c r="N762" s="155"/>
      <c r="O762" s="157"/>
      <c r="P762" s="92"/>
      <c r="Q762" s="145"/>
      <c r="R762" s="92"/>
      <c r="S762" s="145"/>
      <c r="T762" s="92"/>
      <c r="U762" s="145"/>
      <c r="V762" s="92"/>
      <c r="W762" s="145"/>
      <c r="X762" s="92"/>
      <c r="Y762" s="352"/>
      <c r="Z762" s="142" t="str">
        <f t="shared" ref="Z762:Z825" si="41">IF(AND(O762="",Q762="",S762="",U762="",W762=""),"",IF(OR(AND(O762&lt;&gt;"NA",O762&lt;&gt;"C",O762&lt;&gt;"NC",O762&lt;&gt;"SF",O762&lt;&gt;""),AND(Q762&lt;&gt;"NA",Q762&lt;&gt;"C",Q762&lt;&gt;"NC",Q762&lt;&gt;"SF",Q762&lt;&gt;""),AND(S762&lt;&gt;"NA",S762&lt;&gt;"C",S762&lt;&gt;"NC",S762&lt;&gt;"SF",S762&lt;&gt;""),AND(U762&lt;&gt;"NA",U762&lt;&gt;"C",U762&lt;&gt;"NC",U762&lt;&gt;"SF",U762&lt;&gt;""),AND(W762&lt;&gt;"NA",W762&lt;&gt;"C",W762&lt;&gt;"NC",W762&lt;&gt;"SF",W762&lt;&gt;"")),"FALSO",IF(AND(O762="NA",Q762="NA",S762="NA",U762="NA",W762="NA"),"NA",IF(OR(O762="NC",Q762="NC",S762="NC",U762="NC",W762="NC",O762="SF",Q762="SF",S762="SF",U762="SF",W762="SF"),"NC",IF(OR(O762="C",Q762="C",S762="C",U762="C",W762="C"),"C","")))))</f>
        <v/>
      </c>
      <c r="AA762" s="226" t="b">
        <f t="shared" ref="AA762:AA825" si="42">IF(AND(Y762="C",Z762="C"),"UTILIZOU O PDA CORRETAMENTE",IF(AND(Y762="C",Z762="NC"),"UTILIZOU O PDA CORRETAMENTE. NÃO HÁ FOTOS DE TODAS AS ETAPAS",IF(AND(Y762="NC",Z762="NC"),"NÃO UTILIZOU O PDA",IF(AND(Y762="NA",Z762="NA"),"NÃO AVALIADO POR FALHA DE SINCRONISMO"))))</f>
        <v>0</v>
      </c>
      <c r="AB762" s="9"/>
      <c r="AC762" s="162" t="s">
        <v>6</v>
      </c>
      <c r="AD762" s="150">
        <f t="shared" si="40"/>
        <v>0</v>
      </c>
      <c r="AE762" s="95" t="s">
        <v>64</v>
      </c>
    </row>
    <row r="763" spans="1:31" s="55" customFormat="1" ht="30" customHeight="1">
      <c r="A763" s="155"/>
      <c r="B763" s="155"/>
      <c r="C763" s="155"/>
      <c r="D763" s="155"/>
      <c r="E763" s="155"/>
      <c r="F763" s="155"/>
      <c r="G763" s="155"/>
      <c r="H763" s="155"/>
      <c r="I763" s="155"/>
      <c r="J763" s="155"/>
      <c r="K763" s="155"/>
      <c r="L763" s="155"/>
      <c r="M763" s="155"/>
      <c r="N763" s="155"/>
      <c r="O763" s="157"/>
      <c r="P763" s="92"/>
      <c r="Q763" s="145"/>
      <c r="R763" s="92"/>
      <c r="S763" s="145"/>
      <c r="T763" s="92"/>
      <c r="U763" s="145"/>
      <c r="V763" s="92"/>
      <c r="W763" s="145"/>
      <c r="X763" s="92"/>
      <c r="Y763" s="352"/>
      <c r="Z763" s="142" t="str">
        <f t="shared" si="41"/>
        <v/>
      </c>
      <c r="AA763" s="226" t="b">
        <f t="shared" si="42"/>
        <v>0</v>
      </c>
      <c r="AB763" s="9"/>
      <c r="AC763" s="162" t="s">
        <v>6</v>
      </c>
      <c r="AD763" s="150">
        <f t="shared" si="40"/>
        <v>0</v>
      </c>
      <c r="AE763" s="95" t="s">
        <v>64</v>
      </c>
    </row>
    <row r="764" spans="1:31" s="55" customFormat="1" ht="30" customHeight="1">
      <c r="A764" s="155"/>
      <c r="B764" s="155"/>
      <c r="C764" s="155"/>
      <c r="D764" s="155"/>
      <c r="E764" s="155"/>
      <c r="F764" s="155"/>
      <c r="G764" s="155"/>
      <c r="H764" s="155"/>
      <c r="I764" s="155"/>
      <c r="J764" s="155"/>
      <c r="K764" s="155"/>
      <c r="L764" s="155"/>
      <c r="M764" s="155"/>
      <c r="N764" s="155"/>
      <c r="O764" s="157"/>
      <c r="P764" s="92"/>
      <c r="Q764" s="145"/>
      <c r="R764" s="92"/>
      <c r="S764" s="145"/>
      <c r="T764" s="92"/>
      <c r="U764" s="145"/>
      <c r="V764" s="92"/>
      <c r="W764" s="145"/>
      <c r="X764" s="92"/>
      <c r="Y764" s="352"/>
      <c r="Z764" s="142" t="str">
        <f t="shared" si="41"/>
        <v/>
      </c>
      <c r="AA764" s="226" t="b">
        <f t="shared" si="42"/>
        <v>0</v>
      </c>
      <c r="AB764" s="9"/>
      <c r="AC764" s="162" t="s">
        <v>6</v>
      </c>
      <c r="AD764" s="150">
        <f t="shared" si="40"/>
        <v>0</v>
      </c>
      <c r="AE764" s="95" t="s">
        <v>64</v>
      </c>
    </row>
    <row r="765" spans="1:31" s="55" customFormat="1" ht="30" customHeight="1">
      <c r="A765" s="155"/>
      <c r="B765" s="155"/>
      <c r="C765" s="155"/>
      <c r="D765" s="155"/>
      <c r="E765" s="155"/>
      <c r="F765" s="155"/>
      <c r="G765" s="155"/>
      <c r="H765" s="155"/>
      <c r="I765" s="155"/>
      <c r="J765" s="155"/>
      <c r="K765" s="155"/>
      <c r="L765" s="155"/>
      <c r="M765" s="155"/>
      <c r="N765" s="155"/>
      <c r="O765" s="157"/>
      <c r="P765" s="92"/>
      <c r="Q765" s="145"/>
      <c r="R765" s="92"/>
      <c r="S765" s="145"/>
      <c r="T765" s="92"/>
      <c r="U765" s="145"/>
      <c r="V765" s="92"/>
      <c r="W765" s="145"/>
      <c r="X765" s="92"/>
      <c r="Y765" s="352"/>
      <c r="Z765" s="142" t="str">
        <f t="shared" si="41"/>
        <v/>
      </c>
      <c r="AA765" s="226" t="b">
        <f t="shared" si="42"/>
        <v>0</v>
      </c>
      <c r="AB765" s="9"/>
      <c r="AC765" s="162" t="s">
        <v>6</v>
      </c>
      <c r="AD765" s="150">
        <f t="shared" si="40"/>
        <v>0</v>
      </c>
      <c r="AE765" s="95" t="s">
        <v>64</v>
      </c>
    </row>
    <row r="766" spans="1:31" s="55" customFormat="1" ht="30" customHeight="1">
      <c r="A766" s="155"/>
      <c r="B766" s="155"/>
      <c r="C766" s="155"/>
      <c r="D766" s="155"/>
      <c r="E766" s="155"/>
      <c r="F766" s="155"/>
      <c r="G766" s="155"/>
      <c r="H766" s="155"/>
      <c r="I766" s="155"/>
      <c r="J766" s="155"/>
      <c r="K766" s="155"/>
      <c r="L766" s="155"/>
      <c r="M766" s="155"/>
      <c r="N766" s="155"/>
      <c r="O766" s="157"/>
      <c r="P766" s="92"/>
      <c r="Q766" s="145"/>
      <c r="R766" s="92"/>
      <c r="S766" s="145"/>
      <c r="T766" s="92"/>
      <c r="U766" s="145"/>
      <c r="V766" s="92"/>
      <c r="W766" s="145"/>
      <c r="X766" s="92"/>
      <c r="Y766" s="352"/>
      <c r="Z766" s="142" t="str">
        <f t="shared" si="41"/>
        <v/>
      </c>
      <c r="AA766" s="226" t="b">
        <f t="shared" si="42"/>
        <v>0</v>
      </c>
      <c r="AB766" s="9"/>
      <c r="AC766" s="162" t="s">
        <v>6</v>
      </c>
      <c r="AD766" s="150">
        <f t="shared" si="40"/>
        <v>0</v>
      </c>
      <c r="AE766" s="95" t="s">
        <v>64</v>
      </c>
    </row>
    <row r="767" spans="1:31" s="55" customFormat="1" ht="30" customHeight="1">
      <c r="A767" s="155"/>
      <c r="B767" s="155"/>
      <c r="C767" s="155"/>
      <c r="D767" s="155"/>
      <c r="E767" s="155"/>
      <c r="F767" s="155"/>
      <c r="G767" s="155"/>
      <c r="H767" s="155"/>
      <c r="I767" s="155"/>
      <c r="J767" s="155"/>
      <c r="K767" s="155"/>
      <c r="L767" s="155"/>
      <c r="M767" s="155"/>
      <c r="N767" s="155"/>
      <c r="O767" s="157"/>
      <c r="P767" s="92"/>
      <c r="Q767" s="145"/>
      <c r="R767" s="92"/>
      <c r="S767" s="145"/>
      <c r="T767" s="92"/>
      <c r="U767" s="145"/>
      <c r="V767" s="92"/>
      <c r="W767" s="145"/>
      <c r="X767" s="92"/>
      <c r="Y767" s="352"/>
      <c r="Z767" s="142" t="str">
        <f t="shared" si="41"/>
        <v/>
      </c>
      <c r="AA767" s="226" t="b">
        <f t="shared" si="42"/>
        <v>0</v>
      </c>
      <c r="AB767" s="9"/>
      <c r="AC767" s="162" t="s">
        <v>6</v>
      </c>
      <c r="AD767" s="150">
        <f t="shared" si="40"/>
        <v>0</v>
      </c>
      <c r="AE767" s="95" t="s">
        <v>64</v>
      </c>
    </row>
    <row r="768" spans="1:31" s="55" customFormat="1" ht="30" customHeight="1">
      <c r="A768" s="155"/>
      <c r="B768" s="155"/>
      <c r="C768" s="155"/>
      <c r="D768" s="155"/>
      <c r="E768" s="155"/>
      <c r="F768" s="155"/>
      <c r="G768" s="155"/>
      <c r="H768" s="155"/>
      <c r="I768" s="155"/>
      <c r="J768" s="155"/>
      <c r="K768" s="155"/>
      <c r="L768" s="155"/>
      <c r="M768" s="155"/>
      <c r="N768" s="155"/>
      <c r="O768" s="157"/>
      <c r="P768" s="92"/>
      <c r="Q768" s="145"/>
      <c r="R768" s="92"/>
      <c r="S768" s="145"/>
      <c r="T768" s="92"/>
      <c r="U768" s="145"/>
      <c r="V768" s="92"/>
      <c r="W768" s="145"/>
      <c r="X768" s="92"/>
      <c r="Y768" s="352"/>
      <c r="Z768" s="142" t="str">
        <f t="shared" si="41"/>
        <v/>
      </c>
      <c r="AA768" s="226" t="b">
        <f t="shared" si="42"/>
        <v>0</v>
      </c>
      <c r="AB768" s="9"/>
      <c r="AC768" s="162" t="s">
        <v>6</v>
      </c>
      <c r="AD768" s="150">
        <f t="shared" si="40"/>
        <v>0</v>
      </c>
      <c r="AE768" s="95" t="s">
        <v>64</v>
      </c>
    </row>
    <row r="769" spans="1:31" s="55" customFormat="1" ht="30" customHeight="1">
      <c r="A769" s="155"/>
      <c r="B769" s="155"/>
      <c r="C769" s="155"/>
      <c r="D769" s="155"/>
      <c r="E769" s="155"/>
      <c r="F769" s="155"/>
      <c r="G769" s="155"/>
      <c r="H769" s="155"/>
      <c r="I769" s="155"/>
      <c r="J769" s="155"/>
      <c r="K769" s="155"/>
      <c r="L769" s="155"/>
      <c r="M769" s="155"/>
      <c r="N769" s="155"/>
      <c r="O769" s="157"/>
      <c r="P769" s="92"/>
      <c r="Q769" s="145"/>
      <c r="R769" s="92"/>
      <c r="S769" s="145"/>
      <c r="T769" s="92"/>
      <c r="U769" s="145"/>
      <c r="V769" s="92"/>
      <c r="W769" s="145"/>
      <c r="X769" s="92"/>
      <c r="Y769" s="352"/>
      <c r="Z769" s="142" t="str">
        <f t="shared" si="41"/>
        <v/>
      </c>
      <c r="AA769" s="226" t="b">
        <f t="shared" si="42"/>
        <v>0</v>
      </c>
      <c r="AB769" s="9"/>
      <c r="AC769" s="162" t="s">
        <v>6</v>
      </c>
      <c r="AD769" s="150">
        <f t="shared" si="40"/>
        <v>0</v>
      </c>
      <c r="AE769" s="95" t="s">
        <v>64</v>
      </c>
    </row>
    <row r="770" spans="1:31" s="55" customFormat="1" ht="30" customHeight="1">
      <c r="A770" s="155"/>
      <c r="B770" s="155"/>
      <c r="C770" s="155"/>
      <c r="D770" s="155"/>
      <c r="E770" s="155"/>
      <c r="F770" s="155"/>
      <c r="G770" s="155"/>
      <c r="H770" s="155"/>
      <c r="I770" s="155"/>
      <c r="J770" s="155"/>
      <c r="K770" s="155"/>
      <c r="L770" s="155"/>
      <c r="M770" s="155"/>
      <c r="N770" s="155"/>
      <c r="O770" s="157"/>
      <c r="P770" s="92"/>
      <c r="Q770" s="145"/>
      <c r="R770" s="92"/>
      <c r="S770" s="145"/>
      <c r="T770" s="92"/>
      <c r="U770" s="145"/>
      <c r="V770" s="92"/>
      <c r="W770" s="145"/>
      <c r="X770" s="92"/>
      <c r="Y770" s="352"/>
      <c r="Z770" s="142" t="str">
        <f t="shared" si="41"/>
        <v/>
      </c>
      <c r="AA770" s="226" t="b">
        <f t="shared" si="42"/>
        <v>0</v>
      </c>
      <c r="AB770" s="9"/>
      <c r="AC770" s="162" t="s">
        <v>6</v>
      </c>
      <c r="AD770" s="150">
        <f t="shared" si="40"/>
        <v>0</v>
      </c>
      <c r="AE770" s="95" t="s">
        <v>64</v>
      </c>
    </row>
    <row r="771" spans="1:31" s="55" customFormat="1" ht="30" customHeight="1">
      <c r="A771" s="155"/>
      <c r="B771" s="155"/>
      <c r="C771" s="155"/>
      <c r="D771" s="155"/>
      <c r="E771" s="155"/>
      <c r="F771" s="155"/>
      <c r="G771" s="155"/>
      <c r="H771" s="155"/>
      <c r="I771" s="155"/>
      <c r="J771" s="155"/>
      <c r="K771" s="155"/>
      <c r="L771" s="155"/>
      <c r="M771" s="155"/>
      <c r="N771" s="155"/>
      <c r="O771" s="157"/>
      <c r="P771" s="92"/>
      <c r="Q771" s="145"/>
      <c r="R771" s="92"/>
      <c r="S771" s="145"/>
      <c r="T771" s="92"/>
      <c r="U771" s="145"/>
      <c r="V771" s="92"/>
      <c r="W771" s="145"/>
      <c r="X771" s="92"/>
      <c r="Y771" s="352"/>
      <c r="Z771" s="142" t="str">
        <f t="shared" si="41"/>
        <v/>
      </c>
      <c r="AA771" s="226" t="b">
        <f t="shared" si="42"/>
        <v>0</v>
      </c>
      <c r="AB771" s="9"/>
      <c r="AC771" s="162" t="s">
        <v>6</v>
      </c>
      <c r="AD771" s="150">
        <f t="shared" si="40"/>
        <v>0</v>
      </c>
      <c r="AE771" s="95" t="s">
        <v>64</v>
      </c>
    </row>
    <row r="772" spans="1:31" s="55" customFormat="1" ht="30" customHeight="1">
      <c r="A772" s="155"/>
      <c r="B772" s="155"/>
      <c r="C772" s="155"/>
      <c r="D772" s="155"/>
      <c r="E772" s="155"/>
      <c r="F772" s="155"/>
      <c r="G772" s="155"/>
      <c r="H772" s="155"/>
      <c r="I772" s="155"/>
      <c r="J772" s="155"/>
      <c r="K772" s="155"/>
      <c r="L772" s="155"/>
      <c r="M772" s="155"/>
      <c r="N772" s="155"/>
      <c r="O772" s="157"/>
      <c r="P772" s="92"/>
      <c r="Q772" s="145"/>
      <c r="R772" s="92"/>
      <c r="S772" s="145"/>
      <c r="T772" s="92"/>
      <c r="U772" s="145"/>
      <c r="V772" s="92"/>
      <c r="W772" s="145"/>
      <c r="X772" s="92"/>
      <c r="Y772" s="352"/>
      <c r="Z772" s="142" t="str">
        <f t="shared" si="41"/>
        <v/>
      </c>
      <c r="AA772" s="226" t="b">
        <f t="shared" si="42"/>
        <v>0</v>
      </c>
      <c r="AB772" s="9"/>
      <c r="AC772" s="162" t="s">
        <v>6</v>
      </c>
      <c r="AD772" s="150">
        <f t="shared" si="40"/>
        <v>0</v>
      </c>
      <c r="AE772" s="95" t="s">
        <v>64</v>
      </c>
    </row>
    <row r="773" spans="1:31" s="55" customFormat="1" ht="30" customHeight="1">
      <c r="A773" s="155"/>
      <c r="B773" s="155"/>
      <c r="C773" s="155"/>
      <c r="D773" s="155"/>
      <c r="E773" s="155"/>
      <c r="F773" s="155"/>
      <c r="G773" s="155"/>
      <c r="H773" s="155"/>
      <c r="I773" s="155"/>
      <c r="J773" s="155"/>
      <c r="K773" s="155"/>
      <c r="L773" s="155"/>
      <c r="M773" s="155"/>
      <c r="N773" s="155"/>
      <c r="O773" s="157"/>
      <c r="P773" s="92"/>
      <c r="Q773" s="145"/>
      <c r="R773" s="92"/>
      <c r="S773" s="145"/>
      <c r="T773" s="92"/>
      <c r="U773" s="145"/>
      <c r="V773" s="92"/>
      <c r="W773" s="145"/>
      <c r="X773" s="92"/>
      <c r="Y773" s="352"/>
      <c r="Z773" s="142" t="str">
        <f t="shared" si="41"/>
        <v/>
      </c>
      <c r="AA773" s="226" t="b">
        <f t="shared" si="42"/>
        <v>0</v>
      </c>
      <c r="AB773" s="9"/>
      <c r="AC773" s="162" t="s">
        <v>6</v>
      </c>
      <c r="AD773" s="150">
        <f t="shared" si="40"/>
        <v>0</v>
      </c>
      <c r="AE773" s="95" t="s">
        <v>64</v>
      </c>
    </row>
    <row r="774" spans="1:31" s="55" customFormat="1" ht="30" customHeight="1">
      <c r="A774" s="155"/>
      <c r="B774" s="155"/>
      <c r="C774" s="155"/>
      <c r="D774" s="155"/>
      <c r="E774" s="155"/>
      <c r="F774" s="155"/>
      <c r="G774" s="155"/>
      <c r="H774" s="155"/>
      <c r="I774" s="155"/>
      <c r="J774" s="155"/>
      <c r="K774" s="155"/>
      <c r="L774" s="155"/>
      <c r="M774" s="155"/>
      <c r="N774" s="155"/>
      <c r="O774" s="157"/>
      <c r="P774" s="92"/>
      <c r="Q774" s="145"/>
      <c r="R774" s="92"/>
      <c r="S774" s="145"/>
      <c r="T774" s="92"/>
      <c r="U774" s="145"/>
      <c r="V774" s="92"/>
      <c r="W774" s="145"/>
      <c r="X774" s="92"/>
      <c r="Y774" s="352"/>
      <c r="Z774" s="142" t="str">
        <f t="shared" si="41"/>
        <v/>
      </c>
      <c r="AA774" s="226" t="b">
        <f t="shared" si="42"/>
        <v>0</v>
      </c>
      <c r="AB774" s="9"/>
      <c r="AC774" s="162" t="s">
        <v>6</v>
      </c>
      <c r="AD774" s="150">
        <f t="shared" si="40"/>
        <v>0</v>
      </c>
      <c r="AE774" s="95" t="s">
        <v>64</v>
      </c>
    </row>
    <row r="775" spans="1:31" s="55" customFormat="1" ht="30" customHeight="1">
      <c r="A775" s="155"/>
      <c r="B775" s="155"/>
      <c r="C775" s="155"/>
      <c r="D775" s="155"/>
      <c r="E775" s="155"/>
      <c r="F775" s="155"/>
      <c r="G775" s="155"/>
      <c r="H775" s="155"/>
      <c r="I775" s="155"/>
      <c r="J775" s="155"/>
      <c r="K775" s="155"/>
      <c r="L775" s="155"/>
      <c r="M775" s="155"/>
      <c r="N775" s="155"/>
      <c r="O775" s="157"/>
      <c r="P775" s="92"/>
      <c r="Q775" s="145"/>
      <c r="R775" s="92"/>
      <c r="S775" s="145"/>
      <c r="T775" s="92"/>
      <c r="U775" s="145"/>
      <c r="V775" s="92"/>
      <c r="W775" s="145"/>
      <c r="X775" s="92"/>
      <c r="Y775" s="352"/>
      <c r="Z775" s="142" t="str">
        <f t="shared" si="41"/>
        <v/>
      </c>
      <c r="AA775" s="226" t="b">
        <f t="shared" si="42"/>
        <v>0</v>
      </c>
      <c r="AB775" s="9"/>
      <c r="AC775" s="162" t="s">
        <v>6</v>
      </c>
      <c r="AD775" s="150">
        <f t="shared" si="40"/>
        <v>0</v>
      </c>
      <c r="AE775" s="95" t="s">
        <v>64</v>
      </c>
    </row>
    <row r="776" spans="1:31" s="55" customFormat="1" ht="30" customHeight="1">
      <c r="A776" s="155"/>
      <c r="B776" s="155"/>
      <c r="C776" s="155"/>
      <c r="D776" s="155"/>
      <c r="E776" s="155"/>
      <c r="F776" s="155"/>
      <c r="G776" s="155"/>
      <c r="H776" s="155"/>
      <c r="I776" s="155"/>
      <c r="J776" s="155"/>
      <c r="K776" s="155"/>
      <c r="L776" s="155"/>
      <c r="M776" s="155"/>
      <c r="N776" s="155"/>
      <c r="O776" s="157"/>
      <c r="P776" s="92"/>
      <c r="Q776" s="145"/>
      <c r="R776" s="92"/>
      <c r="S776" s="145"/>
      <c r="T776" s="92"/>
      <c r="U776" s="145"/>
      <c r="V776" s="92"/>
      <c r="W776" s="145"/>
      <c r="X776" s="92"/>
      <c r="Y776" s="352"/>
      <c r="Z776" s="142" t="str">
        <f t="shared" si="41"/>
        <v/>
      </c>
      <c r="AA776" s="226" t="b">
        <f t="shared" si="42"/>
        <v>0</v>
      </c>
      <c r="AB776" s="9"/>
      <c r="AC776" s="162" t="s">
        <v>6</v>
      </c>
      <c r="AD776" s="150">
        <f t="shared" si="40"/>
        <v>0</v>
      </c>
      <c r="AE776" s="95" t="s">
        <v>64</v>
      </c>
    </row>
    <row r="777" spans="1:31" s="55" customFormat="1" ht="30" customHeight="1">
      <c r="A777" s="155"/>
      <c r="B777" s="155"/>
      <c r="C777" s="155"/>
      <c r="D777" s="155"/>
      <c r="E777" s="155"/>
      <c r="F777" s="155"/>
      <c r="G777" s="155"/>
      <c r="H777" s="155"/>
      <c r="I777" s="155"/>
      <c r="J777" s="155"/>
      <c r="K777" s="155"/>
      <c r="L777" s="155"/>
      <c r="M777" s="155"/>
      <c r="N777" s="155"/>
      <c r="O777" s="157"/>
      <c r="P777" s="92"/>
      <c r="Q777" s="145"/>
      <c r="R777" s="92"/>
      <c r="S777" s="145"/>
      <c r="T777" s="92"/>
      <c r="U777" s="145"/>
      <c r="V777" s="92"/>
      <c r="W777" s="145"/>
      <c r="X777" s="92"/>
      <c r="Y777" s="352"/>
      <c r="Z777" s="142" t="str">
        <f t="shared" si="41"/>
        <v/>
      </c>
      <c r="AA777" s="226" t="b">
        <f t="shared" si="42"/>
        <v>0</v>
      </c>
      <c r="AB777" s="9"/>
      <c r="AC777" s="162" t="s">
        <v>6</v>
      </c>
      <c r="AD777" s="150">
        <f t="shared" si="40"/>
        <v>0</v>
      </c>
      <c r="AE777" s="95" t="s">
        <v>64</v>
      </c>
    </row>
    <row r="778" spans="1:31" s="55" customFormat="1" ht="30" customHeight="1">
      <c r="A778" s="155"/>
      <c r="B778" s="155"/>
      <c r="C778" s="155"/>
      <c r="D778" s="155"/>
      <c r="E778" s="155"/>
      <c r="F778" s="155"/>
      <c r="G778" s="155"/>
      <c r="H778" s="155"/>
      <c r="I778" s="155"/>
      <c r="J778" s="155"/>
      <c r="K778" s="155"/>
      <c r="L778" s="155"/>
      <c r="M778" s="155"/>
      <c r="N778" s="155"/>
      <c r="O778" s="157"/>
      <c r="P778" s="92"/>
      <c r="Q778" s="145"/>
      <c r="R778" s="92"/>
      <c r="S778" s="145"/>
      <c r="T778" s="92"/>
      <c r="U778" s="145"/>
      <c r="V778" s="92"/>
      <c r="W778" s="145"/>
      <c r="X778" s="92"/>
      <c r="Y778" s="352"/>
      <c r="Z778" s="142" t="str">
        <f t="shared" si="41"/>
        <v/>
      </c>
      <c r="AA778" s="226" t="b">
        <f t="shared" si="42"/>
        <v>0</v>
      </c>
      <c r="AB778" s="9"/>
      <c r="AC778" s="162" t="s">
        <v>6</v>
      </c>
      <c r="AD778" s="150">
        <f t="shared" si="40"/>
        <v>0</v>
      </c>
      <c r="AE778" s="95" t="s">
        <v>64</v>
      </c>
    </row>
    <row r="779" spans="1:31" s="55" customFormat="1" ht="30" customHeight="1">
      <c r="A779" s="155"/>
      <c r="B779" s="155"/>
      <c r="C779" s="155"/>
      <c r="D779" s="155"/>
      <c r="E779" s="155"/>
      <c r="F779" s="155"/>
      <c r="G779" s="155"/>
      <c r="H779" s="155"/>
      <c r="I779" s="155"/>
      <c r="J779" s="155"/>
      <c r="K779" s="155"/>
      <c r="L779" s="155"/>
      <c r="M779" s="155"/>
      <c r="N779" s="155"/>
      <c r="O779" s="157"/>
      <c r="P779" s="92"/>
      <c r="Q779" s="145"/>
      <c r="R779" s="92"/>
      <c r="S779" s="145"/>
      <c r="T779" s="92"/>
      <c r="U779" s="145"/>
      <c r="V779" s="92"/>
      <c r="W779" s="145"/>
      <c r="X779" s="92"/>
      <c r="Y779" s="352"/>
      <c r="Z779" s="142" t="str">
        <f t="shared" si="41"/>
        <v/>
      </c>
      <c r="AA779" s="226" t="b">
        <f t="shared" si="42"/>
        <v>0</v>
      </c>
      <c r="AB779" s="9"/>
      <c r="AC779" s="162" t="s">
        <v>6</v>
      </c>
      <c r="AD779" s="150">
        <f t="shared" si="40"/>
        <v>0</v>
      </c>
      <c r="AE779" s="95" t="s">
        <v>64</v>
      </c>
    </row>
    <row r="780" spans="1:31" s="55" customFormat="1" ht="30" customHeight="1">
      <c r="A780" s="155"/>
      <c r="B780" s="155"/>
      <c r="C780" s="155"/>
      <c r="D780" s="155"/>
      <c r="E780" s="155"/>
      <c r="F780" s="155"/>
      <c r="G780" s="155"/>
      <c r="H780" s="155"/>
      <c r="I780" s="155"/>
      <c r="J780" s="155"/>
      <c r="K780" s="155"/>
      <c r="L780" s="155"/>
      <c r="M780" s="155"/>
      <c r="N780" s="155"/>
      <c r="O780" s="157"/>
      <c r="P780" s="92"/>
      <c r="Q780" s="145"/>
      <c r="R780" s="92"/>
      <c r="S780" s="145"/>
      <c r="T780" s="92"/>
      <c r="U780" s="145"/>
      <c r="V780" s="92"/>
      <c r="W780" s="145"/>
      <c r="X780" s="92"/>
      <c r="Y780" s="352"/>
      <c r="Z780" s="142" t="str">
        <f t="shared" si="41"/>
        <v/>
      </c>
      <c r="AA780" s="226" t="b">
        <f t="shared" si="42"/>
        <v>0</v>
      </c>
      <c r="AB780" s="9"/>
      <c r="AC780" s="162" t="s">
        <v>6</v>
      </c>
      <c r="AD780" s="150">
        <f t="shared" si="40"/>
        <v>0</v>
      </c>
      <c r="AE780" s="95" t="s">
        <v>64</v>
      </c>
    </row>
    <row r="781" spans="1:31" s="55" customFormat="1" ht="30" customHeight="1">
      <c r="A781" s="155"/>
      <c r="B781" s="155"/>
      <c r="C781" s="155"/>
      <c r="D781" s="155"/>
      <c r="E781" s="155"/>
      <c r="F781" s="155"/>
      <c r="G781" s="155"/>
      <c r="H781" s="155"/>
      <c r="I781" s="155"/>
      <c r="J781" s="155"/>
      <c r="K781" s="155"/>
      <c r="L781" s="155"/>
      <c r="M781" s="155"/>
      <c r="N781" s="155"/>
      <c r="O781" s="157"/>
      <c r="P781" s="92"/>
      <c r="Q781" s="145"/>
      <c r="R781" s="92"/>
      <c r="S781" s="145"/>
      <c r="T781" s="92"/>
      <c r="U781" s="145"/>
      <c r="V781" s="92"/>
      <c r="W781" s="145"/>
      <c r="X781" s="92"/>
      <c r="Y781" s="352"/>
      <c r="Z781" s="142" t="str">
        <f t="shared" si="41"/>
        <v/>
      </c>
      <c r="AA781" s="226" t="b">
        <f t="shared" si="42"/>
        <v>0</v>
      </c>
      <c r="AB781" s="9"/>
      <c r="AC781" s="162" t="s">
        <v>6</v>
      </c>
      <c r="AD781" s="150">
        <f t="shared" si="40"/>
        <v>0</v>
      </c>
      <c r="AE781" s="95" t="s">
        <v>64</v>
      </c>
    </row>
    <row r="782" spans="1:31" s="55" customFormat="1" ht="30" customHeight="1">
      <c r="A782" s="155"/>
      <c r="B782" s="155"/>
      <c r="C782" s="155"/>
      <c r="D782" s="155"/>
      <c r="E782" s="155"/>
      <c r="F782" s="155"/>
      <c r="G782" s="155"/>
      <c r="H782" s="155"/>
      <c r="I782" s="155"/>
      <c r="J782" s="155"/>
      <c r="K782" s="155"/>
      <c r="L782" s="155"/>
      <c r="M782" s="155"/>
      <c r="N782" s="155"/>
      <c r="O782" s="157"/>
      <c r="P782" s="92"/>
      <c r="Q782" s="145"/>
      <c r="R782" s="92"/>
      <c r="S782" s="145"/>
      <c r="T782" s="92"/>
      <c r="U782" s="145"/>
      <c r="V782" s="92"/>
      <c r="W782" s="145"/>
      <c r="X782" s="92"/>
      <c r="Y782" s="352"/>
      <c r="Z782" s="142" t="str">
        <f t="shared" si="41"/>
        <v/>
      </c>
      <c r="AA782" s="226" t="b">
        <f t="shared" si="42"/>
        <v>0</v>
      </c>
      <c r="AB782" s="9"/>
      <c r="AC782" s="162" t="s">
        <v>6</v>
      </c>
      <c r="AD782" s="150">
        <f t="shared" si="40"/>
        <v>0</v>
      </c>
      <c r="AE782" s="95" t="s">
        <v>64</v>
      </c>
    </row>
    <row r="783" spans="1:31" s="55" customFormat="1" ht="30" customHeight="1">
      <c r="A783" s="155"/>
      <c r="B783" s="155"/>
      <c r="C783" s="155"/>
      <c r="D783" s="155"/>
      <c r="E783" s="155"/>
      <c r="F783" s="155"/>
      <c r="G783" s="155"/>
      <c r="H783" s="155"/>
      <c r="I783" s="155"/>
      <c r="J783" s="155"/>
      <c r="K783" s="155"/>
      <c r="L783" s="155"/>
      <c r="M783" s="155"/>
      <c r="N783" s="155"/>
      <c r="O783" s="157"/>
      <c r="P783" s="92"/>
      <c r="Q783" s="145"/>
      <c r="R783" s="92"/>
      <c r="S783" s="145"/>
      <c r="T783" s="92"/>
      <c r="U783" s="145"/>
      <c r="V783" s="92"/>
      <c r="W783" s="145"/>
      <c r="X783" s="92"/>
      <c r="Y783" s="352"/>
      <c r="Z783" s="142" t="str">
        <f t="shared" si="41"/>
        <v/>
      </c>
      <c r="AA783" s="226" t="b">
        <f t="shared" si="42"/>
        <v>0</v>
      </c>
      <c r="AB783" s="9"/>
      <c r="AC783" s="162" t="s">
        <v>6</v>
      </c>
      <c r="AD783" s="150">
        <f t="shared" si="40"/>
        <v>0</v>
      </c>
      <c r="AE783" s="95" t="s">
        <v>64</v>
      </c>
    </row>
    <row r="784" spans="1:31" s="55" customFormat="1" ht="30" customHeight="1">
      <c r="A784" s="155"/>
      <c r="B784" s="155"/>
      <c r="C784" s="155"/>
      <c r="D784" s="155"/>
      <c r="E784" s="155"/>
      <c r="F784" s="155"/>
      <c r="G784" s="155"/>
      <c r="H784" s="155"/>
      <c r="I784" s="155"/>
      <c r="J784" s="155"/>
      <c r="K784" s="155"/>
      <c r="L784" s="155"/>
      <c r="M784" s="155"/>
      <c r="N784" s="155"/>
      <c r="O784" s="157"/>
      <c r="P784" s="92"/>
      <c r="Q784" s="145"/>
      <c r="R784" s="92"/>
      <c r="S784" s="145"/>
      <c r="T784" s="92"/>
      <c r="U784" s="145"/>
      <c r="V784" s="92"/>
      <c r="W784" s="145"/>
      <c r="X784" s="92"/>
      <c r="Y784" s="352"/>
      <c r="Z784" s="142" t="str">
        <f t="shared" si="41"/>
        <v/>
      </c>
      <c r="AA784" s="226" t="b">
        <f t="shared" si="42"/>
        <v>0</v>
      </c>
      <c r="AB784" s="9"/>
      <c r="AC784" s="162" t="s">
        <v>6</v>
      </c>
      <c r="AD784" s="150">
        <f t="shared" si="40"/>
        <v>0</v>
      </c>
      <c r="AE784" s="95" t="s">
        <v>64</v>
      </c>
    </row>
    <row r="785" spans="1:31" s="55" customFormat="1" ht="30" customHeight="1">
      <c r="A785" s="155"/>
      <c r="B785" s="155"/>
      <c r="C785" s="155"/>
      <c r="D785" s="155"/>
      <c r="E785" s="155"/>
      <c r="F785" s="155"/>
      <c r="G785" s="155"/>
      <c r="H785" s="155"/>
      <c r="I785" s="155"/>
      <c r="J785" s="155"/>
      <c r="K785" s="155"/>
      <c r="L785" s="155"/>
      <c r="M785" s="155"/>
      <c r="N785" s="155"/>
      <c r="O785" s="157"/>
      <c r="P785" s="92"/>
      <c r="Q785" s="145"/>
      <c r="R785" s="92"/>
      <c r="S785" s="145"/>
      <c r="T785" s="92"/>
      <c r="U785" s="145"/>
      <c r="V785" s="92"/>
      <c r="W785" s="145"/>
      <c r="X785" s="92"/>
      <c r="Y785" s="352"/>
      <c r="Z785" s="142" t="str">
        <f t="shared" si="41"/>
        <v/>
      </c>
      <c r="AA785" s="226" t="b">
        <f t="shared" si="42"/>
        <v>0</v>
      </c>
      <c r="AB785" s="9"/>
      <c r="AC785" s="162" t="s">
        <v>6</v>
      </c>
      <c r="AD785" s="150">
        <f t="shared" si="40"/>
        <v>0</v>
      </c>
      <c r="AE785" s="95" t="s">
        <v>64</v>
      </c>
    </row>
    <row r="786" spans="1:31" s="55" customFormat="1" ht="30" customHeight="1">
      <c r="A786" s="155"/>
      <c r="B786" s="155"/>
      <c r="C786" s="155"/>
      <c r="D786" s="155"/>
      <c r="E786" s="155"/>
      <c r="F786" s="155"/>
      <c r="G786" s="155"/>
      <c r="H786" s="155"/>
      <c r="I786" s="155"/>
      <c r="J786" s="155"/>
      <c r="K786" s="155"/>
      <c r="L786" s="155"/>
      <c r="M786" s="155"/>
      <c r="N786" s="155"/>
      <c r="O786" s="157"/>
      <c r="P786" s="92"/>
      <c r="Q786" s="145"/>
      <c r="R786" s="92"/>
      <c r="S786" s="145"/>
      <c r="T786" s="92"/>
      <c r="U786" s="145"/>
      <c r="V786" s="92"/>
      <c r="W786" s="145"/>
      <c r="X786" s="92"/>
      <c r="Y786" s="352"/>
      <c r="Z786" s="142" t="str">
        <f t="shared" si="41"/>
        <v/>
      </c>
      <c r="AA786" s="226" t="b">
        <f t="shared" si="42"/>
        <v>0</v>
      </c>
      <c r="AB786" s="9"/>
      <c r="AC786" s="162" t="s">
        <v>6</v>
      </c>
      <c r="AD786" s="150">
        <f t="shared" si="40"/>
        <v>0</v>
      </c>
      <c r="AE786" s="95" t="s">
        <v>64</v>
      </c>
    </row>
    <row r="787" spans="1:31" s="55" customFormat="1" ht="30" customHeight="1">
      <c r="A787" s="155"/>
      <c r="B787" s="155"/>
      <c r="C787" s="155"/>
      <c r="D787" s="155"/>
      <c r="E787" s="155"/>
      <c r="F787" s="155"/>
      <c r="G787" s="155"/>
      <c r="H787" s="155"/>
      <c r="I787" s="155"/>
      <c r="J787" s="155"/>
      <c r="K787" s="155"/>
      <c r="L787" s="155"/>
      <c r="M787" s="155"/>
      <c r="N787" s="155"/>
      <c r="O787" s="157"/>
      <c r="P787" s="92"/>
      <c r="Q787" s="145"/>
      <c r="R787" s="92"/>
      <c r="S787" s="145"/>
      <c r="T787" s="92"/>
      <c r="U787" s="145"/>
      <c r="V787" s="92"/>
      <c r="W787" s="145"/>
      <c r="X787" s="92"/>
      <c r="Y787" s="352"/>
      <c r="Z787" s="142" t="str">
        <f t="shared" si="41"/>
        <v/>
      </c>
      <c r="AA787" s="226" t="b">
        <f t="shared" si="42"/>
        <v>0</v>
      </c>
      <c r="AB787" s="9"/>
      <c r="AC787" s="162" t="s">
        <v>6</v>
      </c>
      <c r="AD787" s="150">
        <f t="shared" si="40"/>
        <v>0</v>
      </c>
      <c r="AE787" s="95" t="s">
        <v>64</v>
      </c>
    </row>
    <row r="788" spans="1:31" s="55" customFormat="1" ht="30" customHeight="1">
      <c r="A788" s="155"/>
      <c r="B788" s="155"/>
      <c r="C788" s="155"/>
      <c r="D788" s="155"/>
      <c r="E788" s="155"/>
      <c r="F788" s="155"/>
      <c r="G788" s="155"/>
      <c r="H788" s="155"/>
      <c r="I788" s="155"/>
      <c r="J788" s="155"/>
      <c r="K788" s="155"/>
      <c r="L788" s="155"/>
      <c r="M788" s="155"/>
      <c r="N788" s="155"/>
      <c r="O788" s="157"/>
      <c r="P788" s="92"/>
      <c r="Q788" s="145"/>
      <c r="R788" s="92"/>
      <c r="S788" s="145"/>
      <c r="T788" s="92"/>
      <c r="U788" s="145"/>
      <c r="V788" s="92"/>
      <c r="W788" s="145"/>
      <c r="X788" s="92"/>
      <c r="Y788" s="352"/>
      <c r="Z788" s="142" t="str">
        <f t="shared" si="41"/>
        <v/>
      </c>
      <c r="AA788" s="226" t="b">
        <f t="shared" si="42"/>
        <v>0</v>
      </c>
      <c r="AB788" s="9"/>
      <c r="AC788" s="162" t="s">
        <v>6</v>
      </c>
      <c r="AD788" s="150">
        <f t="shared" si="40"/>
        <v>0</v>
      </c>
      <c r="AE788" s="95" t="s">
        <v>64</v>
      </c>
    </row>
    <row r="789" spans="1:31" s="55" customFormat="1" ht="30" customHeight="1">
      <c r="A789" s="155"/>
      <c r="B789" s="155"/>
      <c r="C789" s="155"/>
      <c r="D789" s="155"/>
      <c r="E789" s="155"/>
      <c r="F789" s="155"/>
      <c r="G789" s="155"/>
      <c r="H789" s="155"/>
      <c r="I789" s="155"/>
      <c r="J789" s="155"/>
      <c r="K789" s="155"/>
      <c r="L789" s="155"/>
      <c r="M789" s="155"/>
      <c r="N789" s="155"/>
      <c r="O789" s="157"/>
      <c r="P789" s="92"/>
      <c r="Q789" s="145"/>
      <c r="R789" s="92"/>
      <c r="S789" s="145"/>
      <c r="T789" s="92"/>
      <c r="U789" s="145"/>
      <c r="V789" s="92"/>
      <c r="W789" s="145"/>
      <c r="X789" s="92"/>
      <c r="Y789" s="352"/>
      <c r="Z789" s="142" t="str">
        <f t="shared" si="41"/>
        <v/>
      </c>
      <c r="AA789" s="226" t="b">
        <f t="shared" si="42"/>
        <v>0</v>
      </c>
      <c r="AB789" s="9"/>
      <c r="AC789" s="162" t="s">
        <v>6</v>
      </c>
      <c r="AD789" s="150">
        <f t="shared" si="40"/>
        <v>0</v>
      </c>
      <c r="AE789" s="95" t="s">
        <v>64</v>
      </c>
    </row>
    <row r="790" spans="1:31" s="55" customFormat="1" ht="30" customHeight="1">
      <c r="A790" s="155"/>
      <c r="B790" s="155"/>
      <c r="C790" s="155"/>
      <c r="D790" s="155"/>
      <c r="E790" s="155"/>
      <c r="F790" s="155"/>
      <c r="G790" s="155"/>
      <c r="H790" s="155"/>
      <c r="I790" s="155"/>
      <c r="J790" s="155"/>
      <c r="K790" s="155"/>
      <c r="L790" s="155"/>
      <c r="M790" s="155"/>
      <c r="N790" s="155"/>
      <c r="O790" s="157"/>
      <c r="P790" s="92"/>
      <c r="Q790" s="145"/>
      <c r="R790" s="92"/>
      <c r="S790" s="145"/>
      <c r="T790" s="92"/>
      <c r="U790" s="145"/>
      <c r="V790" s="92"/>
      <c r="W790" s="145"/>
      <c r="X790" s="92"/>
      <c r="Y790" s="352"/>
      <c r="Z790" s="142" t="str">
        <f t="shared" si="41"/>
        <v/>
      </c>
      <c r="AA790" s="226" t="b">
        <f t="shared" si="42"/>
        <v>0</v>
      </c>
      <c r="AB790" s="9"/>
      <c r="AC790" s="162" t="s">
        <v>6</v>
      </c>
      <c r="AD790" s="150">
        <f t="shared" si="40"/>
        <v>0</v>
      </c>
      <c r="AE790" s="95" t="s">
        <v>64</v>
      </c>
    </row>
    <row r="791" spans="1:31" s="55" customFormat="1" ht="30" customHeight="1">
      <c r="A791" s="155"/>
      <c r="B791" s="155"/>
      <c r="C791" s="155"/>
      <c r="D791" s="155"/>
      <c r="E791" s="155"/>
      <c r="F791" s="155"/>
      <c r="G791" s="155"/>
      <c r="H791" s="155"/>
      <c r="I791" s="155"/>
      <c r="J791" s="155"/>
      <c r="K791" s="155"/>
      <c r="L791" s="155"/>
      <c r="M791" s="155"/>
      <c r="N791" s="155"/>
      <c r="O791" s="157"/>
      <c r="P791" s="92"/>
      <c r="Q791" s="145"/>
      <c r="R791" s="92"/>
      <c r="S791" s="145"/>
      <c r="T791" s="92"/>
      <c r="U791" s="145"/>
      <c r="V791" s="92"/>
      <c r="W791" s="145"/>
      <c r="X791" s="92"/>
      <c r="Y791" s="352"/>
      <c r="Z791" s="142" t="str">
        <f t="shared" si="41"/>
        <v/>
      </c>
      <c r="AA791" s="226" t="b">
        <f t="shared" si="42"/>
        <v>0</v>
      </c>
      <c r="AB791" s="9"/>
      <c r="AC791" s="162" t="s">
        <v>6</v>
      </c>
      <c r="AD791" s="150">
        <f t="shared" si="40"/>
        <v>0</v>
      </c>
      <c r="AE791" s="95" t="s">
        <v>64</v>
      </c>
    </row>
    <row r="792" spans="1:31" s="55" customFormat="1" ht="30" customHeight="1">
      <c r="A792" s="155"/>
      <c r="B792" s="155"/>
      <c r="C792" s="155"/>
      <c r="D792" s="155"/>
      <c r="E792" s="155"/>
      <c r="F792" s="155"/>
      <c r="G792" s="155"/>
      <c r="H792" s="155"/>
      <c r="I792" s="155"/>
      <c r="J792" s="155"/>
      <c r="K792" s="155"/>
      <c r="L792" s="155"/>
      <c r="M792" s="155"/>
      <c r="N792" s="155"/>
      <c r="O792" s="157"/>
      <c r="P792" s="92"/>
      <c r="Q792" s="145"/>
      <c r="R792" s="92"/>
      <c r="S792" s="145"/>
      <c r="T792" s="92"/>
      <c r="U792" s="145"/>
      <c r="V792" s="92"/>
      <c r="W792" s="145"/>
      <c r="X792" s="92"/>
      <c r="Y792" s="352"/>
      <c r="Z792" s="142" t="str">
        <f t="shared" si="41"/>
        <v/>
      </c>
      <c r="AA792" s="226" t="b">
        <f t="shared" si="42"/>
        <v>0</v>
      </c>
      <c r="AB792" s="9"/>
      <c r="AC792" s="162" t="s">
        <v>6</v>
      </c>
      <c r="AD792" s="150">
        <f t="shared" si="40"/>
        <v>0</v>
      </c>
      <c r="AE792" s="95" t="s">
        <v>64</v>
      </c>
    </row>
    <row r="793" spans="1:31" s="55" customFormat="1" ht="30" customHeight="1">
      <c r="A793" s="155"/>
      <c r="B793" s="155"/>
      <c r="C793" s="155"/>
      <c r="D793" s="155"/>
      <c r="E793" s="155"/>
      <c r="F793" s="155"/>
      <c r="G793" s="155"/>
      <c r="H793" s="155"/>
      <c r="I793" s="155"/>
      <c r="J793" s="155"/>
      <c r="K793" s="155"/>
      <c r="L793" s="155"/>
      <c r="M793" s="155"/>
      <c r="N793" s="155"/>
      <c r="O793" s="157"/>
      <c r="P793" s="92"/>
      <c r="Q793" s="145"/>
      <c r="R793" s="92"/>
      <c r="S793" s="145"/>
      <c r="T793" s="92"/>
      <c r="U793" s="145"/>
      <c r="V793" s="92"/>
      <c r="W793" s="145"/>
      <c r="X793" s="92"/>
      <c r="Y793" s="352"/>
      <c r="Z793" s="142" t="str">
        <f t="shared" si="41"/>
        <v/>
      </c>
      <c r="AA793" s="226" t="b">
        <f t="shared" si="42"/>
        <v>0</v>
      </c>
      <c r="AB793" s="9"/>
      <c r="AC793" s="162" t="s">
        <v>6</v>
      </c>
      <c r="AD793" s="150">
        <f t="shared" si="40"/>
        <v>0</v>
      </c>
      <c r="AE793" s="95" t="s">
        <v>64</v>
      </c>
    </row>
    <row r="794" spans="1:31" s="55" customFormat="1" ht="30" customHeight="1">
      <c r="A794" s="155"/>
      <c r="B794" s="155"/>
      <c r="C794" s="155"/>
      <c r="D794" s="155"/>
      <c r="E794" s="155"/>
      <c r="F794" s="155"/>
      <c r="G794" s="155"/>
      <c r="H794" s="155"/>
      <c r="I794" s="155"/>
      <c r="J794" s="155"/>
      <c r="K794" s="155"/>
      <c r="L794" s="155"/>
      <c r="M794" s="155"/>
      <c r="N794" s="155"/>
      <c r="O794" s="157"/>
      <c r="P794" s="92"/>
      <c r="Q794" s="145"/>
      <c r="R794" s="92"/>
      <c r="S794" s="145"/>
      <c r="T794" s="92"/>
      <c r="U794" s="145"/>
      <c r="V794" s="92"/>
      <c r="W794" s="145"/>
      <c r="X794" s="92"/>
      <c r="Y794" s="352"/>
      <c r="Z794" s="142" t="str">
        <f t="shared" si="41"/>
        <v/>
      </c>
      <c r="AA794" s="226" t="b">
        <f t="shared" si="42"/>
        <v>0</v>
      </c>
      <c r="AB794" s="9"/>
      <c r="AC794" s="162" t="s">
        <v>6</v>
      </c>
      <c r="AD794" s="150">
        <f t="shared" si="40"/>
        <v>0</v>
      </c>
      <c r="AE794" s="95" t="s">
        <v>64</v>
      </c>
    </row>
    <row r="795" spans="1:31" s="55" customFormat="1" ht="30" customHeight="1">
      <c r="A795" s="155"/>
      <c r="B795" s="155"/>
      <c r="C795" s="155"/>
      <c r="D795" s="155"/>
      <c r="E795" s="155"/>
      <c r="F795" s="155"/>
      <c r="G795" s="155"/>
      <c r="H795" s="155"/>
      <c r="I795" s="155"/>
      <c r="J795" s="155"/>
      <c r="K795" s="155"/>
      <c r="L795" s="155"/>
      <c r="M795" s="155"/>
      <c r="N795" s="155"/>
      <c r="O795" s="157"/>
      <c r="P795" s="92"/>
      <c r="Q795" s="145"/>
      <c r="R795" s="92"/>
      <c r="S795" s="145"/>
      <c r="T795" s="92"/>
      <c r="U795" s="145"/>
      <c r="V795" s="92"/>
      <c r="W795" s="145"/>
      <c r="X795" s="92"/>
      <c r="Y795" s="352"/>
      <c r="Z795" s="142" t="str">
        <f t="shared" si="41"/>
        <v/>
      </c>
      <c r="AA795" s="226" t="b">
        <f t="shared" si="42"/>
        <v>0</v>
      </c>
      <c r="AB795" s="9"/>
      <c r="AC795" s="162" t="s">
        <v>6</v>
      </c>
      <c r="AD795" s="150">
        <f t="shared" si="40"/>
        <v>0</v>
      </c>
      <c r="AE795" s="95" t="s">
        <v>64</v>
      </c>
    </row>
    <row r="796" spans="1:31" s="55" customFormat="1" ht="30" customHeight="1">
      <c r="A796" s="155"/>
      <c r="B796" s="155"/>
      <c r="C796" s="155"/>
      <c r="D796" s="155"/>
      <c r="E796" s="155"/>
      <c r="F796" s="155"/>
      <c r="G796" s="155"/>
      <c r="H796" s="155"/>
      <c r="I796" s="155"/>
      <c r="J796" s="155"/>
      <c r="K796" s="155"/>
      <c r="L796" s="155"/>
      <c r="M796" s="155"/>
      <c r="N796" s="155"/>
      <c r="O796" s="157"/>
      <c r="P796" s="92"/>
      <c r="Q796" s="145"/>
      <c r="R796" s="92"/>
      <c r="S796" s="145"/>
      <c r="T796" s="92"/>
      <c r="U796" s="145"/>
      <c r="V796" s="92"/>
      <c r="W796" s="145"/>
      <c r="X796" s="92"/>
      <c r="Y796" s="352"/>
      <c r="Z796" s="142" t="str">
        <f t="shared" si="41"/>
        <v/>
      </c>
      <c r="AA796" s="226" t="b">
        <f t="shared" si="42"/>
        <v>0</v>
      </c>
      <c r="AB796" s="9"/>
      <c r="AC796" s="162" t="s">
        <v>6</v>
      </c>
      <c r="AD796" s="150">
        <f t="shared" si="40"/>
        <v>0</v>
      </c>
      <c r="AE796" s="95" t="s">
        <v>64</v>
      </c>
    </row>
    <row r="797" spans="1:31" s="55" customFormat="1" ht="30" customHeight="1">
      <c r="A797" s="155"/>
      <c r="B797" s="155"/>
      <c r="C797" s="155"/>
      <c r="D797" s="155"/>
      <c r="E797" s="155"/>
      <c r="F797" s="155"/>
      <c r="G797" s="155"/>
      <c r="H797" s="155"/>
      <c r="I797" s="155"/>
      <c r="J797" s="155"/>
      <c r="K797" s="155"/>
      <c r="L797" s="155"/>
      <c r="M797" s="155"/>
      <c r="N797" s="155"/>
      <c r="O797" s="157"/>
      <c r="P797" s="92"/>
      <c r="Q797" s="145"/>
      <c r="R797" s="92"/>
      <c r="S797" s="145"/>
      <c r="T797" s="92"/>
      <c r="U797" s="145"/>
      <c r="V797" s="92"/>
      <c r="W797" s="145"/>
      <c r="X797" s="92"/>
      <c r="Y797" s="352"/>
      <c r="Z797" s="142" t="str">
        <f t="shared" si="41"/>
        <v/>
      </c>
      <c r="AA797" s="226" t="b">
        <f t="shared" si="42"/>
        <v>0</v>
      </c>
      <c r="AB797" s="9"/>
      <c r="AC797" s="162" t="s">
        <v>6</v>
      </c>
      <c r="AD797" s="150">
        <f t="shared" si="40"/>
        <v>0</v>
      </c>
      <c r="AE797" s="95" t="s">
        <v>64</v>
      </c>
    </row>
    <row r="798" spans="1:31" s="55" customFormat="1" ht="30" customHeight="1">
      <c r="A798" s="155"/>
      <c r="B798" s="155"/>
      <c r="C798" s="155"/>
      <c r="D798" s="155"/>
      <c r="E798" s="155"/>
      <c r="F798" s="155"/>
      <c r="G798" s="155"/>
      <c r="H798" s="155"/>
      <c r="I798" s="155"/>
      <c r="J798" s="155"/>
      <c r="K798" s="155"/>
      <c r="L798" s="155"/>
      <c r="M798" s="155"/>
      <c r="N798" s="155"/>
      <c r="O798" s="157"/>
      <c r="P798" s="92"/>
      <c r="Q798" s="145"/>
      <c r="R798" s="92"/>
      <c r="S798" s="145"/>
      <c r="T798" s="92"/>
      <c r="U798" s="145"/>
      <c r="V798" s="92"/>
      <c r="W798" s="145"/>
      <c r="X798" s="92"/>
      <c r="Y798" s="352"/>
      <c r="Z798" s="142" t="str">
        <f t="shared" si="41"/>
        <v/>
      </c>
      <c r="AA798" s="226" t="b">
        <f t="shared" si="42"/>
        <v>0</v>
      </c>
      <c r="AB798" s="9"/>
      <c r="AC798" s="162" t="s">
        <v>6</v>
      </c>
      <c r="AD798" s="150">
        <f t="shared" si="40"/>
        <v>0</v>
      </c>
      <c r="AE798" s="95" t="s">
        <v>64</v>
      </c>
    </row>
    <row r="799" spans="1:31" s="55" customFormat="1" ht="30" customHeight="1">
      <c r="A799" s="155"/>
      <c r="B799" s="155"/>
      <c r="C799" s="155"/>
      <c r="D799" s="155"/>
      <c r="E799" s="155"/>
      <c r="F799" s="155"/>
      <c r="G799" s="155"/>
      <c r="H799" s="155"/>
      <c r="I799" s="155"/>
      <c r="J799" s="155"/>
      <c r="K799" s="155"/>
      <c r="L799" s="155"/>
      <c r="M799" s="155"/>
      <c r="N799" s="155"/>
      <c r="O799" s="157"/>
      <c r="P799" s="92"/>
      <c r="Q799" s="145"/>
      <c r="R799" s="92"/>
      <c r="S799" s="145"/>
      <c r="T799" s="92"/>
      <c r="U799" s="145"/>
      <c r="V799" s="92"/>
      <c r="W799" s="145"/>
      <c r="X799" s="92"/>
      <c r="Y799" s="352"/>
      <c r="Z799" s="142" t="str">
        <f t="shared" si="41"/>
        <v/>
      </c>
      <c r="AA799" s="226" t="b">
        <f t="shared" si="42"/>
        <v>0</v>
      </c>
      <c r="AB799" s="9"/>
      <c r="AC799" s="162" t="s">
        <v>6</v>
      </c>
      <c r="AD799" s="150">
        <f t="shared" si="40"/>
        <v>0</v>
      </c>
      <c r="AE799" s="95" t="s">
        <v>64</v>
      </c>
    </row>
    <row r="800" spans="1:31" s="55" customFormat="1" ht="30" customHeight="1">
      <c r="A800" s="155"/>
      <c r="B800" s="155"/>
      <c r="C800" s="155"/>
      <c r="D800" s="155"/>
      <c r="E800" s="155"/>
      <c r="F800" s="155"/>
      <c r="G800" s="155"/>
      <c r="H800" s="155"/>
      <c r="I800" s="155"/>
      <c r="J800" s="155"/>
      <c r="K800" s="155"/>
      <c r="L800" s="155"/>
      <c r="M800" s="155"/>
      <c r="N800" s="155"/>
      <c r="O800" s="157"/>
      <c r="P800" s="92"/>
      <c r="Q800" s="145"/>
      <c r="R800" s="92"/>
      <c r="S800" s="145"/>
      <c r="T800" s="92"/>
      <c r="U800" s="145"/>
      <c r="V800" s="92"/>
      <c r="W800" s="145"/>
      <c r="X800" s="92"/>
      <c r="Y800" s="352"/>
      <c r="Z800" s="142" t="str">
        <f t="shared" si="41"/>
        <v/>
      </c>
      <c r="AA800" s="226" t="b">
        <f t="shared" si="42"/>
        <v>0</v>
      </c>
      <c r="AB800" s="9"/>
      <c r="AC800" s="162" t="s">
        <v>6</v>
      </c>
      <c r="AD800" s="150">
        <f t="shared" si="40"/>
        <v>0</v>
      </c>
      <c r="AE800" s="95" t="s">
        <v>64</v>
      </c>
    </row>
    <row r="801" spans="1:31" s="55" customFormat="1" ht="30" customHeight="1">
      <c r="A801" s="155"/>
      <c r="B801" s="155"/>
      <c r="C801" s="155"/>
      <c r="D801" s="155"/>
      <c r="E801" s="155"/>
      <c r="F801" s="155"/>
      <c r="G801" s="155"/>
      <c r="H801" s="155"/>
      <c r="I801" s="155"/>
      <c r="J801" s="155"/>
      <c r="K801" s="155"/>
      <c r="L801" s="155"/>
      <c r="M801" s="155"/>
      <c r="N801" s="155"/>
      <c r="O801" s="157"/>
      <c r="P801" s="92"/>
      <c r="Q801" s="145"/>
      <c r="R801" s="92"/>
      <c r="S801" s="145"/>
      <c r="T801" s="92"/>
      <c r="U801" s="145"/>
      <c r="V801" s="92"/>
      <c r="W801" s="145"/>
      <c r="X801" s="92"/>
      <c r="Y801" s="352"/>
      <c r="Z801" s="142" t="str">
        <f t="shared" si="41"/>
        <v/>
      </c>
      <c r="AA801" s="226" t="b">
        <f t="shared" si="42"/>
        <v>0</v>
      </c>
      <c r="AB801" s="9"/>
      <c r="AC801" s="162" t="s">
        <v>6</v>
      </c>
      <c r="AD801" s="150">
        <f t="shared" si="40"/>
        <v>0</v>
      </c>
      <c r="AE801" s="95" t="s">
        <v>64</v>
      </c>
    </row>
    <row r="802" spans="1:31" s="55" customFormat="1" ht="30" customHeight="1">
      <c r="A802" s="155"/>
      <c r="B802" s="155"/>
      <c r="C802" s="155"/>
      <c r="D802" s="155"/>
      <c r="E802" s="155"/>
      <c r="F802" s="155"/>
      <c r="G802" s="155"/>
      <c r="H802" s="155"/>
      <c r="I802" s="155"/>
      <c r="J802" s="155"/>
      <c r="K802" s="155"/>
      <c r="L802" s="155"/>
      <c r="M802" s="155"/>
      <c r="N802" s="155"/>
      <c r="O802" s="157"/>
      <c r="P802" s="92"/>
      <c r="Q802" s="145"/>
      <c r="R802" s="92"/>
      <c r="S802" s="145"/>
      <c r="T802" s="92"/>
      <c r="U802" s="145"/>
      <c r="V802" s="92"/>
      <c r="W802" s="145"/>
      <c r="X802" s="92"/>
      <c r="Y802" s="352"/>
      <c r="Z802" s="142" t="str">
        <f t="shared" si="41"/>
        <v/>
      </c>
      <c r="AA802" s="226" t="b">
        <f t="shared" si="42"/>
        <v>0</v>
      </c>
      <c r="AB802" s="9"/>
      <c r="AC802" s="162" t="s">
        <v>6</v>
      </c>
      <c r="AD802" s="150">
        <f t="shared" si="40"/>
        <v>0</v>
      </c>
      <c r="AE802" s="95" t="s">
        <v>64</v>
      </c>
    </row>
    <row r="803" spans="1:31" s="55" customFormat="1" ht="30" customHeight="1">
      <c r="A803" s="155"/>
      <c r="B803" s="155"/>
      <c r="C803" s="155"/>
      <c r="D803" s="155"/>
      <c r="E803" s="155"/>
      <c r="F803" s="155"/>
      <c r="G803" s="155"/>
      <c r="H803" s="155"/>
      <c r="I803" s="155"/>
      <c r="J803" s="155"/>
      <c r="K803" s="155"/>
      <c r="L803" s="155"/>
      <c r="M803" s="155"/>
      <c r="N803" s="155"/>
      <c r="O803" s="157"/>
      <c r="P803" s="92"/>
      <c r="Q803" s="145"/>
      <c r="R803" s="92"/>
      <c r="S803" s="145"/>
      <c r="T803" s="92"/>
      <c r="U803" s="145"/>
      <c r="V803" s="92"/>
      <c r="W803" s="145"/>
      <c r="X803" s="92"/>
      <c r="Y803" s="352"/>
      <c r="Z803" s="142" t="str">
        <f t="shared" si="41"/>
        <v/>
      </c>
      <c r="AA803" s="226" t="b">
        <f t="shared" si="42"/>
        <v>0</v>
      </c>
      <c r="AB803" s="9"/>
      <c r="AC803" s="162" t="s">
        <v>6</v>
      </c>
      <c r="AD803" s="150">
        <f t="shared" si="40"/>
        <v>0</v>
      </c>
      <c r="AE803" s="95" t="s">
        <v>64</v>
      </c>
    </row>
    <row r="804" spans="1:31" s="55" customFormat="1" ht="30" customHeight="1">
      <c r="A804" s="155"/>
      <c r="B804" s="155"/>
      <c r="C804" s="155"/>
      <c r="D804" s="155"/>
      <c r="E804" s="155"/>
      <c r="F804" s="155"/>
      <c r="G804" s="155"/>
      <c r="H804" s="155"/>
      <c r="I804" s="155"/>
      <c r="J804" s="155"/>
      <c r="K804" s="155"/>
      <c r="L804" s="155"/>
      <c r="M804" s="155"/>
      <c r="N804" s="155"/>
      <c r="O804" s="157"/>
      <c r="P804" s="92"/>
      <c r="Q804" s="145"/>
      <c r="R804" s="92"/>
      <c r="S804" s="145"/>
      <c r="T804" s="92"/>
      <c r="U804" s="145"/>
      <c r="V804" s="92"/>
      <c r="W804" s="145"/>
      <c r="X804" s="92"/>
      <c r="Y804" s="352"/>
      <c r="Z804" s="142" t="str">
        <f t="shared" si="41"/>
        <v/>
      </c>
      <c r="AA804" s="226" t="b">
        <f t="shared" si="42"/>
        <v>0</v>
      </c>
      <c r="AB804" s="9"/>
      <c r="AC804" s="162" t="s">
        <v>6</v>
      </c>
      <c r="AD804" s="150">
        <f t="shared" si="40"/>
        <v>0</v>
      </c>
      <c r="AE804" s="95" t="s">
        <v>64</v>
      </c>
    </row>
    <row r="805" spans="1:31" s="55" customFormat="1" ht="30" customHeight="1">
      <c r="A805" s="155"/>
      <c r="B805" s="155"/>
      <c r="C805" s="155"/>
      <c r="D805" s="155"/>
      <c r="E805" s="155"/>
      <c r="F805" s="155"/>
      <c r="G805" s="155"/>
      <c r="H805" s="155"/>
      <c r="I805" s="155"/>
      <c r="J805" s="155"/>
      <c r="K805" s="155"/>
      <c r="L805" s="155"/>
      <c r="M805" s="155"/>
      <c r="N805" s="155"/>
      <c r="O805" s="157"/>
      <c r="P805" s="92"/>
      <c r="Q805" s="145"/>
      <c r="R805" s="92"/>
      <c r="S805" s="145"/>
      <c r="T805" s="92"/>
      <c r="U805" s="145"/>
      <c r="V805" s="92"/>
      <c r="W805" s="145"/>
      <c r="X805" s="92"/>
      <c r="Y805" s="352"/>
      <c r="Z805" s="142" t="str">
        <f t="shared" si="41"/>
        <v/>
      </c>
      <c r="AA805" s="226" t="b">
        <f t="shared" si="42"/>
        <v>0</v>
      </c>
      <c r="AB805" s="9"/>
      <c r="AC805" s="162" t="s">
        <v>6</v>
      </c>
      <c r="AD805" s="150">
        <f t="shared" si="40"/>
        <v>0</v>
      </c>
      <c r="AE805" s="95" t="s">
        <v>64</v>
      </c>
    </row>
    <row r="806" spans="1:31" s="55" customFormat="1" ht="30" customHeight="1">
      <c r="A806" s="155"/>
      <c r="B806" s="155"/>
      <c r="C806" s="155"/>
      <c r="D806" s="155"/>
      <c r="E806" s="155"/>
      <c r="F806" s="155"/>
      <c r="G806" s="155"/>
      <c r="H806" s="155"/>
      <c r="I806" s="155"/>
      <c r="J806" s="155"/>
      <c r="K806" s="155"/>
      <c r="L806" s="155"/>
      <c r="M806" s="155"/>
      <c r="N806" s="155"/>
      <c r="O806" s="157"/>
      <c r="P806" s="92"/>
      <c r="Q806" s="145"/>
      <c r="R806" s="92"/>
      <c r="S806" s="145"/>
      <c r="T806" s="92"/>
      <c r="U806" s="145"/>
      <c r="V806" s="92"/>
      <c r="W806" s="145"/>
      <c r="X806" s="92"/>
      <c r="Y806" s="352"/>
      <c r="Z806" s="142" t="str">
        <f t="shared" si="41"/>
        <v/>
      </c>
      <c r="AA806" s="226" t="b">
        <f t="shared" si="42"/>
        <v>0</v>
      </c>
      <c r="AB806" s="9"/>
      <c r="AC806" s="162" t="s">
        <v>6</v>
      </c>
      <c r="AD806" s="150">
        <f t="shared" si="40"/>
        <v>0</v>
      </c>
      <c r="AE806" s="95" t="s">
        <v>64</v>
      </c>
    </row>
    <row r="807" spans="1:31" s="55" customFormat="1" ht="30" customHeight="1">
      <c r="A807" s="155"/>
      <c r="B807" s="155"/>
      <c r="C807" s="155"/>
      <c r="D807" s="155"/>
      <c r="E807" s="155"/>
      <c r="F807" s="155"/>
      <c r="G807" s="155"/>
      <c r="H807" s="155"/>
      <c r="I807" s="155"/>
      <c r="J807" s="155"/>
      <c r="K807" s="155"/>
      <c r="L807" s="155"/>
      <c r="M807" s="155"/>
      <c r="N807" s="155"/>
      <c r="O807" s="157"/>
      <c r="P807" s="92"/>
      <c r="Q807" s="145"/>
      <c r="R807" s="92"/>
      <c r="S807" s="145"/>
      <c r="T807" s="92"/>
      <c r="U807" s="145"/>
      <c r="V807" s="92"/>
      <c r="W807" s="145"/>
      <c r="X807" s="92"/>
      <c r="Y807" s="352"/>
      <c r="Z807" s="142" t="str">
        <f t="shared" si="41"/>
        <v/>
      </c>
      <c r="AA807" s="226" t="b">
        <f t="shared" si="42"/>
        <v>0</v>
      </c>
      <c r="AB807" s="9"/>
      <c r="AC807" s="162" t="s">
        <v>6</v>
      </c>
      <c r="AD807" s="150">
        <f t="shared" si="40"/>
        <v>0</v>
      </c>
      <c r="AE807" s="95" t="s">
        <v>64</v>
      </c>
    </row>
    <row r="808" spans="1:31" s="55" customFormat="1" ht="30" customHeight="1">
      <c r="A808" s="155"/>
      <c r="B808" s="155"/>
      <c r="C808" s="155"/>
      <c r="D808" s="155"/>
      <c r="E808" s="155"/>
      <c r="F808" s="155"/>
      <c r="G808" s="155"/>
      <c r="H808" s="155"/>
      <c r="I808" s="155"/>
      <c r="J808" s="155"/>
      <c r="K808" s="155"/>
      <c r="L808" s="155"/>
      <c r="M808" s="155"/>
      <c r="N808" s="155"/>
      <c r="O808" s="157"/>
      <c r="P808" s="92"/>
      <c r="Q808" s="145"/>
      <c r="R808" s="92"/>
      <c r="S808" s="145"/>
      <c r="T808" s="92"/>
      <c r="U808" s="145"/>
      <c r="V808" s="92"/>
      <c r="W808" s="145"/>
      <c r="X808" s="92"/>
      <c r="Y808" s="352"/>
      <c r="Z808" s="142" t="str">
        <f t="shared" si="41"/>
        <v/>
      </c>
      <c r="AA808" s="226" t="b">
        <f t="shared" si="42"/>
        <v>0</v>
      </c>
      <c r="AB808" s="9"/>
      <c r="AC808" s="162" t="s">
        <v>6</v>
      </c>
      <c r="AD808" s="150">
        <f t="shared" si="40"/>
        <v>0</v>
      </c>
      <c r="AE808" s="95" t="s">
        <v>64</v>
      </c>
    </row>
    <row r="809" spans="1:31" s="55" customFormat="1" ht="30" customHeight="1">
      <c r="A809" s="155"/>
      <c r="B809" s="155"/>
      <c r="C809" s="155"/>
      <c r="D809" s="155"/>
      <c r="E809" s="155"/>
      <c r="F809" s="155"/>
      <c r="G809" s="155"/>
      <c r="H809" s="155"/>
      <c r="I809" s="155"/>
      <c r="J809" s="155"/>
      <c r="K809" s="155"/>
      <c r="L809" s="155"/>
      <c r="M809" s="155"/>
      <c r="N809" s="155"/>
      <c r="O809" s="157"/>
      <c r="P809" s="92"/>
      <c r="Q809" s="145"/>
      <c r="R809" s="92"/>
      <c r="S809" s="145"/>
      <c r="T809" s="92"/>
      <c r="U809" s="145"/>
      <c r="V809" s="92"/>
      <c r="W809" s="145"/>
      <c r="X809" s="92"/>
      <c r="Y809" s="352"/>
      <c r="Z809" s="142" t="str">
        <f t="shared" si="41"/>
        <v/>
      </c>
      <c r="AA809" s="226" t="b">
        <f t="shared" si="42"/>
        <v>0</v>
      </c>
      <c r="AB809" s="9"/>
      <c r="AC809" s="162" t="s">
        <v>6</v>
      </c>
      <c r="AD809" s="150">
        <f t="shared" si="40"/>
        <v>0</v>
      </c>
      <c r="AE809" s="95" t="s">
        <v>64</v>
      </c>
    </row>
    <row r="810" spans="1:31" s="55" customFormat="1" ht="30" customHeight="1">
      <c r="A810" s="155"/>
      <c r="B810" s="155"/>
      <c r="C810" s="155"/>
      <c r="D810" s="155"/>
      <c r="E810" s="155"/>
      <c r="F810" s="155"/>
      <c r="G810" s="155"/>
      <c r="H810" s="155"/>
      <c r="I810" s="155"/>
      <c r="J810" s="155"/>
      <c r="K810" s="155"/>
      <c r="L810" s="155"/>
      <c r="M810" s="155"/>
      <c r="N810" s="155"/>
      <c r="O810" s="157"/>
      <c r="P810" s="92"/>
      <c r="Q810" s="145"/>
      <c r="R810" s="92"/>
      <c r="S810" s="145"/>
      <c r="T810" s="92"/>
      <c r="U810" s="145"/>
      <c r="V810" s="92"/>
      <c r="W810" s="145"/>
      <c r="X810" s="92"/>
      <c r="Y810" s="352"/>
      <c r="Z810" s="142" t="str">
        <f t="shared" si="41"/>
        <v/>
      </c>
      <c r="AA810" s="226" t="b">
        <f t="shared" si="42"/>
        <v>0</v>
      </c>
      <c r="AB810" s="9"/>
      <c r="AC810" s="162" t="s">
        <v>6</v>
      </c>
      <c r="AD810" s="150">
        <f t="shared" si="40"/>
        <v>0</v>
      </c>
      <c r="AE810" s="95" t="s">
        <v>64</v>
      </c>
    </row>
    <row r="811" spans="1:31" s="55" customFormat="1" ht="30" customHeight="1">
      <c r="A811" s="155"/>
      <c r="B811" s="155"/>
      <c r="C811" s="155"/>
      <c r="D811" s="155"/>
      <c r="E811" s="155"/>
      <c r="F811" s="155"/>
      <c r="G811" s="155"/>
      <c r="H811" s="155"/>
      <c r="I811" s="155"/>
      <c r="J811" s="155"/>
      <c r="K811" s="155"/>
      <c r="L811" s="155"/>
      <c r="M811" s="155"/>
      <c r="N811" s="155"/>
      <c r="O811" s="157"/>
      <c r="P811" s="92"/>
      <c r="Q811" s="145"/>
      <c r="R811" s="92"/>
      <c r="S811" s="145"/>
      <c r="T811" s="92"/>
      <c r="U811" s="145"/>
      <c r="V811" s="92"/>
      <c r="W811" s="145"/>
      <c r="X811" s="92"/>
      <c r="Y811" s="352"/>
      <c r="Z811" s="142" t="str">
        <f t="shared" si="41"/>
        <v/>
      </c>
      <c r="AA811" s="226" t="b">
        <f t="shared" si="42"/>
        <v>0</v>
      </c>
      <c r="AB811" s="9"/>
      <c r="AC811" s="162" t="s">
        <v>6</v>
      </c>
      <c r="AD811" s="150">
        <f t="shared" ref="AD811:AD848" si="43">E811</f>
        <v>0</v>
      </c>
      <c r="AE811" s="95" t="s">
        <v>64</v>
      </c>
    </row>
    <row r="812" spans="1:31" s="55" customFormat="1" ht="30" customHeight="1">
      <c r="A812" s="155"/>
      <c r="B812" s="155"/>
      <c r="C812" s="155"/>
      <c r="D812" s="155"/>
      <c r="E812" s="155"/>
      <c r="F812" s="155"/>
      <c r="G812" s="155"/>
      <c r="H812" s="155"/>
      <c r="I812" s="155"/>
      <c r="J812" s="155"/>
      <c r="K812" s="155"/>
      <c r="L812" s="155"/>
      <c r="M812" s="155"/>
      <c r="N812" s="155"/>
      <c r="O812" s="157"/>
      <c r="P812" s="92"/>
      <c r="Q812" s="145"/>
      <c r="R812" s="92"/>
      <c r="S812" s="145"/>
      <c r="T812" s="92"/>
      <c r="U812" s="145"/>
      <c r="V812" s="92"/>
      <c r="W812" s="145"/>
      <c r="X812" s="92"/>
      <c r="Y812" s="352"/>
      <c r="Z812" s="142" t="str">
        <f t="shared" si="41"/>
        <v/>
      </c>
      <c r="AA812" s="226" t="b">
        <f t="shared" si="42"/>
        <v>0</v>
      </c>
      <c r="AB812" s="9"/>
      <c r="AC812" s="162" t="s">
        <v>6</v>
      </c>
      <c r="AD812" s="150">
        <f t="shared" si="43"/>
        <v>0</v>
      </c>
      <c r="AE812" s="95" t="s">
        <v>64</v>
      </c>
    </row>
    <row r="813" spans="1:31" s="55" customFormat="1" ht="30" customHeight="1">
      <c r="A813" s="155"/>
      <c r="B813" s="155"/>
      <c r="C813" s="155"/>
      <c r="D813" s="155"/>
      <c r="E813" s="155"/>
      <c r="F813" s="155"/>
      <c r="G813" s="155"/>
      <c r="H813" s="155"/>
      <c r="I813" s="155"/>
      <c r="J813" s="155"/>
      <c r="K813" s="155"/>
      <c r="L813" s="155"/>
      <c r="M813" s="155"/>
      <c r="N813" s="155"/>
      <c r="O813" s="157"/>
      <c r="P813" s="92"/>
      <c r="Q813" s="145"/>
      <c r="R813" s="92"/>
      <c r="S813" s="145"/>
      <c r="T813" s="92"/>
      <c r="U813" s="145"/>
      <c r="V813" s="92"/>
      <c r="W813" s="145"/>
      <c r="X813" s="92"/>
      <c r="Y813" s="352"/>
      <c r="Z813" s="142" t="str">
        <f t="shared" si="41"/>
        <v/>
      </c>
      <c r="AA813" s="226" t="b">
        <f t="shared" si="42"/>
        <v>0</v>
      </c>
      <c r="AB813" s="9"/>
      <c r="AC813" s="162" t="s">
        <v>6</v>
      </c>
      <c r="AD813" s="150">
        <f t="shared" si="43"/>
        <v>0</v>
      </c>
      <c r="AE813" s="95" t="s">
        <v>64</v>
      </c>
    </row>
    <row r="814" spans="1:31" s="55" customFormat="1" ht="30" customHeight="1">
      <c r="A814" s="155"/>
      <c r="B814" s="155"/>
      <c r="C814" s="155"/>
      <c r="D814" s="155"/>
      <c r="E814" s="155"/>
      <c r="F814" s="155"/>
      <c r="G814" s="155"/>
      <c r="H814" s="155"/>
      <c r="I814" s="155"/>
      <c r="J814" s="155"/>
      <c r="K814" s="155"/>
      <c r="L814" s="155"/>
      <c r="M814" s="155"/>
      <c r="N814" s="155"/>
      <c r="O814" s="157"/>
      <c r="P814" s="92"/>
      <c r="Q814" s="145"/>
      <c r="R814" s="92"/>
      <c r="S814" s="145"/>
      <c r="T814" s="92"/>
      <c r="U814" s="145"/>
      <c r="V814" s="92"/>
      <c r="W814" s="145"/>
      <c r="X814" s="92"/>
      <c r="Y814" s="352"/>
      <c r="Z814" s="142" t="str">
        <f t="shared" si="41"/>
        <v/>
      </c>
      <c r="AA814" s="226" t="b">
        <f t="shared" si="42"/>
        <v>0</v>
      </c>
      <c r="AB814" s="9"/>
      <c r="AC814" s="162" t="s">
        <v>6</v>
      </c>
      <c r="AD814" s="150">
        <f t="shared" si="43"/>
        <v>0</v>
      </c>
      <c r="AE814" s="95" t="s">
        <v>64</v>
      </c>
    </row>
    <row r="815" spans="1:31" s="55" customFormat="1" ht="30" customHeight="1">
      <c r="A815" s="155"/>
      <c r="B815" s="155"/>
      <c r="C815" s="155"/>
      <c r="D815" s="155"/>
      <c r="E815" s="155"/>
      <c r="F815" s="155"/>
      <c r="G815" s="155"/>
      <c r="H815" s="155"/>
      <c r="I815" s="155"/>
      <c r="J815" s="155"/>
      <c r="K815" s="155"/>
      <c r="L815" s="155"/>
      <c r="M815" s="155"/>
      <c r="N815" s="155"/>
      <c r="O815" s="157"/>
      <c r="P815" s="92"/>
      <c r="Q815" s="145"/>
      <c r="R815" s="92"/>
      <c r="S815" s="145"/>
      <c r="T815" s="92"/>
      <c r="U815" s="145"/>
      <c r="V815" s="92"/>
      <c r="W815" s="145"/>
      <c r="X815" s="92"/>
      <c r="Y815" s="352"/>
      <c r="Z815" s="142" t="str">
        <f t="shared" si="41"/>
        <v/>
      </c>
      <c r="AA815" s="226" t="b">
        <f t="shared" si="42"/>
        <v>0</v>
      </c>
      <c r="AB815" s="9"/>
      <c r="AC815" s="162" t="s">
        <v>6</v>
      </c>
      <c r="AD815" s="150">
        <f t="shared" si="43"/>
        <v>0</v>
      </c>
      <c r="AE815" s="95" t="s">
        <v>64</v>
      </c>
    </row>
    <row r="816" spans="1:31" s="55" customFormat="1" ht="30" customHeight="1">
      <c r="A816" s="155"/>
      <c r="B816" s="155"/>
      <c r="C816" s="155"/>
      <c r="D816" s="155"/>
      <c r="E816" s="155"/>
      <c r="F816" s="155"/>
      <c r="G816" s="155"/>
      <c r="H816" s="155"/>
      <c r="I816" s="155"/>
      <c r="J816" s="155"/>
      <c r="K816" s="155"/>
      <c r="L816" s="155"/>
      <c r="M816" s="155"/>
      <c r="N816" s="155"/>
      <c r="O816" s="157"/>
      <c r="P816" s="92"/>
      <c r="Q816" s="145"/>
      <c r="R816" s="92"/>
      <c r="S816" s="145"/>
      <c r="T816" s="92"/>
      <c r="U816" s="145"/>
      <c r="V816" s="92"/>
      <c r="W816" s="145"/>
      <c r="X816" s="92"/>
      <c r="Y816" s="352"/>
      <c r="Z816" s="142" t="str">
        <f t="shared" si="41"/>
        <v/>
      </c>
      <c r="AA816" s="226" t="b">
        <f t="shared" si="42"/>
        <v>0</v>
      </c>
      <c r="AB816" s="9"/>
      <c r="AC816" s="162" t="s">
        <v>6</v>
      </c>
      <c r="AD816" s="150">
        <f t="shared" si="43"/>
        <v>0</v>
      </c>
      <c r="AE816" s="95" t="s">
        <v>64</v>
      </c>
    </row>
    <row r="817" spans="1:31" s="55" customFormat="1" ht="30" customHeight="1">
      <c r="A817" s="155"/>
      <c r="B817" s="155"/>
      <c r="C817" s="155"/>
      <c r="D817" s="155"/>
      <c r="E817" s="155"/>
      <c r="F817" s="155"/>
      <c r="G817" s="155"/>
      <c r="H817" s="155"/>
      <c r="I817" s="155"/>
      <c r="J817" s="155"/>
      <c r="K817" s="155"/>
      <c r="L817" s="155"/>
      <c r="M817" s="155"/>
      <c r="N817" s="155"/>
      <c r="O817" s="157"/>
      <c r="P817" s="92"/>
      <c r="Q817" s="145"/>
      <c r="R817" s="92"/>
      <c r="S817" s="145"/>
      <c r="T817" s="92"/>
      <c r="U817" s="145"/>
      <c r="V817" s="92"/>
      <c r="W817" s="145"/>
      <c r="X817" s="92"/>
      <c r="Y817" s="352"/>
      <c r="Z817" s="142" t="str">
        <f t="shared" si="41"/>
        <v/>
      </c>
      <c r="AA817" s="226" t="b">
        <f t="shared" si="42"/>
        <v>0</v>
      </c>
      <c r="AB817" s="9"/>
      <c r="AC817" s="162" t="s">
        <v>6</v>
      </c>
      <c r="AD817" s="150">
        <f t="shared" si="43"/>
        <v>0</v>
      </c>
      <c r="AE817" s="95" t="s">
        <v>64</v>
      </c>
    </row>
    <row r="818" spans="1:31" s="55" customFormat="1" ht="30" customHeight="1">
      <c r="A818" s="155"/>
      <c r="B818" s="155"/>
      <c r="C818" s="155"/>
      <c r="D818" s="155"/>
      <c r="E818" s="155"/>
      <c r="F818" s="155"/>
      <c r="G818" s="155"/>
      <c r="H818" s="155"/>
      <c r="I818" s="155"/>
      <c r="J818" s="155"/>
      <c r="K818" s="155"/>
      <c r="L818" s="155"/>
      <c r="M818" s="155"/>
      <c r="N818" s="155"/>
      <c r="O818" s="157"/>
      <c r="P818" s="92"/>
      <c r="Q818" s="145"/>
      <c r="R818" s="92"/>
      <c r="S818" s="145"/>
      <c r="T818" s="92"/>
      <c r="U818" s="145"/>
      <c r="V818" s="92"/>
      <c r="W818" s="145"/>
      <c r="X818" s="92"/>
      <c r="Y818" s="352"/>
      <c r="Z818" s="142" t="str">
        <f t="shared" si="41"/>
        <v/>
      </c>
      <c r="AA818" s="226" t="b">
        <f t="shared" si="42"/>
        <v>0</v>
      </c>
      <c r="AB818" s="9"/>
      <c r="AC818" s="162" t="s">
        <v>6</v>
      </c>
      <c r="AD818" s="150">
        <f t="shared" si="43"/>
        <v>0</v>
      </c>
      <c r="AE818" s="95" t="s">
        <v>64</v>
      </c>
    </row>
    <row r="819" spans="1:31" s="55" customFormat="1" ht="30" customHeight="1">
      <c r="A819" s="155"/>
      <c r="B819" s="155"/>
      <c r="C819" s="155"/>
      <c r="D819" s="155"/>
      <c r="E819" s="155"/>
      <c r="F819" s="155"/>
      <c r="G819" s="155"/>
      <c r="H819" s="155"/>
      <c r="I819" s="155"/>
      <c r="J819" s="155"/>
      <c r="K819" s="155"/>
      <c r="L819" s="155"/>
      <c r="M819" s="155"/>
      <c r="N819" s="155"/>
      <c r="O819" s="157"/>
      <c r="P819" s="92"/>
      <c r="Q819" s="145"/>
      <c r="R819" s="92"/>
      <c r="S819" s="145"/>
      <c r="T819" s="92"/>
      <c r="U819" s="145"/>
      <c r="V819" s="92"/>
      <c r="W819" s="145"/>
      <c r="X819" s="92"/>
      <c r="Y819" s="352"/>
      <c r="Z819" s="142" t="str">
        <f t="shared" si="41"/>
        <v/>
      </c>
      <c r="AA819" s="226" t="b">
        <f t="shared" si="42"/>
        <v>0</v>
      </c>
      <c r="AB819" s="9"/>
      <c r="AC819" s="162" t="s">
        <v>6</v>
      </c>
      <c r="AD819" s="150">
        <f t="shared" si="43"/>
        <v>0</v>
      </c>
      <c r="AE819" s="95" t="s">
        <v>64</v>
      </c>
    </row>
    <row r="820" spans="1:31" s="55" customFormat="1" ht="30" customHeight="1">
      <c r="A820" s="155"/>
      <c r="B820" s="155"/>
      <c r="C820" s="155"/>
      <c r="D820" s="155"/>
      <c r="E820" s="155"/>
      <c r="F820" s="155"/>
      <c r="G820" s="155"/>
      <c r="H820" s="155"/>
      <c r="I820" s="155"/>
      <c r="J820" s="155"/>
      <c r="K820" s="155"/>
      <c r="L820" s="155"/>
      <c r="M820" s="155"/>
      <c r="N820" s="155"/>
      <c r="O820" s="157"/>
      <c r="P820" s="92"/>
      <c r="Q820" s="145"/>
      <c r="R820" s="92"/>
      <c r="S820" s="145"/>
      <c r="T820" s="92"/>
      <c r="U820" s="145"/>
      <c r="V820" s="92"/>
      <c r="W820" s="145"/>
      <c r="X820" s="92"/>
      <c r="Y820" s="352"/>
      <c r="Z820" s="142" t="str">
        <f t="shared" si="41"/>
        <v/>
      </c>
      <c r="AA820" s="226" t="b">
        <f t="shared" si="42"/>
        <v>0</v>
      </c>
      <c r="AB820" s="9"/>
      <c r="AC820" s="162" t="s">
        <v>6</v>
      </c>
      <c r="AD820" s="150">
        <f t="shared" si="43"/>
        <v>0</v>
      </c>
      <c r="AE820" s="95" t="s">
        <v>64</v>
      </c>
    </row>
    <row r="821" spans="1:31" s="55" customFormat="1" ht="30" customHeight="1">
      <c r="A821" s="155"/>
      <c r="B821" s="155"/>
      <c r="C821" s="155"/>
      <c r="D821" s="155"/>
      <c r="E821" s="155"/>
      <c r="F821" s="155"/>
      <c r="G821" s="155"/>
      <c r="H821" s="155"/>
      <c r="I821" s="155"/>
      <c r="J821" s="155"/>
      <c r="K821" s="155"/>
      <c r="L821" s="155"/>
      <c r="M821" s="155"/>
      <c r="N821" s="155"/>
      <c r="O821" s="157"/>
      <c r="P821" s="92"/>
      <c r="Q821" s="145"/>
      <c r="R821" s="92"/>
      <c r="S821" s="145"/>
      <c r="T821" s="92"/>
      <c r="U821" s="145"/>
      <c r="V821" s="92"/>
      <c r="W821" s="145"/>
      <c r="X821" s="92"/>
      <c r="Y821" s="352"/>
      <c r="Z821" s="142" t="str">
        <f t="shared" si="41"/>
        <v/>
      </c>
      <c r="AA821" s="226" t="b">
        <f t="shared" si="42"/>
        <v>0</v>
      </c>
      <c r="AB821" s="9"/>
      <c r="AC821" s="162" t="s">
        <v>6</v>
      </c>
      <c r="AD821" s="150">
        <f t="shared" si="43"/>
        <v>0</v>
      </c>
      <c r="AE821" s="95" t="s">
        <v>64</v>
      </c>
    </row>
    <row r="822" spans="1:31" s="55" customFormat="1" ht="30" customHeight="1">
      <c r="A822" s="155"/>
      <c r="B822" s="155"/>
      <c r="C822" s="155"/>
      <c r="D822" s="155"/>
      <c r="E822" s="155"/>
      <c r="F822" s="155"/>
      <c r="G822" s="155"/>
      <c r="H822" s="155"/>
      <c r="I822" s="155"/>
      <c r="J822" s="155"/>
      <c r="K822" s="155"/>
      <c r="L822" s="155"/>
      <c r="M822" s="155"/>
      <c r="N822" s="155"/>
      <c r="O822" s="157"/>
      <c r="P822" s="92"/>
      <c r="Q822" s="145"/>
      <c r="R822" s="92"/>
      <c r="S822" s="145"/>
      <c r="T822" s="92"/>
      <c r="U822" s="145"/>
      <c r="V822" s="92"/>
      <c r="W822" s="145"/>
      <c r="X822" s="92"/>
      <c r="Y822" s="352"/>
      <c r="Z822" s="142" t="str">
        <f t="shared" si="41"/>
        <v/>
      </c>
      <c r="AA822" s="226" t="b">
        <f t="shared" si="42"/>
        <v>0</v>
      </c>
      <c r="AB822" s="9"/>
      <c r="AC822" s="162" t="s">
        <v>6</v>
      </c>
      <c r="AD822" s="150">
        <f t="shared" si="43"/>
        <v>0</v>
      </c>
      <c r="AE822" s="95" t="s">
        <v>64</v>
      </c>
    </row>
    <row r="823" spans="1:31" s="55" customFormat="1" ht="30" customHeight="1">
      <c r="A823" s="155"/>
      <c r="B823" s="155"/>
      <c r="C823" s="155"/>
      <c r="D823" s="155"/>
      <c r="E823" s="155"/>
      <c r="F823" s="155"/>
      <c r="G823" s="155"/>
      <c r="H823" s="155"/>
      <c r="I823" s="155"/>
      <c r="J823" s="155"/>
      <c r="K823" s="155"/>
      <c r="L823" s="155"/>
      <c r="M823" s="155"/>
      <c r="N823" s="155"/>
      <c r="O823" s="157"/>
      <c r="P823" s="92"/>
      <c r="Q823" s="145"/>
      <c r="R823" s="92"/>
      <c r="S823" s="145"/>
      <c r="T823" s="92"/>
      <c r="U823" s="145"/>
      <c r="V823" s="92"/>
      <c r="W823" s="145"/>
      <c r="X823" s="92"/>
      <c r="Y823" s="352"/>
      <c r="Z823" s="142" t="str">
        <f t="shared" si="41"/>
        <v/>
      </c>
      <c r="AA823" s="226" t="b">
        <f t="shared" si="42"/>
        <v>0</v>
      </c>
      <c r="AB823" s="9"/>
      <c r="AC823" s="162" t="s">
        <v>6</v>
      </c>
      <c r="AD823" s="150">
        <f t="shared" si="43"/>
        <v>0</v>
      </c>
      <c r="AE823" s="95" t="s">
        <v>64</v>
      </c>
    </row>
    <row r="824" spans="1:31" s="55" customFormat="1" ht="30" customHeight="1">
      <c r="A824" s="155"/>
      <c r="B824" s="155"/>
      <c r="C824" s="155"/>
      <c r="D824" s="155"/>
      <c r="E824" s="155"/>
      <c r="F824" s="155"/>
      <c r="G824" s="155"/>
      <c r="H824" s="155"/>
      <c r="I824" s="155"/>
      <c r="J824" s="155"/>
      <c r="K824" s="155"/>
      <c r="L824" s="155"/>
      <c r="M824" s="155"/>
      <c r="N824" s="155"/>
      <c r="O824" s="157"/>
      <c r="P824" s="92"/>
      <c r="Q824" s="145"/>
      <c r="R824" s="92"/>
      <c r="S824" s="145"/>
      <c r="T824" s="92"/>
      <c r="U824" s="145"/>
      <c r="V824" s="92"/>
      <c r="W824" s="145"/>
      <c r="X824" s="92"/>
      <c r="Y824" s="352"/>
      <c r="Z824" s="142" t="str">
        <f t="shared" si="41"/>
        <v/>
      </c>
      <c r="AA824" s="226" t="b">
        <f t="shared" si="42"/>
        <v>0</v>
      </c>
      <c r="AB824" s="9"/>
      <c r="AC824" s="162" t="s">
        <v>6</v>
      </c>
      <c r="AD824" s="150">
        <f t="shared" si="43"/>
        <v>0</v>
      </c>
      <c r="AE824" s="95" t="s">
        <v>64</v>
      </c>
    </row>
    <row r="825" spans="1:31" s="55" customFormat="1" ht="30" customHeight="1">
      <c r="A825" s="155"/>
      <c r="B825" s="155"/>
      <c r="C825" s="155"/>
      <c r="D825" s="155"/>
      <c r="E825" s="155"/>
      <c r="F825" s="155"/>
      <c r="G825" s="155"/>
      <c r="H825" s="155"/>
      <c r="I825" s="155"/>
      <c r="J825" s="155"/>
      <c r="K825" s="155"/>
      <c r="L825" s="155"/>
      <c r="M825" s="155"/>
      <c r="N825" s="155"/>
      <c r="O825" s="157"/>
      <c r="P825" s="92"/>
      <c r="Q825" s="145"/>
      <c r="R825" s="92"/>
      <c r="S825" s="145"/>
      <c r="T825" s="92"/>
      <c r="U825" s="145"/>
      <c r="V825" s="92"/>
      <c r="W825" s="145"/>
      <c r="X825" s="92"/>
      <c r="Y825" s="352"/>
      <c r="Z825" s="142" t="str">
        <f t="shared" si="41"/>
        <v/>
      </c>
      <c r="AA825" s="226" t="b">
        <f t="shared" si="42"/>
        <v>0</v>
      </c>
      <c r="AB825" s="9"/>
      <c r="AC825" s="162" t="s">
        <v>6</v>
      </c>
      <c r="AD825" s="150">
        <f t="shared" si="43"/>
        <v>0</v>
      </c>
      <c r="AE825" s="95" t="s">
        <v>64</v>
      </c>
    </row>
    <row r="826" spans="1:31" s="55" customFormat="1" ht="30" customHeight="1">
      <c r="A826" s="155"/>
      <c r="B826" s="155"/>
      <c r="C826" s="155"/>
      <c r="D826" s="155"/>
      <c r="E826" s="155"/>
      <c r="F826" s="155"/>
      <c r="G826" s="155"/>
      <c r="H826" s="155"/>
      <c r="I826" s="155"/>
      <c r="J826" s="155"/>
      <c r="K826" s="155"/>
      <c r="L826" s="155"/>
      <c r="M826" s="155"/>
      <c r="N826" s="155"/>
      <c r="O826" s="157"/>
      <c r="P826" s="92"/>
      <c r="Q826" s="145"/>
      <c r="R826" s="92"/>
      <c r="S826" s="145"/>
      <c r="T826" s="92"/>
      <c r="U826" s="145"/>
      <c r="V826" s="92"/>
      <c r="W826" s="145"/>
      <c r="X826" s="92"/>
      <c r="Y826" s="352"/>
      <c r="Z826" s="142" t="str">
        <f t="shared" ref="Z826:Z889" si="44">IF(AND(O826="",Q826="",S826="",U826="",W826=""),"",IF(OR(AND(O826&lt;&gt;"NA",O826&lt;&gt;"C",O826&lt;&gt;"NC",O826&lt;&gt;"SF",O826&lt;&gt;""),AND(Q826&lt;&gt;"NA",Q826&lt;&gt;"C",Q826&lt;&gt;"NC",Q826&lt;&gt;"SF",Q826&lt;&gt;""),AND(S826&lt;&gt;"NA",S826&lt;&gt;"C",S826&lt;&gt;"NC",S826&lt;&gt;"SF",S826&lt;&gt;""),AND(U826&lt;&gt;"NA",U826&lt;&gt;"C",U826&lt;&gt;"NC",U826&lt;&gt;"SF",U826&lt;&gt;""),AND(W826&lt;&gt;"NA",W826&lt;&gt;"C",W826&lt;&gt;"NC",W826&lt;&gt;"SF",W826&lt;&gt;"")),"FALSO",IF(AND(O826="NA",Q826="NA",S826="NA",U826="NA",W826="NA"),"NA",IF(OR(O826="NC",Q826="NC",S826="NC",U826="NC",W826="NC",O826="SF",Q826="SF",S826="SF",U826="SF",W826="SF"),"NC",IF(OR(O826="C",Q826="C",S826="C",U826="C",W826="C"),"C","")))))</f>
        <v/>
      </c>
      <c r="AA826" s="226" t="b">
        <f t="shared" ref="AA826:AA889" si="45">IF(AND(Y826="C",Z826="C"),"UTILIZOU O PDA CORRETAMENTE",IF(AND(Y826="C",Z826="NC"),"UTILIZOU O PDA CORRETAMENTE. NÃO HÁ FOTOS DE TODAS AS ETAPAS",IF(AND(Y826="NC",Z826="NC"),"NÃO UTILIZOU O PDA",IF(AND(Y826="NA",Z826="NA"),"NÃO AVALIADO POR FALHA DE SINCRONISMO"))))</f>
        <v>0</v>
      </c>
      <c r="AB826" s="9"/>
      <c r="AC826" s="162" t="s">
        <v>6</v>
      </c>
      <c r="AD826" s="150">
        <f t="shared" si="43"/>
        <v>0</v>
      </c>
      <c r="AE826" s="95" t="s">
        <v>64</v>
      </c>
    </row>
    <row r="827" spans="1:31" s="55" customFormat="1" ht="30" customHeight="1">
      <c r="A827" s="155"/>
      <c r="B827" s="155"/>
      <c r="C827" s="155"/>
      <c r="D827" s="155"/>
      <c r="E827" s="155"/>
      <c r="F827" s="155"/>
      <c r="G827" s="155"/>
      <c r="H827" s="155"/>
      <c r="I827" s="155"/>
      <c r="J827" s="155"/>
      <c r="K827" s="155"/>
      <c r="L827" s="155"/>
      <c r="M827" s="155"/>
      <c r="N827" s="155"/>
      <c r="O827" s="157"/>
      <c r="P827" s="92"/>
      <c r="Q827" s="145"/>
      <c r="R827" s="92"/>
      <c r="S827" s="145"/>
      <c r="T827" s="92"/>
      <c r="U827" s="145"/>
      <c r="V827" s="92"/>
      <c r="W827" s="145"/>
      <c r="X827" s="92"/>
      <c r="Y827" s="352"/>
      <c r="Z827" s="142" t="str">
        <f t="shared" si="44"/>
        <v/>
      </c>
      <c r="AA827" s="226" t="b">
        <f t="shared" si="45"/>
        <v>0</v>
      </c>
      <c r="AB827" s="9"/>
      <c r="AC827" s="162" t="s">
        <v>6</v>
      </c>
      <c r="AD827" s="150">
        <f t="shared" si="43"/>
        <v>0</v>
      </c>
      <c r="AE827" s="95" t="s">
        <v>64</v>
      </c>
    </row>
    <row r="828" spans="1:31" s="55" customFormat="1" ht="30" customHeight="1">
      <c r="A828" s="155"/>
      <c r="B828" s="155"/>
      <c r="C828" s="155"/>
      <c r="D828" s="155"/>
      <c r="E828" s="155"/>
      <c r="F828" s="155"/>
      <c r="G828" s="155"/>
      <c r="H828" s="155"/>
      <c r="I828" s="155"/>
      <c r="J828" s="155"/>
      <c r="K828" s="155"/>
      <c r="L828" s="155"/>
      <c r="M828" s="155"/>
      <c r="N828" s="155"/>
      <c r="O828" s="157"/>
      <c r="P828" s="92"/>
      <c r="Q828" s="145"/>
      <c r="R828" s="92"/>
      <c r="S828" s="145"/>
      <c r="T828" s="92"/>
      <c r="U828" s="145"/>
      <c r="V828" s="92"/>
      <c r="W828" s="145"/>
      <c r="X828" s="92"/>
      <c r="Y828" s="352"/>
      <c r="Z828" s="142" t="str">
        <f t="shared" si="44"/>
        <v/>
      </c>
      <c r="AA828" s="226" t="b">
        <f t="shared" si="45"/>
        <v>0</v>
      </c>
      <c r="AB828" s="9"/>
      <c r="AC828" s="162" t="s">
        <v>6</v>
      </c>
      <c r="AD828" s="150">
        <f t="shared" si="43"/>
        <v>0</v>
      </c>
      <c r="AE828" s="95" t="s">
        <v>64</v>
      </c>
    </row>
    <row r="829" spans="1:31" s="55" customFormat="1" ht="30" customHeight="1">
      <c r="A829" s="155"/>
      <c r="B829" s="155"/>
      <c r="C829" s="155"/>
      <c r="D829" s="155"/>
      <c r="E829" s="155"/>
      <c r="F829" s="155"/>
      <c r="G829" s="155"/>
      <c r="H829" s="155"/>
      <c r="I829" s="155"/>
      <c r="J829" s="155"/>
      <c r="K829" s="155"/>
      <c r="L829" s="155"/>
      <c r="M829" s="155"/>
      <c r="N829" s="155"/>
      <c r="O829" s="157"/>
      <c r="P829" s="92"/>
      <c r="Q829" s="145"/>
      <c r="R829" s="92"/>
      <c r="S829" s="145"/>
      <c r="T829" s="92"/>
      <c r="U829" s="145"/>
      <c r="V829" s="92"/>
      <c r="W829" s="145"/>
      <c r="X829" s="92"/>
      <c r="Y829" s="352"/>
      <c r="Z829" s="142" t="str">
        <f t="shared" si="44"/>
        <v/>
      </c>
      <c r="AA829" s="226" t="b">
        <f t="shared" si="45"/>
        <v>0</v>
      </c>
      <c r="AB829" s="9"/>
      <c r="AC829" s="162" t="s">
        <v>6</v>
      </c>
      <c r="AD829" s="150">
        <f t="shared" si="43"/>
        <v>0</v>
      </c>
      <c r="AE829" s="95" t="s">
        <v>64</v>
      </c>
    </row>
    <row r="830" spans="1:31" s="55" customFormat="1" ht="30" customHeight="1">
      <c r="A830" s="155"/>
      <c r="B830" s="155"/>
      <c r="C830" s="155"/>
      <c r="D830" s="155"/>
      <c r="E830" s="155"/>
      <c r="F830" s="155"/>
      <c r="G830" s="155"/>
      <c r="H830" s="155"/>
      <c r="I830" s="155"/>
      <c r="J830" s="155"/>
      <c r="K830" s="155"/>
      <c r="L830" s="155"/>
      <c r="M830" s="155"/>
      <c r="N830" s="155"/>
      <c r="O830" s="157"/>
      <c r="P830" s="92"/>
      <c r="Q830" s="145"/>
      <c r="R830" s="92"/>
      <c r="S830" s="145"/>
      <c r="T830" s="92"/>
      <c r="U830" s="145"/>
      <c r="V830" s="92"/>
      <c r="W830" s="145"/>
      <c r="X830" s="92"/>
      <c r="Y830" s="352"/>
      <c r="Z830" s="142" t="str">
        <f t="shared" si="44"/>
        <v/>
      </c>
      <c r="AA830" s="226" t="b">
        <f t="shared" si="45"/>
        <v>0</v>
      </c>
      <c r="AB830" s="9"/>
      <c r="AC830" s="162" t="s">
        <v>6</v>
      </c>
      <c r="AD830" s="150">
        <f t="shared" si="43"/>
        <v>0</v>
      </c>
      <c r="AE830" s="95" t="s">
        <v>64</v>
      </c>
    </row>
    <row r="831" spans="1:31" s="55" customFormat="1" ht="30" customHeight="1">
      <c r="A831" s="155"/>
      <c r="B831" s="155"/>
      <c r="C831" s="155"/>
      <c r="D831" s="155"/>
      <c r="E831" s="155"/>
      <c r="F831" s="155"/>
      <c r="G831" s="155"/>
      <c r="H831" s="155"/>
      <c r="I831" s="155"/>
      <c r="J831" s="155"/>
      <c r="K831" s="155"/>
      <c r="L831" s="155"/>
      <c r="M831" s="155"/>
      <c r="N831" s="155"/>
      <c r="O831" s="157"/>
      <c r="P831" s="92"/>
      <c r="Q831" s="145"/>
      <c r="R831" s="92"/>
      <c r="S831" s="145"/>
      <c r="T831" s="92"/>
      <c r="U831" s="145"/>
      <c r="V831" s="92"/>
      <c r="W831" s="145"/>
      <c r="X831" s="92"/>
      <c r="Y831" s="352"/>
      <c r="Z831" s="142" t="str">
        <f t="shared" si="44"/>
        <v/>
      </c>
      <c r="AA831" s="226" t="b">
        <f t="shared" si="45"/>
        <v>0</v>
      </c>
      <c r="AB831" s="9"/>
      <c r="AC831" s="162" t="s">
        <v>6</v>
      </c>
      <c r="AD831" s="150">
        <f t="shared" si="43"/>
        <v>0</v>
      </c>
      <c r="AE831" s="95" t="s">
        <v>64</v>
      </c>
    </row>
    <row r="832" spans="1:31" s="55" customFormat="1" ht="30" customHeight="1">
      <c r="A832" s="155"/>
      <c r="B832" s="155"/>
      <c r="C832" s="155"/>
      <c r="D832" s="155"/>
      <c r="E832" s="155"/>
      <c r="F832" s="155"/>
      <c r="G832" s="155"/>
      <c r="H832" s="155"/>
      <c r="I832" s="155"/>
      <c r="J832" s="155"/>
      <c r="K832" s="155"/>
      <c r="L832" s="155"/>
      <c r="M832" s="155"/>
      <c r="N832" s="155"/>
      <c r="O832" s="157"/>
      <c r="P832" s="92"/>
      <c r="Q832" s="145"/>
      <c r="R832" s="92"/>
      <c r="S832" s="145"/>
      <c r="T832" s="92"/>
      <c r="U832" s="145"/>
      <c r="V832" s="92"/>
      <c r="W832" s="145"/>
      <c r="X832" s="92"/>
      <c r="Y832" s="352"/>
      <c r="Z832" s="142" t="str">
        <f t="shared" si="44"/>
        <v/>
      </c>
      <c r="AA832" s="226" t="b">
        <f t="shared" si="45"/>
        <v>0</v>
      </c>
      <c r="AB832" s="9"/>
      <c r="AC832" s="162" t="s">
        <v>6</v>
      </c>
      <c r="AD832" s="150">
        <f t="shared" si="43"/>
        <v>0</v>
      </c>
      <c r="AE832" s="95" t="s">
        <v>64</v>
      </c>
    </row>
    <row r="833" spans="1:31" s="55" customFormat="1" ht="30" customHeight="1">
      <c r="A833" s="155"/>
      <c r="B833" s="155"/>
      <c r="C833" s="155"/>
      <c r="D833" s="155"/>
      <c r="E833" s="155"/>
      <c r="F833" s="155"/>
      <c r="G833" s="155"/>
      <c r="H833" s="155"/>
      <c r="I833" s="155"/>
      <c r="J833" s="155"/>
      <c r="K833" s="155"/>
      <c r="L833" s="155"/>
      <c r="M833" s="155"/>
      <c r="N833" s="155"/>
      <c r="O833" s="157"/>
      <c r="P833" s="92"/>
      <c r="Q833" s="145"/>
      <c r="R833" s="92"/>
      <c r="S833" s="145"/>
      <c r="T833" s="92"/>
      <c r="U833" s="145"/>
      <c r="V833" s="92"/>
      <c r="W833" s="145"/>
      <c r="X833" s="92"/>
      <c r="Y833" s="352"/>
      <c r="Z833" s="142" t="str">
        <f t="shared" si="44"/>
        <v/>
      </c>
      <c r="AA833" s="226" t="b">
        <f t="shared" si="45"/>
        <v>0</v>
      </c>
      <c r="AB833" s="9"/>
      <c r="AC833" s="162" t="s">
        <v>6</v>
      </c>
      <c r="AD833" s="150">
        <f t="shared" si="43"/>
        <v>0</v>
      </c>
      <c r="AE833" s="95" t="s">
        <v>64</v>
      </c>
    </row>
    <row r="834" spans="1:31" s="55" customFormat="1" ht="30" customHeight="1">
      <c r="A834" s="155"/>
      <c r="B834" s="155"/>
      <c r="C834" s="155"/>
      <c r="D834" s="155"/>
      <c r="E834" s="155"/>
      <c r="F834" s="155"/>
      <c r="G834" s="155"/>
      <c r="H834" s="155"/>
      <c r="I834" s="155"/>
      <c r="J834" s="155"/>
      <c r="K834" s="155"/>
      <c r="L834" s="155"/>
      <c r="M834" s="155"/>
      <c r="N834" s="155"/>
      <c r="O834" s="157"/>
      <c r="P834" s="92"/>
      <c r="Q834" s="145"/>
      <c r="R834" s="92"/>
      <c r="S834" s="145"/>
      <c r="T834" s="92"/>
      <c r="U834" s="145"/>
      <c r="V834" s="92"/>
      <c r="W834" s="145"/>
      <c r="X834" s="92"/>
      <c r="Y834" s="352"/>
      <c r="Z834" s="142" t="str">
        <f t="shared" si="44"/>
        <v/>
      </c>
      <c r="AA834" s="226" t="b">
        <f t="shared" si="45"/>
        <v>0</v>
      </c>
      <c r="AB834" s="9"/>
      <c r="AC834" s="162" t="s">
        <v>6</v>
      </c>
      <c r="AD834" s="150">
        <f t="shared" si="43"/>
        <v>0</v>
      </c>
      <c r="AE834" s="95" t="s">
        <v>64</v>
      </c>
    </row>
    <row r="835" spans="1:31" s="55" customFormat="1" ht="30" customHeight="1">
      <c r="A835" s="155"/>
      <c r="B835" s="155"/>
      <c r="C835" s="155"/>
      <c r="D835" s="155"/>
      <c r="E835" s="155"/>
      <c r="F835" s="155"/>
      <c r="G835" s="155"/>
      <c r="H835" s="155"/>
      <c r="I835" s="155"/>
      <c r="J835" s="155"/>
      <c r="K835" s="155"/>
      <c r="L835" s="155"/>
      <c r="M835" s="155"/>
      <c r="N835" s="155"/>
      <c r="O835" s="157"/>
      <c r="P835" s="92"/>
      <c r="Q835" s="145"/>
      <c r="R835" s="92"/>
      <c r="S835" s="145"/>
      <c r="T835" s="92"/>
      <c r="U835" s="145"/>
      <c r="V835" s="92"/>
      <c r="W835" s="145"/>
      <c r="X835" s="92"/>
      <c r="Y835" s="352"/>
      <c r="Z835" s="142" t="str">
        <f t="shared" si="44"/>
        <v/>
      </c>
      <c r="AA835" s="226" t="b">
        <f t="shared" si="45"/>
        <v>0</v>
      </c>
      <c r="AB835" s="9"/>
      <c r="AC835" s="162" t="s">
        <v>6</v>
      </c>
      <c r="AD835" s="150">
        <f t="shared" si="43"/>
        <v>0</v>
      </c>
      <c r="AE835" s="95" t="s">
        <v>64</v>
      </c>
    </row>
    <row r="836" spans="1:31" s="55" customFormat="1" ht="30" customHeight="1">
      <c r="A836" s="155"/>
      <c r="B836" s="155"/>
      <c r="C836" s="155"/>
      <c r="D836" s="155"/>
      <c r="E836" s="155"/>
      <c r="F836" s="155"/>
      <c r="G836" s="155"/>
      <c r="H836" s="155"/>
      <c r="I836" s="155"/>
      <c r="J836" s="155"/>
      <c r="K836" s="155"/>
      <c r="L836" s="155"/>
      <c r="M836" s="155"/>
      <c r="N836" s="155"/>
      <c r="O836" s="157"/>
      <c r="P836" s="92"/>
      <c r="Q836" s="145"/>
      <c r="R836" s="92"/>
      <c r="S836" s="145"/>
      <c r="T836" s="92"/>
      <c r="U836" s="145"/>
      <c r="V836" s="92"/>
      <c r="W836" s="145"/>
      <c r="X836" s="92"/>
      <c r="Y836" s="352"/>
      <c r="Z836" s="142" t="str">
        <f t="shared" si="44"/>
        <v/>
      </c>
      <c r="AA836" s="226" t="b">
        <f t="shared" si="45"/>
        <v>0</v>
      </c>
      <c r="AB836" s="9"/>
      <c r="AC836" s="162" t="s">
        <v>6</v>
      </c>
      <c r="AD836" s="150">
        <f t="shared" si="43"/>
        <v>0</v>
      </c>
      <c r="AE836" s="95" t="s">
        <v>64</v>
      </c>
    </row>
    <row r="837" spans="1:31" s="55" customFormat="1" ht="30" customHeight="1">
      <c r="A837" s="155"/>
      <c r="B837" s="155"/>
      <c r="C837" s="155"/>
      <c r="D837" s="155"/>
      <c r="E837" s="155"/>
      <c r="F837" s="155"/>
      <c r="G837" s="155"/>
      <c r="H837" s="155"/>
      <c r="I837" s="155"/>
      <c r="J837" s="155"/>
      <c r="K837" s="155"/>
      <c r="L837" s="155"/>
      <c r="M837" s="155"/>
      <c r="N837" s="155"/>
      <c r="O837" s="157"/>
      <c r="P837" s="92"/>
      <c r="Q837" s="145"/>
      <c r="R837" s="92"/>
      <c r="S837" s="145"/>
      <c r="T837" s="92"/>
      <c r="U837" s="145"/>
      <c r="V837" s="92"/>
      <c r="W837" s="145"/>
      <c r="X837" s="92"/>
      <c r="Y837" s="352"/>
      <c r="Z837" s="142" t="str">
        <f t="shared" si="44"/>
        <v/>
      </c>
      <c r="AA837" s="226" t="b">
        <f t="shared" si="45"/>
        <v>0</v>
      </c>
      <c r="AB837" s="9"/>
      <c r="AC837" s="162" t="s">
        <v>6</v>
      </c>
      <c r="AD837" s="150">
        <f t="shared" si="43"/>
        <v>0</v>
      </c>
      <c r="AE837" s="95" t="s">
        <v>64</v>
      </c>
    </row>
    <row r="838" spans="1:31" s="55" customFormat="1" ht="30" customHeight="1">
      <c r="A838" s="155"/>
      <c r="B838" s="155"/>
      <c r="C838" s="155"/>
      <c r="D838" s="155"/>
      <c r="E838" s="155"/>
      <c r="F838" s="155"/>
      <c r="G838" s="155"/>
      <c r="H838" s="155"/>
      <c r="I838" s="155"/>
      <c r="J838" s="155"/>
      <c r="K838" s="155"/>
      <c r="L838" s="155"/>
      <c r="M838" s="155"/>
      <c r="N838" s="155"/>
      <c r="O838" s="157"/>
      <c r="P838" s="92"/>
      <c r="Q838" s="145"/>
      <c r="R838" s="92"/>
      <c r="S838" s="145"/>
      <c r="T838" s="92"/>
      <c r="U838" s="145"/>
      <c r="V838" s="92"/>
      <c r="W838" s="145"/>
      <c r="X838" s="92"/>
      <c r="Y838" s="352"/>
      <c r="Z838" s="142" t="str">
        <f t="shared" si="44"/>
        <v/>
      </c>
      <c r="AA838" s="226" t="b">
        <f t="shared" si="45"/>
        <v>0</v>
      </c>
      <c r="AB838" s="9"/>
      <c r="AC838" s="162" t="s">
        <v>6</v>
      </c>
      <c r="AD838" s="150">
        <f t="shared" si="43"/>
        <v>0</v>
      </c>
      <c r="AE838" s="95" t="s">
        <v>64</v>
      </c>
    </row>
    <row r="839" spans="1:31" s="55" customFormat="1" ht="30" customHeight="1">
      <c r="A839" s="155"/>
      <c r="B839" s="155"/>
      <c r="C839" s="155"/>
      <c r="D839" s="155"/>
      <c r="E839" s="155"/>
      <c r="F839" s="155"/>
      <c r="G839" s="155"/>
      <c r="H839" s="155"/>
      <c r="I839" s="155"/>
      <c r="J839" s="155"/>
      <c r="K839" s="155"/>
      <c r="L839" s="155"/>
      <c r="M839" s="155"/>
      <c r="N839" s="155"/>
      <c r="O839" s="157"/>
      <c r="P839" s="92"/>
      <c r="Q839" s="145"/>
      <c r="R839" s="92"/>
      <c r="S839" s="145"/>
      <c r="T839" s="92"/>
      <c r="U839" s="145"/>
      <c r="V839" s="92"/>
      <c r="W839" s="145"/>
      <c r="X839" s="92"/>
      <c r="Y839" s="352"/>
      <c r="Z839" s="142" t="str">
        <f t="shared" si="44"/>
        <v/>
      </c>
      <c r="AA839" s="226" t="b">
        <f t="shared" si="45"/>
        <v>0</v>
      </c>
      <c r="AB839" s="9"/>
      <c r="AC839" s="162" t="s">
        <v>6</v>
      </c>
      <c r="AD839" s="150">
        <f t="shared" si="43"/>
        <v>0</v>
      </c>
      <c r="AE839" s="95" t="s">
        <v>64</v>
      </c>
    </row>
    <row r="840" spans="1:31" s="55" customFormat="1" ht="30" customHeight="1">
      <c r="A840" s="155"/>
      <c r="B840" s="155"/>
      <c r="C840" s="155"/>
      <c r="D840" s="155"/>
      <c r="E840" s="155"/>
      <c r="F840" s="155"/>
      <c r="G840" s="155"/>
      <c r="H840" s="155"/>
      <c r="I840" s="155"/>
      <c r="J840" s="155"/>
      <c r="K840" s="155"/>
      <c r="L840" s="155"/>
      <c r="M840" s="155"/>
      <c r="N840" s="155"/>
      <c r="O840" s="157"/>
      <c r="P840" s="92"/>
      <c r="Q840" s="145"/>
      <c r="R840" s="92"/>
      <c r="S840" s="145"/>
      <c r="T840" s="92"/>
      <c r="U840" s="145"/>
      <c r="V840" s="92"/>
      <c r="W840" s="145"/>
      <c r="X840" s="92"/>
      <c r="Y840" s="352"/>
      <c r="Z840" s="142" t="str">
        <f t="shared" si="44"/>
        <v/>
      </c>
      <c r="AA840" s="226" t="b">
        <f t="shared" si="45"/>
        <v>0</v>
      </c>
      <c r="AB840" s="9"/>
      <c r="AC840" s="162" t="s">
        <v>6</v>
      </c>
      <c r="AD840" s="150">
        <f t="shared" si="43"/>
        <v>0</v>
      </c>
      <c r="AE840" s="95" t="s">
        <v>64</v>
      </c>
    </row>
    <row r="841" spans="1:31" s="55" customFormat="1" ht="30" customHeight="1">
      <c r="A841" s="155"/>
      <c r="B841" s="155"/>
      <c r="C841" s="155"/>
      <c r="D841" s="155"/>
      <c r="E841" s="155"/>
      <c r="F841" s="155"/>
      <c r="G841" s="155"/>
      <c r="H841" s="155"/>
      <c r="I841" s="155"/>
      <c r="J841" s="155"/>
      <c r="K841" s="155"/>
      <c r="L841" s="155"/>
      <c r="M841" s="155"/>
      <c r="N841" s="155"/>
      <c r="O841" s="157"/>
      <c r="P841" s="92"/>
      <c r="Q841" s="145"/>
      <c r="R841" s="92"/>
      <c r="S841" s="145"/>
      <c r="T841" s="92"/>
      <c r="U841" s="145"/>
      <c r="V841" s="92"/>
      <c r="W841" s="145"/>
      <c r="X841" s="92"/>
      <c r="Y841" s="352"/>
      <c r="Z841" s="142" t="str">
        <f t="shared" si="44"/>
        <v/>
      </c>
      <c r="AA841" s="226" t="b">
        <f t="shared" si="45"/>
        <v>0</v>
      </c>
      <c r="AB841" s="9"/>
      <c r="AC841" s="162" t="s">
        <v>6</v>
      </c>
      <c r="AD841" s="150">
        <f t="shared" si="43"/>
        <v>0</v>
      </c>
      <c r="AE841" s="95" t="s">
        <v>64</v>
      </c>
    </row>
    <row r="842" spans="1:31" s="55" customFormat="1" ht="30" customHeight="1">
      <c r="A842" s="155"/>
      <c r="B842" s="155"/>
      <c r="C842" s="155"/>
      <c r="D842" s="155"/>
      <c r="E842" s="155"/>
      <c r="F842" s="155"/>
      <c r="G842" s="155"/>
      <c r="H842" s="155"/>
      <c r="I842" s="155"/>
      <c r="J842" s="155"/>
      <c r="K842" s="155"/>
      <c r="L842" s="155"/>
      <c r="M842" s="155"/>
      <c r="N842" s="155"/>
      <c r="O842" s="157"/>
      <c r="P842" s="92"/>
      <c r="Q842" s="145"/>
      <c r="R842" s="92"/>
      <c r="S842" s="145"/>
      <c r="T842" s="92"/>
      <c r="U842" s="145"/>
      <c r="V842" s="92"/>
      <c r="W842" s="145"/>
      <c r="X842" s="92"/>
      <c r="Y842" s="352"/>
      <c r="Z842" s="142" t="str">
        <f t="shared" si="44"/>
        <v/>
      </c>
      <c r="AA842" s="226" t="b">
        <f t="shared" si="45"/>
        <v>0</v>
      </c>
      <c r="AB842" s="9"/>
      <c r="AC842" s="162" t="s">
        <v>6</v>
      </c>
      <c r="AD842" s="150">
        <f t="shared" si="43"/>
        <v>0</v>
      </c>
      <c r="AE842" s="95" t="s">
        <v>64</v>
      </c>
    </row>
    <row r="843" spans="1:31" s="55" customFormat="1" ht="30" customHeight="1">
      <c r="A843" s="155"/>
      <c r="B843" s="155"/>
      <c r="C843" s="155"/>
      <c r="D843" s="155"/>
      <c r="E843" s="155"/>
      <c r="F843" s="155"/>
      <c r="G843" s="155"/>
      <c r="H843" s="155"/>
      <c r="I843" s="155"/>
      <c r="J843" s="155"/>
      <c r="K843" s="155"/>
      <c r="L843" s="155"/>
      <c r="M843" s="155"/>
      <c r="N843" s="155"/>
      <c r="O843" s="157"/>
      <c r="P843" s="92"/>
      <c r="Q843" s="145"/>
      <c r="R843" s="92"/>
      <c r="S843" s="145"/>
      <c r="T843" s="92"/>
      <c r="U843" s="145"/>
      <c r="V843" s="92"/>
      <c r="W843" s="145"/>
      <c r="X843" s="92"/>
      <c r="Y843" s="352"/>
      <c r="Z843" s="142" t="str">
        <f t="shared" si="44"/>
        <v/>
      </c>
      <c r="AA843" s="226" t="b">
        <f t="shared" si="45"/>
        <v>0</v>
      </c>
      <c r="AB843" s="9"/>
      <c r="AC843" s="162" t="s">
        <v>6</v>
      </c>
      <c r="AD843" s="150">
        <f t="shared" si="43"/>
        <v>0</v>
      </c>
      <c r="AE843" s="95" t="s">
        <v>64</v>
      </c>
    </row>
    <row r="844" spans="1:31" s="55" customFormat="1" ht="30" customHeight="1">
      <c r="A844" s="155"/>
      <c r="B844" s="155"/>
      <c r="C844" s="155"/>
      <c r="D844" s="155"/>
      <c r="E844" s="155"/>
      <c r="F844" s="155"/>
      <c r="G844" s="155"/>
      <c r="H844" s="155"/>
      <c r="I844" s="155"/>
      <c r="J844" s="155"/>
      <c r="K844" s="155"/>
      <c r="L844" s="155"/>
      <c r="M844" s="155"/>
      <c r="N844" s="155"/>
      <c r="O844" s="157"/>
      <c r="P844" s="92"/>
      <c r="Q844" s="145"/>
      <c r="R844" s="92"/>
      <c r="S844" s="145"/>
      <c r="T844" s="92"/>
      <c r="U844" s="145"/>
      <c r="V844" s="92"/>
      <c r="W844" s="145"/>
      <c r="X844" s="92"/>
      <c r="Y844" s="352"/>
      <c r="Z844" s="142" t="str">
        <f t="shared" si="44"/>
        <v/>
      </c>
      <c r="AA844" s="226" t="b">
        <f t="shared" si="45"/>
        <v>0</v>
      </c>
      <c r="AB844" s="9"/>
      <c r="AC844" s="162" t="s">
        <v>6</v>
      </c>
      <c r="AD844" s="150">
        <f t="shared" si="43"/>
        <v>0</v>
      </c>
      <c r="AE844" s="95" t="s">
        <v>64</v>
      </c>
    </row>
    <row r="845" spans="1:31" s="55" customFormat="1" ht="30" customHeight="1">
      <c r="A845" s="155"/>
      <c r="B845" s="155"/>
      <c r="C845" s="155"/>
      <c r="D845" s="155"/>
      <c r="E845" s="155"/>
      <c r="F845" s="155"/>
      <c r="G845" s="155"/>
      <c r="H845" s="155"/>
      <c r="I845" s="155"/>
      <c r="J845" s="155"/>
      <c r="K845" s="155"/>
      <c r="L845" s="155"/>
      <c r="M845" s="155"/>
      <c r="N845" s="155"/>
      <c r="O845" s="157"/>
      <c r="P845" s="92"/>
      <c r="Q845" s="145"/>
      <c r="R845" s="92"/>
      <c r="S845" s="145"/>
      <c r="T845" s="92"/>
      <c r="U845" s="145"/>
      <c r="V845" s="92"/>
      <c r="W845" s="145"/>
      <c r="X845" s="92"/>
      <c r="Y845" s="352"/>
      <c r="Z845" s="142" t="str">
        <f t="shared" si="44"/>
        <v/>
      </c>
      <c r="AA845" s="226" t="b">
        <f t="shared" si="45"/>
        <v>0</v>
      </c>
      <c r="AB845" s="9"/>
      <c r="AC845" s="162" t="s">
        <v>6</v>
      </c>
      <c r="AD845" s="150">
        <f t="shared" si="43"/>
        <v>0</v>
      </c>
      <c r="AE845" s="95" t="s">
        <v>64</v>
      </c>
    </row>
    <row r="846" spans="1:31" s="55" customFormat="1" ht="30" customHeight="1">
      <c r="A846" s="155"/>
      <c r="B846" s="155"/>
      <c r="C846" s="155"/>
      <c r="D846" s="155"/>
      <c r="E846" s="155"/>
      <c r="F846" s="155"/>
      <c r="G846" s="155"/>
      <c r="H846" s="155"/>
      <c r="I846" s="155"/>
      <c r="J846" s="155"/>
      <c r="K846" s="155"/>
      <c r="L846" s="155"/>
      <c r="M846" s="155"/>
      <c r="N846" s="155"/>
      <c r="O846" s="157"/>
      <c r="P846" s="92"/>
      <c r="Q846" s="145"/>
      <c r="R846" s="92"/>
      <c r="S846" s="145"/>
      <c r="T846" s="92"/>
      <c r="U846" s="145"/>
      <c r="V846" s="92"/>
      <c r="W846" s="145"/>
      <c r="X846" s="92"/>
      <c r="Y846" s="352"/>
      <c r="Z846" s="142" t="str">
        <f t="shared" si="44"/>
        <v/>
      </c>
      <c r="AA846" s="226" t="b">
        <f t="shared" si="45"/>
        <v>0</v>
      </c>
      <c r="AB846" s="9"/>
      <c r="AC846" s="162" t="s">
        <v>6</v>
      </c>
      <c r="AD846" s="150">
        <f t="shared" si="43"/>
        <v>0</v>
      </c>
      <c r="AE846" s="95" t="s">
        <v>64</v>
      </c>
    </row>
    <row r="847" spans="1:31" s="55" customFormat="1" ht="30" customHeight="1">
      <c r="A847" s="155"/>
      <c r="B847" s="155"/>
      <c r="C847" s="155"/>
      <c r="D847" s="155"/>
      <c r="E847" s="155"/>
      <c r="F847" s="155"/>
      <c r="G847" s="155"/>
      <c r="H847" s="155"/>
      <c r="I847" s="155"/>
      <c r="J847" s="155"/>
      <c r="K847" s="155"/>
      <c r="L847" s="155"/>
      <c r="M847" s="155"/>
      <c r="N847" s="155"/>
      <c r="O847" s="157"/>
      <c r="P847" s="92"/>
      <c r="Q847" s="145"/>
      <c r="R847" s="92"/>
      <c r="S847" s="145"/>
      <c r="T847" s="92"/>
      <c r="U847" s="145"/>
      <c r="V847" s="92"/>
      <c r="W847" s="145"/>
      <c r="X847" s="92"/>
      <c r="Y847" s="352"/>
      <c r="Z847" s="142" t="str">
        <f t="shared" si="44"/>
        <v/>
      </c>
      <c r="AA847" s="226" t="b">
        <f t="shared" si="45"/>
        <v>0</v>
      </c>
      <c r="AB847" s="9"/>
      <c r="AC847" s="198" t="s">
        <v>6</v>
      </c>
      <c r="AD847" s="150">
        <f t="shared" si="43"/>
        <v>0</v>
      </c>
      <c r="AE847" s="179" t="s">
        <v>64</v>
      </c>
    </row>
    <row r="848" spans="1:31" s="55" customFormat="1" ht="30" customHeight="1">
      <c r="A848" s="155"/>
      <c r="B848" s="155"/>
      <c r="C848" s="155"/>
      <c r="D848" s="155"/>
      <c r="E848" s="155"/>
      <c r="F848" s="155"/>
      <c r="G848" s="155"/>
      <c r="H848" s="155"/>
      <c r="I848" s="155"/>
      <c r="J848" s="155"/>
      <c r="K848" s="155"/>
      <c r="L848" s="155"/>
      <c r="M848" s="155"/>
      <c r="N848" s="155"/>
      <c r="O848" s="157"/>
      <c r="P848" s="92"/>
      <c r="Q848" s="145"/>
      <c r="R848" s="92"/>
      <c r="S848" s="145"/>
      <c r="T848" s="92"/>
      <c r="U848" s="145"/>
      <c r="V848" s="92"/>
      <c r="W848" s="145"/>
      <c r="X848" s="92"/>
      <c r="Y848" s="352"/>
      <c r="Z848" s="142" t="str">
        <f t="shared" si="44"/>
        <v/>
      </c>
      <c r="AA848" s="226" t="b">
        <f t="shared" si="45"/>
        <v>0</v>
      </c>
      <c r="AB848" s="9"/>
      <c r="AC848" s="162" t="s">
        <v>6</v>
      </c>
      <c r="AD848" s="153">
        <f t="shared" si="43"/>
        <v>0</v>
      </c>
      <c r="AE848" s="95" t="s">
        <v>64</v>
      </c>
    </row>
    <row r="849" spans="1:31" s="55" customFormat="1" ht="30" customHeight="1">
      <c r="A849" s="155"/>
      <c r="B849" s="155"/>
      <c r="C849" s="155"/>
      <c r="D849" s="155"/>
      <c r="E849" s="155"/>
      <c r="F849" s="155"/>
      <c r="G849" s="155"/>
      <c r="H849" s="155"/>
      <c r="I849" s="155"/>
      <c r="J849" s="155"/>
      <c r="K849" s="155"/>
      <c r="L849" s="155"/>
      <c r="M849" s="155"/>
      <c r="N849" s="155"/>
      <c r="O849" s="157"/>
      <c r="P849" s="92"/>
      <c r="Q849" s="145"/>
      <c r="R849" s="92"/>
      <c r="S849" s="145"/>
      <c r="T849" s="92"/>
      <c r="U849" s="145"/>
      <c r="V849" s="92"/>
      <c r="W849" s="145"/>
      <c r="X849" s="92"/>
      <c r="Y849" s="352"/>
      <c r="Z849" s="142" t="str">
        <f t="shared" si="44"/>
        <v/>
      </c>
      <c r="AA849" s="226" t="b">
        <f t="shared" si="45"/>
        <v>0</v>
      </c>
      <c r="AB849" s="9"/>
      <c r="AC849" s="162" t="s">
        <v>6</v>
      </c>
      <c r="AD849" s="153">
        <f t="shared" ref="AD849:AD912" si="46">E849</f>
        <v>0</v>
      </c>
      <c r="AE849" s="95" t="s">
        <v>64</v>
      </c>
    </row>
    <row r="850" spans="1:31" s="55" customFormat="1" ht="30" customHeight="1">
      <c r="A850" s="155"/>
      <c r="B850" s="155"/>
      <c r="C850" s="155"/>
      <c r="D850" s="155"/>
      <c r="E850" s="155"/>
      <c r="F850" s="155"/>
      <c r="G850" s="155"/>
      <c r="H850" s="155"/>
      <c r="I850" s="155"/>
      <c r="J850" s="155"/>
      <c r="K850" s="155"/>
      <c r="L850" s="155"/>
      <c r="M850" s="155"/>
      <c r="N850" s="155"/>
      <c r="O850" s="157"/>
      <c r="P850" s="92"/>
      <c r="Q850" s="145"/>
      <c r="R850" s="92"/>
      <c r="S850" s="145"/>
      <c r="T850" s="92"/>
      <c r="U850" s="145"/>
      <c r="V850" s="92"/>
      <c r="W850" s="145"/>
      <c r="X850" s="92"/>
      <c r="Y850" s="352"/>
      <c r="Z850" s="142" t="str">
        <f t="shared" si="44"/>
        <v/>
      </c>
      <c r="AA850" s="226" t="b">
        <f t="shared" si="45"/>
        <v>0</v>
      </c>
      <c r="AB850" s="9"/>
      <c r="AC850" s="162" t="s">
        <v>6</v>
      </c>
      <c r="AD850" s="153">
        <f t="shared" si="46"/>
        <v>0</v>
      </c>
      <c r="AE850" s="95" t="s">
        <v>64</v>
      </c>
    </row>
    <row r="851" spans="1:31" s="55" customFormat="1" ht="30" customHeight="1">
      <c r="A851" s="155"/>
      <c r="B851" s="155"/>
      <c r="C851" s="155"/>
      <c r="D851" s="155"/>
      <c r="E851" s="155"/>
      <c r="F851" s="155"/>
      <c r="G851" s="155"/>
      <c r="H851" s="155"/>
      <c r="I851" s="155"/>
      <c r="J851" s="155"/>
      <c r="K851" s="155"/>
      <c r="L851" s="155"/>
      <c r="M851" s="155"/>
      <c r="N851" s="155"/>
      <c r="O851" s="157"/>
      <c r="P851" s="92"/>
      <c r="Q851" s="145"/>
      <c r="R851" s="92"/>
      <c r="S851" s="145"/>
      <c r="T851" s="92"/>
      <c r="U851" s="145"/>
      <c r="V851" s="92"/>
      <c r="W851" s="145"/>
      <c r="X851" s="92"/>
      <c r="Y851" s="352"/>
      <c r="Z851" s="142" t="str">
        <f t="shared" si="44"/>
        <v/>
      </c>
      <c r="AA851" s="226" t="b">
        <f t="shared" si="45"/>
        <v>0</v>
      </c>
      <c r="AB851" s="9"/>
      <c r="AC851" s="162" t="s">
        <v>6</v>
      </c>
      <c r="AD851" s="153">
        <f t="shared" si="46"/>
        <v>0</v>
      </c>
      <c r="AE851" s="95" t="s">
        <v>64</v>
      </c>
    </row>
    <row r="852" spans="1:31" s="55" customFormat="1" ht="30" customHeight="1">
      <c r="A852" s="155"/>
      <c r="B852" s="155"/>
      <c r="C852" s="155"/>
      <c r="D852" s="155"/>
      <c r="E852" s="155"/>
      <c r="F852" s="155"/>
      <c r="G852" s="155"/>
      <c r="H852" s="155"/>
      <c r="I852" s="155"/>
      <c r="J852" s="155"/>
      <c r="K852" s="155"/>
      <c r="L852" s="155"/>
      <c r="M852" s="155"/>
      <c r="N852" s="155"/>
      <c r="O852" s="157"/>
      <c r="P852" s="92"/>
      <c r="Q852" s="145"/>
      <c r="R852" s="92"/>
      <c r="S852" s="145"/>
      <c r="T852" s="92"/>
      <c r="U852" s="145"/>
      <c r="V852" s="92"/>
      <c r="W852" s="145"/>
      <c r="X852" s="92"/>
      <c r="Y852" s="352"/>
      <c r="Z852" s="142" t="str">
        <f t="shared" si="44"/>
        <v/>
      </c>
      <c r="AA852" s="226" t="b">
        <f t="shared" si="45"/>
        <v>0</v>
      </c>
      <c r="AB852" s="9"/>
      <c r="AC852" s="162" t="s">
        <v>6</v>
      </c>
      <c r="AD852" s="153">
        <f t="shared" si="46"/>
        <v>0</v>
      </c>
      <c r="AE852" s="95" t="s">
        <v>64</v>
      </c>
    </row>
    <row r="853" spans="1:31" s="55" customFormat="1" ht="30" customHeight="1">
      <c r="A853" s="155"/>
      <c r="B853" s="155"/>
      <c r="C853" s="155"/>
      <c r="D853" s="155"/>
      <c r="E853" s="155"/>
      <c r="F853" s="155"/>
      <c r="G853" s="155"/>
      <c r="H853" s="155"/>
      <c r="I853" s="155"/>
      <c r="J853" s="155"/>
      <c r="K853" s="155"/>
      <c r="L853" s="155"/>
      <c r="M853" s="155"/>
      <c r="N853" s="155"/>
      <c r="O853" s="157"/>
      <c r="P853" s="92"/>
      <c r="Q853" s="145"/>
      <c r="R853" s="92"/>
      <c r="S853" s="145"/>
      <c r="T853" s="92"/>
      <c r="U853" s="145"/>
      <c r="V853" s="92"/>
      <c r="W853" s="145"/>
      <c r="X853" s="92"/>
      <c r="Y853" s="352"/>
      <c r="Z853" s="142" t="str">
        <f t="shared" si="44"/>
        <v/>
      </c>
      <c r="AA853" s="226" t="b">
        <f t="shared" si="45"/>
        <v>0</v>
      </c>
      <c r="AB853" s="9"/>
      <c r="AC853" s="162" t="s">
        <v>6</v>
      </c>
      <c r="AD853" s="153">
        <f t="shared" si="46"/>
        <v>0</v>
      </c>
      <c r="AE853" s="95" t="s">
        <v>64</v>
      </c>
    </row>
    <row r="854" spans="1:31" s="55" customFormat="1" ht="30" customHeight="1">
      <c r="A854" s="155"/>
      <c r="B854" s="155"/>
      <c r="C854" s="155"/>
      <c r="D854" s="155"/>
      <c r="E854" s="155"/>
      <c r="F854" s="155"/>
      <c r="G854" s="155"/>
      <c r="H854" s="155"/>
      <c r="I854" s="155"/>
      <c r="J854" s="155"/>
      <c r="K854" s="155"/>
      <c r="L854" s="155"/>
      <c r="M854" s="155"/>
      <c r="N854" s="155"/>
      <c r="O854" s="157"/>
      <c r="P854" s="92"/>
      <c r="Q854" s="145"/>
      <c r="R854" s="92"/>
      <c r="S854" s="145"/>
      <c r="T854" s="92"/>
      <c r="U854" s="145"/>
      <c r="V854" s="92"/>
      <c r="W854" s="145"/>
      <c r="X854" s="92"/>
      <c r="Y854" s="352"/>
      <c r="Z854" s="142" t="str">
        <f t="shared" si="44"/>
        <v/>
      </c>
      <c r="AA854" s="226" t="b">
        <f t="shared" si="45"/>
        <v>0</v>
      </c>
      <c r="AB854" s="9"/>
      <c r="AC854" s="162" t="s">
        <v>6</v>
      </c>
      <c r="AD854" s="153">
        <f t="shared" si="46"/>
        <v>0</v>
      </c>
      <c r="AE854" s="95" t="s">
        <v>64</v>
      </c>
    </row>
    <row r="855" spans="1:31" s="55" customFormat="1" ht="30" customHeight="1">
      <c r="A855" s="155"/>
      <c r="B855" s="155"/>
      <c r="C855" s="155"/>
      <c r="D855" s="155"/>
      <c r="E855" s="155"/>
      <c r="F855" s="155"/>
      <c r="G855" s="155"/>
      <c r="H855" s="155"/>
      <c r="I855" s="155"/>
      <c r="J855" s="155"/>
      <c r="K855" s="155"/>
      <c r="L855" s="155"/>
      <c r="M855" s="155"/>
      <c r="N855" s="155"/>
      <c r="O855" s="157"/>
      <c r="P855" s="92"/>
      <c r="Q855" s="145"/>
      <c r="R855" s="92"/>
      <c r="S855" s="145"/>
      <c r="T855" s="92"/>
      <c r="U855" s="145"/>
      <c r="V855" s="92"/>
      <c r="W855" s="145"/>
      <c r="X855" s="92"/>
      <c r="Y855" s="352"/>
      <c r="Z855" s="142" t="str">
        <f t="shared" si="44"/>
        <v/>
      </c>
      <c r="AA855" s="226" t="b">
        <f t="shared" si="45"/>
        <v>0</v>
      </c>
      <c r="AB855" s="9"/>
      <c r="AC855" s="162" t="s">
        <v>6</v>
      </c>
      <c r="AD855" s="153">
        <f t="shared" si="46"/>
        <v>0</v>
      </c>
      <c r="AE855" s="95" t="s">
        <v>64</v>
      </c>
    </row>
    <row r="856" spans="1:31" s="55" customFormat="1" ht="30" customHeight="1">
      <c r="A856" s="155"/>
      <c r="B856" s="155"/>
      <c r="C856" s="155"/>
      <c r="D856" s="155"/>
      <c r="E856" s="155"/>
      <c r="F856" s="155"/>
      <c r="G856" s="155"/>
      <c r="H856" s="155"/>
      <c r="I856" s="155"/>
      <c r="J856" s="155"/>
      <c r="K856" s="155"/>
      <c r="L856" s="155"/>
      <c r="M856" s="155"/>
      <c r="N856" s="155"/>
      <c r="O856" s="157"/>
      <c r="P856" s="92"/>
      <c r="Q856" s="145"/>
      <c r="R856" s="92"/>
      <c r="S856" s="145"/>
      <c r="T856" s="92"/>
      <c r="U856" s="145"/>
      <c r="V856" s="92"/>
      <c r="W856" s="145"/>
      <c r="X856" s="92"/>
      <c r="Y856" s="352"/>
      <c r="Z856" s="142" t="str">
        <f t="shared" si="44"/>
        <v/>
      </c>
      <c r="AA856" s="226" t="b">
        <f t="shared" si="45"/>
        <v>0</v>
      </c>
      <c r="AB856" s="9"/>
      <c r="AC856" s="162" t="s">
        <v>6</v>
      </c>
      <c r="AD856" s="153">
        <f t="shared" si="46"/>
        <v>0</v>
      </c>
      <c r="AE856" s="95" t="s">
        <v>64</v>
      </c>
    </row>
    <row r="857" spans="1:31" s="55" customFormat="1" ht="30" customHeight="1">
      <c r="A857" s="155"/>
      <c r="B857" s="155"/>
      <c r="C857" s="155"/>
      <c r="D857" s="155"/>
      <c r="E857" s="155"/>
      <c r="F857" s="155"/>
      <c r="G857" s="155"/>
      <c r="H857" s="155"/>
      <c r="I857" s="155"/>
      <c r="J857" s="155"/>
      <c r="K857" s="155"/>
      <c r="L857" s="155"/>
      <c r="M857" s="155"/>
      <c r="N857" s="155"/>
      <c r="O857" s="157"/>
      <c r="P857" s="92"/>
      <c r="Q857" s="145"/>
      <c r="R857" s="92"/>
      <c r="S857" s="145"/>
      <c r="T857" s="92"/>
      <c r="U857" s="145"/>
      <c r="V857" s="92"/>
      <c r="W857" s="145"/>
      <c r="X857" s="92"/>
      <c r="Y857" s="352"/>
      <c r="Z857" s="142" t="str">
        <f t="shared" si="44"/>
        <v/>
      </c>
      <c r="AA857" s="226" t="b">
        <f t="shared" si="45"/>
        <v>0</v>
      </c>
      <c r="AB857" s="9"/>
      <c r="AC857" s="162" t="s">
        <v>6</v>
      </c>
      <c r="AD857" s="153">
        <f t="shared" si="46"/>
        <v>0</v>
      </c>
      <c r="AE857" s="95" t="s">
        <v>64</v>
      </c>
    </row>
    <row r="858" spans="1:31" s="55" customFormat="1" ht="30" customHeight="1">
      <c r="A858" s="155"/>
      <c r="B858" s="155"/>
      <c r="C858" s="155"/>
      <c r="D858" s="155"/>
      <c r="E858" s="155"/>
      <c r="F858" s="155"/>
      <c r="G858" s="155"/>
      <c r="H858" s="155"/>
      <c r="I858" s="155"/>
      <c r="J858" s="155"/>
      <c r="K858" s="155"/>
      <c r="L858" s="155"/>
      <c r="M858" s="155"/>
      <c r="N858" s="155"/>
      <c r="O858" s="157"/>
      <c r="P858" s="92"/>
      <c r="Q858" s="145"/>
      <c r="R858" s="92"/>
      <c r="S858" s="145"/>
      <c r="T858" s="92"/>
      <c r="U858" s="145"/>
      <c r="V858" s="92"/>
      <c r="W858" s="145"/>
      <c r="X858" s="92"/>
      <c r="Y858" s="352"/>
      <c r="Z858" s="142" t="str">
        <f t="shared" si="44"/>
        <v/>
      </c>
      <c r="AA858" s="226" t="b">
        <f t="shared" si="45"/>
        <v>0</v>
      </c>
      <c r="AB858" s="9"/>
      <c r="AC858" s="162" t="s">
        <v>6</v>
      </c>
      <c r="AD858" s="153">
        <f t="shared" si="46"/>
        <v>0</v>
      </c>
      <c r="AE858" s="95" t="s">
        <v>64</v>
      </c>
    </row>
    <row r="859" spans="1:31" s="55" customFormat="1" ht="30" customHeight="1">
      <c r="A859" s="155"/>
      <c r="B859" s="155"/>
      <c r="C859" s="155"/>
      <c r="D859" s="155"/>
      <c r="E859" s="155"/>
      <c r="F859" s="155"/>
      <c r="G859" s="155"/>
      <c r="H859" s="155"/>
      <c r="I859" s="155"/>
      <c r="J859" s="155"/>
      <c r="K859" s="155"/>
      <c r="L859" s="155"/>
      <c r="M859" s="155"/>
      <c r="N859" s="155"/>
      <c r="O859" s="157"/>
      <c r="P859" s="92"/>
      <c r="Q859" s="145"/>
      <c r="R859" s="92"/>
      <c r="S859" s="145"/>
      <c r="T859" s="92"/>
      <c r="U859" s="145"/>
      <c r="V859" s="92"/>
      <c r="W859" s="145"/>
      <c r="X859" s="92"/>
      <c r="Y859" s="352"/>
      <c r="Z859" s="142" t="str">
        <f t="shared" si="44"/>
        <v/>
      </c>
      <c r="AA859" s="226" t="b">
        <f t="shared" si="45"/>
        <v>0</v>
      </c>
      <c r="AB859" s="9"/>
      <c r="AC859" s="162" t="s">
        <v>6</v>
      </c>
      <c r="AD859" s="153">
        <f t="shared" si="46"/>
        <v>0</v>
      </c>
      <c r="AE859" s="95" t="s">
        <v>64</v>
      </c>
    </row>
    <row r="860" spans="1:31" s="55" customFormat="1" ht="30" customHeight="1">
      <c r="A860" s="155"/>
      <c r="B860" s="155"/>
      <c r="C860" s="155"/>
      <c r="D860" s="155"/>
      <c r="E860" s="155"/>
      <c r="F860" s="155"/>
      <c r="G860" s="155"/>
      <c r="H860" s="155"/>
      <c r="I860" s="155"/>
      <c r="J860" s="155"/>
      <c r="K860" s="155"/>
      <c r="L860" s="155"/>
      <c r="M860" s="155"/>
      <c r="N860" s="155"/>
      <c r="O860" s="157"/>
      <c r="P860" s="92"/>
      <c r="Q860" s="145"/>
      <c r="R860" s="92"/>
      <c r="S860" s="145"/>
      <c r="T860" s="92"/>
      <c r="U860" s="145"/>
      <c r="V860" s="92"/>
      <c r="W860" s="145"/>
      <c r="X860" s="92"/>
      <c r="Y860" s="352"/>
      <c r="Z860" s="142" t="str">
        <f t="shared" si="44"/>
        <v/>
      </c>
      <c r="AA860" s="226" t="b">
        <f t="shared" si="45"/>
        <v>0</v>
      </c>
      <c r="AB860" s="9"/>
      <c r="AC860" s="162" t="s">
        <v>6</v>
      </c>
      <c r="AD860" s="153">
        <f t="shared" si="46"/>
        <v>0</v>
      </c>
      <c r="AE860" s="95" t="s">
        <v>64</v>
      </c>
    </row>
    <row r="861" spans="1:31" s="55" customFormat="1" ht="30" customHeight="1">
      <c r="A861" s="155"/>
      <c r="B861" s="155"/>
      <c r="C861" s="155"/>
      <c r="D861" s="155"/>
      <c r="E861" s="155"/>
      <c r="F861" s="155"/>
      <c r="G861" s="155"/>
      <c r="H861" s="155"/>
      <c r="I861" s="155"/>
      <c r="J861" s="155"/>
      <c r="K861" s="155"/>
      <c r="L861" s="155"/>
      <c r="M861" s="155"/>
      <c r="N861" s="155"/>
      <c r="O861" s="157"/>
      <c r="P861" s="92"/>
      <c r="Q861" s="145"/>
      <c r="R861" s="92"/>
      <c r="S861" s="145"/>
      <c r="T861" s="92"/>
      <c r="U861" s="145"/>
      <c r="V861" s="92"/>
      <c r="W861" s="145"/>
      <c r="X861" s="92"/>
      <c r="Y861" s="352"/>
      <c r="Z861" s="142" t="str">
        <f t="shared" si="44"/>
        <v/>
      </c>
      <c r="AA861" s="226" t="b">
        <f t="shared" si="45"/>
        <v>0</v>
      </c>
      <c r="AB861" s="9"/>
      <c r="AC861" s="162" t="s">
        <v>6</v>
      </c>
      <c r="AD861" s="153">
        <f t="shared" si="46"/>
        <v>0</v>
      </c>
      <c r="AE861" s="95" t="s">
        <v>64</v>
      </c>
    </row>
    <row r="862" spans="1:31" s="55" customFormat="1" ht="30" customHeight="1">
      <c r="A862" s="155"/>
      <c r="B862" s="155"/>
      <c r="C862" s="155"/>
      <c r="D862" s="155"/>
      <c r="E862" s="155"/>
      <c r="F862" s="155"/>
      <c r="G862" s="155"/>
      <c r="H862" s="155"/>
      <c r="I862" s="155"/>
      <c r="J862" s="155"/>
      <c r="K862" s="155"/>
      <c r="L862" s="155"/>
      <c r="M862" s="155"/>
      <c r="N862" s="155"/>
      <c r="O862" s="157"/>
      <c r="P862" s="92"/>
      <c r="Q862" s="145"/>
      <c r="R862" s="92"/>
      <c r="S862" s="145"/>
      <c r="T862" s="92"/>
      <c r="U862" s="145"/>
      <c r="V862" s="92"/>
      <c r="W862" s="145"/>
      <c r="X862" s="92"/>
      <c r="Y862" s="352"/>
      <c r="Z862" s="142" t="str">
        <f t="shared" si="44"/>
        <v/>
      </c>
      <c r="AA862" s="226" t="b">
        <f t="shared" si="45"/>
        <v>0</v>
      </c>
      <c r="AB862" s="9"/>
      <c r="AC862" s="162" t="s">
        <v>6</v>
      </c>
      <c r="AD862" s="153">
        <f t="shared" si="46"/>
        <v>0</v>
      </c>
      <c r="AE862" s="95" t="s">
        <v>64</v>
      </c>
    </row>
    <row r="863" spans="1:31" s="55" customFormat="1" ht="30" customHeight="1">
      <c r="A863" s="155"/>
      <c r="B863" s="155"/>
      <c r="C863" s="155"/>
      <c r="D863" s="155"/>
      <c r="E863" s="155"/>
      <c r="F863" s="155"/>
      <c r="G863" s="155"/>
      <c r="H863" s="155"/>
      <c r="I863" s="155"/>
      <c r="J863" s="155"/>
      <c r="K863" s="155"/>
      <c r="L863" s="155"/>
      <c r="M863" s="155"/>
      <c r="N863" s="155"/>
      <c r="O863" s="157"/>
      <c r="P863" s="92"/>
      <c r="Q863" s="145"/>
      <c r="R863" s="92"/>
      <c r="S863" s="145"/>
      <c r="T863" s="92"/>
      <c r="U863" s="145"/>
      <c r="V863" s="92"/>
      <c r="W863" s="145"/>
      <c r="X863" s="92"/>
      <c r="Y863" s="352"/>
      <c r="Z863" s="142" t="str">
        <f t="shared" si="44"/>
        <v/>
      </c>
      <c r="AA863" s="226" t="b">
        <f t="shared" si="45"/>
        <v>0</v>
      </c>
      <c r="AB863" s="9"/>
      <c r="AC863" s="162" t="s">
        <v>6</v>
      </c>
      <c r="AD863" s="153">
        <f t="shared" si="46"/>
        <v>0</v>
      </c>
      <c r="AE863" s="95" t="s">
        <v>64</v>
      </c>
    </row>
    <row r="864" spans="1:31" s="55" customFormat="1" ht="30" customHeight="1">
      <c r="A864" s="155"/>
      <c r="B864" s="155"/>
      <c r="C864" s="155"/>
      <c r="D864" s="155"/>
      <c r="E864" s="155"/>
      <c r="F864" s="155"/>
      <c r="G864" s="155"/>
      <c r="H864" s="155"/>
      <c r="I864" s="155"/>
      <c r="J864" s="155"/>
      <c r="K864" s="155"/>
      <c r="L864" s="155"/>
      <c r="M864" s="155"/>
      <c r="N864" s="155"/>
      <c r="O864" s="157"/>
      <c r="P864" s="92"/>
      <c r="Q864" s="145"/>
      <c r="R864" s="92"/>
      <c r="S864" s="145"/>
      <c r="T864" s="92"/>
      <c r="U864" s="145"/>
      <c r="V864" s="92"/>
      <c r="W864" s="145"/>
      <c r="X864" s="92"/>
      <c r="Y864" s="352"/>
      <c r="Z864" s="142" t="str">
        <f t="shared" si="44"/>
        <v/>
      </c>
      <c r="AA864" s="226" t="b">
        <f t="shared" si="45"/>
        <v>0</v>
      </c>
      <c r="AB864" s="9"/>
      <c r="AC864" s="162" t="s">
        <v>6</v>
      </c>
      <c r="AD864" s="153">
        <f t="shared" si="46"/>
        <v>0</v>
      </c>
      <c r="AE864" s="95" t="s">
        <v>64</v>
      </c>
    </row>
    <row r="865" spans="1:31" s="55" customFormat="1" ht="30" customHeight="1">
      <c r="A865" s="155"/>
      <c r="B865" s="155"/>
      <c r="C865" s="155"/>
      <c r="D865" s="155"/>
      <c r="E865" s="155"/>
      <c r="F865" s="155"/>
      <c r="G865" s="155"/>
      <c r="H865" s="155"/>
      <c r="I865" s="155"/>
      <c r="J865" s="155"/>
      <c r="K865" s="155"/>
      <c r="L865" s="155"/>
      <c r="M865" s="155"/>
      <c r="N865" s="155"/>
      <c r="O865" s="157"/>
      <c r="P865" s="92"/>
      <c r="Q865" s="145"/>
      <c r="R865" s="92"/>
      <c r="S865" s="145"/>
      <c r="T865" s="92"/>
      <c r="U865" s="145"/>
      <c r="V865" s="92"/>
      <c r="W865" s="145"/>
      <c r="X865" s="92"/>
      <c r="Y865" s="352"/>
      <c r="Z865" s="142" t="str">
        <f t="shared" si="44"/>
        <v/>
      </c>
      <c r="AA865" s="226" t="b">
        <f t="shared" si="45"/>
        <v>0</v>
      </c>
      <c r="AB865" s="9"/>
      <c r="AC865" s="162" t="s">
        <v>6</v>
      </c>
      <c r="AD865" s="153">
        <f t="shared" si="46"/>
        <v>0</v>
      </c>
      <c r="AE865" s="95" t="s">
        <v>64</v>
      </c>
    </row>
    <row r="866" spans="1:31" s="55" customFormat="1" ht="30" customHeight="1">
      <c r="A866" s="155"/>
      <c r="B866" s="155"/>
      <c r="C866" s="155"/>
      <c r="D866" s="155"/>
      <c r="E866" s="155"/>
      <c r="F866" s="155"/>
      <c r="G866" s="155"/>
      <c r="H866" s="155"/>
      <c r="I866" s="155"/>
      <c r="J866" s="155"/>
      <c r="K866" s="155"/>
      <c r="L866" s="155"/>
      <c r="M866" s="155"/>
      <c r="N866" s="155"/>
      <c r="O866" s="157"/>
      <c r="P866" s="92"/>
      <c r="Q866" s="145"/>
      <c r="R866" s="92"/>
      <c r="S866" s="145"/>
      <c r="T866" s="92"/>
      <c r="U866" s="145"/>
      <c r="V866" s="92"/>
      <c r="W866" s="145"/>
      <c r="X866" s="92"/>
      <c r="Y866" s="352"/>
      <c r="Z866" s="142" t="str">
        <f t="shared" si="44"/>
        <v/>
      </c>
      <c r="AA866" s="226" t="b">
        <f t="shared" si="45"/>
        <v>0</v>
      </c>
      <c r="AB866" s="9"/>
      <c r="AC866" s="162" t="s">
        <v>6</v>
      </c>
      <c r="AD866" s="153">
        <f t="shared" si="46"/>
        <v>0</v>
      </c>
      <c r="AE866" s="95" t="s">
        <v>64</v>
      </c>
    </row>
    <row r="867" spans="1:31" s="55" customFormat="1" ht="30" customHeight="1">
      <c r="A867" s="155"/>
      <c r="B867" s="155"/>
      <c r="C867" s="155"/>
      <c r="D867" s="155"/>
      <c r="E867" s="155"/>
      <c r="F867" s="155"/>
      <c r="G867" s="155"/>
      <c r="H867" s="155"/>
      <c r="I867" s="155"/>
      <c r="J867" s="155"/>
      <c r="K867" s="155"/>
      <c r="L867" s="155"/>
      <c r="M867" s="155"/>
      <c r="N867" s="155"/>
      <c r="O867" s="157"/>
      <c r="P867" s="92"/>
      <c r="Q867" s="145"/>
      <c r="R867" s="92"/>
      <c r="S867" s="145"/>
      <c r="T867" s="92"/>
      <c r="U867" s="145"/>
      <c r="V867" s="92"/>
      <c r="W867" s="145"/>
      <c r="X867" s="92"/>
      <c r="Y867" s="352"/>
      <c r="Z867" s="142" t="str">
        <f t="shared" si="44"/>
        <v/>
      </c>
      <c r="AA867" s="226" t="b">
        <f t="shared" si="45"/>
        <v>0</v>
      </c>
      <c r="AB867" s="9"/>
      <c r="AC867" s="162" t="s">
        <v>6</v>
      </c>
      <c r="AD867" s="153">
        <f t="shared" si="46"/>
        <v>0</v>
      </c>
      <c r="AE867" s="95" t="s">
        <v>64</v>
      </c>
    </row>
    <row r="868" spans="1:31" s="55" customFormat="1" ht="30" customHeight="1">
      <c r="A868" s="155"/>
      <c r="B868" s="155"/>
      <c r="C868" s="155"/>
      <c r="D868" s="155"/>
      <c r="E868" s="155"/>
      <c r="F868" s="155"/>
      <c r="G868" s="155"/>
      <c r="H868" s="155"/>
      <c r="I868" s="155"/>
      <c r="J868" s="155"/>
      <c r="K868" s="155"/>
      <c r="L868" s="155"/>
      <c r="M868" s="155"/>
      <c r="N868" s="155"/>
      <c r="O868" s="157"/>
      <c r="P868" s="92"/>
      <c r="Q868" s="145"/>
      <c r="R868" s="92"/>
      <c r="S868" s="145"/>
      <c r="T868" s="92"/>
      <c r="U868" s="145"/>
      <c r="V868" s="92"/>
      <c r="W868" s="145"/>
      <c r="X868" s="92"/>
      <c r="Y868" s="352"/>
      <c r="Z868" s="142" t="str">
        <f t="shared" si="44"/>
        <v/>
      </c>
      <c r="AA868" s="226" t="b">
        <f t="shared" si="45"/>
        <v>0</v>
      </c>
      <c r="AB868" s="9"/>
      <c r="AC868" s="162" t="s">
        <v>6</v>
      </c>
      <c r="AD868" s="153">
        <f t="shared" si="46"/>
        <v>0</v>
      </c>
      <c r="AE868" s="95" t="s">
        <v>64</v>
      </c>
    </row>
    <row r="869" spans="1:31" s="55" customFormat="1" ht="30" customHeight="1">
      <c r="A869" s="155"/>
      <c r="B869" s="155"/>
      <c r="C869" s="155"/>
      <c r="D869" s="155"/>
      <c r="E869" s="155"/>
      <c r="F869" s="155"/>
      <c r="G869" s="155"/>
      <c r="H869" s="155"/>
      <c r="I869" s="155"/>
      <c r="J869" s="155"/>
      <c r="K869" s="155"/>
      <c r="L869" s="155"/>
      <c r="M869" s="155"/>
      <c r="N869" s="155"/>
      <c r="O869" s="157"/>
      <c r="P869" s="92"/>
      <c r="Q869" s="145"/>
      <c r="R869" s="92"/>
      <c r="S869" s="145"/>
      <c r="T869" s="92"/>
      <c r="U869" s="145"/>
      <c r="V869" s="92"/>
      <c r="W869" s="145"/>
      <c r="X869" s="92"/>
      <c r="Y869" s="352"/>
      <c r="Z869" s="142" t="str">
        <f t="shared" si="44"/>
        <v/>
      </c>
      <c r="AA869" s="226" t="b">
        <f t="shared" si="45"/>
        <v>0</v>
      </c>
      <c r="AB869" s="9"/>
      <c r="AC869" s="162" t="s">
        <v>6</v>
      </c>
      <c r="AD869" s="153">
        <f t="shared" si="46"/>
        <v>0</v>
      </c>
      <c r="AE869" s="95" t="s">
        <v>64</v>
      </c>
    </row>
    <row r="870" spans="1:31" s="55" customFormat="1" ht="30" customHeight="1">
      <c r="A870" s="155"/>
      <c r="B870" s="155"/>
      <c r="C870" s="155"/>
      <c r="D870" s="155"/>
      <c r="E870" s="155"/>
      <c r="F870" s="155"/>
      <c r="G870" s="155"/>
      <c r="H870" s="155"/>
      <c r="I870" s="155"/>
      <c r="J870" s="155"/>
      <c r="K870" s="155"/>
      <c r="L870" s="155"/>
      <c r="M870" s="155"/>
      <c r="N870" s="155"/>
      <c r="O870" s="157"/>
      <c r="P870" s="92"/>
      <c r="Q870" s="145"/>
      <c r="R870" s="92"/>
      <c r="S870" s="145"/>
      <c r="T870" s="92"/>
      <c r="U870" s="145"/>
      <c r="V870" s="92"/>
      <c r="W870" s="145"/>
      <c r="X870" s="92"/>
      <c r="Y870" s="352"/>
      <c r="Z870" s="142" t="str">
        <f t="shared" si="44"/>
        <v/>
      </c>
      <c r="AA870" s="226" t="b">
        <f t="shared" si="45"/>
        <v>0</v>
      </c>
      <c r="AB870" s="9"/>
      <c r="AC870" s="162" t="s">
        <v>6</v>
      </c>
      <c r="AD870" s="153">
        <f t="shared" si="46"/>
        <v>0</v>
      </c>
      <c r="AE870" s="95" t="s">
        <v>64</v>
      </c>
    </row>
    <row r="871" spans="1:31" s="55" customFormat="1" ht="30" customHeight="1">
      <c r="A871" s="155"/>
      <c r="B871" s="155"/>
      <c r="C871" s="155"/>
      <c r="D871" s="155"/>
      <c r="E871" s="155"/>
      <c r="F871" s="155"/>
      <c r="G871" s="155"/>
      <c r="H871" s="155"/>
      <c r="I871" s="155"/>
      <c r="J871" s="155"/>
      <c r="K871" s="155"/>
      <c r="L871" s="155"/>
      <c r="M871" s="155"/>
      <c r="N871" s="155"/>
      <c r="O871" s="157"/>
      <c r="P871" s="92"/>
      <c r="Q871" s="145"/>
      <c r="R871" s="92"/>
      <c r="S871" s="145"/>
      <c r="T871" s="92"/>
      <c r="U871" s="145"/>
      <c r="V871" s="92"/>
      <c r="W871" s="145"/>
      <c r="X871" s="92"/>
      <c r="Y871" s="352"/>
      <c r="Z871" s="142" t="str">
        <f t="shared" si="44"/>
        <v/>
      </c>
      <c r="AA871" s="226" t="b">
        <f t="shared" si="45"/>
        <v>0</v>
      </c>
      <c r="AB871" s="9"/>
      <c r="AC871" s="162" t="s">
        <v>6</v>
      </c>
      <c r="AD871" s="153">
        <f t="shared" si="46"/>
        <v>0</v>
      </c>
      <c r="AE871" s="95" t="s">
        <v>64</v>
      </c>
    </row>
    <row r="872" spans="1:31" s="55" customFormat="1" ht="30" customHeight="1">
      <c r="A872" s="155"/>
      <c r="B872" s="155"/>
      <c r="C872" s="155"/>
      <c r="D872" s="155"/>
      <c r="E872" s="155"/>
      <c r="F872" s="155"/>
      <c r="G872" s="155"/>
      <c r="H872" s="155"/>
      <c r="I872" s="155"/>
      <c r="J872" s="155"/>
      <c r="K872" s="155"/>
      <c r="L872" s="155"/>
      <c r="M872" s="155"/>
      <c r="N872" s="155"/>
      <c r="O872" s="157"/>
      <c r="P872" s="92"/>
      <c r="Q872" s="145"/>
      <c r="R872" s="92"/>
      <c r="S872" s="145"/>
      <c r="T872" s="92"/>
      <c r="U872" s="145"/>
      <c r="V872" s="92"/>
      <c r="W872" s="145"/>
      <c r="X872" s="92"/>
      <c r="Y872" s="352"/>
      <c r="Z872" s="142" t="str">
        <f t="shared" si="44"/>
        <v/>
      </c>
      <c r="AA872" s="226" t="b">
        <f t="shared" si="45"/>
        <v>0</v>
      </c>
      <c r="AB872" s="9"/>
      <c r="AC872" s="162" t="s">
        <v>6</v>
      </c>
      <c r="AD872" s="153">
        <f t="shared" si="46"/>
        <v>0</v>
      </c>
      <c r="AE872" s="95" t="s">
        <v>64</v>
      </c>
    </row>
    <row r="873" spans="1:31" s="55" customFormat="1" ht="30" customHeight="1">
      <c r="A873" s="155"/>
      <c r="B873" s="155"/>
      <c r="C873" s="155"/>
      <c r="D873" s="155"/>
      <c r="E873" s="155"/>
      <c r="F873" s="155"/>
      <c r="G873" s="155"/>
      <c r="H873" s="155"/>
      <c r="I873" s="155"/>
      <c r="J873" s="155"/>
      <c r="K873" s="155"/>
      <c r="L873" s="155"/>
      <c r="M873" s="155"/>
      <c r="N873" s="155"/>
      <c r="O873" s="157"/>
      <c r="P873" s="92"/>
      <c r="Q873" s="145"/>
      <c r="R873" s="92"/>
      <c r="S873" s="145"/>
      <c r="T873" s="92"/>
      <c r="U873" s="145"/>
      <c r="V873" s="92"/>
      <c r="W873" s="145"/>
      <c r="X873" s="92"/>
      <c r="Y873" s="352"/>
      <c r="Z873" s="142" t="str">
        <f t="shared" si="44"/>
        <v/>
      </c>
      <c r="AA873" s="226" t="b">
        <f t="shared" si="45"/>
        <v>0</v>
      </c>
      <c r="AB873" s="9"/>
      <c r="AC873" s="162" t="s">
        <v>6</v>
      </c>
      <c r="AD873" s="153">
        <f t="shared" si="46"/>
        <v>0</v>
      </c>
      <c r="AE873" s="95" t="s">
        <v>64</v>
      </c>
    </row>
    <row r="874" spans="1:31" s="55" customFormat="1" ht="30" customHeight="1">
      <c r="A874" s="155"/>
      <c r="B874" s="155"/>
      <c r="C874" s="155"/>
      <c r="D874" s="155"/>
      <c r="E874" s="155"/>
      <c r="F874" s="155"/>
      <c r="G874" s="155"/>
      <c r="H874" s="155"/>
      <c r="I874" s="155"/>
      <c r="J874" s="155"/>
      <c r="K874" s="155"/>
      <c r="L874" s="155"/>
      <c r="M874" s="155"/>
      <c r="N874" s="155"/>
      <c r="O874" s="157"/>
      <c r="P874" s="92"/>
      <c r="Q874" s="145"/>
      <c r="R874" s="92"/>
      <c r="S874" s="145"/>
      <c r="T874" s="92"/>
      <c r="U874" s="145"/>
      <c r="V874" s="92"/>
      <c r="W874" s="145"/>
      <c r="X874" s="92"/>
      <c r="Y874" s="352"/>
      <c r="Z874" s="142" t="str">
        <f t="shared" si="44"/>
        <v/>
      </c>
      <c r="AA874" s="226" t="b">
        <f t="shared" si="45"/>
        <v>0</v>
      </c>
      <c r="AB874" s="9"/>
      <c r="AC874" s="162" t="s">
        <v>6</v>
      </c>
      <c r="AD874" s="153">
        <f t="shared" si="46"/>
        <v>0</v>
      </c>
      <c r="AE874" s="95" t="s">
        <v>64</v>
      </c>
    </row>
    <row r="875" spans="1:31" s="55" customFormat="1" ht="30" customHeight="1">
      <c r="A875" s="155"/>
      <c r="B875" s="155"/>
      <c r="C875" s="155"/>
      <c r="D875" s="155"/>
      <c r="E875" s="155"/>
      <c r="F875" s="155"/>
      <c r="G875" s="155"/>
      <c r="H875" s="155"/>
      <c r="I875" s="155"/>
      <c r="J875" s="155"/>
      <c r="K875" s="155"/>
      <c r="L875" s="155"/>
      <c r="M875" s="155"/>
      <c r="N875" s="155"/>
      <c r="O875" s="157"/>
      <c r="P875" s="92"/>
      <c r="Q875" s="145"/>
      <c r="R875" s="92"/>
      <c r="S875" s="145"/>
      <c r="T875" s="92"/>
      <c r="U875" s="145"/>
      <c r="V875" s="92"/>
      <c r="W875" s="145"/>
      <c r="X875" s="92"/>
      <c r="Y875" s="352"/>
      <c r="Z875" s="142" t="str">
        <f t="shared" si="44"/>
        <v/>
      </c>
      <c r="AA875" s="226" t="b">
        <f t="shared" si="45"/>
        <v>0</v>
      </c>
      <c r="AB875" s="9"/>
      <c r="AC875" s="162" t="s">
        <v>6</v>
      </c>
      <c r="AD875" s="153">
        <f t="shared" si="46"/>
        <v>0</v>
      </c>
      <c r="AE875" s="95" t="s">
        <v>64</v>
      </c>
    </row>
    <row r="876" spans="1:31" s="55" customFormat="1" ht="30" customHeight="1">
      <c r="A876" s="155"/>
      <c r="B876" s="155"/>
      <c r="C876" s="155"/>
      <c r="D876" s="155"/>
      <c r="E876" s="155"/>
      <c r="F876" s="155"/>
      <c r="G876" s="155"/>
      <c r="H876" s="155"/>
      <c r="I876" s="155"/>
      <c r="J876" s="155"/>
      <c r="K876" s="155"/>
      <c r="L876" s="155"/>
      <c r="M876" s="155"/>
      <c r="N876" s="155"/>
      <c r="O876" s="157"/>
      <c r="P876" s="92"/>
      <c r="Q876" s="145"/>
      <c r="R876" s="92"/>
      <c r="S876" s="145"/>
      <c r="T876" s="92"/>
      <c r="U876" s="145"/>
      <c r="V876" s="92"/>
      <c r="W876" s="145"/>
      <c r="X876" s="92"/>
      <c r="Y876" s="352"/>
      <c r="Z876" s="142" t="str">
        <f t="shared" si="44"/>
        <v/>
      </c>
      <c r="AA876" s="226" t="b">
        <f t="shared" si="45"/>
        <v>0</v>
      </c>
      <c r="AB876" s="9"/>
      <c r="AC876" s="162" t="s">
        <v>6</v>
      </c>
      <c r="AD876" s="153">
        <f t="shared" si="46"/>
        <v>0</v>
      </c>
      <c r="AE876" s="95" t="s">
        <v>64</v>
      </c>
    </row>
    <row r="877" spans="1:31" s="55" customFormat="1" ht="30" customHeight="1">
      <c r="A877" s="155"/>
      <c r="B877" s="155"/>
      <c r="C877" s="155"/>
      <c r="D877" s="155"/>
      <c r="E877" s="155"/>
      <c r="F877" s="155"/>
      <c r="G877" s="155"/>
      <c r="H877" s="155"/>
      <c r="I877" s="155"/>
      <c r="J877" s="155"/>
      <c r="K877" s="155"/>
      <c r="L877" s="155"/>
      <c r="M877" s="155"/>
      <c r="N877" s="155"/>
      <c r="O877" s="157"/>
      <c r="P877" s="92"/>
      <c r="Q877" s="145"/>
      <c r="R877" s="92"/>
      <c r="S877" s="145"/>
      <c r="T877" s="92"/>
      <c r="U877" s="145"/>
      <c r="V877" s="92"/>
      <c r="W877" s="145"/>
      <c r="X877" s="92"/>
      <c r="Y877" s="352"/>
      <c r="Z877" s="142" t="str">
        <f t="shared" si="44"/>
        <v/>
      </c>
      <c r="AA877" s="226" t="b">
        <f t="shared" si="45"/>
        <v>0</v>
      </c>
      <c r="AB877" s="9"/>
      <c r="AC877" s="162" t="s">
        <v>6</v>
      </c>
      <c r="AD877" s="153">
        <f t="shared" si="46"/>
        <v>0</v>
      </c>
      <c r="AE877" s="95" t="s">
        <v>64</v>
      </c>
    </row>
    <row r="878" spans="1:31" s="55" customFormat="1" ht="30" customHeight="1">
      <c r="A878" s="155"/>
      <c r="B878" s="155"/>
      <c r="C878" s="155"/>
      <c r="D878" s="155"/>
      <c r="E878" s="155"/>
      <c r="F878" s="155"/>
      <c r="G878" s="155"/>
      <c r="H878" s="155"/>
      <c r="I878" s="155"/>
      <c r="J878" s="155"/>
      <c r="K878" s="155"/>
      <c r="L878" s="155"/>
      <c r="M878" s="155"/>
      <c r="N878" s="155"/>
      <c r="O878" s="157"/>
      <c r="P878" s="92"/>
      <c r="Q878" s="145"/>
      <c r="R878" s="92"/>
      <c r="S878" s="145"/>
      <c r="T878" s="92"/>
      <c r="U878" s="145"/>
      <c r="V878" s="92"/>
      <c r="W878" s="145"/>
      <c r="X878" s="92"/>
      <c r="Y878" s="352"/>
      <c r="Z878" s="142" t="str">
        <f t="shared" si="44"/>
        <v/>
      </c>
      <c r="AA878" s="226" t="b">
        <f t="shared" si="45"/>
        <v>0</v>
      </c>
      <c r="AB878" s="9"/>
      <c r="AC878" s="162" t="s">
        <v>6</v>
      </c>
      <c r="AD878" s="153">
        <f t="shared" si="46"/>
        <v>0</v>
      </c>
      <c r="AE878" s="95" t="s">
        <v>64</v>
      </c>
    </row>
    <row r="879" spans="1:31" s="55" customFormat="1" ht="30" customHeight="1">
      <c r="A879" s="155"/>
      <c r="B879" s="155"/>
      <c r="C879" s="155"/>
      <c r="D879" s="155"/>
      <c r="E879" s="155"/>
      <c r="F879" s="155"/>
      <c r="G879" s="155"/>
      <c r="H879" s="155"/>
      <c r="I879" s="155"/>
      <c r="J879" s="155"/>
      <c r="K879" s="155"/>
      <c r="L879" s="155"/>
      <c r="M879" s="155"/>
      <c r="N879" s="155"/>
      <c r="O879" s="157"/>
      <c r="P879" s="92"/>
      <c r="Q879" s="145"/>
      <c r="R879" s="92"/>
      <c r="S879" s="145"/>
      <c r="T879" s="92"/>
      <c r="U879" s="145"/>
      <c r="V879" s="92"/>
      <c r="W879" s="145"/>
      <c r="X879" s="92"/>
      <c r="Y879" s="352"/>
      <c r="Z879" s="142" t="str">
        <f t="shared" si="44"/>
        <v/>
      </c>
      <c r="AA879" s="226" t="b">
        <f t="shared" si="45"/>
        <v>0</v>
      </c>
      <c r="AB879" s="9"/>
      <c r="AC879" s="162" t="s">
        <v>6</v>
      </c>
      <c r="AD879" s="153">
        <f t="shared" si="46"/>
        <v>0</v>
      </c>
      <c r="AE879" s="95" t="s">
        <v>64</v>
      </c>
    </row>
    <row r="880" spans="1:31" s="55" customFormat="1" ht="30" customHeight="1">
      <c r="A880" s="155"/>
      <c r="B880" s="155"/>
      <c r="C880" s="155"/>
      <c r="D880" s="155"/>
      <c r="E880" s="155"/>
      <c r="F880" s="155"/>
      <c r="G880" s="155"/>
      <c r="H880" s="155"/>
      <c r="I880" s="155"/>
      <c r="J880" s="155"/>
      <c r="K880" s="155"/>
      <c r="L880" s="155"/>
      <c r="M880" s="155"/>
      <c r="N880" s="155"/>
      <c r="O880" s="157"/>
      <c r="P880" s="92"/>
      <c r="Q880" s="145"/>
      <c r="R880" s="92"/>
      <c r="S880" s="145"/>
      <c r="T880" s="92"/>
      <c r="U880" s="145"/>
      <c r="V880" s="92"/>
      <c r="W880" s="145"/>
      <c r="X880" s="92"/>
      <c r="Y880" s="352"/>
      <c r="Z880" s="142" t="str">
        <f t="shared" si="44"/>
        <v/>
      </c>
      <c r="AA880" s="226" t="b">
        <f t="shared" si="45"/>
        <v>0</v>
      </c>
      <c r="AB880" s="9"/>
      <c r="AC880" s="162" t="s">
        <v>6</v>
      </c>
      <c r="AD880" s="153">
        <f t="shared" si="46"/>
        <v>0</v>
      </c>
      <c r="AE880" s="95" t="s">
        <v>64</v>
      </c>
    </row>
    <row r="881" spans="1:31" s="55" customFormat="1" ht="30" customHeight="1">
      <c r="A881" s="155"/>
      <c r="B881" s="155"/>
      <c r="C881" s="155"/>
      <c r="D881" s="155"/>
      <c r="E881" s="155"/>
      <c r="F881" s="155"/>
      <c r="G881" s="155"/>
      <c r="H881" s="155"/>
      <c r="I881" s="155"/>
      <c r="J881" s="155"/>
      <c r="K881" s="155"/>
      <c r="L881" s="155"/>
      <c r="M881" s="155"/>
      <c r="N881" s="155"/>
      <c r="O881" s="157"/>
      <c r="P881" s="92"/>
      <c r="Q881" s="145"/>
      <c r="R881" s="92"/>
      <c r="S881" s="145"/>
      <c r="T881" s="92"/>
      <c r="U881" s="145"/>
      <c r="V881" s="92"/>
      <c r="W881" s="145"/>
      <c r="X881" s="92"/>
      <c r="Y881" s="352"/>
      <c r="Z881" s="142" t="str">
        <f t="shared" si="44"/>
        <v/>
      </c>
      <c r="AA881" s="226" t="b">
        <f t="shared" si="45"/>
        <v>0</v>
      </c>
      <c r="AB881" s="9"/>
      <c r="AC881" s="162" t="s">
        <v>6</v>
      </c>
      <c r="AD881" s="153">
        <f t="shared" si="46"/>
        <v>0</v>
      </c>
      <c r="AE881" s="95" t="s">
        <v>64</v>
      </c>
    </row>
    <row r="882" spans="1:31" s="55" customFormat="1" ht="30" customHeight="1">
      <c r="A882" s="155"/>
      <c r="B882" s="155"/>
      <c r="C882" s="155"/>
      <c r="D882" s="155"/>
      <c r="E882" s="155"/>
      <c r="F882" s="155"/>
      <c r="G882" s="155"/>
      <c r="H882" s="155"/>
      <c r="I882" s="155"/>
      <c r="J882" s="155"/>
      <c r="K882" s="155"/>
      <c r="L882" s="155"/>
      <c r="M882" s="155"/>
      <c r="N882" s="155"/>
      <c r="O882" s="157"/>
      <c r="P882" s="92"/>
      <c r="Q882" s="145"/>
      <c r="R882" s="92"/>
      <c r="S882" s="145"/>
      <c r="T882" s="92"/>
      <c r="U882" s="145"/>
      <c r="V882" s="92"/>
      <c r="W882" s="145"/>
      <c r="X882" s="92"/>
      <c r="Y882" s="352"/>
      <c r="Z882" s="142" t="str">
        <f t="shared" si="44"/>
        <v/>
      </c>
      <c r="AA882" s="226" t="b">
        <f t="shared" si="45"/>
        <v>0</v>
      </c>
      <c r="AB882" s="9"/>
      <c r="AC882" s="162" t="s">
        <v>6</v>
      </c>
      <c r="AD882" s="153">
        <f t="shared" si="46"/>
        <v>0</v>
      </c>
      <c r="AE882" s="95" t="s">
        <v>64</v>
      </c>
    </row>
    <row r="883" spans="1:31" s="55" customFormat="1" ht="30" customHeight="1">
      <c r="A883" s="155"/>
      <c r="B883" s="155"/>
      <c r="C883" s="155"/>
      <c r="D883" s="155"/>
      <c r="E883" s="155"/>
      <c r="F883" s="155"/>
      <c r="G883" s="155"/>
      <c r="H883" s="155"/>
      <c r="I883" s="155"/>
      <c r="J883" s="155"/>
      <c r="K883" s="155"/>
      <c r="L883" s="155"/>
      <c r="M883" s="155"/>
      <c r="N883" s="155"/>
      <c r="O883" s="157"/>
      <c r="P883" s="92"/>
      <c r="Q883" s="145"/>
      <c r="R883" s="92"/>
      <c r="S883" s="145"/>
      <c r="T883" s="92"/>
      <c r="U883" s="145"/>
      <c r="V883" s="92"/>
      <c r="W883" s="145"/>
      <c r="X883" s="92"/>
      <c r="Y883" s="352"/>
      <c r="Z883" s="142" t="str">
        <f t="shared" si="44"/>
        <v/>
      </c>
      <c r="AA883" s="226" t="b">
        <f t="shared" si="45"/>
        <v>0</v>
      </c>
      <c r="AB883" s="9"/>
      <c r="AC883" s="162" t="s">
        <v>6</v>
      </c>
      <c r="AD883" s="153">
        <f t="shared" si="46"/>
        <v>0</v>
      </c>
      <c r="AE883" s="95" t="s">
        <v>64</v>
      </c>
    </row>
    <row r="884" spans="1:31" s="55" customFormat="1" ht="30" customHeight="1">
      <c r="A884" s="155"/>
      <c r="B884" s="155"/>
      <c r="C884" s="155"/>
      <c r="D884" s="155"/>
      <c r="E884" s="155"/>
      <c r="F884" s="155"/>
      <c r="G884" s="155"/>
      <c r="H884" s="155"/>
      <c r="I884" s="155"/>
      <c r="J884" s="155"/>
      <c r="K884" s="155"/>
      <c r="L884" s="155"/>
      <c r="M884" s="155"/>
      <c r="N884" s="155"/>
      <c r="O884" s="157"/>
      <c r="P884" s="92"/>
      <c r="Q884" s="145"/>
      <c r="R884" s="92"/>
      <c r="S884" s="145"/>
      <c r="T884" s="92"/>
      <c r="U884" s="145"/>
      <c r="V884" s="92"/>
      <c r="W884" s="145"/>
      <c r="X884" s="92"/>
      <c r="Y884" s="352"/>
      <c r="Z884" s="142" t="str">
        <f t="shared" si="44"/>
        <v/>
      </c>
      <c r="AA884" s="226" t="b">
        <f t="shared" si="45"/>
        <v>0</v>
      </c>
      <c r="AB884" s="9"/>
      <c r="AC884" s="162" t="s">
        <v>6</v>
      </c>
      <c r="AD884" s="153">
        <f t="shared" si="46"/>
        <v>0</v>
      </c>
      <c r="AE884" s="95" t="s">
        <v>64</v>
      </c>
    </row>
    <row r="885" spans="1:31" s="55" customFormat="1" ht="30" customHeight="1">
      <c r="A885" s="155"/>
      <c r="B885" s="155"/>
      <c r="C885" s="155"/>
      <c r="D885" s="155"/>
      <c r="E885" s="155"/>
      <c r="F885" s="155"/>
      <c r="G885" s="155"/>
      <c r="H885" s="155"/>
      <c r="I885" s="155"/>
      <c r="J885" s="155"/>
      <c r="K885" s="155"/>
      <c r="L885" s="155"/>
      <c r="M885" s="155"/>
      <c r="N885" s="155"/>
      <c r="O885" s="157"/>
      <c r="P885" s="92"/>
      <c r="Q885" s="145"/>
      <c r="R885" s="92"/>
      <c r="S885" s="145"/>
      <c r="T885" s="92"/>
      <c r="U885" s="145"/>
      <c r="V885" s="92"/>
      <c r="W885" s="145"/>
      <c r="X885" s="92"/>
      <c r="Y885" s="352"/>
      <c r="Z885" s="142" t="str">
        <f t="shared" si="44"/>
        <v/>
      </c>
      <c r="AA885" s="226" t="b">
        <f t="shared" si="45"/>
        <v>0</v>
      </c>
      <c r="AB885" s="9"/>
      <c r="AC885" s="162" t="s">
        <v>6</v>
      </c>
      <c r="AD885" s="153">
        <f t="shared" si="46"/>
        <v>0</v>
      </c>
      <c r="AE885" s="95" t="s">
        <v>64</v>
      </c>
    </row>
    <row r="886" spans="1:31" s="55" customFormat="1" ht="30" customHeight="1">
      <c r="A886" s="155"/>
      <c r="B886" s="155"/>
      <c r="C886" s="155"/>
      <c r="D886" s="155"/>
      <c r="E886" s="155"/>
      <c r="F886" s="155"/>
      <c r="G886" s="155"/>
      <c r="H886" s="155"/>
      <c r="I886" s="155"/>
      <c r="J886" s="155"/>
      <c r="K886" s="155"/>
      <c r="L886" s="155"/>
      <c r="M886" s="155"/>
      <c r="N886" s="155"/>
      <c r="O886" s="157"/>
      <c r="P886" s="92"/>
      <c r="Q886" s="145"/>
      <c r="R886" s="92"/>
      <c r="S886" s="145"/>
      <c r="T886" s="92"/>
      <c r="U886" s="145"/>
      <c r="V886" s="92"/>
      <c r="W886" s="145"/>
      <c r="X886" s="92"/>
      <c r="Y886" s="352"/>
      <c r="Z886" s="142" t="str">
        <f t="shared" si="44"/>
        <v/>
      </c>
      <c r="AA886" s="226" t="b">
        <f t="shared" si="45"/>
        <v>0</v>
      </c>
      <c r="AB886" s="9"/>
      <c r="AC886" s="162" t="s">
        <v>6</v>
      </c>
      <c r="AD886" s="153">
        <f t="shared" si="46"/>
        <v>0</v>
      </c>
      <c r="AE886" s="95" t="s">
        <v>64</v>
      </c>
    </row>
    <row r="887" spans="1:31" s="55" customFormat="1" ht="30" customHeight="1">
      <c r="A887" s="155"/>
      <c r="B887" s="155"/>
      <c r="C887" s="155"/>
      <c r="D887" s="155"/>
      <c r="E887" s="155"/>
      <c r="F887" s="155"/>
      <c r="G887" s="155"/>
      <c r="H887" s="155"/>
      <c r="I887" s="155"/>
      <c r="J887" s="155"/>
      <c r="K887" s="155"/>
      <c r="L887" s="155"/>
      <c r="M887" s="155"/>
      <c r="N887" s="155"/>
      <c r="O887" s="157"/>
      <c r="P887" s="92"/>
      <c r="Q887" s="145"/>
      <c r="R887" s="92"/>
      <c r="S887" s="145"/>
      <c r="T887" s="92"/>
      <c r="U887" s="145"/>
      <c r="V887" s="92"/>
      <c r="W887" s="145"/>
      <c r="X887" s="92"/>
      <c r="Y887" s="352"/>
      <c r="Z887" s="142" t="str">
        <f t="shared" si="44"/>
        <v/>
      </c>
      <c r="AA887" s="226" t="b">
        <f t="shared" si="45"/>
        <v>0</v>
      </c>
      <c r="AB887" s="9"/>
      <c r="AC887" s="162" t="s">
        <v>6</v>
      </c>
      <c r="AD887" s="153">
        <f t="shared" si="46"/>
        <v>0</v>
      </c>
      <c r="AE887" s="95" t="s">
        <v>64</v>
      </c>
    </row>
    <row r="888" spans="1:31" s="55" customFormat="1" ht="30" customHeight="1">
      <c r="A888" s="155"/>
      <c r="B888" s="155"/>
      <c r="C888" s="155"/>
      <c r="D888" s="155"/>
      <c r="E888" s="155"/>
      <c r="F888" s="155"/>
      <c r="G888" s="155"/>
      <c r="H888" s="155"/>
      <c r="I888" s="155"/>
      <c r="J888" s="155"/>
      <c r="K888" s="155"/>
      <c r="L888" s="155"/>
      <c r="M888" s="155"/>
      <c r="N888" s="155"/>
      <c r="O888" s="157"/>
      <c r="P888" s="92"/>
      <c r="Q888" s="145"/>
      <c r="R888" s="92"/>
      <c r="S888" s="145"/>
      <c r="T888" s="92"/>
      <c r="U888" s="145"/>
      <c r="V888" s="92"/>
      <c r="W888" s="145"/>
      <c r="X888" s="92"/>
      <c r="Y888" s="352"/>
      <c r="Z888" s="142" t="str">
        <f t="shared" si="44"/>
        <v/>
      </c>
      <c r="AA888" s="226" t="b">
        <f t="shared" si="45"/>
        <v>0</v>
      </c>
      <c r="AB888" s="9"/>
      <c r="AC888" s="162" t="s">
        <v>6</v>
      </c>
      <c r="AD888" s="153">
        <f t="shared" si="46"/>
        <v>0</v>
      </c>
      <c r="AE888" s="95" t="s">
        <v>64</v>
      </c>
    </row>
    <row r="889" spans="1:31" s="55" customFormat="1" ht="30" customHeight="1">
      <c r="A889" s="155"/>
      <c r="B889" s="155"/>
      <c r="C889" s="155"/>
      <c r="D889" s="155"/>
      <c r="E889" s="155"/>
      <c r="F889" s="155"/>
      <c r="G889" s="155"/>
      <c r="H889" s="155"/>
      <c r="I889" s="155"/>
      <c r="J889" s="155"/>
      <c r="K889" s="155"/>
      <c r="L889" s="155"/>
      <c r="M889" s="155"/>
      <c r="N889" s="155"/>
      <c r="O889" s="157"/>
      <c r="P889" s="92"/>
      <c r="Q889" s="145"/>
      <c r="R889" s="92"/>
      <c r="S889" s="145"/>
      <c r="T889" s="92"/>
      <c r="U889" s="145"/>
      <c r="V889" s="92"/>
      <c r="W889" s="145"/>
      <c r="X889" s="92"/>
      <c r="Y889" s="352"/>
      <c r="Z889" s="142" t="str">
        <f t="shared" si="44"/>
        <v/>
      </c>
      <c r="AA889" s="226" t="b">
        <f t="shared" si="45"/>
        <v>0</v>
      </c>
      <c r="AB889" s="9"/>
      <c r="AC889" s="162" t="s">
        <v>6</v>
      </c>
      <c r="AD889" s="153">
        <f t="shared" si="46"/>
        <v>0</v>
      </c>
      <c r="AE889" s="95" t="s">
        <v>64</v>
      </c>
    </row>
    <row r="890" spans="1:31" s="55" customFormat="1" ht="30" customHeight="1">
      <c r="A890" s="155"/>
      <c r="B890" s="155"/>
      <c r="C890" s="155"/>
      <c r="D890" s="155"/>
      <c r="E890" s="155"/>
      <c r="F890" s="155"/>
      <c r="G890" s="155"/>
      <c r="H890" s="155"/>
      <c r="I890" s="155"/>
      <c r="J890" s="155"/>
      <c r="K890" s="155"/>
      <c r="L890" s="155"/>
      <c r="M890" s="155"/>
      <c r="N890" s="155"/>
      <c r="O890" s="157"/>
      <c r="P890" s="92"/>
      <c r="Q890" s="145"/>
      <c r="R890" s="92"/>
      <c r="S890" s="145"/>
      <c r="T890" s="92"/>
      <c r="U890" s="145"/>
      <c r="V890" s="92"/>
      <c r="W890" s="145"/>
      <c r="X890" s="92"/>
      <c r="Y890" s="352"/>
      <c r="Z890" s="142" t="str">
        <f t="shared" ref="Z890:Z945" si="47">IF(AND(O890="",Q890="",S890="",U890="",W890=""),"",IF(OR(AND(O890&lt;&gt;"NA",O890&lt;&gt;"C",O890&lt;&gt;"NC",O890&lt;&gt;"SF",O890&lt;&gt;""),AND(Q890&lt;&gt;"NA",Q890&lt;&gt;"C",Q890&lt;&gt;"NC",Q890&lt;&gt;"SF",Q890&lt;&gt;""),AND(S890&lt;&gt;"NA",S890&lt;&gt;"C",S890&lt;&gt;"NC",S890&lt;&gt;"SF",S890&lt;&gt;""),AND(U890&lt;&gt;"NA",U890&lt;&gt;"C",U890&lt;&gt;"NC",U890&lt;&gt;"SF",U890&lt;&gt;""),AND(W890&lt;&gt;"NA",W890&lt;&gt;"C",W890&lt;&gt;"NC",W890&lt;&gt;"SF",W890&lt;&gt;"")),"FALSO",IF(AND(O890="NA",Q890="NA",S890="NA",U890="NA",W890="NA"),"NA",IF(OR(O890="NC",Q890="NC",S890="NC",U890="NC",W890="NC",O890="SF",Q890="SF",S890="SF",U890="SF",W890="SF"),"NC",IF(OR(O890="C",Q890="C",S890="C",U890="C",W890="C"),"C","")))))</f>
        <v/>
      </c>
      <c r="AA890" s="226" t="b">
        <f t="shared" ref="AA890:AA945" si="48">IF(AND(Y890="C",Z890="C"),"UTILIZOU O PDA CORRETAMENTE",IF(AND(Y890="C",Z890="NC"),"UTILIZOU O PDA CORRETAMENTE. NÃO HÁ FOTOS DE TODAS AS ETAPAS",IF(AND(Y890="NC",Z890="NC"),"NÃO UTILIZOU O PDA",IF(AND(Y890="NA",Z890="NA"),"NÃO AVALIADO POR FALHA DE SINCRONISMO"))))</f>
        <v>0</v>
      </c>
      <c r="AB890" s="9"/>
      <c r="AC890" s="162" t="s">
        <v>6</v>
      </c>
      <c r="AD890" s="153">
        <f t="shared" si="46"/>
        <v>0</v>
      </c>
      <c r="AE890" s="95" t="s">
        <v>64</v>
      </c>
    </row>
    <row r="891" spans="1:31" s="55" customFormat="1" ht="30" customHeight="1">
      <c r="A891" s="155"/>
      <c r="B891" s="155"/>
      <c r="C891" s="155"/>
      <c r="D891" s="155"/>
      <c r="E891" s="155"/>
      <c r="F891" s="155"/>
      <c r="G891" s="155"/>
      <c r="H891" s="155"/>
      <c r="I891" s="155"/>
      <c r="J891" s="155"/>
      <c r="K891" s="155"/>
      <c r="L891" s="155"/>
      <c r="M891" s="155"/>
      <c r="N891" s="155"/>
      <c r="O891" s="157"/>
      <c r="P891" s="92"/>
      <c r="Q891" s="145"/>
      <c r="R891" s="92"/>
      <c r="S891" s="145"/>
      <c r="T891" s="92"/>
      <c r="U891" s="145"/>
      <c r="V891" s="92"/>
      <c r="W891" s="145"/>
      <c r="X891" s="92"/>
      <c r="Y891" s="352"/>
      <c r="Z891" s="142" t="str">
        <f t="shared" si="47"/>
        <v/>
      </c>
      <c r="AA891" s="226" t="b">
        <f t="shared" si="48"/>
        <v>0</v>
      </c>
      <c r="AB891" s="9"/>
      <c r="AC891" s="162" t="s">
        <v>6</v>
      </c>
      <c r="AD891" s="153">
        <f t="shared" si="46"/>
        <v>0</v>
      </c>
      <c r="AE891" s="95" t="s">
        <v>64</v>
      </c>
    </row>
    <row r="892" spans="1:31" s="55" customFormat="1" ht="30" customHeight="1">
      <c r="A892" s="155"/>
      <c r="B892" s="155"/>
      <c r="C892" s="155"/>
      <c r="D892" s="155"/>
      <c r="E892" s="155"/>
      <c r="F892" s="155"/>
      <c r="G892" s="155"/>
      <c r="H892" s="155"/>
      <c r="I892" s="155"/>
      <c r="J892" s="155"/>
      <c r="K892" s="155"/>
      <c r="L892" s="155"/>
      <c r="M892" s="155"/>
      <c r="N892" s="155"/>
      <c r="O892" s="157"/>
      <c r="P892" s="92"/>
      <c r="Q892" s="145"/>
      <c r="R892" s="92"/>
      <c r="S892" s="145"/>
      <c r="T892" s="92"/>
      <c r="U892" s="145"/>
      <c r="V892" s="92"/>
      <c r="W892" s="145"/>
      <c r="X892" s="92"/>
      <c r="Y892" s="352"/>
      <c r="Z892" s="142" t="str">
        <f t="shared" si="47"/>
        <v/>
      </c>
      <c r="AA892" s="226" t="b">
        <f t="shared" si="48"/>
        <v>0</v>
      </c>
      <c r="AB892" s="9"/>
      <c r="AC892" s="162" t="s">
        <v>6</v>
      </c>
      <c r="AD892" s="153">
        <f t="shared" si="46"/>
        <v>0</v>
      </c>
      <c r="AE892" s="95" t="s">
        <v>64</v>
      </c>
    </row>
    <row r="893" spans="1:31" s="55" customFormat="1" ht="30" customHeight="1">
      <c r="A893" s="155"/>
      <c r="B893" s="155"/>
      <c r="C893" s="155"/>
      <c r="D893" s="155"/>
      <c r="E893" s="155"/>
      <c r="F893" s="155"/>
      <c r="G893" s="155"/>
      <c r="H893" s="155"/>
      <c r="I893" s="155"/>
      <c r="J893" s="155"/>
      <c r="K893" s="155"/>
      <c r="L893" s="155"/>
      <c r="M893" s="155"/>
      <c r="N893" s="155"/>
      <c r="O893" s="157"/>
      <c r="P893" s="92"/>
      <c r="Q893" s="145"/>
      <c r="R893" s="92"/>
      <c r="S893" s="145"/>
      <c r="T893" s="92"/>
      <c r="U893" s="145"/>
      <c r="V893" s="92"/>
      <c r="W893" s="145"/>
      <c r="X893" s="92"/>
      <c r="Y893" s="352"/>
      <c r="Z893" s="142" t="str">
        <f t="shared" si="47"/>
        <v/>
      </c>
      <c r="AA893" s="226" t="b">
        <f t="shared" si="48"/>
        <v>0</v>
      </c>
      <c r="AB893" s="9"/>
      <c r="AC893" s="162" t="s">
        <v>6</v>
      </c>
      <c r="AD893" s="153">
        <f t="shared" si="46"/>
        <v>0</v>
      </c>
      <c r="AE893" s="95" t="s">
        <v>64</v>
      </c>
    </row>
    <row r="894" spans="1:31" s="55" customFormat="1" ht="30" customHeight="1">
      <c r="A894" s="155"/>
      <c r="B894" s="155"/>
      <c r="C894" s="155"/>
      <c r="D894" s="155"/>
      <c r="E894" s="155"/>
      <c r="F894" s="155"/>
      <c r="G894" s="155"/>
      <c r="H894" s="155"/>
      <c r="I894" s="155"/>
      <c r="J894" s="155"/>
      <c r="K894" s="155"/>
      <c r="L894" s="155"/>
      <c r="M894" s="155"/>
      <c r="N894" s="155"/>
      <c r="O894" s="157"/>
      <c r="P894" s="92"/>
      <c r="Q894" s="145"/>
      <c r="R894" s="92"/>
      <c r="S894" s="145"/>
      <c r="T894" s="92"/>
      <c r="U894" s="145"/>
      <c r="V894" s="92"/>
      <c r="W894" s="145"/>
      <c r="X894" s="92"/>
      <c r="Y894" s="352"/>
      <c r="Z894" s="142" t="str">
        <f t="shared" si="47"/>
        <v/>
      </c>
      <c r="AA894" s="226" t="b">
        <f t="shared" si="48"/>
        <v>0</v>
      </c>
      <c r="AB894" s="9"/>
      <c r="AC894" s="162" t="s">
        <v>6</v>
      </c>
      <c r="AD894" s="153">
        <f t="shared" si="46"/>
        <v>0</v>
      </c>
      <c r="AE894" s="95" t="s">
        <v>64</v>
      </c>
    </row>
    <row r="895" spans="1:31" s="55" customFormat="1" ht="30" customHeight="1">
      <c r="A895" s="155"/>
      <c r="B895" s="155"/>
      <c r="C895" s="155"/>
      <c r="D895" s="155"/>
      <c r="E895" s="155"/>
      <c r="F895" s="155"/>
      <c r="G895" s="155"/>
      <c r="H895" s="155"/>
      <c r="I895" s="155"/>
      <c r="J895" s="155"/>
      <c r="K895" s="155"/>
      <c r="L895" s="155"/>
      <c r="M895" s="155"/>
      <c r="N895" s="155"/>
      <c r="O895" s="157"/>
      <c r="P895" s="92"/>
      <c r="Q895" s="145"/>
      <c r="R895" s="92"/>
      <c r="S895" s="145"/>
      <c r="T895" s="92"/>
      <c r="U895" s="145"/>
      <c r="V895" s="92"/>
      <c r="W895" s="145"/>
      <c r="X895" s="92"/>
      <c r="Y895" s="352"/>
      <c r="Z895" s="142" t="str">
        <f t="shared" si="47"/>
        <v/>
      </c>
      <c r="AA895" s="226" t="b">
        <f t="shared" si="48"/>
        <v>0</v>
      </c>
      <c r="AB895" s="9"/>
      <c r="AC895" s="162" t="s">
        <v>6</v>
      </c>
      <c r="AD895" s="153">
        <f t="shared" si="46"/>
        <v>0</v>
      </c>
      <c r="AE895" s="95" t="s">
        <v>64</v>
      </c>
    </row>
    <row r="896" spans="1:31" s="55" customFormat="1" ht="30" customHeight="1">
      <c r="A896" s="155"/>
      <c r="B896" s="155"/>
      <c r="C896" s="155"/>
      <c r="D896" s="155"/>
      <c r="E896" s="155"/>
      <c r="F896" s="155"/>
      <c r="G896" s="155"/>
      <c r="H896" s="155"/>
      <c r="I896" s="155"/>
      <c r="J896" s="155"/>
      <c r="K896" s="155"/>
      <c r="L896" s="155"/>
      <c r="M896" s="155"/>
      <c r="N896" s="155"/>
      <c r="O896" s="157"/>
      <c r="P896" s="92"/>
      <c r="Q896" s="145"/>
      <c r="R896" s="92"/>
      <c r="S896" s="145"/>
      <c r="T896" s="92"/>
      <c r="U896" s="145"/>
      <c r="V896" s="92"/>
      <c r="W896" s="145"/>
      <c r="X896" s="92"/>
      <c r="Y896" s="352"/>
      <c r="Z896" s="142" t="str">
        <f t="shared" si="47"/>
        <v/>
      </c>
      <c r="AA896" s="226" t="b">
        <f t="shared" si="48"/>
        <v>0</v>
      </c>
      <c r="AB896" s="9"/>
      <c r="AC896" s="162" t="s">
        <v>6</v>
      </c>
      <c r="AD896" s="153">
        <f t="shared" si="46"/>
        <v>0</v>
      </c>
      <c r="AE896" s="95" t="s">
        <v>64</v>
      </c>
    </row>
    <row r="897" spans="1:31" s="55" customFormat="1" ht="30" customHeight="1">
      <c r="A897" s="155"/>
      <c r="B897" s="155"/>
      <c r="C897" s="155"/>
      <c r="D897" s="155"/>
      <c r="E897" s="155"/>
      <c r="F897" s="155"/>
      <c r="G897" s="155"/>
      <c r="H897" s="155"/>
      <c r="I897" s="155"/>
      <c r="J897" s="155"/>
      <c r="K897" s="155"/>
      <c r="L897" s="155"/>
      <c r="M897" s="155"/>
      <c r="N897" s="155"/>
      <c r="O897" s="157"/>
      <c r="P897" s="92"/>
      <c r="Q897" s="145"/>
      <c r="R897" s="92"/>
      <c r="S897" s="145"/>
      <c r="T897" s="92"/>
      <c r="U897" s="145"/>
      <c r="V897" s="92"/>
      <c r="W897" s="145"/>
      <c r="X897" s="92"/>
      <c r="Y897" s="352"/>
      <c r="Z897" s="142" t="str">
        <f t="shared" si="47"/>
        <v/>
      </c>
      <c r="AA897" s="226" t="b">
        <f t="shared" si="48"/>
        <v>0</v>
      </c>
      <c r="AB897" s="9"/>
      <c r="AC897" s="162" t="s">
        <v>6</v>
      </c>
      <c r="AD897" s="153">
        <f t="shared" si="46"/>
        <v>0</v>
      </c>
      <c r="AE897" s="95" t="s">
        <v>64</v>
      </c>
    </row>
    <row r="898" spans="1:31" s="55" customFormat="1" ht="30" customHeight="1">
      <c r="A898" s="155"/>
      <c r="B898" s="155"/>
      <c r="C898" s="155"/>
      <c r="D898" s="155"/>
      <c r="E898" s="155"/>
      <c r="F898" s="155"/>
      <c r="G898" s="155"/>
      <c r="H898" s="155"/>
      <c r="I898" s="155"/>
      <c r="J898" s="155"/>
      <c r="K898" s="155"/>
      <c r="L898" s="155"/>
      <c r="M898" s="155"/>
      <c r="N898" s="155"/>
      <c r="O898" s="157"/>
      <c r="P898" s="92"/>
      <c r="Q898" s="145"/>
      <c r="R898" s="92"/>
      <c r="S898" s="145"/>
      <c r="T898" s="92"/>
      <c r="U898" s="145"/>
      <c r="V898" s="92"/>
      <c r="W898" s="145"/>
      <c r="X898" s="92"/>
      <c r="Y898" s="352"/>
      <c r="Z898" s="142" t="str">
        <f t="shared" si="47"/>
        <v/>
      </c>
      <c r="AA898" s="226" t="b">
        <f t="shared" si="48"/>
        <v>0</v>
      </c>
      <c r="AB898" s="9"/>
      <c r="AC898" s="162" t="s">
        <v>6</v>
      </c>
      <c r="AD898" s="153">
        <f t="shared" si="46"/>
        <v>0</v>
      </c>
      <c r="AE898" s="95" t="s">
        <v>64</v>
      </c>
    </row>
    <row r="899" spans="1:31" s="55" customFormat="1" ht="30" customHeight="1">
      <c r="A899" s="155"/>
      <c r="B899" s="155"/>
      <c r="C899" s="155"/>
      <c r="D899" s="155"/>
      <c r="E899" s="155"/>
      <c r="F899" s="155"/>
      <c r="G899" s="155"/>
      <c r="H899" s="155"/>
      <c r="I899" s="155"/>
      <c r="J899" s="155"/>
      <c r="K899" s="155"/>
      <c r="L899" s="155"/>
      <c r="M899" s="155"/>
      <c r="N899" s="155"/>
      <c r="O899" s="157"/>
      <c r="P899" s="92"/>
      <c r="Q899" s="145"/>
      <c r="R899" s="92"/>
      <c r="S899" s="145"/>
      <c r="T899" s="92"/>
      <c r="U899" s="145"/>
      <c r="V899" s="92"/>
      <c r="W899" s="145"/>
      <c r="X899" s="92"/>
      <c r="Y899" s="352"/>
      <c r="Z899" s="142" t="str">
        <f t="shared" si="47"/>
        <v/>
      </c>
      <c r="AA899" s="226" t="b">
        <f t="shared" si="48"/>
        <v>0</v>
      </c>
      <c r="AB899" s="9"/>
      <c r="AC899" s="162" t="s">
        <v>6</v>
      </c>
      <c r="AD899" s="153">
        <f t="shared" si="46"/>
        <v>0</v>
      </c>
      <c r="AE899" s="95" t="s">
        <v>64</v>
      </c>
    </row>
    <row r="900" spans="1:31" s="55" customFormat="1" ht="30" customHeight="1">
      <c r="A900" s="155"/>
      <c r="B900" s="155"/>
      <c r="C900" s="155"/>
      <c r="D900" s="155"/>
      <c r="E900" s="155"/>
      <c r="F900" s="155"/>
      <c r="G900" s="155"/>
      <c r="H900" s="155"/>
      <c r="I900" s="155"/>
      <c r="J900" s="155"/>
      <c r="K900" s="155"/>
      <c r="L900" s="155"/>
      <c r="M900" s="155"/>
      <c r="N900" s="155"/>
      <c r="O900" s="157"/>
      <c r="P900" s="92"/>
      <c r="Q900" s="145"/>
      <c r="R900" s="92"/>
      <c r="S900" s="145"/>
      <c r="T900" s="92"/>
      <c r="U900" s="145"/>
      <c r="V900" s="92"/>
      <c r="W900" s="145"/>
      <c r="X900" s="92"/>
      <c r="Y900" s="352"/>
      <c r="Z900" s="142" t="str">
        <f t="shared" si="47"/>
        <v/>
      </c>
      <c r="AA900" s="226" t="b">
        <f t="shared" si="48"/>
        <v>0</v>
      </c>
      <c r="AB900" s="9"/>
      <c r="AC900" s="162" t="s">
        <v>6</v>
      </c>
      <c r="AD900" s="153">
        <f t="shared" si="46"/>
        <v>0</v>
      </c>
      <c r="AE900" s="95" t="s">
        <v>64</v>
      </c>
    </row>
    <row r="901" spans="1:31" s="55" customFormat="1" ht="30" customHeight="1">
      <c r="A901" s="155"/>
      <c r="B901" s="155"/>
      <c r="C901" s="155"/>
      <c r="D901" s="155"/>
      <c r="E901" s="155"/>
      <c r="F901" s="155"/>
      <c r="G901" s="155"/>
      <c r="H901" s="155"/>
      <c r="I901" s="155"/>
      <c r="J901" s="155"/>
      <c r="K901" s="155"/>
      <c r="L901" s="155"/>
      <c r="M901" s="155"/>
      <c r="N901" s="155"/>
      <c r="O901" s="157"/>
      <c r="P901" s="92"/>
      <c r="Q901" s="145"/>
      <c r="R901" s="92"/>
      <c r="S901" s="145"/>
      <c r="T901" s="92"/>
      <c r="U901" s="145"/>
      <c r="V901" s="92"/>
      <c r="W901" s="145"/>
      <c r="X901" s="92"/>
      <c r="Y901" s="352"/>
      <c r="Z901" s="142" t="str">
        <f t="shared" si="47"/>
        <v/>
      </c>
      <c r="AA901" s="226" t="b">
        <f t="shared" si="48"/>
        <v>0</v>
      </c>
      <c r="AB901" s="9"/>
      <c r="AC901" s="162" t="s">
        <v>6</v>
      </c>
      <c r="AD901" s="153">
        <f t="shared" si="46"/>
        <v>0</v>
      </c>
      <c r="AE901" s="95" t="s">
        <v>64</v>
      </c>
    </row>
    <row r="902" spans="1:31" s="55" customFormat="1" ht="30" customHeight="1">
      <c r="A902" s="155"/>
      <c r="B902" s="155"/>
      <c r="C902" s="155"/>
      <c r="D902" s="155"/>
      <c r="E902" s="155"/>
      <c r="F902" s="155"/>
      <c r="G902" s="155"/>
      <c r="H902" s="155"/>
      <c r="I902" s="155"/>
      <c r="J902" s="155"/>
      <c r="K902" s="155"/>
      <c r="L902" s="155"/>
      <c r="M902" s="155"/>
      <c r="N902" s="155"/>
      <c r="O902" s="157"/>
      <c r="P902" s="92"/>
      <c r="Q902" s="145"/>
      <c r="R902" s="92"/>
      <c r="S902" s="145"/>
      <c r="T902" s="92"/>
      <c r="U902" s="145"/>
      <c r="V902" s="92"/>
      <c r="W902" s="145"/>
      <c r="X902" s="92"/>
      <c r="Y902" s="352"/>
      <c r="Z902" s="142" t="str">
        <f t="shared" si="47"/>
        <v/>
      </c>
      <c r="AA902" s="226" t="b">
        <f t="shared" si="48"/>
        <v>0</v>
      </c>
      <c r="AB902" s="9"/>
      <c r="AC902" s="162" t="s">
        <v>6</v>
      </c>
      <c r="AD902" s="153">
        <f t="shared" si="46"/>
        <v>0</v>
      </c>
      <c r="AE902" s="95" t="s">
        <v>64</v>
      </c>
    </row>
    <row r="903" spans="1:31" s="55" customFormat="1" ht="30" customHeight="1">
      <c r="A903" s="155"/>
      <c r="B903" s="155"/>
      <c r="C903" s="155"/>
      <c r="D903" s="155"/>
      <c r="E903" s="155"/>
      <c r="F903" s="155"/>
      <c r="G903" s="155"/>
      <c r="H903" s="155"/>
      <c r="I903" s="155"/>
      <c r="J903" s="155"/>
      <c r="K903" s="155"/>
      <c r="L903" s="155"/>
      <c r="M903" s="155"/>
      <c r="N903" s="155"/>
      <c r="O903" s="157"/>
      <c r="P903" s="92"/>
      <c r="Q903" s="145"/>
      <c r="R903" s="92"/>
      <c r="S903" s="145"/>
      <c r="T903" s="92"/>
      <c r="U903" s="145"/>
      <c r="V903" s="92"/>
      <c r="W903" s="145"/>
      <c r="X903" s="92"/>
      <c r="Y903" s="352"/>
      <c r="Z903" s="142" t="str">
        <f t="shared" si="47"/>
        <v/>
      </c>
      <c r="AA903" s="226" t="b">
        <f t="shared" si="48"/>
        <v>0</v>
      </c>
      <c r="AB903" s="9"/>
      <c r="AC903" s="162" t="s">
        <v>6</v>
      </c>
      <c r="AD903" s="153">
        <f t="shared" si="46"/>
        <v>0</v>
      </c>
      <c r="AE903" s="95" t="s">
        <v>64</v>
      </c>
    </row>
    <row r="904" spans="1:31" s="55" customFormat="1" ht="30" customHeight="1">
      <c r="A904" s="155"/>
      <c r="B904" s="155"/>
      <c r="C904" s="155"/>
      <c r="D904" s="155"/>
      <c r="E904" s="155"/>
      <c r="F904" s="155"/>
      <c r="G904" s="155"/>
      <c r="H904" s="155"/>
      <c r="I904" s="155"/>
      <c r="J904" s="155"/>
      <c r="K904" s="155"/>
      <c r="L904" s="155"/>
      <c r="M904" s="155"/>
      <c r="N904" s="155"/>
      <c r="O904" s="157"/>
      <c r="P904" s="92"/>
      <c r="Q904" s="145"/>
      <c r="R904" s="92"/>
      <c r="S904" s="145"/>
      <c r="T904" s="92"/>
      <c r="U904" s="145"/>
      <c r="V904" s="92"/>
      <c r="W904" s="145"/>
      <c r="X904" s="92"/>
      <c r="Y904" s="352"/>
      <c r="Z904" s="142" t="str">
        <f t="shared" si="47"/>
        <v/>
      </c>
      <c r="AA904" s="226" t="b">
        <f t="shared" si="48"/>
        <v>0</v>
      </c>
      <c r="AB904" s="9"/>
      <c r="AC904" s="162" t="s">
        <v>6</v>
      </c>
      <c r="AD904" s="153">
        <f t="shared" si="46"/>
        <v>0</v>
      </c>
      <c r="AE904" s="95" t="s">
        <v>64</v>
      </c>
    </row>
    <row r="905" spans="1:31" s="55" customFormat="1" ht="30" customHeight="1">
      <c r="A905" s="155"/>
      <c r="B905" s="155"/>
      <c r="C905" s="155"/>
      <c r="D905" s="155"/>
      <c r="E905" s="155"/>
      <c r="F905" s="155"/>
      <c r="G905" s="155"/>
      <c r="H905" s="155"/>
      <c r="I905" s="155"/>
      <c r="J905" s="155"/>
      <c r="K905" s="155"/>
      <c r="L905" s="155"/>
      <c r="M905" s="155"/>
      <c r="N905" s="155"/>
      <c r="O905" s="157"/>
      <c r="P905" s="92"/>
      <c r="Q905" s="145"/>
      <c r="R905" s="92"/>
      <c r="S905" s="145"/>
      <c r="T905" s="92"/>
      <c r="U905" s="145"/>
      <c r="V905" s="92"/>
      <c r="W905" s="145"/>
      <c r="X905" s="92"/>
      <c r="Y905" s="352"/>
      <c r="Z905" s="142" t="str">
        <f t="shared" si="47"/>
        <v/>
      </c>
      <c r="AA905" s="226" t="b">
        <f t="shared" si="48"/>
        <v>0</v>
      </c>
      <c r="AB905" s="9"/>
      <c r="AC905" s="162" t="s">
        <v>6</v>
      </c>
      <c r="AD905" s="153">
        <f t="shared" si="46"/>
        <v>0</v>
      </c>
      <c r="AE905" s="95" t="s">
        <v>64</v>
      </c>
    </row>
    <row r="906" spans="1:31" s="55" customFormat="1" ht="30" customHeight="1">
      <c r="A906" s="155"/>
      <c r="B906" s="155"/>
      <c r="C906" s="155"/>
      <c r="D906" s="155"/>
      <c r="E906" s="155"/>
      <c r="F906" s="155"/>
      <c r="G906" s="155"/>
      <c r="H906" s="155"/>
      <c r="I906" s="155"/>
      <c r="J906" s="155"/>
      <c r="K906" s="155"/>
      <c r="L906" s="155"/>
      <c r="M906" s="155"/>
      <c r="N906" s="155"/>
      <c r="O906" s="157"/>
      <c r="P906" s="92"/>
      <c r="Q906" s="145"/>
      <c r="R906" s="92"/>
      <c r="S906" s="145"/>
      <c r="T906" s="92"/>
      <c r="U906" s="145"/>
      <c r="V906" s="92"/>
      <c r="W906" s="145"/>
      <c r="X906" s="92"/>
      <c r="Y906" s="352"/>
      <c r="Z906" s="142" t="str">
        <f t="shared" si="47"/>
        <v/>
      </c>
      <c r="AA906" s="226" t="b">
        <f t="shared" si="48"/>
        <v>0</v>
      </c>
      <c r="AB906" s="9"/>
      <c r="AC906" s="162" t="s">
        <v>6</v>
      </c>
      <c r="AD906" s="153">
        <f t="shared" si="46"/>
        <v>0</v>
      </c>
      <c r="AE906" s="95" t="s">
        <v>64</v>
      </c>
    </row>
    <row r="907" spans="1:31" s="55" customFormat="1" ht="30" customHeight="1">
      <c r="A907" s="155"/>
      <c r="B907" s="155"/>
      <c r="C907" s="155"/>
      <c r="D907" s="155"/>
      <c r="E907" s="155"/>
      <c r="F907" s="155"/>
      <c r="G907" s="155"/>
      <c r="H907" s="155"/>
      <c r="I907" s="155"/>
      <c r="J907" s="155"/>
      <c r="K907" s="155"/>
      <c r="L907" s="155"/>
      <c r="M907" s="155"/>
      <c r="N907" s="155"/>
      <c r="O907" s="157"/>
      <c r="P907" s="92"/>
      <c r="Q907" s="145"/>
      <c r="R907" s="92"/>
      <c r="S907" s="145"/>
      <c r="T907" s="92"/>
      <c r="U907" s="145"/>
      <c r="V907" s="92"/>
      <c r="W907" s="145"/>
      <c r="X907" s="92"/>
      <c r="Y907" s="352"/>
      <c r="Z907" s="142" t="str">
        <f t="shared" si="47"/>
        <v/>
      </c>
      <c r="AA907" s="226" t="b">
        <f t="shared" si="48"/>
        <v>0</v>
      </c>
      <c r="AB907" s="9"/>
      <c r="AC907" s="162" t="s">
        <v>6</v>
      </c>
      <c r="AD907" s="153">
        <f t="shared" si="46"/>
        <v>0</v>
      </c>
      <c r="AE907" s="95" t="s">
        <v>64</v>
      </c>
    </row>
    <row r="908" spans="1:31" s="55" customFormat="1" ht="30" customHeight="1">
      <c r="A908" s="155"/>
      <c r="B908" s="155"/>
      <c r="C908" s="155"/>
      <c r="D908" s="155"/>
      <c r="E908" s="155"/>
      <c r="F908" s="155"/>
      <c r="G908" s="155"/>
      <c r="H908" s="155"/>
      <c r="I908" s="155"/>
      <c r="J908" s="155"/>
      <c r="K908" s="155"/>
      <c r="L908" s="155"/>
      <c r="M908" s="155"/>
      <c r="N908" s="155"/>
      <c r="O908" s="157"/>
      <c r="P908" s="92"/>
      <c r="Q908" s="145"/>
      <c r="R908" s="92"/>
      <c r="S908" s="145"/>
      <c r="T908" s="92"/>
      <c r="U908" s="145"/>
      <c r="V908" s="92"/>
      <c r="W908" s="145"/>
      <c r="X908" s="92"/>
      <c r="Y908" s="352"/>
      <c r="Z908" s="142" t="str">
        <f t="shared" si="47"/>
        <v/>
      </c>
      <c r="AA908" s="226" t="b">
        <f t="shared" si="48"/>
        <v>0</v>
      </c>
      <c r="AB908" s="9"/>
      <c r="AC908" s="162" t="s">
        <v>6</v>
      </c>
      <c r="AD908" s="153">
        <f t="shared" si="46"/>
        <v>0</v>
      </c>
      <c r="AE908" s="95" t="s">
        <v>64</v>
      </c>
    </row>
    <row r="909" spans="1:31" s="55" customFormat="1" ht="30" customHeight="1">
      <c r="A909" s="155"/>
      <c r="B909" s="155"/>
      <c r="C909" s="155"/>
      <c r="D909" s="155"/>
      <c r="E909" s="155"/>
      <c r="F909" s="155"/>
      <c r="G909" s="155"/>
      <c r="H909" s="155"/>
      <c r="I909" s="155"/>
      <c r="J909" s="155"/>
      <c r="K909" s="155"/>
      <c r="L909" s="155"/>
      <c r="M909" s="155"/>
      <c r="N909" s="155"/>
      <c r="O909" s="157"/>
      <c r="P909" s="92"/>
      <c r="Q909" s="145"/>
      <c r="R909" s="92"/>
      <c r="S909" s="145"/>
      <c r="T909" s="92"/>
      <c r="U909" s="145"/>
      <c r="V909" s="92"/>
      <c r="W909" s="145"/>
      <c r="X909" s="92"/>
      <c r="Y909" s="352"/>
      <c r="Z909" s="142" t="str">
        <f t="shared" si="47"/>
        <v/>
      </c>
      <c r="AA909" s="226" t="b">
        <f t="shared" si="48"/>
        <v>0</v>
      </c>
      <c r="AB909" s="9"/>
      <c r="AC909" s="162" t="s">
        <v>6</v>
      </c>
      <c r="AD909" s="153">
        <f t="shared" si="46"/>
        <v>0</v>
      </c>
      <c r="AE909" s="95" t="s">
        <v>64</v>
      </c>
    </row>
    <row r="910" spans="1:31" s="55" customFormat="1" ht="30" customHeight="1">
      <c r="A910" s="155"/>
      <c r="B910" s="155"/>
      <c r="C910" s="155"/>
      <c r="D910" s="155"/>
      <c r="E910" s="155"/>
      <c r="F910" s="155"/>
      <c r="G910" s="155"/>
      <c r="H910" s="155"/>
      <c r="I910" s="155"/>
      <c r="J910" s="155"/>
      <c r="K910" s="155"/>
      <c r="L910" s="155"/>
      <c r="M910" s="155"/>
      <c r="N910" s="155"/>
      <c r="O910" s="157"/>
      <c r="P910" s="92"/>
      <c r="Q910" s="145"/>
      <c r="R910" s="92"/>
      <c r="S910" s="145"/>
      <c r="T910" s="92"/>
      <c r="U910" s="145"/>
      <c r="V910" s="92"/>
      <c r="W910" s="145"/>
      <c r="X910" s="92"/>
      <c r="Y910" s="352"/>
      <c r="Z910" s="142" t="str">
        <f t="shared" si="47"/>
        <v/>
      </c>
      <c r="AA910" s="226" t="b">
        <f t="shared" si="48"/>
        <v>0</v>
      </c>
      <c r="AB910" s="9"/>
      <c r="AC910" s="162" t="s">
        <v>6</v>
      </c>
      <c r="AD910" s="153">
        <f t="shared" si="46"/>
        <v>0</v>
      </c>
      <c r="AE910" s="95" t="s">
        <v>64</v>
      </c>
    </row>
    <row r="911" spans="1:31" s="55" customFormat="1" ht="30" customHeight="1">
      <c r="A911" s="155"/>
      <c r="B911" s="155"/>
      <c r="C911" s="155"/>
      <c r="D911" s="155"/>
      <c r="E911" s="155"/>
      <c r="F911" s="155"/>
      <c r="G911" s="155"/>
      <c r="H911" s="155"/>
      <c r="I911" s="155"/>
      <c r="J911" s="155"/>
      <c r="K911" s="155"/>
      <c r="L911" s="155"/>
      <c r="M911" s="155"/>
      <c r="N911" s="155"/>
      <c r="O911" s="157"/>
      <c r="P911" s="92"/>
      <c r="Q911" s="145"/>
      <c r="R911" s="92"/>
      <c r="S911" s="145"/>
      <c r="T911" s="92"/>
      <c r="U911" s="145"/>
      <c r="V911" s="92"/>
      <c r="W911" s="145"/>
      <c r="X911" s="92"/>
      <c r="Y911" s="352"/>
      <c r="Z911" s="142" t="str">
        <f t="shared" si="47"/>
        <v/>
      </c>
      <c r="AA911" s="226" t="b">
        <f t="shared" si="48"/>
        <v>0</v>
      </c>
      <c r="AB911" s="9"/>
      <c r="AC911" s="162" t="s">
        <v>6</v>
      </c>
      <c r="AD911" s="153">
        <f t="shared" si="46"/>
        <v>0</v>
      </c>
      <c r="AE911" s="95" t="s">
        <v>64</v>
      </c>
    </row>
    <row r="912" spans="1:31" s="55" customFormat="1" ht="30" customHeight="1">
      <c r="A912" s="155"/>
      <c r="B912" s="155"/>
      <c r="C912" s="155"/>
      <c r="D912" s="155"/>
      <c r="E912" s="155"/>
      <c r="F912" s="155"/>
      <c r="G912" s="155"/>
      <c r="H912" s="155"/>
      <c r="I912" s="155"/>
      <c r="J912" s="155"/>
      <c r="K912" s="155"/>
      <c r="L912" s="155"/>
      <c r="M912" s="155"/>
      <c r="N912" s="155"/>
      <c r="O912" s="157"/>
      <c r="P912" s="92"/>
      <c r="Q912" s="145"/>
      <c r="R912" s="92"/>
      <c r="S912" s="145"/>
      <c r="T912" s="92"/>
      <c r="U912" s="145"/>
      <c r="V912" s="92"/>
      <c r="W912" s="145"/>
      <c r="X912" s="92"/>
      <c r="Y912" s="352"/>
      <c r="Z912" s="142" t="str">
        <f t="shared" si="47"/>
        <v/>
      </c>
      <c r="AA912" s="226" t="b">
        <f t="shared" si="48"/>
        <v>0</v>
      </c>
      <c r="AB912" s="9"/>
      <c r="AC912" s="162" t="s">
        <v>6</v>
      </c>
      <c r="AD912" s="153">
        <f t="shared" si="46"/>
        <v>0</v>
      </c>
      <c r="AE912" s="95" t="s">
        <v>64</v>
      </c>
    </row>
    <row r="913" spans="1:31" s="55" customFormat="1" ht="30" customHeight="1">
      <c r="A913" s="155"/>
      <c r="B913" s="155"/>
      <c r="C913" s="155"/>
      <c r="D913" s="155"/>
      <c r="E913" s="155"/>
      <c r="F913" s="155"/>
      <c r="G913" s="155"/>
      <c r="H913" s="155"/>
      <c r="I913" s="155"/>
      <c r="J913" s="155"/>
      <c r="K913" s="155"/>
      <c r="L913" s="155"/>
      <c r="M913" s="155"/>
      <c r="N913" s="155"/>
      <c r="O913" s="157"/>
      <c r="P913" s="92"/>
      <c r="Q913" s="145"/>
      <c r="R913" s="92"/>
      <c r="S913" s="145"/>
      <c r="T913" s="92"/>
      <c r="U913" s="145"/>
      <c r="V913" s="92"/>
      <c r="W913" s="145"/>
      <c r="X913" s="92"/>
      <c r="Y913" s="352"/>
      <c r="Z913" s="142" t="str">
        <f t="shared" si="47"/>
        <v/>
      </c>
      <c r="AA913" s="226" t="b">
        <f t="shared" si="48"/>
        <v>0</v>
      </c>
      <c r="AB913" s="9"/>
      <c r="AC913" s="162" t="s">
        <v>6</v>
      </c>
      <c r="AD913" s="153">
        <f t="shared" ref="AD913:AD945" si="49">E913</f>
        <v>0</v>
      </c>
      <c r="AE913" s="95" t="s">
        <v>64</v>
      </c>
    </row>
    <row r="914" spans="1:31" s="55" customFormat="1" ht="30" customHeight="1">
      <c r="A914" s="155"/>
      <c r="B914" s="155"/>
      <c r="C914" s="155"/>
      <c r="D914" s="155"/>
      <c r="E914" s="155"/>
      <c r="F914" s="155"/>
      <c r="G914" s="155"/>
      <c r="H914" s="155"/>
      <c r="I914" s="155"/>
      <c r="J914" s="155"/>
      <c r="K914" s="155"/>
      <c r="L914" s="155"/>
      <c r="M914" s="155"/>
      <c r="N914" s="155"/>
      <c r="O914" s="157"/>
      <c r="P914" s="92"/>
      <c r="Q914" s="145"/>
      <c r="R914" s="92"/>
      <c r="S914" s="145"/>
      <c r="T914" s="92"/>
      <c r="U914" s="145"/>
      <c r="V914" s="92"/>
      <c r="W914" s="145"/>
      <c r="X914" s="92"/>
      <c r="Y914" s="352"/>
      <c r="Z914" s="142" t="str">
        <f t="shared" si="47"/>
        <v/>
      </c>
      <c r="AA914" s="226" t="b">
        <f t="shared" si="48"/>
        <v>0</v>
      </c>
      <c r="AB914" s="9"/>
      <c r="AC914" s="162" t="s">
        <v>6</v>
      </c>
      <c r="AD914" s="153">
        <f t="shared" si="49"/>
        <v>0</v>
      </c>
      <c r="AE914" s="95" t="s">
        <v>64</v>
      </c>
    </row>
    <row r="915" spans="1:31" s="55" customFormat="1" ht="30" customHeight="1">
      <c r="A915" s="155"/>
      <c r="B915" s="155"/>
      <c r="C915" s="155"/>
      <c r="D915" s="155"/>
      <c r="E915" s="155"/>
      <c r="F915" s="155"/>
      <c r="G915" s="155"/>
      <c r="H915" s="155"/>
      <c r="I915" s="155"/>
      <c r="J915" s="155"/>
      <c r="K915" s="155"/>
      <c r="L915" s="155"/>
      <c r="M915" s="155"/>
      <c r="N915" s="155"/>
      <c r="O915" s="157"/>
      <c r="P915" s="92"/>
      <c r="Q915" s="145"/>
      <c r="R915" s="92"/>
      <c r="S915" s="145"/>
      <c r="T915" s="92"/>
      <c r="U915" s="145"/>
      <c r="V915" s="92"/>
      <c r="W915" s="145"/>
      <c r="X915" s="92"/>
      <c r="Y915" s="352"/>
      <c r="Z915" s="142" t="str">
        <f t="shared" si="47"/>
        <v/>
      </c>
      <c r="AA915" s="226" t="b">
        <f t="shared" si="48"/>
        <v>0</v>
      </c>
      <c r="AB915" s="9"/>
      <c r="AC915" s="162" t="s">
        <v>6</v>
      </c>
      <c r="AD915" s="153">
        <f t="shared" si="49"/>
        <v>0</v>
      </c>
      <c r="AE915" s="95" t="s">
        <v>64</v>
      </c>
    </row>
    <row r="916" spans="1:31" s="55" customFormat="1" ht="30" customHeight="1">
      <c r="A916" s="155"/>
      <c r="B916" s="155"/>
      <c r="C916" s="155"/>
      <c r="D916" s="155"/>
      <c r="E916" s="155"/>
      <c r="F916" s="155"/>
      <c r="G916" s="155"/>
      <c r="H916" s="155"/>
      <c r="I916" s="155"/>
      <c r="J916" s="155"/>
      <c r="K916" s="155"/>
      <c r="L916" s="155"/>
      <c r="M916" s="155"/>
      <c r="N916" s="155"/>
      <c r="O916" s="157"/>
      <c r="P916" s="92"/>
      <c r="Q916" s="145"/>
      <c r="R916" s="92"/>
      <c r="S916" s="145"/>
      <c r="T916" s="92"/>
      <c r="U916" s="145"/>
      <c r="V916" s="92"/>
      <c r="W916" s="145"/>
      <c r="X916" s="92"/>
      <c r="Y916" s="352"/>
      <c r="Z916" s="142" t="str">
        <f t="shared" si="47"/>
        <v/>
      </c>
      <c r="AA916" s="226" t="b">
        <f t="shared" si="48"/>
        <v>0</v>
      </c>
      <c r="AB916" s="9"/>
      <c r="AC916" s="162" t="s">
        <v>6</v>
      </c>
      <c r="AD916" s="153">
        <f t="shared" si="49"/>
        <v>0</v>
      </c>
      <c r="AE916" s="95" t="s">
        <v>64</v>
      </c>
    </row>
    <row r="917" spans="1:31" s="55" customFormat="1" ht="30" customHeight="1">
      <c r="A917" s="155"/>
      <c r="B917" s="155"/>
      <c r="C917" s="155"/>
      <c r="D917" s="155"/>
      <c r="E917" s="155"/>
      <c r="F917" s="155"/>
      <c r="G917" s="155"/>
      <c r="H917" s="155"/>
      <c r="I917" s="155"/>
      <c r="J917" s="155"/>
      <c r="K917" s="155"/>
      <c r="L917" s="155"/>
      <c r="M917" s="155"/>
      <c r="N917" s="155"/>
      <c r="O917" s="157"/>
      <c r="P917" s="92"/>
      <c r="Q917" s="145"/>
      <c r="R917" s="92"/>
      <c r="S917" s="145"/>
      <c r="T917" s="92"/>
      <c r="U917" s="145"/>
      <c r="V917" s="92"/>
      <c r="W917" s="145"/>
      <c r="X917" s="92"/>
      <c r="Y917" s="352"/>
      <c r="Z917" s="142" t="str">
        <f t="shared" si="47"/>
        <v/>
      </c>
      <c r="AA917" s="226" t="b">
        <f t="shared" si="48"/>
        <v>0</v>
      </c>
      <c r="AB917" s="9"/>
      <c r="AC917" s="162" t="s">
        <v>6</v>
      </c>
      <c r="AD917" s="153">
        <f t="shared" si="49"/>
        <v>0</v>
      </c>
      <c r="AE917" s="95" t="s">
        <v>64</v>
      </c>
    </row>
    <row r="918" spans="1:31" s="55" customFormat="1" ht="30" customHeight="1">
      <c r="A918" s="155"/>
      <c r="B918" s="155"/>
      <c r="C918" s="155"/>
      <c r="D918" s="155"/>
      <c r="E918" s="155"/>
      <c r="F918" s="155"/>
      <c r="G918" s="155"/>
      <c r="H918" s="155"/>
      <c r="I918" s="155"/>
      <c r="J918" s="155"/>
      <c r="K918" s="155"/>
      <c r="L918" s="155"/>
      <c r="M918" s="155"/>
      <c r="N918" s="155"/>
      <c r="O918" s="157"/>
      <c r="P918" s="92"/>
      <c r="Q918" s="145"/>
      <c r="R918" s="92"/>
      <c r="S918" s="145"/>
      <c r="T918" s="92"/>
      <c r="U918" s="145"/>
      <c r="V918" s="92"/>
      <c r="W918" s="145"/>
      <c r="X918" s="92"/>
      <c r="Y918" s="352"/>
      <c r="Z918" s="142" t="str">
        <f t="shared" si="47"/>
        <v/>
      </c>
      <c r="AA918" s="226" t="b">
        <f t="shared" si="48"/>
        <v>0</v>
      </c>
      <c r="AB918" s="9"/>
      <c r="AC918" s="162" t="s">
        <v>6</v>
      </c>
      <c r="AD918" s="153">
        <f t="shared" si="49"/>
        <v>0</v>
      </c>
      <c r="AE918" s="95" t="s">
        <v>64</v>
      </c>
    </row>
    <row r="919" spans="1:31" s="55" customFormat="1" ht="30" customHeight="1">
      <c r="A919" s="155"/>
      <c r="B919" s="155"/>
      <c r="C919" s="155"/>
      <c r="D919" s="155"/>
      <c r="E919" s="155"/>
      <c r="F919" s="155"/>
      <c r="G919" s="155"/>
      <c r="H919" s="155"/>
      <c r="I919" s="155"/>
      <c r="J919" s="155"/>
      <c r="K919" s="155"/>
      <c r="L919" s="155"/>
      <c r="M919" s="155"/>
      <c r="N919" s="155"/>
      <c r="O919" s="157"/>
      <c r="P919" s="92"/>
      <c r="Q919" s="145"/>
      <c r="R919" s="92"/>
      <c r="S919" s="145"/>
      <c r="T919" s="92"/>
      <c r="U919" s="145"/>
      <c r="V919" s="92"/>
      <c r="W919" s="145"/>
      <c r="X919" s="92"/>
      <c r="Y919" s="352"/>
      <c r="Z919" s="142" t="str">
        <f t="shared" si="47"/>
        <v/>
      </c>
      <c r="AA919" s="226" t="b">
        <f t="shared" si="48"/>
        <v>0</v>
      </c>
      <c r="AB919" s="9"/>
      <c r="AC919" s="162" t="s">
        <v>6</v>
      </c>
      <c r="AD919" s="153">
        <f t="shared" si="49"/>
        <v>0</v>
      </c>
      <c r="AE919" s="95" t="s">
        <v>64</v>
      </c>
    </row>
    <row r="920" spans="1:31" s="55" customFormat="1" ht="30" customHeight="1">
      <c r="A920" s="155"/>
      <c r="B920" s="155"/>
      <c r="C920" s="155"/>
      <c r="D920" s="155"/>
      <c r="E920" s="155"/>
      <c r="F920" s="155"/>
      <c r="G920" s="155"/>
      <c r="H920" s="155"/>
      <c r="I920" s="155"/>
      <c r="J920" s="155"/>
      <c r="K920" s="155"/>
      <c r="L920" s="155"/>
      <c r="M920" s="155"/>
      <c r="N920" s="155"/>
      <c r="O920" s="157"/>
      <c r="P920" s="92"/>
      <c r="Q920" s="145"/>
      <c r="R920" s="92"/>
      <c r="S920" s="145"/>
      <c r="T920" s="92"/>
      <c r="U920" s="145"/>
      <c r="V920" s="92"/>
      <c r="W920" s="145"/>
      <c r="X920" s="92"/>
      <c r="Y920" s="352"/>
      <c r="Z920" s="142" t="str">
        <f t="shared" si="47"/>
        <v/>
      </c>
      <c r="AA920" s="226" t="b">
        <f t="shared" si="48"/>
        <v>0</v>
      </c>
      <c r="AB920" s="9"/>
      <c r="AC920" s="162" t="s">
        <v>6</v>
      </c>
      <c r="AD920" s="153">
        <f t="shared" si="49"/>
        <v>0</v>
      </c>
      <c r="AE920" s="95" t="s">
        <v>64</v>
      </c>
    </row>
    <row r="921" spans="1:31" s="55" customFormat="1" ht="30" customHeight="1">
      <c r="A921" s="155"/>
      <c r="B921" s="155"/>
      <c r="C921" s="155"/>
      <c r="D921" s="155"/>
      <c r="E921" s="155"/>
      <c r="F921" s="155"/>
      <c r="G921" s="155"/>
      <c r="H921" s="155"/>
      <c r="I921" s="155"/>
      <c r="J921" s="155"/>
      <c r="K921" s="155"/>
      <c r="L921" s="155"/>
      <c r="M921" s="155"/>
      <c r="N921" s="155"/>
      <c r="O921" s="157"/>
      <c r="P921" s="92"/>
      <c r="Q921" s="145"/>
      <c r="R921" s="92"/>
      <c r="S921" s="145"/>
      <c r="T921" s="92"/>
      <c r="U921" s="145"/>
      <c r="V921" s="92"/>
      <c r="W921" s="145"/>
      <c r="X921" s="92"/>
      <c r="Y921" s="352"/>
      <c r="Z921" s="142" t="str">
        <f t="shared" si="47"/>
        <v/>
      </c>
      <c r="AA921" s="226" t="b">
        <f t="shared" si="48"/>
        <v>0</v>
      </c>
      <c r="AB921" s="9"/>
      <c r="AC921" s="162" t="s">
        <v>6</v>
      </c>
      <c r="AD921" s="153">
        <f t="shared" si="49"/>
        <v>0</v>
      </c>
      <c r="AE921" s="95" t="s">
        <v>64</v>
      </c>
    </row>
    <row r="922" spans="1:31" s="55" customFormat="1" ht="30" customHeight="1">
      <c r="A922" s="155"/>
      <c r="B922" s="155"/>
      <c r="C922" s="155"/>
      <c r="D922" s="155"/>
      <c r="E922" s="155"/>
      <c r="F922" s="155"/>
      <c r="G922" s="155"/>
      <c r="H922" s="155"/>
      <c r="I922" s="155"/>
      <c r="J922" s="155"/>
      <c r="K922" s="155"/>
      <c r="L922" s="155"/>
      <c r="M922" s="155"/>
      <c r="N922" s="155"/>
      <c r="O922" s="157"/>
      <c r="P922" s="92"/>
      <c r="Q922" s="145"/>
      <c r="R922" s="92"/>
      <c r="S922" s="145"/>
      <c r="T922" s="92"/>
      <c r="U922" s="145"/>
      <c r="V922" s="92"/>
      <c r="W922" s="145"/>
      <c r="X922" s="92"/>
      <c r="Y922" s="352"/>
      <c r="Z922" s="142" t="str">
        <f t="shared" si="47"/>
        <v/>
      </c>
      <c r="AA922" s="226" t="b">
        <f t="shared" si="48"/>
        <v>0</v>
      </c>
      <c r="AB922" s="9"/>
      <c r="AC922" s="162" t="s">
        <v>6</v>
      </c>
      <c r="AD922" s="153">
        <f t="shared" si="49"/>
        <v>0</v>
      </c>
      <c r="AE922" s="95" t="s">
        <v>64</v>
      </c>
    </row>
    <row r="923" spans="1:31" s="55" customFormat="1" ht="30" customHeight="1">
      <c r="A923" s="155"/>
      <c r="B923" s="155"/>
      <c r="C923" s="155"/>
      <c r="D923" s="155"/>
      <c r="E923" s="155"/>
      <c r="F923" s="155"/>
      <c r="G923" s="155"/>
      <c r="H923" s="155"/>
      <c r="I923" s="155"/>
      <c r="J923" s="155"/>
      <c r="K923" s="155"/>
      <c r="L923" s="155"/>
      <c r="M923" s="155"/>
      <c r="N923" s="155"/>
      <c r="O923" s="157"/>
      <c r="P923" s="92"/>
      <c r="Q923" s="145"/>
      <c r="R923" s="92"/>
      <c r="S923" s="145"/>
      <c r="T923" s="92"/>
      <c r="U923" s="145"/>
      <c r="V923" s="92"/>
      <c r="W923" s="145"/>
      <c r="X923" s="92"/>
      <c r="Y923" s="352"/>
      <c r="Z923" s="142" t="str">
        <f t="shared" si="47"/>
        <v/>
      </c>
      <c r="AA923" s="226" t="b">
        <f t="shared" si="48"/>
        <v>0</v>
      </c>
      <c r="AB923" s="9"/>
      <c r="AC923" s="162" t="s">
        <v>6</v>
      </c>
      <c r="AD923" s="153">
        <f t="shared" si="49"/>
        <v>0</v>
      </c>
      <c r="AE923" s="95" t="s">
        <v>64</v>
      </c>
    </row>
    <row r="924" spans="1:31" s="55" customFormat="1" ht="30" customHeight="1">
      <c r="A924" s="155"/>
      <c r="B924" s="155"/>
      <c r="C924" s="155"/>
      <c r="D924" s="155"/>
      <c r="E924" s="155"/>
      <c r="F924" s="155"/>
      <c r="G924" s="155"/>
      <c r="H924" s="155"/>
      <c r="I924" s="155"/>
      <c r="J924" s="155"/>
      <c r="K924" s="155"/>
      <c r="L924" s="155"/>
      <c r="M924" s="155"/>
      <c r="N924" s="155"/>
      <c r="O924" s="157"/>
      <c r="P924" s="92"/>
      <c r="Q924" s="145"/>
      <c r="R924" s="92"/>
      <c r="S924" s="145"/>
      <c r="T924" s="92"/>
      <c r="U924" s="145"/>
      <c r="V924" s="92"/>
      <c r="W924" s="145"/>
      <c r="X924" s="92"/>
      <c r="Y924" s="352"/>
      <c r="Z924" s="142" t="str">
        <f t="shared" si="47"/>
        <v/>
      </c>
      <c r="AA924" s="226" t="b">
        <f t="shared" si="48"/>
        <v>0</v>
      </c>
      <c r="AB924" s="9"/>
      <c r="AC924" s="162" t="s">
        <v>6</v>
      </c>
      <c r="AD924" s="153">
        <f t="shared" si="49"/>
        <v>0</v>
      </c>
      <c r="AE924" s="95" t="s">
        <v>64</v>
      </c>
    </row>
    <row r="925" spans="1:31" s="55" customFormat="1" ht="30" customHeight="1">
      <c r="A925" s="155"/>
      <c r="B925" s="155"/>
      <c r="C925" s="155"/>
      <c r="D925" s="155"/>
      <c r="E925" s="155"/>
      <c r="F925" s="155"/>
      <c r="G925" s="155"/>
      <c r="H925" s="155"/>
      <c r="I925" s="155"/>
      <c r="J925" s="155"/>
      <c r="K925" s="155"/>
      <c r="L925" s="155"/>
      <c r="M925" s="155"/>
      <c r="N925" s="155"/>
      <c r="O925" s="157"/>
      <c r="P925" s="92"/>
      <c r="Q925" s="145"/>
      <c r="R925" s="92"/>
      <c r="S925" s="145"/>
      <c r="T925" s="92"/>
      <c r="U925" s="145"/>
      <c r="V925" s="92"/>
      <c r="W925" s="145"/>
      <c r="X925" s="92"/>
      <c r="Y925" s="352"/>
      <c r="Z925" s="142" t="str">
        <f t="shared" si="47"/>
        <v/>
      </c>
      <c r="AA925" s="226" t="b">
        <f t="shared" si="48"/>
        <v>0</v>
      </c>
      <c r="AB925" s="9"/>
      <c r="AC925" s="162" t="s">
        <v>6</v>
      </c>
      <c r="AD925" s="153">
        <f t="shared" si="49"/>
        <v>0</v>
      </c>
      <c r="AE925" s="95" t="s">
        <v>64</v>
      </c>
    </row>
    <row r="926" spans="1:31" s="55" customFormat="1" ht="30" customHeight="1">
      <c r="A926" s="155"/>
      <c r="B926" s="155"/>
      <c r="C926" s="155"/>
      <c r="D926" s="155"/>
      <c r="E926" s="155"/>
      <c r="F926" s="155"/>
      <c r="G926" s="155"/>
      <c r="H926" s="155"/>
      <c r="I926" s="155"/>
      <c r="J926" s="155"/>
      <c r="K926" s="155"/>
      <c r="L926" s="155"/>
      <c r="M926" s="155"/>
      <c r="N926" s="155"/>
      <c r="O926" s="157"/>
      <c r="P926" s="92"/>
      <c r="Q926" s="145"/>
      <c r="R926" s="92"/>
      <c r="S926" s="145"/>
      <c r="T926" s="92"/>
      <c r="U926" s="145"/>
      <c r="V926" s="92"/>
      <c r="W926" s="145"/>
      <c r="X926" s="92"/>
      <c r="Y926" s="352"/>
      <c r="Z926" s="142" t="str">
        <f t="shared" si="47"/>
        <v/>
      </c>
      <c r="AA926" s="226" t="b">
        <f t="shared" si="48"/>
        <v>0</v>
      </c>
      <c r="AB926" s="9"/>
      <c r="AC926" s="162" t="s">
        <v>6</v>
      </c>
      <c r="AD926" s="153">
        <f t="shared" si="49"/>
        <v>0</v>
      </c>
      <c r="AE926" s="95" t="s">
        <v>64</v>
      </c>
    </row>
    <row r="927" spans="1:31" s="55" customFormat="1" ht="30" customHeight="1">
      <c r="A927" s="155"/>
      <c r="B927" s="155"/>
      <c r="C927" s="155"/>
      <c r="D927" s="155"/>
      <c r="E927" s="155"/>
      <c r="F927" s="155"/>
      <c r="G927" s="155"/>
      <c r="H927" s="155"/>
      <c r="I927" s="155"/>
      <c r="J927" s="155"/>
      <c r="K927" s="155"/>
      <c r="L927" s="155"/>
      <c r="M927" s="155"/>
      <c r="N927" s="155"/>
      <c r="O927" s="157"/>
      <c r="P927" s="92"/>
      <c r="Q927" s="145"/>
      <c r="R927" s="92"/>
      <c r="S927" s="145"/>
      <c r="T927" s="92"/>
      <c r="U927" s="145"/>
      <c r="V927" s="92"/>
      <c r="W927" s="145"/>
      <c r="X927" s="92"/>
      <c r="Y927" s="352"/>
      <c r="Z927" s="142" t="str">
        <f t="shared" si="47"/>
        <v/>
      </c>
      <c r="AA927" s="226" t="b">
        <f t="shared" si="48"/>
        <v>0</v>
      </c>
      <c r="AB927" s="9"/>
      <c r="AC927" s="162" t="s">
        <v>6</v>
      </c>
      <c r="AD927" s="153">
        <f t="shared" si="49"/>
        <v>0</v>
      </c>
      <c r="AE927" s="95" t="s">
        <v>64</v>
      </c>
    </row>
    <row r="928" spans="1:31" s="55" customFormat="1" ht="30" customHeight="1">
      <c r="A928" s="155"/>
      <c r="B928" s="155"/>
      <c r="C928" s="155"/>
      <c r="D928" s="155"/>
      <c r="E928" s="155"/>
      <c r="F928" s="155"/>
      <c r="G928" s="155"/>
      <c r="H928" s="155"/>
      <c r="I928" s="155"/>
      <c r="J928" s="155"/>
      <c r="K928" s="155"/>
      <c r="L928" s="155"/>
      <c r="M928" s="155"/>
      <c r="N928" s="155"/>
      <c r="O928" s="157"/>
      <c r="P928" s="92"/>
      <c r="Q928" s="145"/>
      <c r="R928" s="92"/>
      <c r="S928" s="145"/>
      <c r="T928" s="92"/>
      <c r="U928" s="145"/>
      <c r="V928" s="92"/>
      <c r="W928" s="145"/>
      <c r="X928" s="92"/>
      <c r="Y928" s="352"/>
      <c r="Z928" s="142" t="str">
        <f t="shared" si="47"/>
        <v/>
      </c>
      <c r="AA928" s="226" t="b">
        <f t="shared" si="48"/>
        <v>0</v>
      </c>
      <c r="AB928" s="9"/>
      <c r="AC928" s="162" t="s">
        <v>6</v>
      </c>
      <c r="AD928" s="153">
        <f t="shared" si="49"/>
        <v>0</v>
      </c>
      <c r="AE928" s="95" t="s">
        <v>64</v>
      </c>
    </row>
    <row r="929" spans="1:31" s="55" customFormat="1" ht="30" customHeight="1">
      <c r="A929" s="155"/>
      <c r="B929" s="155"/>
      <c r="C929" s="155"/>
      <c r="D929" s="155"/>
      <c r="E929" s="155"/>
      <c r="F929" s="155"/>
      <c r="G929" s="155"/>
      <c r="H929" s="155"/>
      <c r="I929" s="155"/>
      <c r="J929" s="155"/>
      <c r="K929" s="155"/>
      <c r="L929" s="155"/>
      <c r="M929" s="155"/>
      <c r="N929" s="155"/>
      <c r="O929" s="157"/>
      <c r="P929" s="92"/>
      <c r="Q929" s="145"/>
      <c r="R929" s="92"/>
      <c r="S929" s="145"/>
      <c r="T929" s="92"/>
      <c r="U929" s="145"/>
      <c r="V929" s="92"/>
      <c r="W929" s="145"/>
      <c r="X929" s="92"/>
      <c r="Y929" s="352"/>
      <c r="Z929" s="142" t="str">
        <f t="shared" si="47"/>
        <v/>
      </c>
      <c r="AA929" s="226" t="b">
        <f t="shared" si="48"/>
        <v>0</v>
      </c>
      <c r="AB929" s="9"/>
      <c r="AC929" s="162" t="s">
        <v>6</v>
      </c>
      <c r="AD929" s="153">
        <f t="shared" si="49"/>
        <v>0</v>
      </c>
      <c r="AE929" s="95" t="s">
        <v>64</v>
      </c>
    </row>
    <row r="930" spans="1:31" s="55" customFormat="1" ht="30" customHeight="1">
      <c r="A930" s="155"/>
      <c r="B930" s="155"/>
      <c r="C930" s="155"/>
      <c r="D930" s="155"/>
      <c r="E930" s="155"/>
      <c r="F930" s="155"/>
      <c r="G930" s="155"/>
      <c r="H930" s="155"/>
      <c r="I930" s="155"/>
      <c r="J930" s="155"/>
      <c r="K930" s="155"/>
      <c r="L930" s="155"/>
      <c r="M930" s="155"/>
      <c r="N930" s="155"/>
      <c r="O930" s="157"/>
      <c r="P930" s="92"/>
      <c r="Q930" s="145"/>
      <c r="R930" s="92"/>
      <c r="S930" s="145"/>
      <c r="T930" s="92"/>
      <c r="U930" s="145"/>
      <c r="V930" s="92"/>
      <c r="W930" s="145"/>
      <c r="X930" s="92"/>
      <c r="Y930" s="352"/>
      <c r="Z930" s="142" t="str">
        <f t="shared" si="47"/>
        <v/>
      </c>
      <c r="AA930" s="226" t="b">
        <f t="shared" si="48"/>
        <v>0</v>
      </c>
      <c r="AB930" s="9"/>
      <c r="AC930" s="162" t="s">
        <v>6</v>
      </c>
      <c r="AD930" s="153">
        <f t="shared" si="49"/>
        <v>0</v>
      </c>
      <c r="AE930" s="95" t="s">
        <v>64</v>
      </c>
    </row>
    <row r="931" spans="1:31" s="55" customFormat="1" ht="30" customHeight="1">
      <c r="A931" s="155"/>
      <c r="B931" s="155"/>
      <c r="C931" s="155"/>
      <c r="D931" s="155"/>
      <c r="E931" s="155"/>
      <c r="F931" s="155"/>
      <c r="G931" s="155"/>
      <c r="H931" s="155"/>
      <c r="I931" s="155"/>
      <c r="J931" s="155"/>
      <c r="K931" s="155"/>
      <c r="L931" s="155"/>
      <c r="M931" s="155"/>
      <c r="N931" s="155"/>
      <c r="O931" s="157"/>
      <c r="P931" s="92"/>
      <c r="Q931" s="145"/>
      <c r="R931" s="92"/>
      <c r="S931" s="145"/>
      <c r="T931" s="92"/>
      <c r="U931" s="145"/>
      <c r="V931" s="92"/>
      <c r="W931" s="145"/>
      <c r="X931" s="92"/>
      <c r="Y931" s="352"/>
      <c r="Z931" s="142" t="str">
        <f t="shared" si="47"/>
        <v/>
      </c>
      <c r="AA931" s="226" t="b">
        <f t="shared" si="48"/>
        <v>0</v>
      </c>
      <c r="AB931" s="9"/>
      <c r="AC931" s="162" t="s">
        <v>6</v>
      </c>
      <c r="AD931" s="153">
        <f t="shared" si="49"/>
        <v>0</v>
      </c>
      <c r="AE931" s="95" t="s">
        <v>64</v>
      </c>
    </row>
    <row r="932" spans="1:31" s="55" customFormat="1" ht="30" customHeight="1">
      <c r="A932" s="155"/>
      <c r="B932" s="155"/>
      <c r="C932" s="155"/>
      <c r="D932" s="155"/>
      <c r="E932" s="155"/>
      <c r="F932" s="155"/>
      <c r="G932" s="155"/>
      <c r="H932" s="155"/>
      <c r="I932" s="155"/>
      <c r="J932" s="155"/>
      <c r="K932" s="155"/>
      <c r="L932" s="155"/>
      <c r="M932" s="155"/>
      <c r="N932" s="155"/>
      <c r="O932" s="157"/>
      <c r="P932" s="92"/>
      <c r="Q932" s="145"/>
      <c r="R932" s="92"/>
      <c r="S932" s="145"/>
      <c r="T932" s="92"/>
      <c r="U932" s="145"/>
      <c r="V932" s="92"/>
      <c r="W932" s="145"/>
      <c r="X932" s="92"/>
      <c r="Y932" s="352"/>
      <c r="Z932" s="142" t="str">
        <f t="shared" si="47"/>
        <v/>
      </c>
      <c r="AA932" s="226" t="b">
        <f t="shared" si="48"/>
        <v>0</v>
      </c>
      <c r="AB932" s="9"/>
      <c r="AC932" s="162" t="s">
        <v>6</v>
      </c>
      <c r="AD932" s="153">
        <f t="shared" si="49"/>
        <v>0</v>
      </c>
      <c r="AE932" s="95" t="s">
        <v>64</v>
      </c>
    </row>
    <row r="933" spans="1:31" s="55" customFormat="1" ht="30" customHeight="1">
      <c r="A933" s="155"/>
      <c r="B933" s="155"/>
      <c r="C933" s="155"/>
      <c r="D933" s="155"/>
      <c r="E933" s="155"/>
      <c r="F933" s="155"/>
      <c r="G933" s="155"/>
      <c r="H933" s="155"/>
      <c r="I933" s="155"/>
      <c r="J933" s="155"/>
      <c r="K933" s="155"/>
      <c r="L933" s="155"/>
      <c r="M933" s="155"/>
      <c r="N933" s="155"/>
      <c r="O933" s="157"/>
      <c r="P933" s="92"/>
      <c r="Q933" s="145"/>
      <c r="R933" s="92"/>
      <c r="S933" s="145"/>
      <c r="T933" s="92"/>
      <c r="U933" s="145"/>
      <c r="V933" s="92"/>
      <c r="W933" s="145"/>
      <c r="X933" s="92"/>
      <c r="Y933" s="352"/>
      <c r="Z933" s="142" t="str">
        <f t="shared" si="47"/>
        <v/>
      </c>
      <c r="AA933" s="226" t="b">
        <f t="shared" si="48"/>
        <v>0</v>
      </c>
      <c r="AB933" s="9"/>
      <c r="AC933" s="162" t="s">
        <v>6</v>
      </c>
      <c r="AD933" s="153">
        <f t="shared" si="49"/>
        <v>0</v>
      </c>
      <c r="AE933" s="95" t="s">
        <v>64</v>
      </c>
    </row>
    <row r="934" spans="1:31" s="55" customFormat="1" ht="30" customHeight="1">
      <c r="A934" s="155"/>
      <c r="B934" s="155"/>
      <c r="C934" s="155"/>
      <c r="D934" s="155"/>
      <c r="E934" s="155"/>
      <c r="F934" s="155"/>
      <c r="G934" s="155"/>
      <c r="H934" s="155"/>
      <c r="I934" s="155"/>
      <c r="J934" s="155"/>
      <c r="K934" s="155"/>
      <c r="L934" s="155"/>
      <c r="M934" s="155"/>
      <c r="N934" s="155"/>
      <c r="O934" s="157"/>
      <c r="P934" s="92"/>
      <c r="Q934" s="145"/>
      <c r="R934" s="92"/>
      <c r="S934" s="145"/>
      <c r="T934" s="92"/>
      <c r="U934" s="145"/>
      <c r="V934" s="92"/>
      <c r="W934" s="145"/>
      <c r="X934" s="92"/>
      <c r="Y934" s="352"/>
      <c r="Z934" s="142" t="str">
        <f t="shared" si="47"/>
        <v/>
      </c>
      <c r="AA934" s="226" t="b">
        <f t="shared" si="48"/>
        <v>0</v>
      </c>
      <c r="AB934" s="9"/>
      <c r="AC934" s="162" t="s">
        <v>6</v>
      </c>
      <c r="AD934" s="153">
        <f t="shared" si="49"/>
        <v>0</v>
      </c>
      <c r="AE934" s="95" t="s">
        <v>64</v>
      </c>
    </row>
    <row r="935" spans="1:31" s="55" customFormat="1" ht="30" customHeight="1">
      <c r="A935" s="155"/>
      <c r="B935" s="155"/>
      <c r="C935" s="155"/>
      <c r="D935" s="155"/>
      <c r="E935" s="155"/>
      <c r="F935" s="155"/>
      <c r="G935" s="155"/>
      <c r="H935" s="155"/>
      <c r="I935" s="155"/>
      <c r="J935" s="155"/>
      <c r="K935" s="155"/>
      <c r="L935" s="155"/>
      <c r="M935" s="155"/>
      <c r="N935" s="155"/>
      <c r="O935" s="157"/>
      <c r="P935" s="92"/>
      <c r="Q935" s="145"/>
      <c r="R935" s="92"/>
      <c r="S935" s="145"/>
      <c r="T935" s="92"/>
      <c r="U935" s="145"/>
      <c r="V935" s="92"/>
      <c r="W935" s="145"/>
      <c r="X935" s="92"/>
      <c r="Y935" s="352"/>
      <c r="Z935" s="142" t="str">
        <f t="shared" si="47"/>
        <v/>
      </c>
      <c r="AA935" s="226" t="b">
        <f t="shared" si="48"/>
        <v>0</v>
      </c>
      <c r="AB935" s="9"/>
      <c r="AC935" s="162" t="s">
        <v>6</v>
      </c>
      <c r="AD935" s="153">
        <f t="shared" si="49"/>
        <v>0</v>
      </c>
      <c r="AE935" s="95" t="s">
        <v>64</v>
      </c>
    </row>
    <row r="936" spans="1:31" s="55" customFormat="1" ht="30" customHeight="1">
      <c r="A936" s="155"/>
      <c r="B936" s="155"/>
      <c r="C936" s="155"/>
      <c r="D936" s="155"/>
      <c r="E936" s="155"/>
      <c r="F936" s="155"/>
      <c r="G936" s="155"/>
      <c r="H936" s="155"/>
      <c r="I936" s="155"/>
      <c r="J936" s="155"/>
      <c r="K936" s="155"/>
      <c r="L936" s="155"/>
      <c r="M936" s="155"/>
      <c r="N936" s="155"/>
      <c r="O936" s="157"/>
      <c r="P936" s="92"/>
      <c r="Q936" s="145"/>
      <c r="R936" s="92"/>
      <c r="S936" s="145"/>
      <c r="T936" s="92"/>
      <c r="U936" s="145"/>
      <c r="V936" s="92"/>
      <c r="W936" s="145"/>
      <c r="X936" s="92"/>
      <c r="Y936" s="352"/>
      <c r="Z936" s="142" t="str">
        <f t="shared" si="47"/>
        <v/>
      </c>
      <c r="AA936" s="226" t="b">
        <f t="shared" si="48"/>
        <v>0</v>
      </c>
      <c r="AB936" s="9"/>
      <c r="AC936" s="162" t="s">
        <v>6</v>
      </c>
      <c r="AD936" s="153">
        <f t="shared" si="49"/>
        <v>0</v>
      </c>
      <c r="AE936" s="95" t="s">
        <v>64</v>
      </c>
    </row>
    <row r="937" spans="1:31" s="55" customFormat="1" ht="30" customHeight="1">
      <c r="A937" s="155"/>
      <c r="B937" s="155"/>
      <c r="C937" s="155"/>
      <c r="D937" s="155"/>
      <c r="E937" s="155"/>
      <c r="F937" s="155"/>
      <c r="G937" s="155"/>
      <c r="H937" s="155"/>
      <c r="I937" s="155"/>
      <c r="J937" s="155"/>
      <c r="K937" s="155"/>
      <c r="L937" s="155"/>
      <c r="M937" s="155"/>
      <c r="N937" s="155"/>
      <c r="O937" s="157"/>
      <c r="P937" s="92"/>
      <c r="Q937" s="145"/>
      <c r="R937" s="92"/>
      <c r="S937" s="145"/>
      <c r="T937" s="92"/>
      <c r="U937" s="145"/>
      <c r="V937" s="92"/>
      <c r="W937" s="145"/>
      <c r="X937" s="92"/>
      <c r="Y937" s="352"/>
      <c r="Z937" s="142" t="str">
        <f t="shared" si="47"/>
        <v/>
      </c>
      <c r="AA937" s="226" t="b">
        <f t="shared" si="48"/>
        <v>0</v>
      </c>
      <c r="AB937" s="9"/>
      <c r="AC937" s="162" t="s">
        <v>6</v>
      </c>
      <c r="AD937" s="153">
        <f t="shared" si="49"/>
        <v>0</v>
      </c>
      <c r="AE937" s="95" t="s">
        <v>64</v>
      </c>
    </row>
    <row r="938" spans="1:31" s="55" customFormat="1" ht="30" customHeight="1">
      <c r="A938" s="155"/>
      <c r="B938" s="155"/>
      <c r="C938" s="155"/>
      <c r="D938" s="155"/>
      <c r="E938" s="155"/>
      <c r="F938" s="155"/>
      <c r="G938" s="155"/>
      <c r="H938" s="155"/>
      <c r="I938" s="155"/>
      <c r="J938" s="155"/>
      <c r="K938" s="155"/>
      <c r="L938" s="155"/>
      <c r="M938" s="155"/>
      <c r="N938" s="155"/>
      <c r="O938" s="157"/>
      <c r="P938" s="92"/>
      <c r="Q938" s="145"/>
      <c r="R938" s="92"/>
      <c r="S938" s="145"/>
      <c r="T938" s="92"/>
      <c r="U938" s="145"/>
      <c r="V938" s="92"/>
      <c r="W938" s="145"/>
      <c r="X938" s="92"/>
      <c r="Y938" s="352"/>
      <c r="Z938" s="142" t="str">
        <f t="shared" si="47"/>
        <v/>
      </c>
      <c r="AA938" s="226" t="b">
        <f t="shared" si="48"/>
        <v>0</v>
      </c>
      <c r="AB938" s="9"/>
      <c r="AC938" s="162" t="s">
        <v>6</v>
      </c>
      <c r="AD938" s="153">
        <f t="shared" si="49"/>
        <v>0</v>
      </c>
      <c r="AE938" s="95" t="s">
        <v>64</v>
      </c>
    </row>
    <row r="939" spans="1:31" s="55" customFormat="1" ht="30" customHeight="1">
      <c r="A939" s="155"/>
      <c r="B939" s="155"/>
      <c r="C939" s="155"/>
      <c r="D939" s="155"/>
      <c r="E939" s="155"/>
      <c r="F939" s="155"/>
      <c r="G939" s="155"/>
      <c r="H939" s="155"/>
      <c r="I939" s="155"/>
      <c r="J939" s="155"/>
      <c r="K939" s="155"/>
      <c r="L939" s="155"/>
      <c r="M939" s="155"/>
      <c r="N939" s="155"/>
      <c r="O939" s="157"/>
      <c r="P939" s="92"/>
      <c r="Q939" s="145"/>
      <c r="R939" s="92"/>
      <c r="S939" s="145"/>
      <c r="T939" s="92"/>
      <c r="U939" s="145"/>
      <c r="V939" s="92"/>
      <c r="W939" s="145"/>
      <c r="X939" s="92"/>
      <c r="Y939" s="352"/>
      <c r="Z939" s="142" t="str">
        <f t="shared" si="47"/>
        <v/>
      </c>
      <c r="AA939" s="226" t="b">
        <f t="shared" si="48"/>
        <v>0</v>
      </c>
      <c r="AB939" s="9"/>
      <c r="AC939" s="162" t="s">
        <v>6</v>
      </c>
      <c r="AD939" s="153">
        <f t="shared" si="49"/>
        <v>0</v>
      </c>
      <c r="AE939" s="95" t="s">
        <v>64</v>
      </c>
    </row>
    <row r="940" spans="1:31" s="55" customFormat="1" ht="30" customHeight="1">
      <c r="A940" s="155"/>
      <c r="B940" s="155"/>
      <c r="C940" s="155"/>
      <c r="D940" s="155"/>
      <c r="E940" s="155"/>
      <c r="F940" s="155"/>
      <c r="G940" s="155"/>
      <c r="H940" s="155"/>
      <c r="I940" s="155"/>
      <c r="J940" s="155"/>
      <c r="K940" s="155"/>
      <c r="L940" s="155"/>
      <c r="M940" s="155"/>
      <c r="N940" s="155"/>
      <c r="O940" s="157"/>
      <c r="P940" s="92"/>
      <c r="Q940" s="145"/>
      <c r="R940" s="92"/>
      <c r="S940" s="145"/>
      <c r="T940" s="92"/>
      <c r="U940" s="145"/>
      <c r="V940" s="92"/>
      <c r="W940" s="145"/>
      <c r="X940" s="92"/>
      <c r="Y940" s="352"/>
      <c r="Z940" s="142" t="str">
        <f t="shared" si="47"/>
        <v/>
      </c>
      <c r="AA940" s="226" t="b">
        <f t="shared" si="48"/>
        <v>0</v>
      </c>
      <c r="AB940" s="9"/>
      <c r="AC940" s="162" t="s">
        <v>6</v>
      </c>
      <c r="AD940" s="153">
        <f t="shared" si="49"/>
        <v>0</v>
      </c>
      <c r="AE940" s="95" t="s">
        <v>64</v>
      </c>
    </row>
    <row r="941" spans="1:31" s="55" customFormat="1" ht="30" customHeight="1">
      <c r="A941" s="155"/>
      <c r="B941" s="155"/>
      <c r="C941" s="155"/>
      <c r="D941" s="155"/>
      <c r="E941" s="155"/>
      <c r="F941" s="155"/>
      <c r="G941" s="155"/>
      <c r="H941" s="155"/>
      <c r="I941" s="155"/>
      <c r="J941" s="155"/>
      <c r="K941" s="155"/>
      <c r="L941" s="155"/>
      <c r="M941" s="155"/>
      <c r="N941" s="155"/>
      <c r="O941" s="157"/>
      <c r="P941" s="92"/>
      <c r="Q941" s="145"/>
      <c r="R941" s="92"/>
      <c r="S941" s="145"/>
      <c r="T941" s="92"/>
      <c r="U941" s="145"/>
      <c r="V941" s="92"/>
      <c r="W941" s="145"/>
      <c r="X941" s="92"/>
      <c r="Y941" s="352"/>
      <c r="Z941" s="142" t="str">
        <f t="shared" si="47"/>
        <v/>
      </c>
      <c r="AA941" s="226" t="b">
        <f t="shared" si="48"/>
        <v>0</v>
      </c>
      <c r="AB941" s="9"/>
      <c r="AC941" s="162" t="s">
        <v>6</v>
      </c>
      <c r="AD941" s="153">
        <f t="shared" si="49"/>
        <v>0</v>
      </c>
      <c r="AE941" s="95" t="s">
        <v>64</v>
      </c>
    </row>
    <row r="942" spans="1:31" s="55" customFormat="1" ht="30" customHeight="1">
      <c r="A942" s="155"/>
      <c r="B942" s="155"/>
      <c r="C942" s="155"/>
      <c r="D942" s="155"/>
      <c r="E942" s="155"/>
      <c r="F942" s="155"/>
      <c r="G942" s="155"/>
      <c r="H942" s="155"/>
      <c r="I942" s="155"/>
      <c r="J942" s="155"/>
      <c r="K942" s="155"/>
      <c r="L942" s="155"/>
      <c r="M942" s="155"/>
      <c r="N942" s="155"/>
      <c r="O942" s="157"/>
      <c r="P942" s="92"/>
      <c r="Q942" s="145"/>
      <c r="R942" s="92"/>
      <c r="S942" s="145"/>
      <c r="T942" s="92"/>
      <c r="U942" s="145"/>
      <c r="V942" s="92"/>
      <c r="W942" s="145"/>
      <c r="X942" s="92"/>
      <c r="Y942" s="352"/>
      <c r="Z942" s="142" t="str">
        <f t="shared" si="47"/>
        <v/>
      </c>
      <c r="AA942" s="226" t="b">
        <f t="shared" si="48"/>
        <v>0</v>
      </c>
      <c r="AB942" s="9"/>
      <c r="AC942" s="162" t="s">
        <v>6</v>
      </c>
      <c r="AD942" s="153">
        <f t="shared" si="49"/>
        <v>0</v>
      </c>
      <c r="AE942" s="95" t="s">
        <v>64</v>
      </c>
    </row>
    <row r="943" spans="1:31" s="55" customFormat="1" ht="30" customHeight="1">
      <c r="A943" s="155"/>
      <c r="B943" s="155"/>
      <c r="C943" s="155"/>
      <c r="D943" s="155"/>
      <c r="E943" s="155"/>
      <c r="F943" s="155"/>
      <c r="G943" s="155"/>
      <c r="H943" s="155"/>
      <c r="I943" s="155"/>
      <c r="J943" s="155"/>
      <c r="K943" s="155"/>
      <c r="L943" s="155"/>
      <c r="M943" s="155"/>
      <c r="N943" s="155"/>
      <c r="O943" s="157"/>
      <c r="P943" s="92"/>
      <c r="Q943" s="145"/>
      <c r="R943" s="92"/>
      <c r="S943" s="145"/>
      <c r="T943" s="92"/>
      <c r="U943" s="145"/>
      <c r="V943" s="92"/>
      <c r="W943" s="145"/>
      <c r="X943" s="92"/>
      <c r="Y943" s="352"/>
      <c r="Z943" s="142" t="str">
        <f t="shared" si="47"/>
        <v/>
      </c>
      <c r="AA943" s="226" t="b">
        <f t="shared" si="48"/>
        <v>0</v>
      </c>
      <c r="AB943" s="9"/>
      <c r="AC943" s="162" t="s">
        <v>6</v>
      </c>
      <c r="AD943" s="153">
        <f t="shared" si="49"/>
        <v>0</v>
      </c>
      <c r="AE943" s="95" t="s">
        <v>64</v>
      </c>
    </row>
    <row r="944" spans="1:31" s="55" customFormat="1" ht="30" customHeight="1">
      <c r="A944" s="155"/>
      <c r="B944" s="155"/>
      <c r="C944" s="155"/>
      <c r="D944" s="155"/>
      <c r="E944" s="155"/>
      <c r="F944" s="155"/>
      <c r="G944" s="155"/>
      <c r="H944" s="155"/>
      <c r="I944" s="155"/>
      <c r="J944" s="155"/>
      <c r="K944" s="155"/>
      <c r="L944" s="155"/>
      <c r="M944" s="155"/>
      <c r="N944" s="155"/>
      <c r="O944" s="157"/>
      <c r="P944" s="92"/>
      <c r="Q944" s="145"/>
      <c r="R944" s="92"/>
      <c r="S944" s="145"/>
      <c r="T944" s="92"/>
      <c r="U944" s="145"/>
      <c r="V944" s="92"/>
      <c r="W944" s="145"/>
      <c r="X944" s="92"/>
      <c r="Y944" s="352"/>
      <c r="Z944" s="142" t="str">
        <f t="shared" si="47"/>
        <v/>
      </c>
      <c r="AA944" s="226" t="b">
        <f t="shared" si="48"/>
        <v>0</v>
      </c>
      <c r="AB944" s="9"/>
      <c r="AC944" s="162" t="s">
        <v>6</v>
      </c>
      <c r="AD944" s="153">
        <f t="shared" si="49"/>
        <v>0</v>
      </c>
      <c r="AE944" s="95" t="s">
        <v>64</v>
      </c>
    </row>
    <row r="945" spans="1:32" s="55" customFormat="1" ht="30" customHeight="1">
      <c r="A945" s="359"/>
      <c r="B945" s="359"/>
      <c r="C945" s="359"/>
      <c r="D945" s="359"/>
      <c r="E945" s="359"/>
      <c r="F945" s="359"/>
      <c r="G945" s="359"/>
      <c r="H945" s="359"/>
      <c r="I945" s="359"/>
      <c r="J945" s="359"/>
      <c r="K945" s="359"/>
      <c r="L945" s="359"/>
      <c r="M945" s="359"/>
      <c r="N945" s="359"/>
      <c r="O945" s="238"/>
      <c r="P945" s="239"/>
      <c r="Q945" s="240"/>
      <c r="R945" s="239"/>
      <c r="S945" s="240"/>
      <c r="T945" s="239"/>
      <c r="U945" s="240"/>
      <c r="V945" s="239"/>
      <c r="W945" s="240"/>
      <c r="X945" s="239"/>
      <c r="Y945" s="353"/>
      <c r="Z945" s="360" t="str">
        <f t="shared" si="47"/>
        <v/>
      </c>
      <c r="AA945" s="58" t="b">
        <f t="shared" si="48"/>
        <v>0</v>
      </c>
      <c r="AB945" s="348"/>
      <c r="AC945" s="198" t="s">
        <v>6</v>
      </c>
      <c r="AD945" s="361">
        <f t="shared" si="49"/>
        <v>0</v>
      </c>
      <c r="AE945" s="179" t="s">
        <v>64</v>
      </c>
    </row>
    <row r="946" spans="1:32" ht="30" customHeight="1">
      <c r="A946" s="333"/>
      <c r="B946" s="333"/>
      <c r="C946" s="333"/>
      <c r="D946" s="333"/>
      <c r="E946" s="333"/>
      <c r="F946" s="333"/>
      <c r="G946" s="333"/>
      <c r="H946" s="333"/>
      <c r="I946" s="333"/>
      <c r="J946" s="333"/>
      <c r="K946" s="333"/>
      <c r="L946" s="333"/>
      <c r="M946" s="333"/>
      <c r="N946" s="333"/>
      <c r="X946" s="362"/>
      <c r="AA946" s="226" t="b">
        <f t="shared" ref="AA946:AA961" si="50">IF(AND(Y946="C",Z946="C"),"UTILIZOU O PDA CORRETAMENTE",IF(AND(Y946="C",Z946="NC"),"UTILIZOU O PDA CORRETAMENTE. NÃO HÁ FOTOS DE TODAS AS ETAPAS",IF(AND(Y946="NC",Z946="NC"),"NÃO UTILIZOU O PDA",IF(AND(Y946="NA",Z946="NA"),"NÃO AVALIADO POR FALHA DE SINCRONISMO"))))</f>
        <v>0</v>
      </c>
      <c r="AC946" s="236" t="s">
        <v>6</v>
      </c>
      <c r="AE946" s="226" t="s">
        <v>64</v>
      </c>
      <c r="AF946" s="363"/>
    </row>
    <row r="947" spans="1:32" ht="30" customHeight="1">
      <c r="X947" s="362"/>
      <c r="AA947" s="226" t="b">
        <f t="shared" si="50"/>
        <v>0</v>
      </c>
      <c r="AC947" s="236" t="s">
        <v>6</v>
      </c>
      <c r="AE947" s="226" t="s">
        <v>64</v>
      </c>
      <c r="AF947" s="363"/>
    </row>
    <row r="948" spans="1:32" ht="30" customHeight="1">
      <c r="X948" s="362"/>
      <c r="AA948" s="226" t="b">
        <f t="shared" si="50"/>
        <v>0</v>
      </c>
      <c r="AC948" s="236" t="s">
        <v>6</v>
      </c>
      <c r="AE948" s="226" t="s">
        <v>64</v>
      </c>
      <c r="AF948" s="363"/>
    </row>
    <row r="949" spans="1:32" ht="30" customHeight="1">
      <c r="X949" s="362"/>
      <c r="AA949" s="226" t="b">
        <f t="shared" si="50"/>
        <v>0</v>
      </c>
      <c r="AC949" s="236" t="s">
        <v>6</v>
      </c>
      <c r="AE949" s="226" t="s">
        <v>64</v>
      </c>
      <c r="AF949" s="363"/>
    </row>
    <row r="950" spans="1:32" ht="30" customHeight="1">
      <c r="X950" s="362"/>
      <c r="AA950" s="226" t="b">
        <f t="shared" si="50"/>
        <v>0</v>
      </c>
      <c r="AC950" s="236" t="s">
        <v>6</v>
      </c>
      <c r="AE950" s="226" t="s">
        <v>64</v>
      </c>
      <c r="AF950" s="363"/>
    </row>
    <row r="951" spans="1:32" ht="30" customHeight="1">
      <c r="X951" s="362"/>
      <c r="AA951" s="226" t="b">
        <f t="shared" si="50"/>
        <v>0</v>
      </c>
      <c r="AC951" s="236" t="s">
        <v>6</v>
      </c>
      <c r="AE951" s="226" t="s">
        <v>64</v>
      </c>
      <c r="AF951" s="363"/>
    </row>
    <row r="952" spans="1:32" ht="30" customHeight="1">
      <c r="X952" s="362"/>
      <c r="AA952" s="226" t="b">
        <f t="shared" si="50"/>
        <v>0</v>
      </c>
      <c r="AC952" s="236" t="s">
        <v>6</v>
      </c>
      <c r="AE952" s="226" t="s">
        <v>64</v>
      </c>
      <c r="AF952" s="363"/>
    </row>
    <row r="953" spans="1:32" ht="30" customHeight="1">
      <c r="X953" s="362"/>
      <c r="AA953" s="226" t="b">
        <f t="shared" si="50"/>
        <v>0</v>
      </c>
      <c r="AC953" s="236" t="s">
        <v>6</v>
      </c>
      <c r="AE953" s="226" t="s">
        <v>64</v>
      </c>
      <c r="AF953" s="363"/>
    </row>
    <row r="954" spans="1:32" ht="30" customHeight="1">
      <c r="X954" s="362"/>
      <c r="AA954" s="226" t="b">
        <f t="shared" si="50"/>
        <v>0</v>
      </c>
      <c r="AC954" s="236" t="s">
        <v>6</v>
      </c>
      <c r="AE954" s="226" t="s">
        <v>64</v>
      </c>
      <c r="AF954" s="363"/>
    </row>
    <row r="955" spans="1:32" ht="30" customHeight="1">
      <c r="X955" s="362"/>
      <c r="AA955" s="226" t="b">
        <f t="shared" si="50"/>
        <v>0</v>
      </c>
      <c r="AC955" s="236" t="s">
        <v>6</v>
      </c>
      <c r="AE955" s="226" t="s">
        <v>64</v>
      </c>
      <c r="AF955" s="363"/>
    </row>
    <row r="956" spans="1:32" ht="30" customHeight="1">
      <c r="X956" s="362"/>
      <c r="AA956" s="226" t="b">
        <f t="shared" si="50"/>
        <v>0</v>
      </c>
      <c r="AC956" s="236" t="s">
        <v>6</v>
      </c>
      <c r="AE956" s="226" t="s">
        <v>64</v>
      </c>
      <c r="AF956" s="363"/>
    </row>
    <row r="957" spans="1:32" ht="30" customHeight="1">
      <c r="X957" s="362"/>
      <c r="AA957" s="226" t="b">
        <f t="shared" si="50"/>
        <v>0</v>
      </c>
      <c r="AC957" s="236" t="s">
        <v>6</v>
      </c>
      <c r="AE957" s="226" t="s">
        <v>64</v>
      </c>
      <c r="AF957" s="363"/>
    </row>
    <row r="958" spans="1:32" ht="30" customHeight="1">
      <c r="X958" s="362"/>
      <c r="AA958" s="226" t="b">
        <f t="shared" si="50"/>
        <v>0</v>
      </c>
      <c r="AC958" s="236" t="s">
        <v>6</v>
      </c>
      <c r="AE958" s="226" t="s">
        <v>64</v>
      </c>
      <c r="AF958" s="363"/>
    </row>
    <row r="959" spans="1:32" ht="30" customHeight="1">
      <c r="X959" s="362"/>
      <c r="AA959" s="226" t="b">
        <f t="shared" si="50"/>
        <v>0</v>
      </c>
      <c r="AC959" s="236" t="s">
        <v>6</v>
      </c>
      <c r="AE959" s="226" t="s">
        <v>64</v>
      </c>
      <c r="AF959" s="363"/>
    </row>
    <row r="960" spans="1:32" ht="30" customHeight="1">
      <c r="X960" s="362"/>
      <c r="AA960" s="226" t="b">
        <f t="shared" si="50"/>
        <v>0</v>
      </c>
      <c r="AC960" s="236" t="s">
        <v>6</v>
      </c>
      <c r="AE960" s="226" t="s">
        <v>64</v>
      </c>
      <c r="AF960" s="363"/>
    </row>
    <row r="961" spans="24:32" ht="30" customHeight="1">
      <c r="X961" s="362"/>
      <c r="AA961" s="226" t="b">
        <f t="shared" si="50"/>
        <v>0</v>
      </c>
      <c r="AC961" s="236" t="s">
        <v>6</v>
      </c>
      <c r="AE961" s="226" t="s">
        <v>64</v>
      </c>
      <c r="AF961" s="363"/>
    </row>
    <row r="962" spans="24:32" ht="30" customHeight="1">
      <c r="X962" s="362"/>
      <c r="AA962" s="226" t="b">
        <f t="shared" ref="AA962:AA1017" si="51">IF(AND(Y962="C",Z962="C"),"UTILIZOU O PDA CORRETAMENTE",IF(AND(Y962="C",Z962="NC"),"UTILIZOU O PDA CORRETAMENTE. NÃO HÁ FOTOS DE TODAS AS ETAPAS",IF(AND(Y962="NC",Z962="NC"),"NÃO UTILIZOU O PDA",IF(AND(Y962="NA",Z962="NA"),"NÃO AVALIADO POR FALHA DE SINCRONISMO"))))</f>
        <v>0</v>
      </c>
      <c r="AC962" s="236" t="s">
        <v>6</v>
      </c>
      <c r="AE962" s="226" t="s">
        <v>64</v>
      </c>
      <c r="AF962" s="363"/>
    </row>
    <row r="963" spans="24:32" ht="30" customHeight="1">
      <c r="X963" s="362"/>
      <c r="AA963" s="226" t="b">
        <f t="shared" si="51"/>
        <v>0</v>
      </c>
      <c r="AF963" s="363"/>
    </row>
    <row r="964" spans="24:32" ht="30" customHeight="1">
      <c r="X964" s="362"/>
      <c r="AA964" s="226" t="b">
        <f t="shared" si="51"/>
        <v>0</v>
      </c>
      <c r="AF964" s="363"/>
    </row>
    <row r="965" spans="24:32" ht="30" customHeight="1">
      <c r="X965" s="362"/>
      <c r="AA965" s="226" t="b">
        <f t="shared" si="51"/>
        <v>0</v>
      </c>
      <c r="AF965" s="363"/>
    </row>
    <row r="966" spans="24:32" ht="30" customHeight="1">
      <c r="X966" s="362"/>
      <c r="AA966" s="226" t="b">
        <f t="shared" si="51"/>
        <v>0</v>
      </c>
      <c r="AF966" s="363"/>
    </row>
    <row r="967" spans="24:32" ht="30" customHeight="1">
      <c r="X967" s="362"/>
      <c r="AA967" s="226" t="b">
        <f t="shared" si="51"/>
        <v>0</v>
      </c>
      <c r="AF967" s="363"/>
    </row>
    <row r="968" spans="24:32" ht="30" customHeight="1">
      <c r="X968" s="362"/>
      <c r="AA968" s="226" t="b">
        <f t="shared" si="51"/>
        <v>0</v>
      </c>
      <c r="AF968" s="363"/>
    </row>
    <row r="969" spans="24:32" ht="30" customHeight="1">
      <c r="X969" s="362"/>
      <c r="AA969" s="226" t="b">
        <f t="shared" si="51"/>
        <v>0</v>
      </c>
      <c r="AF969" s="363"/>
    </row>
    <row r="970" spans="24:32" ht="30" customHeight="1">
      <c r="X970" s="362"/>
      <c r="AA970" s="226" t="b">
        <f t="shared" si="51"/>
        <v>0</v>
      </c>
      <c r="AF970" s="363"/>
    </row>
    <row r="971" spans="24:32" ht="30" customHeight="1">
      <c r="X971" s="362"/>
      <c r="AA971" s="226" t="b">
        <f t="shared" si="51"/>
        <v>0</v>
      </c>
      <c r="AF971" s="363"/>
    </row>
    <row r="972" spans="24:32" ht="30" customHeight="1">
      <c r="X972" s="362"/>
      <c r="AA972" s="226" t="b">
        <f t="shared" si="51"/>
        <v>0</v>
      </c>
      <c r="AF972" s="363"/>
    </row>
    <row r="973" spans="24:32" ht="30" customHeight="1">
      <c r="X973" s="362"/>
      <c r="AA973" s="226" t="b">
        <f t="shared" si="51"/>
        <v>0</v>
      </c>
      <c r="AF973" s="363"/>
    </row>
    <row r="974" spans="24:32" ht="30" customHeight="1">
      <c r="X974" s="362"/>
      <c r="AA974" s="226" t="b">
        <f t="shared" si="51"/>
        <v>0</v>
      </c>
      <c r="AF974" s="363"/>
    </row>
    <row r="975" spans="24:32" ht="30" customHeight="1">
      <c r="X975" s="362"/>
      <c r="AA975" s="226" t="b">
        <f t="shared" si="51"/>
        <v>0</v>
      </c>
      <c r="AF975" s="363"/>
    </row>
    <row r="976" spans="24:32" ht="30" customHeight="1">
      <c r="X976" s="362"/>
      <c r="AA976" s="226" t="b">
        <f t="shared" si="51"/>
        <v>0</v>
      </c>
      <c r="AF976" s="363"/>
    </row>
    <row r="977" spans="24:32" ht="30" customHeight="1">
      <c r="X977" s="362"/>
      <c r="AA977" s="226" t="b">
        <f t="shared" si="51"/>
        <v>0</v>
      </c>
      <c r="AF977" s="363"/>
    </row>
    <row r="978" spans="24:32" ht="30" customHeight="1">
      <c r="X978" s="362"/>
      <c r="AA978" s="226" t="b">
        <f t="shared" si="51"/>
        <v>0</v>
      </c>
      <c r="AF978" s="363"/>
    </row>
    <row r="979" spans="24:32" ht="30" customHeight="1">
      <c r="X979" s="362"/>
      <c r="AA979" s="226" t="b">
        <f t="shared" si="51"/>
        <v>0</v>
      </c>
      <c r="AF979" s="363"/>
    </row>
    <row r="980" spans="24:32" ht="30" customHeight="1">
      <c r="X980" s="362"/>
      <c r="AA980" s="226" t="b">
        <f t="shared" si="51"/>
        <v>0</v>
      </c>
      <c r="AF980" s="363"/>
    </row>
    <row r="981" spans="24:32" ht="30" customHeight="1">
      <c r="X981" s="362"/>
      <c r="AA981" s="226" t="b">
        <f t="shared" si="51"/>
        <v>0</v>
      </c>
      <c r="AF981" s="363"/>
    </row>
    <row r="982" spans="24:32" ht="30" customHeight="1">
      <c r="X982" s="362"/>
      <c r="AA982" s="226" t="b">
        <f t="shared" si="51"/>
        <v>0</v>
      </c>
      <c r="AF982" s="363"/>
    </row>
    <row r="983" spans="24:32" ht="30" customHeight="1">
      <c r="X983" s="362"/>
      <c r="AA983" s="226" t="b">
        <f t="shared" si="51"/>
        <v>0</v>
      </c>
      <c r="AF983" s="363"/>
    </row>
    <row r="984" spans="24:32" ht="30" customHeight="1">
      <c r="X984" s="362"/>
      <c r="AA984" s="226" t="b">
        <f t="shared" si="51"/>
        <v>0</v>
      </c>
      <c r="AF984" s="363"/>
    </row>
    <row r="985" spans="24:32" ht="30" customHeight="1">
      <c r="X985" s="362"/>
      <c r="AA985" s="226" t="b">
        <f t="shared" si="51"/>
        <v>0</v>
      </c>
      <c r="AF985" s="363"/>
    </row>
    <row r="986" spans="24:32" ht="30" customHeight="1">
      <c r="X986" s="362"/>
      <c r="AA986" s="226" t="b">
        <f t="shared" si="51"/>
        <v>0</v>
      </c>
      <c r="AF986" s="363"/>
    </row>
    <row r="987" spans="24:32" ht="30" customHeight="1">
      <c r="X987" s="362"/>
      <c r="AA987" s="226" t="b">
        <f t="shared" si="51"/>
        <v>0</v>
      </c>
      <c r="AF987" s="363"/>
    </row>
    <row r="988" spans="24:32" ht="30" customHeight="1">
      <c r="X988" s="362"/>
      <c r="AA988" s="226" t="b">
        <f t="shared" si="51"/>
        <v>0</v>
      </c>
      <c r="AF988" s="363"/>
    </row>
    <row r="989" spans="24:32" ht="30" customHeight="1">
      <c r="X989" s="362"/>
      <c r="AA989" s="226" t="b">
        <f t="shared" si="51"/>
        <v>0</v>
      </c>
      <c r="AF989" s="363"/>
    </row>
    <row r="990" spans="24:32" ht="30" customHeight="1">
      <c r="X990" s="362"/>
      <c r="AA990" s="226" t="b">
        <f t="shared" si="51"/>
        <v>0</v>
      </c>
      <c r="AF990" s="363"/>
    </row>
    <row r="991" spans="24:32" ht="30" customHeight="1">
      <c r="X991" s="362"/>
      <c r="AA991" s="226" t="b">
        <f t="shared" si="51"/>
        <v>0</v>
      </c>
      <c r="AF991" s="363"/>
    </row>
    <row r="992" spans="24:32" ht="30" customHeight="1">
      <c r="X992" s="362"/>
      <c r="AA992" s="226" t="b">
        <f t="shared" si="51"/>
        <v>0</v>
      </c>
      <c r="AF992" s="363"/>
    </row>
    <row r="993" spans="24:32" ht="30" customHeight="1">
      <c r="X993" s="362"/>
      <c r="AA993" s="226" t="b">
        <f t="shared" si="51"/>
        <v>0</v>
      </c>
      <c r="AF993" s="363"/>
    </row>
    <row r="994" spans="24:32" ht="30" customHeight="1">
      <c r="X994" s="362"/>
      <c r="AA994" s="226" t="b">
        <f t="shared" si="51"/>
        <v>0</v>
      </c>
      <c r="AF994" s="363"/>
    </row>
    <row r="995" spans="24:32" ht="30" customHeight="1">
      <c r="X995" s="362"/>
      <c r="AA995" s="226" t="b">
        <f t="shared" si="51"/>
        <v>0</v>
      </c>
      <c r="AF995" s="363"/>
    </row>
    <row r="996" spans="24:32" ht="30" customHeight="1">
      <c r="X996" s="362"/>
      <c r="AA996" s="226" t="b">
        <f t="shared" si="51"/>
        <v>0</v>
      </c>
      <c r="AF996" s="363"/>
    </row>
    <row r="997" spans="24:32" ht="30" customHeight="1">
      <c r="X997" s="362"/>
      <c r="AA997" s="226" t="b">
        <f t="shared" si="51"/>
        <v>0</v>
      </c>
      <c r="AF997" s="363"/>
    </row>
    <row r="998" spans="24:32" ht="30" customHeight="1">
      <c r="X998" s="362"/>
      <c r="AA998" s="226" t="b">
        <f t="shared" si="51"/>
        <v>0</v>
      </c>
      <c r="AF998" s="363"/>
    </row>
    <row r="999" spans="24:32" ht="30" customHeight="1">
      <c r="X999" s="362"/>
      <c r="AA999" s="226" t="b">
        <f t="shared" si="51"/>
        <v>0</v>
      </c>
      <c r="AF999" s="363"/>
    </row>
    <row r="1000" spans="24:32" ht="30" customHeight="1">
      <c r="X1000" s="362"/>
      <c r="AA1000" s="226" t="b">
        <f t="shared" si="51"/>
        <v>0</v>
      </c>
      <c r="AF1000" s="363"/>
    </row>
    <row r="1001" spans="24:32" ht="30" customHeight="1">
      <c r="X1001" s="362"/>
      <c r="AA1001" s="226" t="b">
        <f t="shared" si="51"/>
        <v>0</v>
      </c>
      <c r="AF1001" s="363"/>
    </row>
    <row r="1002" spans="24:32" ht="30" customHeight="1">
      <c r="X1002" s="362"/>
      <c r="AA1002" s="226" t="b">
        <f t="shared" si="51"/>
        <v>0</v>
      </c>
      <c r="AF1002" s="363"/>
    </row>
    <row r="1003" spans="24:32" ht="30" customHeight="1">
      <c r="X1003" s="362"/>
      <c r="AA1003" s="226" t="b">
        <f t="shared" si="51"/>
        <v>0</v>
      </c>
      <c r="AF1003" s="363"/>
    </row>
    <row r="1004" spans="24:32" ht="30" customHeight="1">
      <c r="X1004" s="362"/>
      <c r="AA1004" s="226" t="b">
        <f t="shared" si="51"/>
        <v>0</v>
      </c>
      <c r="AF1004" s="363"/>
    </row>
    <row r="1005" spans="24:32" ht="30" customHeight="1">
      <c r="X1005" s="362"/>
      <c r="AA1005" s="226" t="b">
        <f t="shared" si="51"/>
        <v>0</v>
      </c>
      <c r="AF1005" s="363"/>
    </row>
    <row r="1006" spans="24:32" ht="30" customHeight="1">
      <c r="X1006" s="362"/>
      <c r="AA1006" s="226" t="b">
        <f t="shared" si="51"/>
        <v>0</v>
      </c>
      <c r="AF1006" s="363"/>
    </row>
    <row r="1007" spans="24:32" ht="30" customHeight="1">
      <c r="X1007" s="362"/>
      <c r="AA1007" s="226" t="b">
        <f t="shared" si="51"/>
        <v>0</v>
      </c>
      <c r="AF1007" s="363"/>
    </row>
    <row r="1008" spans="24:32" ht="30" customHeight="1">
      <c r="X1008" s="362"/>
      <c r="AA1008" s="226" t="b">
        <f t="shared" si="51"/>
        <v>0</v>
      </c>
      <c r="AF1008" s="363"/>
    </row>
    <row r="1009" spans="24:32" ht="30" customHeight="1">
      <c r="X1009" s="362"/>
      <c r="AA1009" s="226" t="b">
        <f t="shared" si="51"/>
        <v>0</v>
      </c>
      <c r="AF1009" s="363"/>
    </row>
    <row r="1010" spans="24:32" ht="30" customHeight="1">
      <c r="X1010" s="362"/>
      <c r="AA1010" s="226" t="b">
        <f t="shared" si="51"/>
        <v>0</v>
      </c>
      <c r="AF1010" s="363"/>
    </row>
    <row r="1011" spans="24:32" ht="30" customHeight="1">
      <c r="X1011" s="362"/>
      <c r="AA1011" s="226" t="b">
        <f t="shared" si="51"/>
        <v>0</v>
      </c>
      <c r="AF1011" s="363"/>
    </row>
    <row r="1012" spans="24:32" ht="30" customHeight="1">
      <c r="X1012" s="362"/>
      <c r="AA1012" s="226" t="b">
        <f t="shared" si="51"/>
        <v>0</v>
      </c>
      <c r="AF1012" s="363"/>
    </row>
    <row r="1013" spans="24:32" ht="30" customHeight="1">
      <c r="X1013" s="362"/>
      <c r="AA1013" s="226" t="b">
        <f t="shared" si="51"/>
        <v>0</v>
      </c>
      <c r="AF1013" s="363"/>
    </row>
    <row r="1014" spans="24:32" ht="30" customHeight="1">
      <c r="X1014" s="362"/>
      <c r="AA1014" s="226" t="b">
        <f t="shared" si="51"/>
        <v>0</v>
      </c>
      <c r="AF1014" s="363"/>
    </row>
    <row r="1015" spans="24:32" ht="30" customHeight="1">
      <c r="Y1015" s="364"/>
      <c r="Z1015" s="364"/>
      <c r="AA1015" s="190" t="b">
        <f t="shared" si="51"/>
        <v>0</v>
      </c>
      <c r="AB1015" s="364"/>
      <c r="AC1015" s="333"/>
      <c r="AD1015" s="364"/>
      <c r="AE1015" s="364"/>
    </row>
    <row r="1016" spans="24:32" ht="30" customHeight="1">
      <c r="AA1016" s="226" t="b">
        <f t="shared" si="51"/>
        <v>0</v>
      </c>
    </row>
    <row r="1017" spans="24:32" ht="30" customHeight="1">
      <c r="AA1017" s="226" t="b">
        <f t="shared" si="51"/>
        <v>0</v>
      </c>
    </row>
  </sheetData>
  <conditionalFormatting sqref="A1 D1:E1">
    <cfRule type="duplicateValues" dxfId="103" priority="131"/>
  </conditionalFormatting>
  <conditionalFormatting sqref="A1 D1:E1">
    <cfRule type="duplicateValues" dxfId="102" priority="130" stopIfTrue="1"/>
  </conditionalFormatting>
  <conditionalFormatting sqref="AB3:AB5 Q263 S279:S281 Q271 Q308:Q309 Q312 Q314 Q316 Q319 Q327:Q328 Q331:Q333 Q335:Q336 Q340 Q351 Q354 Q360 Q362 Q364 Q375 Q377 Q394:Q396 Q398 Q400 Q407:Q409 Q414:Q421 Q423 Q429 Q431 Q443:Q446 Q448 Q450 Q452 Q460:Q462 Q465:Q466 Q468:Q469 Q473:Q474 Q478:Q479 Q481:Q489 Q491:Q493 Q495:Q496 Q501:Q503 Q509:Q511 Q514 Q518 Q520 Q524:Q525 S294 S308:S309 S312 S314 S316 S319 S327:S328 S331:S333 S335:S336 S351 S377 S380 S388 S394:S396 S398 S400 S407:S409 S414:S421 S423 S431 S443:S446 S450 S452 S459:S462 S466 S468:S469 S473 S478:S479 S481:S489 S492:S493 S495:S496 S501:S503 S505 S509:S511 S514 S520 S524:S525 Q380:Q388 S375 U257:U525 W257:W525 Y257:Y525 O2:O525 Z2:Z525 O582:O945 Y582:Z945 W582:W945 U582:U945 S582:S945 Q582:Q945">
    <cfRule type="expression" dxfId="101" priority="127">
      <formula>O2=""</formula>
    </cfRule>
    <cfRule type="expression" dxfId="100" priority="128" stopIfTrue="1">
      <formula>NOT(OR(O2="C",O2="NC",O2="SF",O2="NA"))</formula>
    </cfRule>
  </conditionalFormatting>
  <conditionalFormatting sqref="Q2:Q4 Q6 Q8:Q16 Q18:Q28 Q30:Q34 Q36:Q42 Q44:Q64 Q66:Q70 Q72:Q84 Q86:Q92 Q94:Q154 Q156:Q230 Q232:Q252 Q254:Q262 Q264:Q270 Q272:Q307 Q310:Q311 Q313 Q315 Q317:Q318 Q320:Q326 Q329:Q330 Q334 Q337:Q339 Q341:Q350 Q352:Q353 Q355:Q359 Q361 Q363 Q365:Q374 Q376 Q378:Q379 Q389:Q393 Q397 Q399 Q401:Q406 Q410:Q413 Q422 Q424:Q428 Q430 Q432:Q442 Q447 Q449 Q451 Q453:Q459 Q463:Q464 Q467 Q470:Q472 Q475:Q477 Q480 Q490 Q494 Q497:Q500 Q504:Q508 Q512:Q513 Q515:Q517 Q519 Q521:Q523">
    <cfRule type="expression" dxfId="99" priority="121">
      <formula>Q2=""</formula>
    </cfRule>
    <cfRule type="expression" dxfId="98" priority="122" stopIfTrue="1">
      <formula>NOT(OR(Q2="C",Q2="NC",Q2="SF",Q2="NA"))</formula>
    </cfRule>
  </conditionalFormatting>
  <conditionalFormatting sqref="Q7 Q17 Q29 Q35 Q43 Q65 Q71 Q85 Q93 Q5">
    <cfRule type="expression" dxfId="97" priority="119">
      <formula>Q5=""</formula>
    </cfRule>
    <cfRule type="expression" dxfId="96" priority="120" stopIfTrue="1">
      <formula>NOT(OR(Q5="C",Q5="NC",Q5="SF",Q5="NA"))</formula>
    </cfRule>
  </conditionalFormatting>
  <conditionalFormatting sqref="S2:S5 S7:S13 S15:S16 S19:S28 S31:S32 S34 S36:S39 S41 S43:S70 S73:S100 S102:S118 S120:S123 S125:S131 S133 S135:S158 S160:S177 S179:S197 S200 S202 S205 S207 S209 S211 S213:S218 S220:S230 S232:S278 S282:S293 S295:S307 S310:S311 S313 S315 S317:S318 S320:S326 S329:S330 S334 S337:S350 S352:S374 S376 S378:S379 S381:S387 S389:S393 S397 S399 S401:S406 S410:S413 S422 S424:S430 S432:S442 S447:S449 S451 S453:S458 S463:S465 S467 S470:S472 S474:S477 S480 S490:S491 S494 S497:S500 S504 S506:S508 S512:S513 S515:S519 S521:S523">
    <cfRule type="expression" dxfId="95" priority="113">
      <formula>S2=""</formula>
    </cfRule>
    <cfRule type="expression" dxfId="94" priority="114" stopIfTrue="1">
      <formula>NOT(OR(S2="C",S2="NC",S2="SF",S2="NA"))</formula>
    </cfRule>
  </conditionalFormatting>
  <conditionalFormatting sqref="S6 S71:S72 S101 S159 S14 S17:S18 S29:S30 S33 S35 S40 S42 S119 S124 S132 S134 S178 S198:S199 S201 S203:S204 S206 S208 S210 S212 S219">
    <cfRule type="expression" dxfId="93" priority="111">
      <formula>S6=""</formula>
    </cfRule>
    <cfRule type="expression" dxfId="92" priority="112" stopIfTrue="1">
      <formula>NOT(OR(S6="C",S6="NC",S6="SF",S6="NA"))</formula>
    </cfRule>
  </conditionalFormatting>
  <conditionalFormatting sqref="U2">
    <cfRule type="expression" dxfId="91" priority="109">
      <formula>U2=""</formula>
    </cfRule>
    <cfRule type="expression" dxfId="90" priority="110" stopIfTrue="1">
      <formula>NOT(OR(U2="C",U2="NC",U2="SF",U2="NA"))</formula>
    </cfRule>
  </conditionalFormatting>
  <conditionalFormatting sqref="U3:U67 U71:U93 U96:U144 U146:U151 U157:U228 U232:U250">
    <cfRule type="expression" dxfId="89" priority="107">
      <formula>U3=""</formula>
    </cfRule>
    <cfRule type="expression" dxfId="88" priority="108" stopIfTrue="1">
      <formula>NOT(OR(U3="C",U3="NC",U3="SF",U3="NA"))</formula>
    </cfRule>
  </conditionalFormatting>
  <conditionalFormatting sqref="W2">
    <cfRule type="expression" dxfId="87" priority="101">
      <formula>W2=""</formula>
    </cfRule>
    <cfRule type="expression" dxfId="86" priority="102" stopIfTrue="1">
      <formula>NOT(OR(W2="C",W2="NC",W2="SF",W2="NA"))</formula>
    </cfRule>
  </conditionalFormatting>
  <conditionalFormatting sqref="W3:W93 W96:W144 W146:W151 W157:W228 W232:W250">
    <cfRule type="expression" dxfId="85" priority="99">
      <formula>W3=""</formula>
    </cfRule>
    <cfRule type="expression" dxfId="84" priority="100" stopIfTrue="1">
      <formula>NOT(OR(W3="C",W3="NC",W3="SF",W3="NA"))</formula>
    </cfRule>
  </conditionalFormatting>
  <conditionalFormatting sqref="Y2">
    <cfRule type="expression" dxfId="83" priority="97">
      <formula>Y2=""</formula>
    </cfRule>
    <cfRule type="expression" dxfId="82" priority="98" stopIfTrue="1">
      <formula>NOT(OR(Y2="C",Y2="NC",Y2="SF",Y2="NA"))</formula>
    </cfRule>
  </conditionalFormatting>
  <conditionalFormatting sqref="Y3:Y93 Y96:Y144 Y146:Y151 Y157:Y228 Y232:Y250">
    <cfRule type="expression" dxfId="81" priority="95">
      <formula>Y3=""</formula>
    </cfRule>
    <cfRule type="expression" dxfId="80" priority="96" stopIfTrue="1">
      <formula>NOT(OR(Y3="C",Y3="NC",Y3="SF",Y3="NA"))</formula>
    </cfRule>
  </conditionalFormatting>
  <conditionalFormatting sqref="AB2">
    <cfRule type="expression" dxfId="79" priority="89">
      <formula>AB2=""</formula>
    </cfRule>
    <cfRule type="expression" dxfId="78" priority="90" stopIfTrue="1">
      <formula>NOT(OR(AB2="C",AB2="NC",AB2="SF",AB2="NA"))</formula>
    </cfRule>
  </conditionalFormatting>
  <conditionalFormatting sqref="U68:U70">
    <cfRule type="expression" dxfId="77" priority="83">
      <formula>U68=""</formula>
    </cfRule>
    <cfRule type="expression" dxfId="76" priority="84" stopIfTrue="1">
      <formula>NOT(OR(U68="C",U68="NC",U68="SF",U68="NA"))</formula>
    </cfRule>
  </conditionalFormatting>
  <conditionalFormatting sqref="U94:U95">
    <cfRule type="expression" dxfId="75" priority="77">
      <formula>U94=""</formula>
    </cfRule>
    <cfRule type="expression" dxfId="74" priority="78" stopIfTrue="1">
      <formula>NOT(OR(U94="C",U94="NC",U94="SF",U94="NA"))</formula>
    </cfRule>
  </conditionalFormatting>
  <conditionalFormatting sqref="W94:W95">
    <cfRule type="expression" dxfId="73" priority="75">
      <formula>W94=""</formula>
    </cfRule>
    <cfRule type="expression" dxfId="72" priority="76" stopIfTrue="1">
      <formula>NOT(OR(W94="C",W94="NC",W94="SF",W94="NA"))</formula>
    </cfRule>
  </conditionalFormatting>
  <conditionalFormatting sqref="Y94:Y95">
    <cfRule type="expression" dxfId="71" priority="73">
      <formula>Y94=""</formula>
    </cfRule>
    <cfRule type="expression" dxfId="70" priority="74" stopIfTrue="1">
      <formula>NOT(OR(Y94="C",Y94="NC",Y94="SF",Y94="NA"))</formula>
    </cfRule>
  </conditionalFormatting>
  <conditionalFormatting sqref="U145">
    <cfRule type="expression" dxfId="69" priority="67">
      <formula>U145=""</formula>
    </cfRule>
    <cfRule type="expression" dxfId="68" priority="68" stopIfTrue="1">
      <formula>NOT(OR(U145="C",U145="NC",U145="SF",U145="NA"))</formula>
    </cfRule>
  </conditionalFormatting>
  <conditionalFormatting sqref="W145">
    <cfRule type="expression" dxfId="67" priority="65">
      <formula>W145=""</formula>
    </cfRule>
    <cfRule type="expression" dxfId="66" priority="66" stopIfTrue="1">
      <formula>NOT(OR(W145="C",W145="NC",W145="SF",W145="NA"))</formula>
    </cfRule>
  </conditionalFormatting>
  <conditionalFormatting sqref="Y145">
    <cfRule type="expression" dxfId="65" priority="61">
      <formula>Y145=""</formula>
    </cfRule>
    <cfRule type="expression" dxfId="64" priority="62" stopIfTrue="1">
      <formula>NOT(OR(Y145="C",Y145="NC",Y145="SF",Y145="NA"))</formula>
    </cfRule>
  </conditionalFormatting>
  <conditionalFormatting sqref="U153">
    <cfRule type="expression" dxfId="63" priority="55">
      <formula>U153=""</formula>
    </cfRule>
    <cfRule type="expression" dxfId="62" priority="56" stopIfTrue="1">
      <formula>NOT(OR(U153="C",U153="NC",U153="SF",U153="NA"))</formula>
    </cfRule>
  </conditionalFormatting>
  <conditionalFormatting sqref="W153">
    <cfRule type="expression" dxfId="61" priority="53">
      <formula>W153=""</formula>
    </cfRule>
    <cfRule type="expression" dxfId="60" priority="54" stopIfTrue="1">
      <formula>NOT(OR(W153="C",W153="NC",W153="SF",W153="NA"))</formula>
    </cfRule>
  </conditionalFormatting>
  <conditionalFormatting sqref="Y153">
    <cfRule type="expression" dxfId="59" priority="49">
      <formula>Y153=""</formula>
    </cfRule>
    <cfRule type="expression" dxfId="58" priority="50" stopIfTrue="1">
      <formula>NOT(OR(Y153="C",Y153="NC",Y153="SF",Y153="NA"))</formula>
    </cfRule>
  </conditionalFormatting>
  <conditionalFormatting sqref="Y152">
    <cfRule type="expression" dxfId="57" priority="47">
      <formula>Y152=""</formula>
    </cfRule>
    <cfRule type="expression" dxfId="56" priority="48" stopIfTrue="1">
      <formula>NOT(OR(Y152="C",Y152="NC",Y152="SF",Y152="NA"))</formula>
    </cfRule>
  </conditionalFormatting>
  <conditionalFormatting sqref="W152">
    <cfRule type="expression" dxfId="55" priority="37">
      <formula>W152=""</formula>
    </cfRule>
    <cfRule type="expression" dxfId="54" priority="38" stopIfTrue="1">
      <formula>NOT(OR(W152="C",W152="NC",W152="SF",W152="NA"))</formula>
    </cfRule>
  </conditionalFormatting>
  <conditionalFormatting sqref="U152">
    <cfRule type="expression" dxfId="53" priority="35">
      <formula>U152=""</formula>
    </cfRule>
    <cfRule type="expression" dxfId="52" priority="36" stopIfTrue="1">
      <formula>NOT(OR(U152="C",U152="NC",U152="SF",U152="NA"))</formula>
    </cfRule>
  </conditionalFormatting>
  <conditionalFormatting sqref="Q253">
    <cfRule type="expression" dxfId="51" priority="29">
      <formula>Q253=""</formula>
    </cfRule>
    <cfRule type="expression" dxfId="50" priority="30" stopIfTrue="1">
      <formula>NOT(OR(Q253="C",Q253="NC",Q253="SF",Q253="NA"))</formula>
    </cfRule>
  </conditionalFormatting>
  <conditionalFormatting sqref="U251:U256">
    <cfRule type="expression" dxfId="49" priority="25">
      <formula>U251=""</formula>
    </cfRule>
    <cfRule type="expression" dxfId="48" priority="26" stopIfTrue="1">
      <formula>NOT(OR(U251="C",U251="NC",U251="SF",U251="NA"))</formula>
    </cfRule>
  </conditionalFormatting>
  <conditionalFormatting sqref="W251:W256">
    <cfRule type="expression" dxfId="47" priority="23">
      <formula>W251=""</formula>
    </cfRule>
    <cfRule type="expression" dxfId="46" priority="24" stopIfTrue="1">
      <formula>NOT(OR(W251="C",W251="NC",W251="SF",W251="NA"))</formula>
    </cfRule>
  </conditionalFormatting>
  <conditionalFormatting sqref="Y251:Y256">
    <cfRule type="expression" dxfId="45" priority="21">
      <formula>Y251=""</formula>
    </cfRule>
    <cfRule type="expression" dxfId="44" priority="22" stopIfTrue="1">
      <formula>NOT(OR(Y251="C",Y251="NC",Y251="SF",Y251="NA"))</formula>
    </cfRule>
  </conditionalFormatting>
  <conditionalFormatting sqref="Q231">
    <cfRule type="expression" dxfId="43" priority="19">
      <formula>Q231=""</formula>
    </cfRule>
    <cfRule type="expression" dxfId="42" priority="20" stopIfTrue="1">
      <formula>NOT(OR(Q231="C",Q231="NC",Q231="SF",Q231="NA"))</formula>
    </cfRule>
  </conditionalFormatting>
  <conditionalFormatting sqref="S231">
    <cfRule type="expression" dxfId="41" priority="17">
      <formula>S231=""</formula>
    </cfRule>
    <cfRule type="expression" dxfId="40" priority="18" stopIfTrue="1">
      <formula>NOT(OR(S231="C",S231="NC",S231="SF",S231="NA"))</formula>
    </cfRule>
  </conditionalFormatting>
  <conditionalFormatting sqref="U229:U231">
    <cfRule type="expression" dxfId="39" priority="15">
      <formula>U229=""</formula>
    </cfRule>
    <cfRule type="expression" dxfId="38" priority="16" stopIfTrue="1">
      <formula>NOT(OR(U229="C",U229="NC",U229="SF",U229="NA"))</formula>
    </cfRule>
  </conditionalFormatting>
  <conditionalFormatting sqref="W229:W231">
    <cfRule type="expression" dxfId="37" priority="13">
      <formula>W229=""</formula>
    </cfRule>
    <cfRule type="expression" dxfId="36" priority="14" stopIfTrue="1">
      <formula>NOT(OR(W229="C",W229="NC",W229="SF",W229="NA"))</formula>
    </cfRule>
  </conditionalFormatting>
  <conditionalFormatting sqref="Y229:Y231">
    <cfRule type="expression" dxfId="35" priority="11">
      <formula>Y229=""</formula>
    </cfRule>
    <cfRule type="expression" dxfId="34" priority="12" stopIfTrue="1">
      <formula>NOT(OR(Y229="C",Y229="NC",Y229="SF",Y229="NA"))</formula>
    </cfRule>
  </conditionalFormatting>
  <conditionalFormatting sqref="Q155">
    <cfRule type="expression" dxfId="33" priority="9">
      <formula>Q155=""</formula>
    </cfRule>
    <cfRule type="expression" dxfId="32" priority="10" stopIfTrue="1">
      <formula>NOT(OR(Q155="C",Q155="NC",Q155="SF",Q155="NA"))</formula>
    </cfRule>
  </conditionalFormatting>
  <conditionalFormatting sqref="U154:U156">
    <cfRule type="expression" dxfId="31" priority="5">
      <formula>U154=""</formula>
    </cfRule>
    <cfRule type="expression" dxfId="30" priority="6" stopIfTrue="1">
      <formula>NOT(OR(U154="C",U154="NC",U154="SF",U154="NA"))</formula>
    </cfRule>
  </conditionalFormatting>
  <conditionalFormatting sqref="W154:W156">
    <cfRule type="expression" dxfId="29" priority="3">
      <formula>W154=""</formula>
    </cfRule>
    <cfRule type="expression" dxfId="28" priority="4" stopIfTrue="1">
      <formula>NOT(OR(W154="C",W154="NC",W154="SF",W154="NA"))</formula>
    </cfRule>
  </conditionalFormatting>
  <conditionalFormatting sqref="Y154:Y156">
    <cfRule type="expression" dxfId="27" priority="1">
      <formula>Y154=""</formula>
    </cfRule>
    <cfRule type="expression" dxfId="26" priority="2" stopIfTrue="1">
      <formula>NOT(OR(Y154="C",Y154="NC",Y154="SF",Y154="NA"))</formula>
    </cfRule>
  </conditionalFormatting>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tint="0.59999389629810485"/>
    <pageSetUpPr fitToPage="1"/>
  </sheetPr>
  <dimension ref="A1:H11"/>
  <sheetViews>
    <sheetView topLeftCell="A13" zoomScale="55" zoomScaleNormal="55" zoomScaleSheetLayoutView="70" workbookViewId="0">
      <selection activeCell="F25" sqref="F25"/>
    </sheetView>
  </sheetViews>
  <sheetFormatPr defaultColWidth="9.140625" defaultRowHeight="21" customHeight="1"/>
  <cols>
    <col min="1" max="1" width="5.7109375" style="99" customWidth="1"/>
    <col min="2" max="7" width="30.7109375" style="99" customWidth="1"/>
    <col min="8" max="8" width="5.7109375" style="99" customWidth="1"/>
    <col min="9" max="16384" width="9.140625" style="99"/>
  </cols>
  <sheetData>
    <row r="1" spans="1:8" s="39" customFormat="1" ht="19.899999999999999" customHeight="1">
      <c r="A1" s="443" t="s">
        <v>64</v>
      </c>
      <c r="B1" s="444"/>
      <c r="C1" s="444"/>
      <c r="D1" s="444"/>
      <c r="E1" s="444"/>
      <c r="F1" s="444"/>
      <c r="G1" s="444"/>
      <c r="H1" s="445"/>
    </row>
    <row r="2" spans="1:8" s="20" customFormat="1" ht="19.899999999999999" customHeight="1">
      <c r="A2" s="44"/>
      <c r="B2" s="44"/>
      <c r="C2" s="44"/>
      <c r="D2" s="44"/>
      <c r="E2" s="44"/>
      <c r="F2" s="44"/>
      <c r="G2" s="44"/>
      <c r="H2" s="44"/>
    </row>
    <row r="3" spans="1:8" s="40" customFormat="1" ht="19.899999999999999" customHeight="1">
      <c r="A3" s="439" t="s">
        <v>1397</v>
      </c>
      <c r="B3" s="439"/>
      <c r="C3" s="439"/>
      <c r="D3" s="439"/>
      <c r="E3" s="439"/>
      <c r="F3" s="439"/>
      <c r="G3" s="439"/>
      <c r="H3" s="439"/>
    </row>
    <row r="4" spans="1:8" s="98" customFormat="1" ht="21" customHeight="1">
      <c r="A4" s="99"/>
      <c r="B4" s="99"/>
      <c r="C4" s="99"/>
      <c r="D4" s="99"/>
      <c r="E4" s="99"/>
      <c r="F4" s="99"/>
      <c r="G4" s="99"/>
      <c r="H4" s="99"/>
    </row>
    <row r="5" spans="1:8" ht="21" customHeight="1">
      <c r="B5" s="440" t="str">
        <f>'DADOS - FREGUESIA DO Ó'!B292</f>
        <v>TESTE</v>
      </c>
      <c r="C5" s="440"/>
      <c r="D5" s="440"/>
      <c r="E5" s="440"/>
      <c r="F5" s="440"/>
      <c r="G5" s="440"/>
    </row>
    <row r="6" spans="1:8" ht="21" customHeight="1">
      <c r="B6" s="441" t="s">
        <v>1398</v>
      </c>
      <c r="C6" s="441"/>
      <c r="D6" s="129" t="s">
        <v>56</v>
      </c>
      <c r="E6" s="129" t="s">
        <v>43</v>
      </c>
      <c r="F6" s="129" t="s">
        <v>41</v>
      </c>
      <c r="G6" s="129" t="s">
        <v>42</v>
      </c>
    </row>
    <row r="7" spans="1:8" ht="21" customHeight="1">
      <c r="B7" s="437" t="s">
        <v>46</v>
      </c>
      <c r="C7" s="438"/>
      <c r="D7" s="101">
        <f>F7+G7+E7</f>
        <v>0</v>
      </c>
      <c r="E7" s="101">
        <f>COUNTIFS(CAVALETE!N:N,'EQUIPES - CAVALETE '!B5,CAVALETE!O:O,"SF")</f>
        <v>0</v>
      </c>
      <c r="F7" s="101">
        <f>COUNTIFS(CAVALETE!N:N,'EQUIPES - CAVALETE '!B5,CAVALETE!O:O,"C")</f>
        <v>0</v>
      </c>
      <c r="G7" s="101">
        <f>COUNTIFS(CAVALETE!N:N,'EQUIPES - CAVALETE '!B5,CAVALETE!O:O,"NC")</f>
        <v>0</v>
      </c>
    </row>
    <row r="8" spans="1:8" ht="21" customHeight="1">
      <c r="B8" s="437" t="s">
        <v>65</v>
      </c>
      <c r="C8" s="438"/>
      <c r="D8" s="101">
        <f t="shared" ref="D8:D11" si="0">F8+G8+E8</f>
        <v>0</v>
      </c>
      <c r="E8" s="101">
        <f>COUNTIFS(CAVALETE!N:N,'EQUIPES - CAVALETE '!B5,CAVALETE!Q:Q,"SF")</f>
        <v>0</v>
      </c>
      <c r="F8" s="101">
        <f>COUNTIFS(CAVALETE!N:N,'EQUIPES - CAVALETE '!B5,CAVALETE!Q:Q,"C")</f>
        <v>0</v>
      </c>
      <c r="G8" s="101">
        <f>COUNTIFS(CAVALETE!N:N,'EQUIPES - CAVALETE '!B5,CAVALETE!Q:Q,"NC")</f>
        <v>0</v>
      </c>
    </row>
    <row r="9" spans="1:8" ht="21" customHeight="1">
      <c r="B9" s="437" t="s">
        <v>66</v>
      </c>
      <c r="C9" s="438"/>
      <c r="D9" s="101">
        <f t="shared" si="0"/>
        <v>0</v>
      </c>
      <c r="E9" s="101">
        <f>COUNTIFS(CAVALETE!N:N,'EQUIPES - CAVALETE '!B5,CAVALETE!S:S,"SF")</f>
        <v>0</v>
      </c>
      <c r="F9" s="101">
        <f>COUNTIFS(CAVALETE!N:N,'EQUIPES - CAVALETE '!B5,CAVALETE!S:S,"C")</f>
        <v>0</v>
      </c>
      <c r="G9" s="101">
        <f>COUNTIFS(CAVALETE!N:N,'EQUIPES - CAVALETE '!B5,CAVALETE!S:S,"NC")</f>
        <v>0</v>
      </c>
    </row>
    <row r="10" spans="1:8" ht="21" customHeight="1">
      <c r="B10" s="437" t="s">
        <v>67</v>
      </c>
      <c r="C10" s="438"/>
      <c r="D10" s="101">
        <f t="shared" si="0"/>
        <v>0</v>
      </c>
      <c r="E10" s="101">
        <f>COUNTIFS(CAVALETE!N:N,'EQUIPES - CAVALETE '!B5,CAVALETE!U:U,"SF")</f>
        <v>0</v>
      </c>
      <c r="F10" s="101">
        <f>COUNTIFS(CAVALETE!N:N,'EQUIPES - CAVALETE '!B5,CAVALETE!U:U,"C")</f>
        <v>0</v>
      </c>
      <c r="G10" s="101">
        <f>COUNTIFS(CAVALETE!N:N,'EQUIPES - CAVALETE '!B5,CAVALETE!U:U,"NC")</f>
        <v>0</v>
      </c>
    </row>
    <row r="11" spans="1:8" ht="21" customHeight="1">
      <c r="B11" s="437" t="s">
        <v>53</v>
      </c>
      <c r="C11" s="438"/>
      <c r="D11" s="101">
        <f t="shared" si="0"/>
        <v>0</v>
      </c>
      <c r="E11" s="101">
        <f>COUNTIFS(CAVALETE!N:N,'EQUIPES - CAVALETE '!B5,CAVALETE!W:W,"SF")</f>
        <v>0</v>
      </c>
      <c r="F11" s="101">
        <f>COUNTIFS(CAVALETE!N:N,'EQUIPES - CAVALETE '!B5,CAVALETE!W:W,"C")</f>
        <v>0</v>
      </c>
      <c r="G11" s="101">
        <f>COUNTIFS(CAVALETE!N:N,'EQUIPES - CAVALETE '!B5,CAVALETE!W:W,"NC")</f>
        <v>0</v>
      </c>
    </row>
  </sheetData>
  <mergeCells count="9">
    <mergeCell ref="B8:C8"/>
    <mergeCell ref="B9:C9"/>
    <mergeCell ref="B10:C10"/>
    <mergeCell ref="B11:C11"/>
    <mergeCell ref="A1:H1"/>
    <mergeCell ref="A3:H3"/>
    <mergeCell ref="B5:G5"/>
    <mergeCell ref="B6:C6"/>
    <mergeCell ref="B7:C7"/>
  </mergeCells>
  <pageMargins left="0.25" right="0.25" top="0.75" bottom="0.75" header="0.3" footer="0.3"/>
  <pageSetup paperSize="9" scale="47"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2" tint="-0.249977111117893"/>
    <pageSetUpPr fitToPage="1"/>
  </sheetPr>
  <dimension ref="A1:K118"/>
  <sheetViews>
    <sheetView zoomScale="55" zoomScaleNormal="55" zoomScaleSheetLayoutView="55" workbookViewId="0">
      <selection activeCell="E47" sqref="E47"/>
    </sheetView>
  </sheetViews>
  <sheetFormatPr defaultColWidth="9.140625" defaultRowHeight="19.899999999999999" customHeight="1"/>
  <cols>
    <col min="1" max="7" width="37.7109375" style="18" customWidth="1"/>
    <col min="8" max="16384" width="9.140625" style="18"/>
  </cols>
  <sheetData>
    <row r="1" spans="1:7" s="2" customFormat="1" ht="35.1" customHeight="1">
      <c r="A1" s="433" t="s">
        <v>158</v>
      </c>
      <c r="B1" s="433"/>
      <c r="C1" s="433"/>
      <c r="D1" s="433"/>
      <c r="E1" s="433"/>
      <c r="F1" s="433"/>
    </row>
    <row r="2" spans="1:7" s="4" customFormat="1" ht="30" customHeight="1" thickBot="1"/>
    <row r="3" spans="1:7" s="3" customFormat="1" ht="30" customHeight="1">
      <c r="B3" s="428" t="s">
        <v>159</v>
      </c>
      <c r="C3" s="429"/>
      <c r="D3" s="428" t="s">
        <v>56</v>
      </c>
      <c r="E3" s="429"/>
    </row>
    <row r="4" spans="1:7" s="3" customFormat="1" ht="30" customHeight="1" thickBot="1">
      <c r="B4" s="426">
        <f>COUNTIF(REPOSIÇÃO!A:A,"ONMF - DIV MANUT SERV OPE FREGUESIA")</f>
        <v>133</v>
      </c>
      <c r="C4" s="427"/>
      <c r="D4" s="426">
        <f>'DADOS - FREGUESIA DO Ó'!C29</f>
        <v>23</v>
      </c>
      <c r="E4" s="427"/>
    </row>
    <row r="5" spans="1:7" s="3" customFormat="1" ht="35.1" customHeight="1">
      <c r="A5" s="24"/>
      <c r="B5" s="88" t="s">
        <v>160</v>
      </c>
      <c r="C5" s="89" t="s">
        <v>161</v>
      </c>
      <c r="D5" s="88" t="s">
        <v>162</v>
      </c>
      <c r="E5" s="89" t="s">
        <v>161</v>
      </c>
      <c r="G5" s="3">
        <f>18/6</f>
        <v>3</v>
      </c>
    </row>
    <row r="6" spans="1:7" s="3" customFormat="1" ht="35.1" customHeight="1" thickBot="1">
      <c r="A6" s="24"/>
      <c r="B6" s="87">
        <f>'DADOS - FREGUESIA DO Ó'!C29+'GRÁFICOS - REPOSIÇÃO'!D8</f>
        <v>133</v>
      </c>
      <c r="C6" s="46">
        <f>IFERROR(B6/B4,"-")</f>
        <v>1</v>
      </c>
      <c r="D6" s="87">
        <f>COUNTIFS(REPOSIÇÃO!O:O,"SF",REPOSIÇÃO!Q:Q,"SF",REPOSIÇÃO!S:S,"SF",REPOSIÇÃO!U:U,"SF",REPOSIÇÃO!W:W,"SF",REPOSIÇÃO!AA:AA,"SF",REPOSIÇÃO!Y:Y,"SF",REPOSIÇÃO!AC:AC,"SF")</f>
        <v>1</v>
      </c>
      <c r="E6" s="46">
        <f>IFERROR(D6/B4,"-")</f>
        <v>7.5187969924812026E-3</v>
      </c>
    </row>
    <row r="7" spans="1:7" s="3" customFormat="1" ht="35.1" customHeight="1">
      <c r="A7" s="24"/>
      <c r="B7" s="88" t="s">
        <v>163</v>
      </c>
      <c r="C7" s="89" t="s">
        <v>161</v>
      </c>
      <c r="D7" s="88" t="s">
        <v>164</v>
      </c>
      <c r="E7" s="89" t="s">
        <v>161</v>
      </c>
      <c r="F7" s="24"/>
    </row>
    <row r="8" spans="1:7" s="3" customFormat="1" ht="35.1" customHeight="1" thickBot="1">
      <c r="A8" s="24"/>
      <c r="B8" s="87">
        <f>B4-B6</f>
        <v>0</v>
      </c>
      <c r="C8" s="46">
        <f>IFERROR(B8/B4,"-")</f>
        <v>0</v>
      </c>
      <c r="D8" s="87">
        <f>COUNTIFS(REPOSIÇÃO!O:O,"na",REPOSIÇÃO!Q:Q,"na",REPOSIÇÃO!S:S,"na",REPOSIÇÃO!U:U,"na",REPOSIÇÃO!W:W,"na",REPOSIÇÃO!AA:AA,"na",REPOSIÇÃO!Y:Y,"na",REPOSIÇÃO!AC:AC,"na")</f>
        <v>110</v>
      </c>
      <c r="E8" s="46">
        <f>IFERROR(D8/B4,"-")</f>
        <v>0.82706766917293228</v>
      </c>
      <c r="F8" s="24"/>
    </row>
    <row r="9" spans="1:7" s="3" customFormat="1" ht="20.100000000000001" customHeight="1">
      <c r="A9" s="24"/>
      <c r="B9" s="48"/>
      <c r="C9" s="49"/>
      <c r="D9" s="48"/>
      <c r="E9" s="49"/>
      <c r="F9" s="24"/>
    </row>
    <row r="10" spans="1:7" s="3" customFormat="1" ht="20.100000000000001" customHeight="1">
      <c r="A10" s="24"/>
      <c r="B10" s="24"/>
      <c r="C10" s="28"/>
      <c r="D10" s="24"/>
      <c r="E10" s="28"/>
      <c r="F10" s="24"/>
    </row>
    <row r="11" spans="1:7" s="3" customFormat="1" ht="35.1" customHeight="1">
      <c r="A11" s="433" t="s">
        <v>165</v>
      </c>
      <c r="B11" s="433"/>
      <c r="C11" s="433"/>
      <c r="D11" s="433"/>
      <c r="E11" s="433"/>
      <c r="F11" s="433"/>
      <c r="G11" s="433"/>
    </row>
    <row r="12" spans="1:7" s="3" customFormat="1" ht="20.100000000000001" customHeight="1">
      <c r="E12" s="24"/>
      <c r="F12" s="28"/>
    </row>
    <row r="13" spans="1:7" s="3" customFormat="1" ht="20.100000000000001" customHeight="1">
      <c r="A13" s="24"/>
      <c r="B13" s="24"/>
      <c r="C13" s="24"/>
      <c r="D13" s="24"/>
      <c r="E13" s="25"/>
      <c r="F13" s="24"/>
    </row>
    <row r="14" spans="1:7" s="1" customFormat="1" ht="20.100000000000001" customHeight="1">
      <c r="A14" s="18"/>
      <c r="B14" s="18"/>
      <c r="C14" s="18"/>
      <c r="D14" s="18"/>
      <c r="E14" s="18"/>
      <c r="F14" s="18"/>
    </row>
    <row r="15" spans="1:7" s="1" customFormat="1" ht="20.100000000000001" customHeight="1">
      <c r="A15" s="18"/>
      <c r="B15" s="18"/>
      <c r="C15" s="18"/>
      <c r="D15" s="18"/>
      <c r="E15" s="18"/>
      <c r="F15" s="18"/>
    </row>
    <row r="16" spans="1:7" s="1" customFormat="1" ht="20.100000000000001" customHeight="1">
      <c r="A16" s="18"/>
      <c r="B16" s="18"/>
      <c r="C16" s="18"/>
      <c r="D16" s="18"/>
      <c r="E16" s="18"/>
      <c r="F16" s="18"/>
    </row>
    <row r="17" spans="1:6" s="1" customFormat="1" ht="20.100000000000001" customHeight="1">
      <c r="A17" s="18"/>
      <c r="B17" s="18"/>
      <c r="C17" s="18"/>
      <c r="D17" s="18"/>
      <c r="E17" s="18"/>
      <c r="F17" s="18"/>
    </row>
    <row r="18" spans="1:6" s="1" customFormat="1" ht="20.100000000000001" customHeight="1">
      <c r="A18" s="18"/>
      <c r="B18" s="18"/>
      <c r="C18" s="18"/>
      <c r="D18" s="18"/>
      <c r="E18" s="18"/>
      <c r="F18" s="18"/>
    </row>
    <row r="19" spans="1:6" s="1" customFormat="1" ht="20.100000000000001" customHeight="1">
      <c r="A19" s="18"/>
      <c r="B19" s="18"/>
      <c r="C19" s="18"/>
      <c r="D19" s="18"/>
      <c r="E19" s="18"/>
      <c r="F19" s="18"/>
    </row>
    <row r="20" spans="1:6" s="1" customFormat="1" ht="20.100000000000001" customHeight="1">
      <c r="A20" s="18"/>
      <c r="B20" s="18"/>
      <c r="C20" s="18"/>
      <c r="D20" s="18"/>
      <c r="E20" s="18"/>
      <c r="F20" s="18"/>
    </row>
    <row r="21" spans="1:6" s="1" customFormat="1" ht="20.100000000000001" customHeight="1">
      <c r="A21" s="18"/>
      <c r="B21" s="18"/>
      <c r="C21" s="18"/>
      <c r="D21" s="18"/>
      <c r="E21" s="18"/>
      <c r="F21" s="18"/>
    </row>
    <row r="22" spans="1:6" s="1" customFormat="1" ht="20.100000000000001" customHeight="1">
      <c r="A22" s="18"/>
      <c r="B22" s="18"/>
      <c r="C22" s="18"/>
      <c r="D22" s="18"/>
      <c r="E22" s="18"/>
      <c r="F22" s="18"/>
    </row>
    <row r="23" spans="1:6" s="1" customFormat="1" ht="20.100000000000001" customHeight="1">
      <c r="A23" s="18"/>
      <c r="B23" s="18"/>
      <c r="C23" s="18"/>
      <c r="D23" s="18"/>
      <c r="E23" s="18"/>
      <c r="F23" s="18"/>
    </row>
    <row r="24" spans="1:6" s="1" customFormat="1" ht="20.100000000000001" customHeight="1">
      <c r="A24" s="18"/>
      <c r="B24" s="18"/>
      <c r="C24" s="18"/>
      <c r="D24" s="18"/>
      <c r="E24" s="18"/>
      <c r="F24" s="18"/>
    </row>
    <row r="25" spans="1:6" s="1" customFormat="1" ht="20.100000000000001" customHeight="1">
      <c r="A25" s="18"/>
      <c r="B25" s="18"/>
      <c r="C25" s="18"/>
      <c r="D25" s="18"/>
      <c r="E25" s="18"/>
      <c r="F25" s="18"/>
    </row>
    <row r="26" spans="1:6" s="1" customFormat="1" ht="20.100000000000001" customHeight="1">
      <c r="A26" s="18"/>
      <c r="B26" s="18"/>
      <c r="C26" s="18"/>
      <c r="D26" s="18"/>
      <c r="E26" s="18"/>
      <c r="F26" s="18"/>
    </row>
    <row r="27" spans="1:6" s="1" customFormat="1" ht="20.100000000000001" customHeight="1">
      <c r="A27" s="18"/>
      <c r="B27" s="18"/>
      <c r="C27" s="18"/>
      <c r="D27" s="18"/>
      <c r="E27" s="18"/>
      <c r="F27" s="18"/>
    </row>
    <row r="28" spans="1:6" s="1" customFormat="1" ht="20.100000000000001" customHeight="1">
      <c r="A28" s="18"/>
      <c r="B28" s="18"/>
      <c r="C28" s="18"/>
      <c r="D28" s="18"/>
      <c r="E28" s="18"/>
      <c r="F28" s="18"/>
    </row>
    <row r="29" spans="1:6" s="1" customFormat="1" ht="20.100000000000001" customHeight="1">
      <c r="A29" s="18"/>
      <c r="B29" s="18"/>
      <c r="C29" s="18"/>
      <c r="D29" s="18"/>
      <c r="E29" s="18"/>
      <c r="F29" s="18"/>
    </row>
    <row r="30" spans="1:6" s="1" customFormat="1" ht="20.100000000000001" customHeight="1">
      <c r="A30" s="18"/>
      <c r="B30" s="18"/>
      <c r="C30" s="18"/>
      <c r="D30" s="18"/>
      <c r="E30" s="18"/>
      <c r="F30" s="18"/>
    </row>
    <row r="31" spans="1:6" s="1" customFormat="1" ht="20.100000000000001" customHeight="1">
      <c r="A31" s="18"/>
      <c r="B31" s="18"/>
      <c r="C31" s="18"/>
      <c r="D31" s="18"/>
      <c r="E31" s="18"/>
      <c r="F31" s="18"/>
    </row>
    <row r="32" spans="1:6" s="1" customFormat="1" ht="20.100000000000001" customHeight="1">
      <c r="A32" s="18"/>
      <c r="B32" s="18"/>
      <c r="C32" s="18"/>
      <c r="D32" s="18"/>
      <c r="E32" s="18"/>
      <c r="F32" s="18"/>
    </row>
    <row r="33" spans="1:7" s="1" customFormat="1" ht="20.100000000000001" customHeight="1">
      <c r="A33" s="18"/>
      <c r="B33" s="18"/>
      <c r="C33" s="18"/>
      <c r="D33" s="18"/>
      <c r="E33" s="18"/>
      <c r="F33" s="18"/>
    </row>
    <row r="34" spans="1:7" s="1" customFormat="1" ht="20.100000000000001" customHeight="1">
      <c r="A34" s="18"/>
      <c r="B34" s="18"/>
      <c r="C34" s="18"/>
      <c r="D34" s="18"/>
      <c r="E34" s="18"/>
      <c r="F34" s="18"/>
    </row>
    <row r="35" spans="1:7" s="1" customFormat="1" ht="20.100000000000001" customHeight="1">
      <c r="A35" s="18"/>
      <c r="B35" s="18"/>
      <c r="C35" s="18"/>
      <c r="D35" s="18"/>
      <c r="E35" s="18"/>
      <c r="F35" s="18"/>
    </row>
    <row r="36" spans="1:7" s="1" customFormat="1" ht="20.100000000000001" customHeight="1">
      <c r="A36" s="18"/>
      <c r="B36" s="18"/>
      <c r="C36" s="18"/>
      <c r="D36" s="18"/>
      <c r="E36" s="18"/>
      <c r="F36" s="18"/>
    </row>
    <row r="37" spans="1:7" s="1" customFormat="1" ht="20.100000000000001" customHeight="1">
      <c r="A37" s="18"/>
      <c r="B37" s="18"/>
      <c r="C37" s="18"/>
      <c r="D37" s="18"/>
      <c r="E37" s="18"/>
      <c r="F37" s="18"/>
    </row>
    <row r="38" spans="1:7" s="1" customFormat="1" ht="20.100000000000001" customHeight="1">
      <c r="A38" s="18"/>
      <c r="B38" s="18"/>
      <c r="C38" s="18"/>
      <c r="D38" s="18"/>
      <c r="E38" s="18"/>
      <c r="F38" s="18"/>
    </row>
    <row r="39" spans="1:7" s="1" customFormat="1" ht="20.100000000000001" customHeight="1">
      <c r="A39" s="18"/>
      <c r="B39" s="18"/>
      <c r="C39" s="18"/>
      <c r="D39" s="18"/>
      <c r="E39" s="18"/>
      <c r="F39" s="18"/>
    </row>
    <row r="40" spans="1:7" s="2" customFormat="1" ht="35.1" customHeight="1">
      <c r="A40" s="433" t="s">
        <v>167</v>
      </c>
      <c r="B40" s="433"/>
      <c r="C40" s="433"/>
      <c r="D40" s="433"/>
      <c r="E40" s="433"/>
      <c r="F40" s="433"/>
      <c r="G40" s="433"/>
    </row>
    <row r="41" spans="1:7" s="1" customFormat="1" ht="20.100000000000001" customHeight="1">
      <c r="A41" s="18"/>
      <c r="B41" s="18"/>
      <c r="C41" s="18"/>
      <c r="D41" s="18"/>
      <c r="E41" s="18"/>
      <c r="F41" s="18"/>
    </row>
    <row r="42" spans="1:7" s="1" customFormat="1" ht="20.100000000000001" customHeight="1">
      <c r="A42" s="18"/>
      <c r="B42" s="18"/>
      <c r="C42" s="18"/>
      <c r="D42" s="18"/>
      <c r="E42" s="18"/>
      <c r="F42" s="18"/>
    </row>
    <row r="43" spans="1:7" s="1" customFormat="1" ht="20.100000000000001" customHeight="1">
      <c r="A43" s="18"/>
      <c r="B43" s="18"/>
      <c r="C43" s="18"/>
      <c r="D43" s="18"/>
      <c r="E43" s="18"/>
      <c r="F43" s="18"/>
    </row>
    <row r="44" spans="1:7" s="1" customFormat="1" ht="20.100000000000001" customHeight="1">
      <c r="A44" s="18"/>
      <c r="B44" s="18"/>
      <c r="C44" s="18"/>
      <c r="D44" s="18"/>
      <c r="E44" s="18"/>
      <c r="F44" s="18"/>
    </row>
    <row r="45" spans="1:7" s="1" customFormat="1" ht="20.100000000000001" customHeight="1">
      <c r="A45" s="18"/>
      <c r="B45" s="18"/>
      <c r="C45" s="18"/>
      <c r="D45" s="18"/>
      <c r="E45" s="18"/>
      <c r="F45" s="18"/>
    </row>
    <row r="46" spans="1:7" s="1" customFormat="1" ht="20.100000000000001" customHeight="1">
      <c r="A46" s="18"/>
      <c r="B46" s="18"/>
      <c r="C46" s="18"/>
      <c r="D46" s="18"/>
      <c r="E46" s="18"/>
      <c r="F46" s="18"/>
    </row>
    <row r="47" spans="1:7" s="1" customFormat="1" ht="20.100000000000001" customHeight="1">
      <c r="A47" s="18"/>
      <c r="B47" s="18"/>
      <c r="C47" s="18"/>
      <c r="D47" s="18"/>
      <c r="E47" s="18"/>
      <c r="F47" s="18"/>
    </row>
    <row r="48" spans="1:7" s="1" customFormat="1" ht="20.100000000000001" customHeight="1">
      <c r="A48" s="18"/>
      <c r="B48" s="18"/>
      <c r="C48" s="18"/>
      <c r="D48" s="18"/>
      <c r="E48" s="18"/>
      <c r="F48" s="18"/>
    </row>
    <row r="49" spans="1:6" s="1" customFormat="1" ht="20.100000000000001" customHeight="1">
      <c r="A49" s="18"/>
      <c r="B49" s="18"/>
      <c r="C49" s="18"/>
      <c r="D49" s="18"/>
      <c r="E49" s="18"/>
      <c r="F49" s="18"/>
    </row>
    <row r="50" spans="1:6" s="1" customFormat="1" ht="20.100000000000001" customHeight="1">
      <c r="A50" s="18"/>
      <c r="B50" s="18"/>
      <c r="C50" s="18"/>
      <c r="D50" s="18"/>
      <c r="E50" s="18"/>
      <c r="F50" s="18"/>
    </row>
    <row r="51" spans="1:6" s="1" customFormat="1" ht="20.100000000000001" customHeight="1">
      <c r="A51" s="18"/>
      <c r="B51" s="18"/>
      <c r="C51" s="18"/>
      <c r="D51" s="18"/>
      <c r="E51" s="18"/>
      <c r="F51" s="18"/>
    </row>
    <row r="52" spans="1:6" s="1" customFormat="1" ht="20.100000000000001" customHeight="1">
      <c r="A52" s="18"/>
      <c r="B52" s="18"/>
      <c r="C52" s="18"/>
      <c r="D52" s="18"/>
      <c r="E52" s="18"/>
      <c r="F52" s="18"/>
    </row>
    <row r="53" spans="1:6" s="1" customFormat="1" ht="20.100000000000001" customHeight="1">
      <c r="A53" s="18"/>
      <c r="B53" s="18"/>
      <c r="C53" s="18"/>
      <c r="D53" s="18"/>
      <c r="E53" s="18"/>
      <c r="F53" s="18"/>
    </row>
    <row r="54" spans="1:6" s="1" customFormat="1" ht="20.100000000000001" customHeight="1">
      <c r="A54" s="18"/>
      <c r="B54" s="18"/>
      <c r="C54" s="18"/>
      <c r="D54" s="18"/>
      <c r="E54" s="18"/>
      <c r="F54" s="18"/>
    </row>
    <row r="55" spans="1:6" s="1" customFormat="1" ht="20.100000000000001" customHeight="1">
      <c r="A55" s="18"/>
      <c r="B55" s="18"/>
      <c r="C55" s="18"/>
      <c r="D55" s="18"/>
      <c r="E55" s="18"/>
      <c r="F55" s="18"/>
    </row>
    <row r="56" spans="1:6" s="1" customFormat="1" ht="20.100000000000001" customHeight="1">
      <c r="A56" s="18"/>
      <c r="B56" s="18"/>
      <c r="C56" s="18"/>
      <c r="D56" s="18"/>
      <c r="E56" s="18"/>
      <c r="F56" s="18"/>
    </row>
    <row r="57" spans="1:6" s="1" customFormat="1" ht="20.100000000000001" customHeight="1">
      <c r="A57" s="18"/>
      <c r="B57" s="18"/>
      <c r="C57" s="18"/>
      <c r="D57" s="18"/>
      <c r="E57" s="18"/>
      <c r="F57" s="18"/>
    </row>
    <row r="58" spans="1:6" s="1" customFormat="1" ht="20.100000000000001" customHeight="1">
      <c r="A58" s="18"/>
      <c r="B58" s="18"/>
      <c r="C58" s="18"/>
      <c r="D58" s="18"/>
      <c r="E58" s="18"/>
      <c r="F58" s="18"/>
    </row>
    <row r="59" spans="1:6" s="1" customFormat="1" ht="20.100000000000001" customHeight="1">
      <c r="A59" s="18"/>
      <c r="B59" s="18"/>
      <c r="C59" s="18"/>
      <c r="D59" s="18"/>
      <c r="E59" s="18"/>
      <c r="F59" s="18"/>
    </row>
    <row r="60" spans="1:6" s="1" customFormat="1" ht="20.100000000000001" customHeight="1">
      <c r="A60" s="18"/>
      <c r="B60" s="18"/>
      <c r="C60" s="18"/>
      <c r="D60" s="18"/>
      <c r="E60" s="18"/>
      <c r="F60" s="18"/>
    </row>
    <row r="61" spans="1:6" s="1" customFormat="1" ht="20.100000000000001" customHeight="1">
      <c r="A61" s="18"/>
      <c r="B61" s="18"/>
      <c r="C61" s="18"/>
      <c r="D61" s="18"/>
      <c r="E61" s="18"/>
      <c r="F61" s="18"/>
    </row>
    <row r="62" spans="1:6" s="1" customFormat="1" ht="20.100000000000001" customHeight="1">
      <c r="A62" s="18"/>
      <c r="B62" s="18"/>
      <c r="C62" s="18"/>
      <c r="D62" s="18"/>
      <c r="E62" s="18"/>
      <c r="F62" s="18"/>
    </row>
    <row r="63" spans="1:6" s="1" customFormat="1" ht="20.100000000000001" customHeight="1">
      <c r="A63" s="18"/>
      <c r="B63" s="18"/>
      <c r="C63" s="18"/>
      <c r="D63" s="18"/>
      <c r="E63" s="18"/>
      <c r="F63" s="18"/>
    </row>
    <row r="64" spans="1:6" s="1" customFormat="1" ht="20.100000000000001" customHeight="1">
      <c r="A64" s="18"/>
      <c r="B64" s="18"/>
      <c r="C64" s="18"/>
      <c r="D64" s="18"/>
      <c r="E64" s="18"/>
      <c r="F64" s="18"/>
    </row>
    <row r="65" spans="1:11" s="1" customFormat="1" ht="20.100000000000001" customHeight="1">
      <c r="A65" s="18"/>
      <c r="B65" s="18"/>
      <c r="C65" s="18"/>
      <c r="D65" s="18"/>
      <c r="E65" s="18"/>
      <c r="F65" s="18"/>
    </row>
    <row r="66" spans="1:11" s="1" customFormat="1" ht="20.100000000000001" customHeight="1">
      <c r="A66" s="18"/>
      <c r="B66" s="18"/>
      <c r="C66" s="18"/>
      <c r="D66" s="18"/>
      <c r="E66" s="18"/>
      <c r="F66" s="18"/>
    </row>
    <row r="67" spans="1:11" s="1" customFormat="1" ht="20.100000000000001" customHeight="1">
      <c r="A67" s="18"/>
      <c r="B67" s="18"/>
      <c r="C67" s="18"/>
      <c r="D67" s="18"/>
      <c r="E67" s="18"/>
      <c r="F67" s="18"/>
    </row>
    <row r="68" spans="1:11" s="1" customFormat="1" ht="20.100000000000001" customHeight="1">
      <c r="A68" s="18"/>
      <c r="B68" s="18"/>
      <c r="C68" s="18"/>
      <c r="D68" s="18"/>
      <c r="E68" s="18"/>
      <c r="F68" s="18"/>
    </row>
    <row r="69" spans="1:11" s="1" customFormat="1" ht="20.100000000000001" customHeight="1">
      <c r="A69" s="18"/>
      <c r="B69" s="18"/>
      <c r="C69" s="18"/>
      <c r="D69" s="18"/>
      <c r="E69" s="18"/>
      <c r="F69" s="18"/>
    </row>
    <row r="70" spans="1:11" s="1" customFormat="1" ht="20.100000000000001" customHeight="1">
      <c r="A70" s="18"/>
      <c r="B70" s="18"/>
      <c r="C70" s="18"/>
      <c r="D70" s="18"/>
      <c r="E70" s="18"/>
      <c r="F70" s="18"/>
    </row>
    <row r="71" spans="1:11" s="1" customFormat="1" ht="20.100000000000001" customHeight="1">
      <c r="A71" s="18"/>
      <c r="B71" s="18"/>
      <c r="C71" s="18"/>
      <c r="D71" s="18"/>
      <c r="E71" s="18"/>
      <c r="F71" s="18"/>
    </row>
    <row r="72" spans="1:11" s="1" customFormat="1" ht="20.100000000000001" customHeight="1">
      <c r="A72" s="18"/>
      <c r="B72" s="18"/>
      <c r="C72" s="18"/>
      <c r="D72" s="18"/>
      <c r="E72" s="18"/>
      <c r="F72" s="18"/>
    </row>
    <row r="73" spans="1:11" s="1" customFormat="1" ht="19.5">
      <c r="A73" s="18"/>
      <c r="B73" s="18"/>
      <c r="C73" s="18"/>
      <c r="D73" s="18"/>
      <c r="E73" s="18"/>
      <c r="F73" s="18"/>
    </row>
    <row r="74" spans="1:11" s="23" customFormat="1" ht="35.1" customHeight="1">
      <c r="A74" s="433" t="s">
        <v>168</v>
      </c>
      <c r="B74" s="433"/>
      <c r="C74" s="433"/>
      <c r="D74" s="433"/>
      <c r="E74" s="433"/>
      <c r="F74" s="433"/>
      <c r="G74" s="433"/>
      <c r="H74" s="433"/>
      <c r="I74" s="433"/>
      <c r="J74" s="433"/>
      <c r="K74" s="433"/>
    </row>
    <row r="75" spans="1:11" s="1" customFormat="1" ht="20.100000000000001" customHeight="1">
      <c r="A75" s="18"/>
      <c r="B75" s="18"/>
      <c r="C75" s="18"/>
      <c r="D75" s="18"/>
      <c r="E75" s="18"/>
      <c r="F75" s="18"/>
    </row>
    <row r="76" spans="1:11" s="1" customFormat="1" ht="20.100000000000001" customHeight="1">
      <c r="A76" s="18"/>
      <c r="B76" s="18"/>
      <c r="C76" s="18"/>
      <c r="D76" s="18"/>
      <c r="E76" s="18"/>
      <c r="F76" s="18"/>
    </row>
    <row r="77" spans="1:11" s="1" customFormat="1" ht="20.100000000000001" customHeight="1">
      <c r="A77" s="18"/>
      <c r="B77" s="18"/>
      <c r="C77" s="18"/>
      <c r="D77" s="18"/>
      <c r="E77" s="18"/>
      <c r="F77" s="18"/>
    </row>
    <row r="78" spans="1:11" s="1" customFormat="1" ht="20.100000000000001" customHeight="1">
      <c r="A78" s="18"/>
      <c r="B78" s="18"/>
      <c r="C78" s="18"/>
      <c r="D78" s="18"/>
      <c r="E78" s="18"/>
      <c r="F78" s="18"/>
    </row>
    <row r="79" spans="1:11" s="1" customFormat="1" ht="20.100000000000001" customHeight="1">
      <c r="A79" s="18"/>
      <c r="B79" s="18"/>
      <c r="C79" s="18"/>
      <c r="D79" s="18"/>
      <c r="E79" s="18"/>
      <c r="F79" s="18"/>
    </row>
    <row r="80" spans="1:11" s="1" customFormat="1" ht="20.100000000000001" customHeight="1">
      <c r="A80" s="18"/>
      <c r="B80" s="18"/>
      <c r="C80" s="18"/>
      <c r="D80" s="18"/>
      <c r="E80" s="18"/>
      <c r="F80" s="18"/>
    </row>
    <row r="81" spans="1:6" s="1" customFormat="1" ht="20.100000000000001" customHeight="1">
      <c r="A81" s="18"/>
      <c r="B81" s="18"/>
      <c r="C81" s="18"/>
      <c r="D81" s="18"/>
      <c r="E81" s="18"/>
      <c r="F81" s="18"/>
    </row>
    <row r="82" spans="1:6" s="1" customFormat="1" ht="20.100000000000001" customHeight="1">
      <c r="A82" s="18"/>
      <c r="B82" s="18"/>
      <c r="C82" s="18"/>
      <c r="D82" s="18"/>
      <c r="E82" s="18"/>
      <c r="F82" s="18"/>
    </row>
    <row r="83" spans="1:6" s="1" customFormat="1" ht="20.100000000000001" customHeight="1">
      <c r="A83" s="18"/>
      <c r="B83" s="18"/>
      <c r="C83" s="18"/>
      <c r="D83" s="18"/>
      <c r="E83" s="18"/>
      <c r="F83" s="18"/>
    </row>
    <row r="84" spans="1:6" s="1" customFormat="1" ht="20.100000000000001" customHeight="1">
      <c r="A84" s="18"/>
      <c r="B84" s="18"/>
      <c r="C84" s="18"/>
      <c r="D84" s="18"/>
      <c r="E84" s="18"/>
      <c r="F84" s="18"/>
    </row>
    <row r="85" spans="1:6" s="1" customFormat="1" ht="20.100000000000001" customHeight="1">
      <c r="A85" s="18"/>
      <c r="B85" s="18"/>
      <c r="C85" s="18"/>
      <c r="D85" s="18"/>
      <c r="E85" s="18"/>
      <c r="F85" s="18"/>
    </row>
    <row r="86" spans="1:6" s="1" customFormat="1" ht="20.100000000000001" customHeight="1">
      <c r="A86" s="18"/>
      <c r="B86" s="18"/>
      <c r="C86" s="18"/>
      <c r="D86" s="18"/>
      <c r="E86" s="18"/>
      <c r="F86" s="18"/>
    </row>
    <row r="87" spans="1:6" s="1" customFormat="1" ht="20.100000000000001" customHeight="1">
      <c r="A87" s="18"/>
      <c r="B87" s="18"/>
      <c r="C87" s="18"/>
      <c r="D87" s="18"/>
      <c r="E87" s="18"/>
      <c r="F87" s="18"/>
    </row>
    <row r="88" spans="1:6" s="1" customFormat="1" ht="20.100000000000001" customHeight="1">
      <c r="A88" s="18"/>
      <c r="B88" s="18"/>
      <c r="C88" s="18"/>
      <c r="D88" s="18"/>
      <c r="E88" s="18"/>
      <c r="F88" s="18"/>
    </row>
    <row r="89" spans="1:6" s="1" customFormat="1" ht="20.100000000000001" customHeight="1">
      <c r="A89" s="18"/>
      <c r="B89" s="18"/>
      <c r="C89" s="18"/>
      <c r="D89" s="18"/>
      <c r="E89" s="18"/>
      <c r="F89" s="18"/>
    </row>
    <row r="90" spans="1:6" s="1" customFormat="1" ht="20.100000000000001" customHeight="1">
      <c r="A90" s="18"/>
      <c r="B90" s="18"/>
      <c r="C90" s="18"/>
      <c r="D90" s="18"/>
      <c r="E90" s="18"/>
      <c r="F90" s="18"/>
    </row>
    <row r="91" spans="1:6" s="1" customFormat="1" ht="20.100000000000001" customHeight="1">
      <c r="A91" s="18"/>
      <c r="B91" s="18"/>
      <c r="C91" s="18"/>
      <c r="D91" s="18"/>
      <c r="E91" s="18"/>
      <c r="F91" s="18"/>
    </row>
    <row r="92" spans="1:6" s="1" customFormat="1" ht="20.100000000000001" customHeight="1">
      <c r="A92" s="18"/>
      <c r="B92" s="18"/>
      <c r="C92" s="18"/>
      <c r="D92" s="18"/>
      <c r="E92" s="18"/>
      <c r="F92" s="18"/>
    </row>
    <row r="93" spans="1:6" s="1" customFormat="1" ht="20.100000000000001" customHeight="1">
      <c r="A93" s="18"/>
      <c r="B93" s="18"/>
      <c r="C93" s="18"/>
      <c r="D93" s="18"/>
      <c r="E93" s="18"/>
      <c r="F93" s="18"/>
    </row>
    <row r="94" spans="1:6" s="1" customFormat="1" ht="20.100000000000001" customHeight="1">
      <c r="A94" s="18"/>
      <c r="B94" s="18"/>
      <c r="C94" s="18"/>
      <c r="D94" s="18"/>
      <c r="E94" s="18"/>
      <c r="F94" s="18"/>
    </row>
    <row r="95" spans="1:6" s="1" customFormat="1" ht="20.100000000000001" customHeight="1">
      <c r="A95" s="18"/>
      <c r="B95" s="18"/>
      <c r="C95" s="18"/>
      <c r="D95" s="18"/>
      <c r="E95" s="18"/>
      <c r="F95" s="18"/>
    </row>
    <row r="96" spans="1:6" s="1" customFormat="1" ht="20.100000000000001" customHeight="1">
      <c r="A96" s="18"/>
      <c r="B96" s="18"/>
      <c r="C96" s="18"/>
      <c r="D96" s="18"/>
      <c r="E96" s="18"/>
      <c r="F96" s="18"/>
    </row>
    <row r="97" spans="1:6" s="1" customFormat="1" ht="20.100000000000001" customHeight="1">
      <c r="A97" s="18"/>
      <c r="B97" s="18"/>
      <c r="C97" s="18"/>
      <c r="D97" s="18"/>
      <c r="E97" s="18"/>
      <c r="F97" s="18"/>
    </row>
    <row r="98" spans="1:6" ht="20.100000000000001" customHeight="1"/>
    <row r="99" spans="1:6" ht="20.100000000000001" customHeight="1"/>
    <row r="100" spans="1:6" ht="20.100000000000001" customHeight="1"/>
    <row r="101" spans="1:6" ht="20.100000000000001" customHeight="1"/>
    <row r="102" spans="1:6" ht="20.100000000000001" customHeight="1"/>
    <row r="103" spans="1:6" ht="20.100000000000001" customHeight="1"/>
    <row r="104" spans="1:6" ht="20.100000000000001" customHeight="1"/>
    <row r="105" spans="1:6" ht="20.100000000000001" customHeight="1"/>
    <row r="106" spans="1:6" ht="20.100000000000001" customHeight="1"/>
    <row r="107" spans="1:6" ht="20.100000000000001" customHeight="1"/>
    <row r="108" spans="1:6" ht="20.100000000000001" customHeight="1"/>
    <row r="109" spans="1:6" ht="20.100000000000001" customHeight="1"/>
    <row r="110" spans="1:6" ht="20.100000000000001" customHeight="1"/>
    <row r="111" spans="1:6" ht="20.100000000000001" customHeight="1"/>
    <row r="112" spans="1:6"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sheetData>
  <sheetProtection formatCells="0" formatColumns="0" formatRows="0" insertColumns="0" insertRows="0" insertHyperlinks="0" deleteColumns="0" deleteRows="0" sort="0" autoFilter="0" pivotTables="0"/>
  <mergeCells count="8">
    <mergeCell ref="A11:G11"/>
    <mergeCell ref="A40:G40"/>
    <mergeCell ref="A74:K74"/>
    <mergeCell ref="A1:F1"/>
    <mergeCell ref="D4:E4"/>
    <mergeCell ref="D3:E3"/>
    <mergeCell ref="B4:C4"/>
    <mergeCell ref="B3:C3"/>
  </mergeCells>
  <pageMargins left="0.511811024" right="0.14000000000000001" top="0.78740157499999996" bottom="0.78740157499999996" header="0.31496062000000002" footer="0.31496062000000002"/>
  <pageSetup paperSize="9" scale="33"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2" tint="-0.749992370372631"/>
  </sheetPr>
  <dimension ref="A1:AK944"/>
  <sheetViews>
    <sheetView zoomScale="55" zoomScaleNormal="55" workbookViewId="0">
      <pane ySplit="1" topLeftCell="A129" activePane="bottomLeft" state="frozen"/>
      <selection pane="bottomLeft" activeCell="A135" sqref="A135"/>
      <selection activeCell="L131" sqref="L131"/>
    </sheetView>
  </sheetViews>
  <sheetFormatPr defaultColWidth="9.140625" defaultRowHeight="30" customHeight="1"/>
  <cols>
    <col min="1" max="1" width="61.7109375" style="53" bestFit="1" customWidth="1"/>
    <col min="2" max="2" width="25.28515625" style="53" bestFit="1" customWidth="1"/>
    <col min="3" max="3" width="30.28515625" style="53" bestFit="1" customWidth="1"/>
    <col min="4" max="4" width="20.140625" style="53" bestFit="1" customWidth="1"/>
    <col min="5" max="5" width="23.5703125" style="53" bestFit="1" customWidth="1"/>
    <col min="6" max="6" width="39.5703125" style="53" customWidth="1"/>
    <col min="7" max="7" width="20.7109375" style="53" bestFit="1" customWidth="1"/>
    <col min="8" max="8" width="25.85546875" style="53" customWidth="1"/>
    <col min="9" max="9" width="42.85546875" style="53" customWidth="1"/>
    <col min="10" max="10" width="50.28515625" style="53" customWidth="1"/>
    <col min="11" max="11" width="51.5703125" style="53" bestFit="1" customWidth="1"/>
    <col min="12" max="12" width="39.140625" style="53" bestFit="1" customWidth="1"/>
    <col min="13" max="13" width="36.28515625" style="53" bestFit="1" customWidth="1"/>
    <col min="14" max="14" width="85.85546875" style="57" customWidth="1"/>
    <col min="15" max="15" width="32.42578125" style="53" customWidth="1"/>
    <col min="16" max="16" width="38.85546875" style="53" bestFit="1" customWidth="1"/>
    <col min="17" max="17" width="29.42578125" style="53" bestFit="1" customWidth="1"/>
    <col min="18" max="18" width="43.7109375" style="53" bestFit="1" customWidth="1"/>
    <col min="19" max="19" width="29.42578125" style="53" bestFit="1" customWidth="1"/>
    <col min="20" max="20" width="43.28515625" style="53" bestFit="1" customWidth="1"/>
    <col min="21" max="21" width="31.5703125" style="53" bestFit="1" customWidth="1"/>
    <col min="22" max="22" width="26.85546875" style="53" bestFit="1" customWidth="1"/>
    <col min="23" max="23" width="23.7109375" style="53" bestFit="1" customWidth="1"/>
    <col min="24" max="24" width="38" style="53" bestFit="1" customWidth="1"/>
    <col min="25" max="25" width="28.42578125" style="53" bestFit="1" customWidth="1"/>
    <col min="26" max="26" width="61.7109375" style="53" bestFit="1" customWidth="1"/>
    <col min="27" max="27" width="39.42578125" style="53" bestFit="1" customWidth="1"/>
    <col min="28" max="28" width="49.42578125" style="53" bestFit="1" customWidth="1"/>
    <col min="29" max="29" width="29.42578125" style="53" bestFit="1" customWidth="1"/>
    <col min="30" max="30" width="43" style="53" bestFit="1" customWidth="1"/>
    <col min="31" max="32" width="42.42578125" style="53" bestFit="1" customWidth="1"/>
    <col min="33" max="33" width="28" style="57" bestFit="1" customWidth="1"/>
    <col min="34" max="34" width="55.42578125" style="53" bestFit="1" customWidth="1"/>
    <col min="35" max="35" width="25.5703125" style="53" customWidth="1"/>
    <col min="36" max="36" width="23.5703125" style="53" bestFit="1" customWidth="1"/>
    <col min="37" max="37" width="9.140625" style="178"/>
    <col min="38" max="16384" width="9.140625" style="53"/>
  </cols>
  <sheetData>
    <row r="1" spans="1:37" ht="33" customHeight="1">
      <c r="A1" s="206" t="s">
        <v>169</v>
      </c>
      <c r="B1" s="206" t="s">
        <v>170</v>
      </c>
      <c r="C1" s="206" t="s">
        <v>171</v>
      </c>
      <c r="D1" s="206" t="s">
        <v>172</v>
      </c>
      <c r="E1" s="206" t="s">
        <v>173</v>
      </c>
      <c r="F1" s="206" t="s">
        <v>174</v>
      </c>
      <c r="G1" s="206" t="s">
        <v>175</v>
      </c>
      <c r="H1" s="206" t="s">
        <v>176</v>
      </c>
      <c r="I1" s="206" t="s">
        <v>177</v>
      </c>
      <c r="J1" s="206" t="s">
        <v>178</v>
      </c>
      <c r="K1" s="206" t="s">
        <v>179</v>
      </c>
      <c r="L1" s="206" t="s">
        <v>180</v>
      </c>
      <c r="M1" s="206" t="s">
        <v>181</v>
      </c>
      <c r="N1" s="207" t="s">
        <v>1400</v>
      </c>
      <c r="O1" s="208" t="s">
        <v>46</v>
      </c>
      <c r="P1" s="209" t="s">
        <v>182</v>
      </c>
      <c r="Q1" s="210" t="s">
        <v>47</v>
      </c>
      <c r="R1" s="209" t="s">
        <v>2705</v>
      </c>
      <c r="S1" s="209" t="s">
        <v>69</v>
      </c>
      <c r="T1" s="209" t="s">
        <v>2706</v>
      </c>
      <c r="U1" s="211" t="s">
        <v>70</v>
      </c>
      <c r="V1" s="211" t="s">
        <v>2707</v>
      </c>
      <c r="W1" s="211" t="s">
        <v>71</v>
      </c>
      <c r="X1" s="209" t="s">
        <v>2708</v>
      </c>
      <c r="Y1" s="211" t="s">
        <v>2709</v>
      </c>
      <c r="Z1" s="209" t="s">
        <v>2710</v>
      </c>
      <c r="AA1" s="209" t="s">
        <v>73</v>
      </c>
      <c r="AB1" s="209" t="s">
        <v>2711</v>
      </c>
      <c r="AC1" s="209" t="s">
        <v>53</v>
      </c>
      <c r="AD1" s="209" t="s">
        <v>190</v>
      </c>
      <c r="AE1" s="212" t="s">
        <v>34</v>
      </c>
      <c r="AF1" s="212" t="s">
        <v>1404</v>
      </c>
      <c r="AG1" s="210" t="s">
        <v>193</v>
      </c>
      <c r="AH1" s="213" t="s">
        <v>197</v>
      </c>
      <c r="AI1" s="213" t="s">
        <v>196</v>
      </c>
      <c r="AJ1" s="213" t="s">
        <v>1896</v>
      </c>
      <c r="AK1" s="53"/>
    </row>
    <row r="2" spans="1:37" s="204" customFormat="1" ht="30" customHeight="1">
      <c r="A2" s="215" t="s">
        <v>198</v>
      </c>
      <c r="B2" s="215">
        <v>2618310702</v>
      </c>
      <c r="C2" s="215" t="s">
        <v>139</v>
      </c>
      <c r="D2" s="215" t="s">
        <v>68</v>
      </c>
      <c r="E2" s="215" t="s">
        <v>5</v>
      </c>
      <c r="F2" s="215" t="s">
        <v>2712</v>
      </c>
      <c r="G2" s="215">
        <v>357</v>
      </c>
      <c r="H2" s="215" t="s">
        <v>226</v>
      </c>
      <c r="I2" s="215" t="s">
        <v>849</v>
      </c>
      <c r="J2" s="215" t="s">
        <v>2713</v>
      </c>
      <c r="K2" s="215" t="s">
        <v>2714</v>
      </c>
      <c r="L2" s="216">
        <v>46117.291666666664</v>
      </c>
      <c r="M2" s="216">
        <v>46117.292361111111</v>
      </c>
      <c r="N2" s="215" t="s">
        <v>2715</v>
      </c>
      <c r="O2" s="203" t="s">
        <v>62</v>
      </c>
      <c r="P2" s="202"/>
      <c r="Q2" s="203" t="s">
        <v>62</v>
      </c>
      <c r="R2" s="202"/>
      <c r="S2" s="203" t="s">
        <v>62</v>
      </c>
      <c r="T2" s="202"/>
      <c r="U2" s="203" t="s">
        <v>62</v>
      </c>
      <c r="V2" s="202"/>
      <c r="W2" s="203" t="s">
        <v>62</v>
      </c>
      <c r="X2" s="202"/>
      <c r="Y2" s="203" t="s">
        <v>62</v>
      </c>
      <c r="Z2" s="202"/>
      <c r="AA2" s="203" t="s">
        <v>62</v>
      </c>
      <c r="AB2" s="202"/>
      <c r="AC2" s="203" t="s">
        <v>62</v>
      </c>
      <c r="AD2" s="202"/>
      <c r="AE2" s="203" t="s">
        <v>62</v>
      </c>
      <c r="AF2" s="205" t="str">
        <f>IF(AND(O2="",Q2="",S2="",U2="",W2="",Y2="",AA2="",AC2=""),"",
IF(OR(    AND(O2&lt;&gt;"NA",O2&lt;&gt;"C",O2&lt;&gt;"NC",O2&lt;&gt;"SF",O2&lt;&gt;""),
    AND(Q2&lt;&gt;"NA",Q2&lt;&gt;"C",Q2&lt;&gt;"NC",Q2&lt;&gt;"SF",Q2&lt;&gt;""),
    AND(S2&lt;&gt;"NA",S2&lt;&gt;"C",S2&lt;&gt;"NC",S2&lt;&gt;"SF",S2&lt;&gt;""),
    AND(U2&lt;&gt;"NA",U2&lt;&gt;"C",U2&lt;&gt;"NC",U2&lt;&gt;"SF",U2&lt;&gt;""),
    AND(W2&lt;&gt;"NA",W2&lt;&gt;"C",W2&lt;&gt;"NC",W2&lt;&gt;"SF",W2&lt;&gt;""),
    AND(Y2&lt;&gt;"NA",Y2&lt;&gt;"C",Y2&lt;&gt;"NC",Y2&lt;&gt;"SF",Y2&lt;&gt;""),
    AND(AA2&lt;&gt;"NA",AA2&lt;&gt;"C",AA2&lt;&gt;"NC",AA2&lt;&gt;"SF",AA2&lt;&gt;""),
    AND(AC2&lt;&gt;"NA",AC2&lt;&gt;"C",AC2&lt;&gt;"NC",AC2&lt;&gt;"SF",AC2&lt;&gt;"")
),"FALSO",
IF(AND(O2="NA",Q2="NA",S2="NA",U2="NA",W2="NA",Y2="NA",AA2="NA",AC2="NA"),"NA",
IF(OR(O2="NC",Q2="NC",S2="NC",U2="NC",W2="NC",Y2="NC",AA2="NC",AC2="NC",
       O2="SF",Q2="SF",S2="SF",U2="SF",W2="SF",Y2="SF",AA2="SF",AC2="SF"),"NC",
IF(SUM(IF(O2="C",1,0),IF(Q2="C",1,0),IF(S2="C",1,0),IF(U2="C",1,0),IF(W2="C",1,0),IF(Y2="C",1,0),IF(AA2="C",1,0),IF(AC2="C",1,0))=1,"C","C")))))</f>
        <v>NA</v>
      </c>
      <c r="AG2" s="217" t="str">
        <f t="shared" ref="AG2:AG54" si="0">IF(AND(AE2="C",AF2="C"),"UTILIZOU O PDA CORRETAMENTE",IF(AND(AE2="C",AF2="NC"),"UTILIZOU O PDA CORRETAMENTE. NÃO HÁ FOTOS DE TODAS AS ETAPAS",IF(AND(AE2="NC",AF2="NC"),"NÃO UTILIZOU O PDA",IF(AND(AE2="NA",AF2="NA"),"NÃO AVALIADO POR FALHA DE SINCRONISMO"))))</f>
        <v>NÃO AVALIADO POR FALHA DE SINCRONISMO</v>
      </c>
      <c r="AI2" s="218" t="str">
        <f>E2</f>
        <v>SÃO PAULO</v>
      </c>
      <c r="AJ2" s="218" t="s">
        <v>6</v>
      </c>
    </row>
    <row r="3" spans="1:37" s="204" customFormat="1" ht="30" customHeight="1">
      <c r="A3" s="215" t="s">
        <v>198</v>
      </c>
      <c r="B3" s="215">
        <v>2618415889</v>
      </c>
      <c r="C3" s="215" t="s">
        <v>139</v>
      </c>
      <c r="D3" s="215" t="s">
        <v>68</v>
      </c>
      <c r="E3" s="215" t="s">
        <v>5</v>
      </c>
      <c r="F3" s="215" t="s">
        <v>2716</v>
      </c>
      <c r="G3" s="215">
        <v>22</v>
      </c>
      <c r="H3" s="215" t="s">
        <v>200</v>
      </c>
      <c r="I3" s="215" t="s">
        <v>810</v>
      </c>
      <c r="J3" s="215" t="s">
        <v>2713</v>
      </c>
      <c r="K3" s="219" t="s">
        <v>2717</v>
      </c>
      <c r="L3" s="216">
        <v>46117.291666666664</v>
      </c>
      <c r="M3" s="216">
        <v>46117.292361111111</v>
      </c>
      <c r="N3" s="215" t="s">
        <v>2715</v>
      </c>
      <c r="O3" s="203" t="s">
        <v>205</v>
      </c>
      <c r="P3" s="202"/>
      <c r="Q3" s="203" t="s">
        <v>206</v>
      </c>
      <c r="R3" s="202"/>
      <c r="S3" s="203" t="s">
        <v>206</v>
      </c>
      <c r="T3" s="202"/>
      <c r="U3" s="203" t="s">
        <v>206</v>
      </c>
      <c r="V3" s="202"/>
      <c r="W3" s="203" t="s">
        <v>206</v>
      </c>
      <c r="X3" s="202"/>
      <c r="Y3" s="203" t="s">
        <v>206</v>
      </c>
      <c r="Z3" s="202"/>
      <c r="AA3" s="203" t="s">
        <v>206</v>
      </c>
      <c r="AB3" s="202"/>
      <c r="AC3" s="203" t="s">
        <v>206</v>
      </c>
      <c r="AD3" s="202"/>
      <c r="AE3" s="203" t="s">
        <v>239</v>
      </c>
      <c r="AF3" s="205" t="str">
        <f t="shared" ref="AF3:AF54" si="1">IF(AND(O3="",Q3="",S3="",U3="",W3="",Y3="",AA3="",AC3=""),"",
IF(OR(    AND(O3&lt;&gt;"NA",O3&lt;&gt;"C",O3&lt;&gt;"NC",O3&lt;&gt;"SF",O3&lt;&gt;""),
    AND(Q3&lt;&gt;"NA",Q3&lt;&gt;"C",Q3&lt;&gt;"NC",Q3&lt;&gt;"SF",Q3&lt;&gt;""),
    AND(S3&lt;&gt;"NA",S3&lt;&gt;"C",S3&lt;&gt;"NC",S3&lt;&gt;"SF",S3&lt;&gt;""),
    AND(U3&lt;&gt;"NA",U3&lt;&gt;"C",U3&lt;&gt;"NC",U3&lt;&gt;"SF",U3&lt;&gt;""),
    AND(W3&lt;&gt;"NA",W3&lt;&gt;"C",W3&lt;&gt;"NC",W3&lt;&gt;"SF",W3&lt;&gt;""),
    AND(Y3&lt;&gt;"NA",Y3&lt;&gt;"C",Y3&lt;&gt;"NC",Y3&lt;&gt;"SF",Y3&lt;&gt;""),
    AND(AA3&lt;&gt;"NA",AA3&lt;&gt;"C",AA3&lt;&gt;"NC",AA3&lt;&gt;"SF",AA3&lt;&gt;""),
    AND(AC3&lt;&gt;"NA",AC3&lt;&gt;"C",AC3&lt;&gt;"NC",AC3&lt;&gt;"SF",AC3&lt;&gt;"")
),"FALSO",
IF(AND(O3="NA",Q3="NA",S3="NA",U3="NA",W3="NA",Y3="NA",AA3="NA",AC3="NA"),"NA",
IF(OR(O3="NC",Q3="NC",S3="NC",U3="NC",W3="NC",Y3="NC",AA3="NC",AC3="NC",
       O3="SF",Q3="SF",S3="SF",U3="SF",W3="SF",Y3="SF",AA3="SF",AC3="SF"),"NC",
IF(SUM(IF(O3="C",1,0),IF(Q3="C",1,0),IF(S3="C",1,0),IF(U3="C",1,0),IF(W3="C",1,0),IF(Y3="C",1,0),IF(AA3="C",1,0),IF(AC3="C",1,0))=1,"C","C")))))</f>
        <v>NC</v>
      </c>
      <c r="AG3" s="217" t="str">
        <f t="shared" si="0"/>
        <v>NÃO UTILIZOU O PDA</v>
      </c>
      <c r="AI3" s="218" t="str">
        <f t="shared" ref="AI3:AI54" si="2">E3</f>
        <v>SÃO PAULO</v>
      </c>
      <c r="AJ3" s="218" t="s">
        <v>6</v>
      </c>
    </row>
    <row r="4" spans="1:37" s="204" customFormat="1" ht="30" customHeight="1">
      <c r="A4" s="215" t="s">
        <v>198</v>
      </c>
      <c r="B4" s="215">
        <v>2616846227</v>
      </c>
      <c r="C4" s="215" t="s">
        <v>142</v>
      </c>
      <c r="D4" s="215" t="s">
        <v>68</v>
      </c>
      <c r="E4" s="215" t="s">
        <v>5</v>
      </c>
      <c r="F4" s="215" t="s">
        <v>520</v>
      </c>
      <c r="G4" s="215">
        <v>210</v>
      </c>
      <c r="H4" s="215"/>
      <c r="I4" s="215" t="s">
        <v>521</v>
      </c>
      <c r="J4" s="215" t="s">
        <v>2718</v>
      </c>
      <c r="K4" s="219" t="s">
        <v>2719</v>
      </c>
      <c r="L4" s="216">
        <v>46117.291666666664</v>
      </c>
      <c r="M4" s="216">
        <v>46117.292361111111</v>
      </c>
      <c r="N4" s="215" t="s">
        <v>2715</v>
      </c>
      <c r="O4" s="203" t="s">
        <v>206</v>
      </c>
      <c r="P4" s="202"/>
      <c r="Q4" s="203" t="s">
        <v>206</v>
      </c>
      <c r="R4" s="202"/>
      <c r="S4" s="203" t="s">
        <v>206</v>
      </c>
      <c r="T4" s="202"/>
      <c r="U4" s="203" t="s">
        <v>206</v>
      </c>
      <c r="V4" s="202"/>
      <c r="W4" s="203" t="s">
        <v>206</v>
      </c>
      <c r="X4" s="202"/>
      <c r="Y4" s="203" t="s">
        <v>206</v>
      </c>
      <c r="Z4" s="202"/>
      <c r="AA4" s="203" t="s">
        <v>206</v>
      </c>
      <c r="AB4" s="202"/>
      <c r="AC4" s="203" t="s">
        <v>206</v>
      </c>
      <c r="AD4" s="202"/>
      <c r="AE4" s="203" t="s">
        <v>239</v>
      </c>
      <c r="AF4" s="205" t="str">
        <f t="shared" si="1"/>
        <v>NC</v>
      </c>
      <c r="AG4" s="217" t="str">
        <f t="shared" si="0"/>
        <v>NÃO UTILIZOU O PDA</v>
      </c>
      <c r="AI4" s="218" t="str">
        <f t="shared" si="2"/>
        <v>SÃO PAULO</v>
      </c>
      <c r="AJ4" s="218" t="s">
        <v>6</v>
      </c>
    </row>
    <row r="5" spans="1:37" s="204" customFormat="1" ht="30" customHeight="1">
      <c r="A5" s="215" t="s">
        <v>198</v>
      </c>
      <c r="B5" s="215">
        <v>2615141321</v>
      </c>
      <c r="C5" s="215" t="s">
        <v>141</v>
      </c>
      <c r="D5" s="215" t="s">
        <v>68</v>
      </c>
      <c r="E5" s="215" t="s">
        <v>5</v>
      </c>
      <c r="F5" s="215" t="s">
        <v>668</v>
      </c>
      <c r="G5" s="215">
        <v>64</v>
      </c>
      <c r="H5" s="215"/>
      <c r="I5" s="215" t="s">
        <v>624</v>
      </c>
      <c r="J5" s="215" t="s">
        <v>2713</v>
      </c>
      <c r="K5" s="219" t="s">
        <v>2720</v>
      </c>
      <c r="L5" s="216">
        <v>46117.333333333336</v>
      </c>
      <c r="M5" s="216">
        <v>46117.334027777775</v>
      </c>
      <c r="N5" s="215" t="s">
        <v>2715</v>
      </c>
      <c r="O5" s="203" t="s">
        <v>205</v>
      </c>
      <c r="P5" s="202"/>
      <c r="Q5" s="203" t="s">
        <v>205</v>
      </c>
      <c r="R5" s="202"/>
      <c r="S5" s="203" t="s">
        <v>205</v>
      </c>
      <c r="T5" s="202"/>
      <c r="U5" s="203" t="s">
        <v>206</v>
      </c>
      <c r="V5" s="202"/>
      <c r="W5" s="203" t="s">
        <v>206</v>
      </c>
      <c r="X5" s="202"/>
      <c r="Y5" s="203" t="s">
        <v>206</v>
      </c>
      <c r="Z5" s="202"/>
      <c r="AA5" s="203" t="s">
        <v>206</v>
      </c>
      <c r="AB5" s="202"/>
      <c r="AC5" s="203" t="s">
        <v>205</v>
      </c>
      <c r="AD5" s="202"/>
      <c r="AE5" s="203" t="s">
        <v>205</v>
      </c>
      <c r="AF5" s="205" t="str">
        <f t="shared" si="1"/>
        <v>NC</v>
      </c>
      <c r="AG5" s="217" t="str">
        <f t="shared" si="0"/>
        <v>UTILIZOU O PDA CORRETAMENTE. NÃO HÁ FOTOS DE TODAS AS ETAPAS</v>
      </c>
      <c r="AI5" s="218" t="str">
        <f t="shared" si="2"/>
        <v>SÃO PAULO</v>
      </c>
      <c r="AJ5" s="218" t="s">
        <v>6</v>
      </c>
    </row>
    <row r="6" spans="1:37" s="204" customFormat="1" ht="30" customHeight="1">
      <c r="A6" s="215" t="s">
        <v>198</v>
      </c>
      <c r="B6" s="215">
        <v>2616566853</v>
      </c>
      <c r="C6" s="215" t="s">
        <v>141</v>
      </c>
      <c r="D6" s="215" t="s">
        <v>68</v>
      </c>
      <c r="E6" s="215" t="s">
        <v>5</v>
      </c>
      <c r="F6" s="215" t="s">
        <v>2277</v>
      </c>
      <c r="G6" s="215">
        <v>396</v>
      </c>
      <c r="H6" s="215" t="s">
        <v>200</v>
      </c>
      <c r="I6" s="215" t="s">
        <v>215</v>
      </c>
      <c r="J6" s="215" t="s">
        <v>2713</v>
      </c>
      <c r="K6" s="219" t="s">
        <v>2721</v>
      </c>
      <c r="L6" s="216">
        <v>46117.333333333336</v>
      </c>
      <c r="M6" s="216">
        <v>46117.334027777775</v>
      </c>
      <c r="N6" s="215" t="s">
        <v>2715</v>
      </c>
      <c r="O6" s="203" t="s">
        <v>62</v>
      </c>
      <c r="P6" s="202"/>
      <c r="Q6" s="203" t="s">
        <v>62</v>
      </c>
      <c r="R6" s="202"/>
      <c r="S6" s="203" t="s">
        <v>62</v>
      </c>
      <c r="T6" s="202"/>
      <c r="U6" s="203" t="s">
        <v>62</v>
      </c>
      <c r="V6" s="202"/>
      <c r="W6" s="203" t="s">
        <v>62</v>
      </c>
      <c r="X6" s="202"/>
      <c r="Y6" s="203" t="s">
        <v>62</v>
      </c>
      <c r="Z6" s="202"/>
      <c r="AA6" s="203" t="s">
        <v>62</v>
      </c>
      <c r="AB6" s="202"/>
      <c r="AC6" s="203" t="s">
        <v>62</v>
      </c>
      <c r="AD6" s="202"/>
      <c r="AE6" s="203" t="s">
        <v>62</v>
      </c>
      <c r="AF6" s="205" t="s">
        <v>62</v>
      </c>
      <c r="AG6" s="217" t="str">
        <f t="shared" si="0"/>
        <v>NÃO AVALIADO POR FALHA DE SINCRONISMO</v>
      </c>
      <c r="AI6" s="218" t="str">
        <f t="shared" si="2"/>
        <v>SÃO PAULO</v>
      </c>
      <c r="AJ6" s="218" t="s">
        <v>6</v>
      </c>
    </row>
    <row r="7" spans="1:37" s="204" customFormat="1" ht="30" customHeight="1">
      <c r="A7" s="215" t="s">
        <v>198</v>
      </c>
      <c r="B7" s="215">
        <v>2617306799</v>
      </c>
      <c r="C7" s="215" t="s">
        <v>142</v>
      </c>
      <c r="D7" s="215" t="s">
        <v>68</v>
      </c>
      <c r="E7" s="215" t="s">
        <v>5</v>
      </c>
      <c r="F7" s="215" t="s">
        <v>1243</v>
      </c>
      <c r="G7" s="215">
        <v>391</v>
      </c>
      <c r="H7" s="215" t="s">
        <v>2722</v>
      </c>
      <c r="I7" s="215" t="s">
        <v>1082</v>
      </c>
      <c r="J7" s="215" t="s">
        <v>2718</v>
      </c>
      <c r="K7" s="219" t="s">
        <v>2723</v>
      </c>
      <c r="L7" s="216">
        <v>46117.333333333336</v>
      </c>
      <c r="M7" s="216">
        <v>46117.334027777775</v>
      </c>
      <c r="N7" s="215" t="s">
        <v>2073</v>
      </c>
      <c r="O7" s="203" t="s">
        <v>62</v>
      </c>
      <c r="P7" s="202"/>
      <c r="Q7" s="203" t="s">
        <v>62</v>
      </c>
      <c r="R7" s="202"/>
      <c r="S7" s="203" t="s">
        <v>62</v>
      </c>
      <c r="T7" s="202"/>
      <c r="U7" s="203" t="s">
        <v>62</v>
      </c>
      <c r="V7" s="202"/>
      <c r="W7" s="203" t="s">
        <v>62</v>
      </c>
      <c r="X7" s="202"/>
      <c r="Y7" s="203" t="s">
        <v>62</v>
      </c>
      <c r="Z7" s="202"/>
      <c r="AA7" s="203" t="s">
        <v>62</v>
      </c>
      <c r="AB7" s="202"/>
      <c r="AC7" s="203" t="s">
        <v>62</v>
      </c>
      <c r="AD7" s="202"/>
      <c r="AE7" s="203" t="s">
        <v>62</v>
      </c>
      <c r="AF7" s="205" t="s">
        <v>62</v>
      </c>
      <c r="AG7" s="217" t="str">
        <f t="shared" si="0"/>
        <v>NÃO AVALIADO POR FALHA DE SINCRONISMO</v>
      </c>
      <c r="AI7" s="218" t="str">
        <f t="shared" si="2"/>
        <v>SÃO PAULO</v>
      </c>
      <c r="AJ7" s="218" t="s">
        <v>6</v>
      </c>
    </row>
    <row r="8" spans="1:37" s="204" customFormat="1" ht="30" customHeight="1">
      <c r="A8" s="215" t="s">
        <v>198</v>
      </c>
      <c r="B8" s="215">
        <v>2617537123</v>
      </c>
      <c r="C8" s="215" t="s">
        <v>142</v>
      </c>
      <c r="D8" s="215" t="s">
        <v>68</v>
      </c>
      <c r="E8" s="215" t="s">
        <v>5</v>
      </c>
      <c r="F8" s="215" t="s">
        <v>1243</v>
      </c>
      <c r="G8" s="215">
        <v>243</v>
      </c>
      <c r="H8" s="215"/>
      <c r="I8" s="215" t="s">
        <v>1082</v>
      </c>
      <c r="J8" s="215" t="s">
        <v>2718</v>
      </c>
      <c r="K8" s="215" t="s">
        <v>2724</v>
      </c>
      <c r="L8" s="216">
        <v>46117.333333333336</v>
      </c>
      <c r="M8" s="216">
        <v>46117.334027777775</v>
      </c>
      <c r="N8" s="215" t="s">
        <v>2073</v>
      </c>
      <c r="O8" s="203" t="s">
        <v>62</v>
      </c>
      <c r="P8" s="202"/>
      <c r="Q8" s="203" t="s">
        <v>62</v>
      </c>
      <c r="R8" s="202"/>
      <c r="S8" s="203" t="s">
        <v>62</v>
      </c>
      <c r="T8" s="202"/>
      <c r="U8" s="203" t="s">
        <v>62</v>
      </c>
      <c r="V8" s="202"/>
      <c r="W8" s="203" t="s">
        <v>62</v>
      </c>
      <c r="X8" s="202"/>
      <c r="Y8" s="203" t="s">
        <v>62</v>
      </c>
      <c r="Z8" s="202"/>
      <c r="AA8" s="203" t="s">
        <v>62</v>
      </c>
      <c r="AB8" s="202"/>
      <c r="AC8" s="203" t="s">
        <v>62</v>
      </c>
      <c r="AD8" s="202"/>
      <c r="AE8" s="203" t="s">
        <v>62</v>
      </c>
      <c r="AF8" s="205" t="str">
        <f t="shared" si="1"/>
        <v>NA</v>
      </c>
      <c r="AG8" s="217" t="str">
        <f t="shared" si="0"/>
        <v>NÃO AVALIADO POR FALHA DE SINCRONISMO</v>
      </c>
      <c r="AI8" s="218" t="str">
        <f t="shared" si="2"/>
        <v>SÃO PAULO</v>
      </c>
      <c r="AJ8" s="218" t="s">
        <v>6</v>
      </c>
    </row>
    <row r="9" spans="1:37" s="204" customFormat="1" ht="30" customHeight="1">
      <c r="A9" s="215" t="s">
        <v>198</v>
      </c>
      <c r="B9" s="215">
        <v>2617562226</v>
      </c>
      <c r="C9" s="215" t="s">
        <v>141</v>
      </c>
      <c r="D9" s="215" t="s">
        <v>68</v>
      </c>
      <c r="E9" s="215" t="s">
        <v>5</v>
      </c>
      <c r="F9" s="215" t="s">
        <v>469</v>
      </c>
      <c r="G9" s="215">
        <v>534</v>
      </c>
      <c r="H9" s="215" t="s">
        <v>318</v>
      </c>
      <c r="I9" s="215" t="s">
        <v>470</v>
      </c>
      <c r="J9" s="215" t="s">
        <v>2713</v>
      </c>
      <c r="K9" s="219" t="s">
        <v>2725</v>
      </c>
      <c r="L9" s="216">
        <v>46117.333333333336</v>
      </c>
      <c r="M9" s="216">
        <v>46117.334027777775</v>
      </c>
      <c r="N9" s="215" t="s">
        <v>2073</v>
      </c>
      <c r="O9" s="203" t="s">
        <v>62</v>
      </c>
      <c r="P9" s="202"/>
      <c r="Q9" s="203" t="s">
        <v>62</v>
      </c>
      <c r="R9" s="202"/>
      <c r="S9" s="203" t="s">
        <v>62</v>
      </c>
      <c r="T9" s="202"/>
      <c r="U9" s="203" t="s">
        <v>62</v>
      </c>
      <c r="V9" s="202"/>
      <c r="W9" s="203" t="s">
        <v>62</v>
      </c>
      <c r="X9" s="202"/>
      <c r="Y9" s="203" t="s">
        <v>62</v>
      </c>
      <c r="Z9" s="202"/>
      <c r="AA9" s="203" t="s">
        <v>62</v>
      </c>
      <c r="AB9" s="202"/>
      <c r="AC9" s="203" t="s">
        <v>62</v>
      </c>
      <c r="AD9" s="202"/>
      <c r="AE9" s="203" t="s">
        <v>62</v>
      </c>
      <c r="AF9" s="205" t="s">
        <v>62</v>
      </c>
      <c r="AG9" s="217" t="str">
        <f t="shared" si="0"/>
        <v>NÃO AVALIADO POR FALHA DE SINCRONISMO</v>
      </c>
      <c r="AI9" s="218" t="str">
        <f t="shared" si="2"/>
        <v>SÃO PAULO</v>
      </c>
      <c r="AJ9" s="218" t="s">
        <v>6</v>
      </c>
    </row>
    <row r="10" spans="1:37" s="204" customFormat="1" ht="30" customHeight="1">
      <c r="A10" s="215" t="s">
        <v>198</v>
      </c>
      <c r="B10" s="215">
        <v>2617107417</v>
      </c>
      <c r="C10" s="215" t="s">
        <v>141</v>
      </c>
      <c r="D10" s="215" t="s">
        <v>68</v>
      </c>
      <c r="E10" s="215" t="s">
        <v>5</v>
      </c>
      <c r="F10" s="215" t="s">
        <v>1591</v>
      </c>
      <c r="G10" s="215">
        <v>282</v>
      </c>
      <c r="H10" s="215"/>
      <c r="I10" s="215" t="s">
        <v>1516</v>
      </c>
      <c r="J10" s="215" t="s">
        <v>2713</v>
      </c>
      <c r="K10" s="219" t="s">
        <v>2723</v>
      </c>
      <c r="L10" s="216">
        <v>46117.333333333336</v>
      </c>
      <c r="M10" s="216">
        <v>46117.334027777775</v>
      </c>
      <c r="N10" s="215" t="s">
        <v>2073</v>
      </c>
      <c r="O10" s="203" t="s">
        <v>62</v>
      </c>
      <c r="P10" s="202"/>
      <c r="Q10" s="203" t="s">
        <v>62</v>
      </c>
      <c r="R10" s="202"/>
      <c r="S10" s="203" t="s">
        <v>62</v>
      </c>
      <c r="T10" s="202"/>
      <c r="U10" s="203" t="s">
        <v>62</v>
      </c>
      <c r="V10" s="202"/>
      <c r="W10" s="203" t="s">
        <v>62</v>
      </c>
      <c r="X10" s="202"/>
      <c r="Y10" s="203" t="s">
        <v>62</v>
      </c>
      <c r="Z10" s="202"/>
      <c r="AA10" s="203" t="s">
        <v>62</v>
      </c>
      <c r="AB10" s="202"/>
      <c r="AC10" s="203" t="s">
        <v>62</v>
      </c>
      <c r="AD10" s="202"/>
      <c r="AE10" s="203" t="s">
        <v>62</v>
      </c>
      <c r="AF10" s="205" t="str">
        <f t="shared" si="1"/>
        <v>NA</v>
      </c>
      <c r="AG10" s="217" t="str">
        <f t="shared" si="0"/>
        <v>NÃO AVALIADO POR FALHA DE SINCRONISMO</v>
      </c>
      <c r="AI10" s="218" t="str">
        <f t="shared" si="2"/>
        <v>SÃO PAULO</v>
      </c>
      <c r="AJ10" s="218" t="s">
        <v>6</v>
      </c>
    </row>
    <row r="11" spans="1:37" s="204" customFormat="1" ht="30" customHeight="1">
      <c r="A11" s="215" t="s">
        <v>198</v>
      </c>
      <c r="B11" s="215">
        <v>2617286597</v>
      </c>
      <c r="C11" s="215" t="s">
        <v>142</v>
      </c>
      <c r="D11" s="215" t="s">
        <v>68</v>
      </c>
      <c r="E11" s="215" t="s">
        <v>5</v>
      </c>
      <c r="F11" s="215" t="s">
        <v>1243</v>
      </c>
      <c r="G11" s="215">
        <v>433</v>
      </c>
      <c r="H11" s="215" t="s">
        <v>2726</v>
      </c>
      <c r="I11" s="215" t="s">
        <v>1082</v>
      </c>
      <c r="J11" s="215" t="s">
        <v>2718</v>
      </c>
      <c r="K11" s="219" t="s">
        <v>2727</v>
      </c>
      <c r="L11" s="216">
        <v>46117.333333333336</v>
      </c>
      <c r="M11" s="216">
        <v>46117.334027777775</v>
      </c>
      <c r="N11" s="215" t="s">
        <v>2073</v>
      </c>
      <c r="O11" s="203" t="s">
        <v>62</v>
      </c>
      <c r="P11" s="202"/>
      <c r="Q11" s="203" t="s">
        <v>62</v>
      </c>
      <c r="R11" s="202"/>
      <c r="S11" s="203" t="s">
        <v>62</v>
      </c>
      <c r="T11" s="202"/>
      <c r="U11" s="203" t="s">
        <v>62</v>
      </c>
      <c r="V11" s="202"/>
      <c r="W11" s="203" t="s">
        <v>62</v>
      </c>
      <c r="X11" s="202"/>
      <c r="Y11" s="203" t="s">
        <v>62</v>
      </c>
      <c r="Z11" s="202"/>
      <c r="AA11" s="203" t="s">
        <v>62</v>
      </c>
      <c r="AB11" s="202"/>
      <c r="AC11" s="203" t="s">
        <v>62</v>
      </c>
      <c r="AD11" s="202"/>
      <c r="AE11" s="203" t="s">
        <v>62</v>
      </c>
      <c r="AF11" s="205" t="str">
        <f t="shared" si="1"/>
        <v>NA</v>
      </c>
      <c r="AG11" s="217" t="str">
        <f t="shared" si="0"/>
        <v>NÃO AVALIADO POR FALHA DE SINCRONISMO</v>
      </c>
      <c r="AI11" s="218" t="str">
        <f t="shared" si="2"/>
        <v>SÃO PAULO</v>
      </c>
      <c r="AJ11" s="218" t="s">
        <v>6</v>
      </c>
    </row>
    <row r="12" spans="1:37" s="204" customFormat="1" ht="30" customHeight="1">
      <c r="A12" s="215" t="s">
        <v>198</v>
      </c>
      <c r="B12" s="215">
        <v>2614616764</v>
      </c>
      <c r="C12" s="215" t="s">
        <v>141</v>
      </c>
      <c r="D12" s="215" t="s">
        <v>68</v>
      </c>
      <c r="E12" s="215" t="s">
        <v>5</v>
      </c>
      <c r="F12" s="215" t="s">
        <v>1042</v>
      </c>
      <c r="G12" s="215">
        <v>44</v>
      </c>
      <c r="H12" s="215"/>
      <c r="I12" s="215" t="s">
        <v>486</v>
      </c>
      <c r="J12" s="215" t="s">
        <v>2713</v>
      </c>
      <c r="K12" s="219" t="s">
        <v>2728</v>
      </c>
      <c r="L12" s="216">
        <v>46117.333333333336</v>
      </c>
      <c r="M12" s="216">
        <v>46117.334027777775</v>
      </c>
      <c r="N12" s="215" t="s">
        <v>2715</v>
      </c>
      <c r="O12" s="203" t="s">
        <v>62</v>
      </c>
      <c r="P12" s="202"/>
      <c r="Q12" s="203" t="s">
        <v>62</v>
      </c>
      <c r="R12" s="202"/>
      <c r="S12" s="203" t="s">
        <v>62</v>
      </c>
      <c r="T12" s="202"/>
      <c r="U12" s="203" t="s">
        <v>62</v>
      </c>
      <c r="V12" s="202"/>
      <c r="W12" s="203" t="s">
        <v>62</v>
      </c>
      <c r="X12" s="202"/>
      <c r="Y12" s="203" t="s">
        <v>62</v>
      </c>
      <c r="Z12" s="202"/>
      <c r="AA12" s="203" t="s">
        <v>62</v>
      </c>
      <c r="AB12" s="202"/>
      <c r="AC12" s="203" t="s">
        <v>62</v>
      </c>
      <c r="AD12" s="202"/>
      <c r="AE12" s="203" t="s">
        <v>62</v>
      </c>
      <c r="AF12" s="205" t="str">
        <f t="shared" si="1"/>
        <v>NA</v>
      </c>
      <c r="AG12" s="217" t="str">
        <f t="shared" si="0"/>
        <v>NÃO AVALIADO POR FALHA DE SINCRONISMO</v>
      </c>
      <c r="AI12" s="218" t="str">
        <f t="shared" si="2"/>
        <v>SÃO PAULO</v>
      </c>
      <c r="AJ12" s="218" t="s">
        <v>6</v>
      </c>
    </row>
    <row r="13" spans="1:37" s="204" customFormat="1" ht="30" customHeight="1">
      <c r="A13" s="215" t="s">
        <v>198</v>
      </c>
      <c r="B13" s="215">
        <v>2617577894</v>
      </c>
      <c r="C13" s="215" t="s">
        <v>142</v>
      </c>
      <c r="D13" s="215" t="s">
        <v>68</v>
      </c>
      <c r="E13" s="215" t="s">
        <v>5</v>
      </c>
      <c r="F13" s="215" t="s">
        <v>332</v>
      </c>
      <c r="G13" s="215">
        <v>542</v>
      </c>
      <c r="H13" s="215" t="s">
        <v>200</v>
      </c>
      <c r="I13" s="215" t="s">
        <v>333</v>
      </c>
      <c r="J13" s="215" t="s">
        <v>2718</v>
      </c>
      <c r="K13" s="219" t="s">
        <v>2729</v>
      </c>
      <c r="L13" s="216">
        <v>46117.333333333336</v>
      </c>
      <c r="M13" s="216">
        <v>46117.334027777775</v>
      </c>
      <c r="N13" s="215" t="s">
        <v>2073</v>
      </c>
      <c r="O13" s="203" t="s">
        <v>62</v>
      </c>
      <c r="P13" s="202"/>
      <c r="Q13" s="203" t="s">
        <v>62</v>
      </c>
      <c r="R13" s="202"/>
      <c r="S13" s="203" t="s">
        <v>62</v>
      </c>
      <c r="T13" s="202"/>
      <c r="U13" s="203" t="s">
        <v>62</v>
      </c>
      <c r="V13" s="202"/>
      <c r="W13" s="203" t="s">
        <v>62</v>
      </c>
      <c r="X13" s="202"/>
      <c r="Y13" s="203" t="s">
        <v>62</v>
      </c>
      <c r="Z13" s="202"/>
      <c r="AA13" s="203" t="s">
        <v>62</v>
      </c>
      <c r="AB13" s="202"/>
      <c r="AC13" s="203" t="s">
        <v>62</v>
      </c>
      <c r="AD13" s="202"/>
      <c r="AE13" s="203" t="s">
        <v>62</v>
      </c>
      <c r="AF13" s="205" t="str">
        <f t="shared" si="1"/>
        <v>NA</v>
      </c>
      <c r="AG13" s="217" t="str">
        <f t="shared" si="0"/>
        <v>NÃO AVALIADO POR FALHA DE SINCRONISMO</v>
      </c>
      <c r="AI13" s="218" t="str">
        <f t="shared" si="2"/>
        <v>SÃO PAULO</v>
      </c>
      <c r="AJ13" s="218" t="s">
        <v>6</v>
      </c>
    </row>
    <row r="14" spans="1:37" s="204" customFormat="1" ht="30" customHeight="1">
      <c r="A14" s="215" t="s">
        <v>198</v>
      </c>
      <c r="B14" s="215">
        <v>2617578055</v>
      </c>
      <c r="C14" s="215" t="s">
        <v>142</v>
      </c>
      <c r="D14" s="215" t="s">
        <v>68</v>
      </c>
      <c r="E14" s="215" t="s">
        <v>5</v>
      </c>
      <c r="F14" s="215" t="s">
        <v>332</v>
      </c>
      <c r="G14" s="215">
        <v>534</v>
      </c>
      <c r="H14" s="215" t="s">
        <v>514</v>
      </c>
      <c r="I14" s="215" t="s">
        <v>567</v>
      </c>
      <c r="J14" s="215" t="s">
        <v>2718</v>
      </c>
      <c r="K14" s="215" t="s">
        <v>2730</v>
      </c>
      <c r="L14" s="216">
        <v>46117.333333333336</v>
      </c>
      <c r="M14" s="216">
        <v>46117.334027777775</v>
      </c>
      <c r="N14" s="215" t="s">
        <v>2073</v>
      </c>
      <c r="O14" s="203" t="s">
        <v>62</v>
      </c>
      <c r="P14" s="202"/>
      <c r="Q14" s="203" t="s">
        <v>62</v>
      </c>
      <c r="R14" s="202"/>
      <c r="S14" s="203" t="s">
        <v>62</v>
      </c>
      <c r="T14" s="202"/>
      <c r="U14" s="203" t="s">
        <v>62</v>
      </c>
      <c r="V14" s="202"/>
      <c r="W14" s="203" t="s">
        <v>62</v>
      </c>
      <c r="X14" s="202"/>
      <c r="Y14" s="203" t="s">
        <v>62</v>
      </c>
      <c r="Z14" s="202"/>
      <c r="AA14" s="203" t="s">
        <v>62</v>
      </c>
      <c r="AB14" s="202"/>
      <c r="AC14" s="203" t="s">
        <v>62</v>
      </c>
      <c r="AD14" s="202"/>
      <c r="AE14" s="203" t="s">
        <v>62</v>
      </c>
      <c r="AF14" s="205" t="str">
        <f t="shared" si="1"/>
        <v>NA</v>
      </c>
      <c r="AG14" s="217" t="str">
        <f t="shared" si="0"/>
        <v>NÃO AVALIADO POR FALHA DE SINCRONISMO</v>
      </c>
      <c r="AI14" s="218" t="str">
        <f t="shared" si="2"/>
        <v>SÃO PAULO</v>
      </c>
      <c r="AJ14" s="218" t="s">
        <v>6</v>
      </c>
    </row>
    <row r="15" spans="1:37" s="204" customFormat="1" ht="30" customHeight="1">
      <c r="A15" s="215" t="s">
        <v>198</v>
      </c>
      <c r="B15" s="215">
        <v>2617757374</v>
      </c>
      <c r="C15" s="215" t="s">
        <v>142</v>
      </c>
      <c r="D15" s="215" t="s">
        <v>68</v>
      </c>
      <c r="E15" s="215" t="s">
        <v>5</v>
      </c>
      <c r="F15" s="215" t="s">
        <v>332</v>
      </c>
      <c r="G15" s="215">
        <v>580</v>
      </c>
      <c r="H15" s="215" t="s">
        <v>200</v>
      </c>
      <c r="I15" s="215" t="s">
        <v>333</v>
      </c>
      <c r="J15" s="215" t="s">
        <v>2718</v>
      </c>
      <c r="K15" s="219" t="s">
        <v>2731</v>
      </c>
      <c r="L15" s="216">
        <v>46117.333333333336</v>
      </c>
      <c r="M15" s="216">
        <v>46117.334027777775</v>
      </c>
      <c r="N15" s="215" t="s">
        <v>2073</v>
      </c>
      <c r="O15" s="203" t="s">
        <v>62</v>
      </c>
      <c r="P15" s="202"/>
      <c r="Q15" s="203" t="s">
        <v>62</v>
      </c>
      <c r="R15" s="202"/>
      <c r="S15" s="203" t="s">
        <v>62</v>
      </c>
      <c r="T15" s="202"/>
      <c r="U15" s="203" t="s">
        <v>62</v>
      </c>
      <c r="V15" s="202"/>
      <c r="W15" s="203" t="s">
        <v>62</v>
      </c>
      <c r="X15" s="202"/>
      <c r="Y15" s="203" t="s">
        <v>62</v>
      </c>
      <c r="Z15" s="202"/>
      <c r="AA15" s="203" t="s">
        <v>62</v>
      </c>
      <c r="AB15" s="202"/>
      <c r="AC15" s="203" t="s">
        <v>62</v>
      </c>
      <c r="AD15" s="202"/>
      <c r="AE15" s="203" t="s">
        <v>62</v>
      </c>
      <c r="AF15" s="205" t="str">
        <f t="shared" si="1"/>
        <v>NA</v>
      </c>
      <c r="AG15" s="217" t="str">
        <f t="shared" si="0"/>
        <v>NÃO AVALIADO POR FALHA DE SINCRONISMO</v>
      </c>
      <c r="AI15" s="218" t="str">
        <f t="shared" si="2"/>
        <v>SÃO PAULO</v>
      </c>
      <c r="AJ15" s="218" t="s">
        <v>6</v>
      </c>
    </row>
    <row r="16" spans="1:37" s="204" customFormat="1" ht="30" customHeight="1">
      <c r="A16" s="215" t="s">
        <v>198</v>
      </c>
      <c r="B16" s="215">
        <v>2617756823</v>
      </c>
      <c r="C16" s="215" t="s">
        <v>142</v>
      </c>
      <c r="D16" s="215" t="s">
        <v>68</v>
      </c>
      <c r="E16" s="215" t="s">
        <v>5</v>
      </c>
      <c r="F16" s="215" t="s">
        <v>332</v>
      </c>
      <c r="G16" s="215">
        <v>581</v>
      </c>
      <c r="H16" s="215"/>
      <c r="I16" s="215" t="s">
        <v>567</v>
      </c>
      <c r="J16" s="215" t="s">
        <v>2718</v>
      </c>
      <c r="K16" s="219" t="s">
        <v>2732</v>
      </c>
      <c r="L16" s="216">
        <v>46117.333333333336</v>
      </c>
      <c r="M16" s="216">
        <v>46117.334027777775</v>
      </c>
      <c r="N16" s="215" t="s">
        <v>2073</v>
      </c>
      <c r="O16" s="203" t="s">
        <v>62</v>
      </c>
      <c r="P16" s="202"/>
      <c r="Q16" s="203" t="s">
        <v>62</v>
      </c>
      <c r="R16" s="202"/>
      <c r="S16" s="203" t="s">
        <v>62</v>
      </c>
      <c r="T16" s="202"/>
      <c r="U16" s="203" t="s">
        <v>62</v>
      </c>
      <c r="V16" s="202"/>
      <c r="W16" s="203" t="s">
        <v>62</v>
      </c>
      <c r="X16" s="202"/>
      <c r="Y16" s="203" t="s">
        <v>62</v>
      </c>
      <c r="Z16" s="202"/>
      <c r="AA16" s="203" t="s">
        <v>62</v>
      </c>
      <c r="AB16" s="202"/>
      <c r="AC16" s="203" t="s">
        <v>62</v>
      </c>
      <c r="AD16" s="202"/>
      <c r="AE16" s="203" t="s">
        <v>62</v>
      </c>
      <c r="AF16" s="205" t="str">
        <f t="shared" si="1"/>
        <v>NA</v>
      </c>
      <c r="AG16" s="217" t="str">
        <f t="shared" si="0"/>
        <v>NÃO AVALIADO POR FALHA DE SINCRONISMO</v>
      </c>
      <c r="AI16" s="218" t="str">
        <f t="shared" si="2"/>
        <v>SÃO PAULO</v>
      </c>
      <c r="AJ16" s="218" t="s">
        <v>6</v>
      </c>
    </row>
    <row r="17" spans="1:36" s="204" customFormat="1" ht="30" customHeight="1">
      <c r="A17" s="215" t="s">
        <v>198</v>
      </c>
      <c r="B17" s="215">
        <v>2617774594</v>
      </c>
      <c r="C17" s="215" t="s">
        <v>142</v>
      </c>
      <c r="D17" s="215" t="s">
        <v>68</v>
      </c>
      <c r="E17" s="215" t="s">
        <v>5</v>
      </c>
      <c r="F17" s="215" t="s">
        <v>332</v>
      </c>
      <c r="G17" s="215">
        <v>588</v>
      </c>
      <c r="H17" s="215" t="s">
        <v>200</v>
      </c>
      <c r="I17" s="215" t="s">
        <v>333</v>
      </c>
      <c r="J17" s="215" t="s">
        <v>2718</v>
      </c>
      <c r="K17" s="215" t="s">
        <v>2733</v>
      </c>
      <c r="L17" s="216">
        <v>46117.333333333336</v>
      </c>
      <c r="M17" s="216">
        <v>46117.334027777775</v>
      </c>
      <c r="N17" s="215" t="s">
        <v>2073</v>
      </c>
      <c r="O17" s="203" t="s">
        <v>62</v>
      </c>
      <c r="P17" s="202"/>
      <c r="Q17" s="203" t="s">
        <v>62</v>
      </c>
      <c r="R17" s="202"/>
      <c r="S17" s="203" t="s">
        <v>62</v>
      </c>
      <c r="T17" s="202"/>
      <c r="U17" s="203" t="s">
        <v>62</v>
      </c>
      <c r="V17" s="202"/>
      <c r="W17" s="203" t="s">
        <v>62</v>
      </c>
      <c r="X17" s="202"/>
      <c r="Y17" s="203" t="s">
        <v>62</v>
      </c>
      <c r="Z17" s="202"/>
      <c r="AA17" s="203" t="s">
        <v>62</v>
      </c>
      <c r="AB17" s="202"/>
      <c r="AC17" s="203" t="s">
        <v>62</v>
      </c>
      <c r="AD17" s="202"/>
      <c r="AE17" s="203" t="s">
        <v>62</v>
      </c>
      <c r="AF17" s="205" t="str">
        <f t="shared" si="1"/>
        <v>NA</v>
      </c>
      <c r="AG17" s="217" t="str">
        <f t="shared" si="0"/>
        <v>NÃO AVALIADO POR FALHA DE SINCRONISMO</v>
      </c>
      <c r="AI17" s="218" t="str">
        <f t="shared" si="2"/>
        <v>SÃO PAULO</v>
      </c>
      <c r="AJ17" s="218" t="s">
        <v>6</v>
      </c>
    </row>
    <row r="18" spans="1:36" s="204" customFormat="1" ht="30" customHeight="1">
      <c r="A18" s="215" t="s">
        <v>198</v>
      </c>
      <c r="B18" s="215">
        <v>2617181729</v>
      </c>
      <c r="C18" s="215" t="s">
        <v>141</v>
      </c>
      <c r="D18" s="215" t="s">
        <v>68</v>
      </c>
      <c r="E18" s="215" t="s">
        <v>5</v>
      </c>
      <c r="F18" s="215" t="s">
        <v>2734</v>
      </c>
      <c r="G18" s="215">
        <v>9</v>
      </c>
      <c r="H18" s="215" t="s">
        <v>200</v>
      </c>
      <c r="I18" s="215" t="s">
        <v>1177</v>
      </c>
      <c r="J18" s="215" t="s">
        <v>2713</v>
      </c>
      <c r="K18" s="219" t="s">
        <v>2721</v>
      </c>
      <c r="L18" s="216">
        <v>46117.333333333336</v>
      </c>
      <c r="M18" s="216">
        <v>46117.334027777775</v>
      </c>
      <c r="N18" s="215" t="s">
        <v>2715</v>
      </c>
      <c r="O18" s="203" t="s">
        <v>62</v>
      </c>
      <c r="P18" s="202"/>
      <c r="Q18" s="203" t="s">
        <v>62</v>
      </c>
      <c r="R18" s="202"/>
      <c r="S18" s="203" t="s">
        <v>62</v>
      </c>
      <c r="T18" s="202"/>
      <c r="U18" s="203" t="s">
        <v>62</v>
      </c>
      <c r="V18" s="202"/>
      <c r="W18" s="203" t="s">
        <v>62</v>
      </c>
      <c r="X18" s="202"/>
      <c r="Y18" s="203" t="s">
        <v>62</v>
      </c>
      <c r="Z18" s="202"/>
      <c r="AA18" s="203" t="s">
        <v>62</v>
      </c>
      <c r="AB18" s="202"/>
      <c r="AC18" s="203" t="s">
        <v>62</v>
      </c>
      <c r="AD18" s="202"/>
      <c r="AE18" s="203" t="s">
        <v>62</v>
      </c>
      <c r="AF18" s="205" t="str">
        <f t="shared" si="1"/>
        <v>NA</v>
      </c>
      <c r="AG18" s="217" t="str">
        <f t="shared" si="0"/>
        <v>NÃO AVALIADO POR FALHA DE SINCRONISMO</v>
      </c>
      <c r="AI18" s="218" t="str">
        <f t="shared" si="2"/>
        <v>SÃO PAULO</v>
      </c>
      <c r="AJ18" s="218" t="s">
        <v>6</v>
      </c>
    </row>
    <row r="19" spans="1:36" s="204" customFormat="1" ht="30" customHeight="1">
      <c r="A19" s="215" t="s">
        <v>198</v>
      </c>
      <c r="B19" s="215">
        <v>2615730637</v>
      </c>
      <c r="C19" s="215" t="s">
        <v>141</v>
      </c>
      <c r="D19" s="215" t="s">
        <v>68</v>
      </c>
      <c r="E19" s="215" t="s">
        <v>5</v>
      </c>
      <c r="F19" s="215" t="s">
        <v>2716</v>
      </c>
      <c r="G19" s="215">
        <v>17</v>
      </c>
      <c r="H19" s="215" t="s">
        <v>200</v>
      </c>
      <c r="I19" s="215" t="s">
        <v>810</v>
      </c>
      <c r="J19" s="215" t="s">
        <v>2713</v>
      </c>
      <c r="K19" s="219" t="s">
        <v>2735</v>
      </c>
      <c r="L19" s="216">
        <v>46117.333333333336</v>
      </c>
      <c r="M19" s="216">
        <v>46117.334027777775</v>
      </c>
      <c r="N19" s="215" t="s">
        <v>2715</v>
      </c>
      <c r="O19" s="203" t="s">
        <v>62</v>
      </c>
      <c r="Q19" s="203" t="s">
        <v>62</v>
      </c>
      <c r="S19" s="203" t="s">
        <v>62</v>
      </c>
      <c r="U19" s="203" t="s">
        <v>62</v>
      </c>
      <c r="W19" s="203" t="s">
        <v>62</v>
      </c>
      <c r="Y19" s="203" t="s">
        <v>62</v>
      </c>
      <c r="AA19" s="203" t="s">
        <v>62</v>
      </c>
      <c r="AB19" s="202"/>
      <c r="AC19" s="203" t="s">
        <v>62</v>
      </c>
      <c r="AD19" s="202"/>
      <c r="AE19" s="203" t="s">
        <v>62</v>
      </c>
      <c r="AF19" s="205" t="str">
        <f t="shared" si="1"/>
        <v>NA</v>
      </c>
      <c r="AG19" s="217" t="str">
        <f t="shared" si="0"/>
        <v>NÃO AVALIADO POR FALHA DE SINCRONISMO</v>
      </c>
      <c r="AI19" s="218" t="str">
        <f t="shared" si="2"/>
        <v>SÃO PAULO</v>
      </c>
      <c r="AJ19" s="218" t="s">
        <v>6</v>
      </c>
    </row>
    <row r="20" spans="1:36" s="204" customFormat="1" ht="30" customHeight="1">
      <c r="A20" s="215" t="s">
        <v>198</v>
      </c>
      <c r="B20" s="215">
        <v>2618465019</v>
      </c>
      <c r="C20" s="215" t="s">
        <v>139</v>
      </c>
      <c r="D20" s="215" t="s">
        <v>68</v>
      </c>
      <c r="E20" s="215" t="s">
        <v>5</v>
      </c>
      <c r="F20" s="215" t="s">
        <v>400</v>
      </c>
      <c r="G20" s="215">
        <v>129</v>
      </c>
      <c r="H20" s="215" t="s">
        <v>387</v>
      </c>
      <c r="I20" s="215" t="s">
        <v>497</v>
      </c>
      <c r="J20" s="215" t="s">
        <v>2713</v>
      </c>
      <c r="K20" s="219" t="s">
        <v>2736</v>
      </c>
      <c r="L20" s="216">
        <v>46147.291666666664</v>
      </c>
      <c r="M20" s="216">
        <v>46147.292361111111</v>
      </c>
      <c r="N20" s="215" t="s">
        <v>2073</v>
      </c>
      <c r="O20" s="203" t="s">
        <v>62</v>
      </c>
      <c r="Q20" s="203" t="s">
        <v>62</v>
      </c>
      <c r="S20" s="203" t="s">
        <v>62</v>
      </c>
      <c r="U20" s="203" t="s">
        <v>62</v>
      </c>
      <c r="W20" s="203" t="s">
        <v>62</v>
      </c>
      <c r="Y20" s="203" t="s">
        <v>62</v>
      </c>
      <c r="AA20" s="203" t="s">
        <v>62</v>
      </c>
      <c r="AB20" s="202"/>
      <c r="AC20" s="203" t="s">
        <v>62</v>
      </c>
      <c r="AD20" s="202"/>
      <c r="AE20" s="203" t="s">
        <v>62</v>
      </c>
      <c r="AF20" s="205" t="str">
        <f t="shared" si="1"/>
        <v>NA</v>
      </c>
      <c r="AG20" s="217" t="str">
        <f t="shared" si="0"/>
        <v>NÃO AVALIADO POR FALHA DE SINCRONISMO</v>
      </c>
      <c r="AI20" s="218" t="str">
        <f t="shared" si="2"/>
        <v>SÃO PAULO</v>
      </c>
      <c r="AJ20" s="218" t="s">
        <v>6</v>
      </c>
    </row>
    <row r="21" spans="1:36" s="204" customFormat="1" ht="30" customHeight="1">
      <c r="A21" s="215" t="s">
        <v>198</v>
      </c>
      <c r="B21" s="215">
        <v>2617774754</v>
      </c>
      <c r="C21" s="215" t="s">
        <v>142</v>
      </c>
      <c r="D21" s="215" t="s">
        <v>68</v>
      </c>
      <c r="E21" s="215" t="s">
        <v>5</v>
      </c>
      <c r="F21" s="215" t="s">
        <v>332</v>
      </c>
      <c r="G21" s="215">
        <v>586</v>
      </c>
      <c r="H21" s="215" t="s">
        <v>200</v>
      </c>
      <c r="I21" s="215" t="s">
        <v>333</v>
      </c>
      <c r="J21" s="215" t="s">
        <v>2718</v>
      </c>
      <c r="K21" s="215" t="s">
        <v>2737</v>
      </c>
      <c r="L21" s="216">
        <v>46147.270833333336</v>
      </c>
      <c r="M21" s="216">
        <v>46147.271527777775</v>
      </c>
      <c r="N21" s="215" t="s">
        <v>2738</v>
      </c>
      <c r="O21" s="203" t="s">
        <v>62</v>
      </c>
      <c r="Q21" s="203" t="s">
        <v>62</v>
      </c>
      <c r="S21" s="203" t="s">
        <v>62</v>
      </c>
      <c r="U21" s="203" t="s">
        <v>62</v>
      </c>
      <c r="W21" s="203" t="s">
        <v>62</v>
      </c>
      <c r="Y21" s="203" t="s">
        <v>62</v>
      </c>
      <c r="AA21" s="203" t="s">
        <v>62</v>
      </c>
      <c r="AB21" s="202"/>
      <c r="AC21" s="203" t="s">
        <v>62</v>
      </c>
      <c r="AD21" s="202"/>
      <c r="AE21" s="203" t="s">
        <v>62</v>
      </c>
      <c r="AF21" s="205" t="str">
        <f t="shared" si="1"/>
        <v>NA</v>
      </c>
      <c r="AG21" s="217" t="str">
        <f t="shared" si="0"/>
        <v>NÃO AVALIADO POR FALHA DE SINCRONISMO</v>
      </c>
      <c r="AI21" s="218" t="str">
        <f t="shared" si="2"/>
        <v>SÃO PAULO</v>
      </c>
      <c r="AJ21" s="218" t="s">
        <v>6</v>
      </c>
    </row>
    <row r="22" spans="1:36" s="204" customFormat="1" ht="30" customHeight="1">
      <c r="A22" s="215" t="s">
        <v>198</v>
      </c>
      <c r="B22" s="215">
        <v>2617161137</v>
      </c>
      <c r="C22" s="215" t="s">
        <v>142</v>
      </c>
      <c r="D22" s="215" t="s">
        <v>68</v>
      </c>
      <c r="E22" s="215" t="s">
        <v>5</v>
      </c>
      <c r="F22" s="215" t="s">
        <v>332</v>
      </c>
      <c r="G22" s="215">
        <v>346</v>
      </c>
      <c r="H22" s="215"/>
      <c r="I22" s="215" t="s">
        <v>567</v>
      </c>
      <c r="J22" s="215" t="s">
        <v>2718</v>
      </c>
      <c r="K22" s="219" t="s">
        <v>2717</v>
      </c>
      <c r="L22" s="216">
        <v>46147.291666666664</v>
      </c>
      <c r="M22" s="216">
        <v>46147.292361111111</v>
      </c>
      <c r="N22" s="215" t="s">
        <v>2738</v>
      </c>
      <c r="O22" s="203" t="s">
        <v>62</v>
      </c>
      <c r="Q22" s="203" t="s">
        <v>62</v>
      </c>
      <c r="S22" s="203" t="s">
        <v>62</v>
      </c>
      <c r="U22" s="203" t="s">
        <v>62</v>
      </c>
      <c r="W22" s="203" t="s">
        <v>62</v>
      </c>
      <c r="Y22" s="203" t="s">
        <v>62</v>
      </c>
      <c r="AA22" s="203" t="s">
        <v>62</v>
      </c>
      <c r="AB22" s="202"/>
      <c r="AC22" s="203" t="s">
        <v>62</v>
      </c>
      <c r="AD22" s="202"/>
      <c r="AE22" s="203" t="s">
        <v>62</v>
      </c>
      <c r="AF22" s="205" t="str">
        <f t="shared" si="1"/>
        <v>NA</v>
      </c>
      <c r="AG22" s="217" t="str">
        <f t="shared" si="0"/>
        <v>NÃO AVALIADO POR FALHA DE SINCRONISMO</v>
      </c>
      <c r="AI22" s="218" t="str">
        <f t="shared" si="2"/>
        <v>SÃO PAULO</v>
      </c>
      <c r="AJ22" s="218" t="s">
        <v>6</v>
      </c>
    </row>
    <row r="23" spans="1:36" s="204" customFormat="1" ht="30" customHeight="1">
      <c r="A23" s="215" t="s">
        <v>198</v>
      </c>
      <c r="B23" s="215">
        <v>2617774334</v>
      </c>
      <c r="C23" s="215" t="s">
        <v>142</v>
      </c>
      <c r="D23" s="215" t="s">
        <v>68</v>
      </c>
      <c r="E23" s="215" t="s">
        <v>5</v>
      </c>
      <c r="F23" s="215" t="s">
        <v>332</v>
      </c>
      <c r="G23" s="215">
        <v>582</v>
      </c>
      <c r="H23" s="215" t="s">
        <v>200</v>
      </c>
      <c r="I23" s="215" t="s">
        <v>333</v>
      </c>
      <c r="J23" s="215" t="s">
        <v>2718</v>
      </c>
      <c r="K23" s="219" t="s">
        <v>2739</v>
      </c>
      <c r="L23" s="216">
        <v>46147.291666666664</v>
      </c>
      <c r="M23" s="216">
        <v>46147.292361111111</v>
      </c>
      <c r="N23" s="215" t="s">
        <v>2738</v>
      </c>
      <c r="O23" s="203" t="s">
        <v>62</v>
      </c>
      <c r="Q23" s="203" t="s">
        <v>62</v>
      </c>
      <c r="S23" s="203" t="s">
        <v>62</v>
      </c>
      <c r="U23" s="203" t="s">
        <v>62</v>
      </c>
      <c r="W23" s="203" t="s">
        <v>62</v>
      </c>
      <c r="Y23" s="203" t="s">
        <v>62</v>
      </c>
      <c r="AA23" s="203" t="s">
        <v>62</v>
      </c>
      <c r="AB23" s="202"/>
      <c r="AC23" s="203" t="s">
        <v>62</v>
      </c>
      <c r="AD23" s="202"/>
      <c r="AE23" s="203" t="s">
        <v>62</v>
      </c>
      <c r="AF23" s="205" t="str">
        <f t="shared" si="1"/>
        <v>NA</v>
      </c>
      <c r="AG23" s="217" t="str">
        <f t="shared" si="0"/>
        <v>NÃO AVALIADO POR FALHA DE SINCRONISMO</v>
      </c>
      <c r="AI23" s="218" t="str">
        <f t="shared" si="2"/>
        <v>SÃO PAULO</v>
      </c>
      <c r="AJ23" s="218" t="s">
        <v>6</v>
      </c>
    </row>
    <row r="24" spans="1:36" s="204" customFormat="1" ht="30" customHeight="1">
      <c r="A24" s="215" t="s">
        <v>198</v>
      </c>
      <c r="B24" s="215">
        <v>2616536077</v>
      </c>
      <c r="C24" s="215" t="s">
        <v>141</v>
      </c>
      <c r="D24" s="215" t="s">
        <v>68</v>
      </c>
      <c r="E24" s="215" t="s">
        <v>5</v>
      </c>
      <c r="F24" s="215" t="s">
        <v>1086</v>
      </c>
      <c r="G24" s="215">
        <v>121</v>
      </c>
      <c r="H24" s="215" t="s">
        <v>226</v>
      </c>
      <c r="I24" s="215" t="s">
        <v>369</v>
      </c>
      <c r="J24" s="215" t="s">
        <v>2713</v>
      </c>
      <c r="K24" s="219" t="s">
        <v>2717</v>
      </c>
      <c r="L24" s="216">
        <v>46147.333333333336</v>
      </c>
      <c r="M24" s="216">
        <v>46147.334027777775</v>
      </c>
      <c r="N24" s="215" t="s">
        <v>2715</v>
      </c>
      <c r="O24" s="203" t="s">
        <v>62</v>
      </c>
      <c r="Q24" s="203" t="s">
        <v>62</v>
      </c>
      <c r="S24" s="203" t="s">
        <v>62</v>
      </c>
      <c r="U24" s="203" t="s">
        <v>62</v>
      </c>
      <c r="W24" s="203" t="s">
        <v>62</v>
      </c>
      <c r="Y24" s="203" t="s">
        <v>62</v>
      </c>
      <c r="AA24" s="203" t="s">
        <v>62</v>
      </c>
      <c r="AB24" s="202"/>
      <c r="AC24" s="203" t="s">
        <v>62</v>
      </c>
      <c r="AD24" s="202"/>
      <c r="AE24" s="203" t="s">
        <v>62</v>
      </c>
      <c r="AF24" s="205" t="str">
        <f t="shared" si="1"/>
        <v>NA</v>
      </c>
      <c r="AG24" s="217" t="str">
        <f t="shared" si="0"/>
        <v>NÃO AVALIADO POR FALHA DE SINCRONISMO</v>
      </c>
      <c r="AI24" s="218" t="str">
        <f t="shared" si="2"/>
        <v>SÃO PAULO</v>
      </c>
      <c r="AJ24" s="218" t="s">
        <v>6</v>
      </c>
    </row>
    <row r="25" spans="1:36" s="204" customFormat="1" ht="30" customHeight="1">
      <c r="A25" s="215" t="s">
        <v>198</v>
      </c>
      <c r="B25" s="215">
        <v>2617729008</v>
      </c>
      <c r="C25" s="215" t="s">
        <v>141</v>
      </c>
      <c r="D25" s="215" t="s">
        <v>68</v>
      </c>
      <c r="E25" s="215" t="s">
        <v>5</v>
      </c>
      <c r="F25" s="215" t="s">
        <v>2740</v>
      </c>
      <c r="G25" s="215">
        <v>87</v>
      </c>
      <c r="H25" s="215"/>
      <c r="I25" s="215" t="s">
        <v>369</v>
      </c>
      <c r="J25" s="215" t="s">
        <v>2713</v>
      </c>
      <c r="K25" s="219" t="s">
        <v>2741</v>
      </c>
      <c r="L25" s="216">
        <v>46147.333333333336</v>
      </c>
      <c r="M25" s="216">
        <v>46147.334027777775</v>
      </c>
      <c r="N25" s="215" t="s">
        <v>2715</v>
      </c>
      <c r="O25" s="203" t="s">
        <v>62</v>
      </c>
      <c r="Q25" s="203" t="s">
        <v>62</v>
      </c>
      <c r="S25" s="203" t="s">
        <v>62</v>
      </c>
      <c r="U25" s="203" t="s">
        <v>62</v>
      </c>
      <c r="W25" s="203" t="s">
        <v>62</v>
      </c>
      <c r="Y25" s="203" t="s">
        <v>62</v>
      </c>
      <c r="AA25" s="203" t="s">
        <v>62</v>
      </c>
      <c r="AB25" s="202"/>
      <c r="AC25" s="203" t="s">
        <v>62</v>
      </c>
      <c r="AD25" s="202"/>
      <c r="AE25" s="203" t="s">
        <v>62</v>
      </c>
      <c r="AF25" s="205" t="s">
        <v>62</v>
      </c>
      <c r="AG25" s="217" t="str">
        <f t="shared" si="0"/>
        <v>NÃO AVALIADO POR FALHA DE SINCRONISMO</v>
      </c>
      <c r="AI25" s="218" t="str">
        <f t="shared" si="2"/>
        <v>SÃO PAULO</v>
      </c>
      <c r="AJ25" s="218" t="s">
        <v>6</v>
      </c>
    </row>
    <row r="26" spans="1:36" s="204" customFormat="1" ht="30" customHeight="1">
      <c r="A26" s="215" t="s">
        <v>198</v>
      </c>
      <c r="B26" s="215">
        <v>2617564324</v>
      </c>
      <c r="C26" s="215" t="s">
        <v>142</v>
      </c>
      <c r="D26" s="215" t="s">
        <v>68</v>
      </c>
      <c r="E26" s="215" t="s">
        <v>5</v>
      </c>
      <c r="F26" s="215" t="s">
        <v>208</v>
      </c>
      <c r="G26" s="215">
        <v>411</v>
      </c>
      <c r="H26" s="215"/>
      <c r="I26" s="215" t="s">
        <v>209</v>
      </c>
      <c r="J26" s="215" t="s">
        <v>2718</v>
      </c>
      <c r="K26" s="219" t="s">
        <v>2742</v>
      </c>
      <c r="L26" s="216">
        <v>46147.333333333336</v>
      </c>
      <c r="M26" s="216">
        <v>46147.334027777775</v>
      </c>
      <c r="N26" s="215" t="s">
        <v>2073</v>
      </c>
      <c r="O26" s="203" t="s">
        <v>62</v>
      </c>
      <c r="Q26" s="203" t="s">
        <v>62</v>
      </c>
      <c r="S26" s="203" t="s">
        <v>62</v>
      </c>
      <c r="U26" s="203" t="s">
        <v>62</v>
      </c>
      <c r="W26" s="203" t="s">
        <v>62</v>
      </c>
      <c r="Y26" s="203" t="s">
        <v>62</v>
      </c>
      <c r="AA26" s="203" t="s">
        <v>62</v>
      </c>
      <c r="AB26" s="202"/>
      <c r="AC26" s="203" t="s">
        <v>62</v>
      </c>
      <c r="AD26" s="202"/>
      <c r="AE26" s="203" t="s">
        <v>62</v>
      </c>
      <c r="AF26" s="205" t="str">
        <f t="shared" si="1"/>
        <v>NA</v>
      </c>
      <c r="AG26" s="217" t="str">
        <f t="shared" si="0"/>
        <v>NÃO AVALIADO POR FALHA DE SINCRONISMO</v>
      </c>
      <c r="AI26" s="218" t="str">
        <f t="shared" si="2"/>
        <v>SÃO PAULO</v>
      </c>
      <c r="AJ26" s="218" t="s">
        <v>6</v>
      </c>
    </row>
    <row r="27" spans="1:36" s="204" customFormat="1" ht="30" customHeight="1">
      <c r="A27" s="215" t="s">
        <v>198</v>
      </c>
      <c r="B27" s="215">
        <v>2617156605</v>
      </c>
      <c r="C27" s="215" t="s">
        <v>142</v>
      </c>
      <c r="D27" s="215" t="s">
        <v>68</v>
      </c>
      <c r="E27" s="215" t="s">
        <v>5</v>
      </c>
      <c r="F27" s="215" t="s">
        <v>1243</v>
      </c>
      <c r="G27" s="215">
        <v>477</v>
      </c>
      <c r="H27" s="215"/>
      <c r="I27" s="215" t="s">
        <v>1082</v>
      </c>
      <c r="J27" s="215" t="s">
        <v>2718</v>
      </c>
      <c r="K27" s="215" t="s">
        <v>2743</v>
      </c>
      <c r="L27" s="216">
        <v>46147.333333333336</v>
      </c>
      <c r="M27" s="216">
        <v>46147.334027777775</v>
      </c>
      <c r="N27" s="215" t="s">
        <v>2073</v>
      </c>
      <c r="O27" s="203" t="s">
        <v>62</v>
      </c>
      <c r="Q27" s="203" t="s">
        <v>62</v>
      </c>
      <c r="S27" s="203" t="s">
        <v>62</v>
      </c>
      <c r="U27" s="203" t="s">
        <v>62</v>
      </c>
      <c r="W27" s="203" t="s">
        <v>62</v>
      </c>
      <c r="Y27" s="203" t="s">
        <v>62</v>
      </c>
      <c r="AA27" s="203" t="s">
        <v>62</v>
      </c>
      <c r="AB27" s="202"/>
      <c r="AC27" s="203" t="s">
        <v>62</v>
      </c>
      <c r="AD27" s="202"/>
      <c r="AE27" s="203" t="s">
        <v>62</v>
      </c>
      <c r="AF27" s="205" t="str">
        <f t="shared" si="1"/>
        <v>NA</v>
      </c>
      <c r="AG27" s="217" t="str">
        <f t="shared" si="0"/>
        <v>NÃO AVALIADO POR FALHA DE SINCRONISMO</v>
      </c>
      <c r="AI27" s="218" t="str">
        <f t="shared" si="2"/>
        <v>SÃO PAULO</v>
      </c>
      <c r="AJ27" s="218" t="s">
        <v>6</v>
      </c>
    </row>
    <row r="28" spans="1:36" s="204" customFormat="1" ht="30" customHeight="1">
      <c r="A28" s="215" t="s">
        <v>198</v>
      </c>
      <c r="B28" s="215">
        <v>2617107260</v>
      </c>
      <c r="C28" s="215" t="s">
        <v>141</v>
      </c>
      <c r="D28" s="215" t="s">
        <v>68</v>
      </c>
      <c r="E28" s="215" t="s">
        <v>5</v>
      </c>
      <c r="F28" s="215" t="s">
        <v>1591</v>
      </c>
      <c r="G28" s="215">
        <v>352</v>
      </c>
      <c r="H28" s="215" t="s">
        <v>226</v>
      </c>
      <c r="I28" s="215" t="s">
        <v>1516</v>
      </c>
      <c r="J28" s="215" t="s">
        <v>2713</v>
      </c>
      <c r="K28" s="219" t="s">
        <v>2732</v>
      </c>
      <c r="L28" s="216">
        <v>46147.291666666664</v>
      </c>
      <c r="M28" s="216">
        <v>46147.292361111111</v>
      </c>
      <c r="N28" s="215" t="s">
        <v>2073</v>
      </c>
      <c r="O28" s="203" t="s">
        <v>62</v>
      </c>
      <c r="Q28" s="203" t="s">
        <v>62</v>
      </c>
      <c r="S28" s="203" t="s">
        <v>62</v>
      </c>
      <c r="U28" s="203" t="s">
        <v>62</v>
      </c>
      <c r="W28" s="203" t="s">
        <v>62</v>
      </c>
      <c r="Y28" s="203" t="s">
        <v>62</v>
      </c>
      <c r="AA28" s="203" t="s">
        <v>62</v>
      </c>
      <c r="AB28" s="202"/>
      <c r="AC28" s="203" t="s">
        <v>62</v>
      </c>
      <c r="AD28" s="202"/>
      <c r="AE28" s="203" t="s">
        <v>62</v>
      </c>
      <c r="AF28" s="205" t="s">
        <v>62</v>
      </c>
      <c r="AG28" s="217" t="str">
        <f t="shared" si="0"/>
        <v>NÃO AVALIADO POR FALHA DE SINCRONISMO</v>
      </c>
      <c r="AI28" s="218" t="str">
        <f t="shared" si="2"/>
        <v>SÃO PAULO</v>
      </c>
      <c r="AJ28" s="218" t="s">
        <v>6</v>
      </c>
    </row>
    <row r="29" spans="1:36" s="204" customFormat="1" ht="30" customHeight="1">
      <c r="A29" s="215" t="s">
        <v>198</v>
      </c>
      <c r="B29" s="215">
        <v>2616896524</v>
      </c>
      <c r="C29" s="215" t="s">
        <v>142</v>
      </c>
      <c r="D29" s="215" t="s">
        <v>68</v>
      </c>
      <c r="E29" s="215" t="s">
        <v>5</v>
      </c>
      <c r="F29" s="215" t="s">
        <v>1439</v>
      </c>
      <c r="G29" s="215">
        <v>358</v>
      </c>
      <c r="H29" s="215" t="s">
        <v>226</v>
      </c>
      <c r="I29" s="215" t="s">
        <v>801</v>
      </c>
      <c r="J29" s="215" t="s">
        <v>2718</v>
      </c>
      <c r="K29" s="219" t="s">
        <v>2744</v>
      </c>
      <c r="L29" s="216">
        <v>46147.333333333336</v>
      </c>
      <c r="M29" s="216">
        <v>46147.334027777775</v>
      </c>
      <c r="N29" s="215" t="s">
        <v>2715</v>
      </c>
      <c r="O29" s="203" t="s">
        <v>62</v>
      </c>
      <c r="Q29" s="203" t="s">
        <v>62</v>
      </c>
      <c r="S29" s="203" t="s">
        <v>62</v>
      </c>
      <c r="U29" s="203" t="s">
        <v>62</v>
      </c>
      <c r="W29" s="203" t="s">
        <v>62</v>
      </c>
      <c r="Y29" s="203" t="s">
        <v>62</v>
      </c>
      <c r="AA29" s="203" t="s">
        <v>62</v>
      </c>
      <c r="AB29" s="202"/>
      <c r="AC29" s="203" t="s">
        <v>62</v>
      </c>
      <c r="AD29" s="202"/>
      <c r="AE29" s="203" t="s">
        <v>62</v>
      </c>
      <c r="AF29" s="205" t="str">
        <f t="shared" si="1"/>
        <v>NA</v>
      </c>
      <c r="AG29" s="217" t="str">
        <f t="shared" si="0"/>
        <v>NÃO AVALIADO POR FALHA DE SINCRONISMO</v>
      </c>
      <c r="AI29" s="218" t="str">
        <f t="shared" si="2"/>
        <v>SÃO PAULO</v>
      </c>
      <c r="AJ29" s="218" t="s">
        <v>6</v>
      </c>
    </row>
    <row r="30" spans="1:36" s="204" customFormat="1" ht="30" customHeight="1">
      <c r="A30" s="215" t="s">
        <v>198</v>
      </c>
      <c r="B30" s="215">
        <v>2617967170</v>
      </c>
      <c r="C30" s="215" t="s">
        <v>141</v>
      </c>
      <c r="D30" s="215" t="s">
        <v>68</v>
      </c>
      <c r="E30" s="215" t="s">
        <v>5</v>
      </c>
      <c r="F30" s="215" t="s">
        <v>1405</v>
      </c>
      <c r="G30" s="215">
        <v>139</v>
      </c>
      <c r="H30" s="215" t="s">
        <v>226</v>
      </c>
      <c r="I30" s="215" t="s">
        <v>251</v>
      </c>
      <c r="J30" s="215" t="s">
        <v>2713</v>
      </c>
      <c r="K30" s="219" t="s">
        <v>2741</v>
      </c>
      <c r="L30" s="216">
        <v>46147.333333333336</v>
      </c>
      <c r="M30" s="216">
        <v>46147.334027777775</v>
      </c>
      <c r="N30" s="215" t="s">
        <v>2715</v>
      </c>
      <c r="O30" s="203" t="s">
        <v>62</v>
      </c>
      <c r="Q30" s="203" t="s">
        <v>62</v>
      </c>
      <c r="S30" s="203" t="s">
        <v>62</v>
      </c>
      <c r="U30" s="203" t="s">
        <v>62</v>
      </c>
      <c r="W30" s="203" t="s">
        <v>62</v>
      </c>
      <c r="Y30" s="203" t="s">
        <v>62</v>
      </c>
      <c r="AA30" s="203" t="s">
        <v>62</v>
      </c>
      <c r="AB30" s="202"/>
      <c r="AC30" s="203" t="s">
        <v>62</v>
      </c>
      <c r="AD30" s="202"/>
      <c r="AE30" s="203" t="s">
        <v>62</v>
      </c>
      <c r="AF30" s="205" t="str">
        <f t="shared" si="1"/>
        <v>NA</v>
      </c>
      <c r="AG30" s="217" t="str">
        <f t="shared" si="0"/>
        <v>NÃO AVALIADO POR FALHA DE SINCRONISMO</v>
      </c>
      <c r="AI30" s="218" t="str">
        <f t="shared" si="2"/>
        <v>SÃO PAULO</v>
      </c>
      <c r="AJ30" s="218" t="s">
        <v>6</v>
      </c>
    </row>
    <row r="31" spans="1:36" s="204" customFormat="1" ht="30" customHeight="1">
      <c r="A31" s="215" t="s">
        <v>198</v>
      </c>
      <c r="B31" s="215">
        <v>2617975642</v>
      </c>
      <c r="C31" s="215" t="s">
        <v>141</v>
      </c>
      <c r="D31" s="215" t="s">
        <v>68</v>
      </c>
      <c r="E31" s="215" t="s">
        <v>5</v>
      </c>
      <c r="F31" s="215" t="s">
        <v>213</v>
      </c>
      <c r="G31" s="215">
        <v>220</v>
      </c>
      <c r="H31" s="215" t="s">
        <v>214</v>
      </c>
      <c r="I31" s="215" t="s">
        <v>215</v>
      </c>
      <c r="J31" s="215" t="s">
        <v>2713</v>
      </c>
      <c r="K31" s="219" t="s">
        <v>2741</v>
      </c>
      <c r="L31" s="216">
        <v>46147.333333333336</v>
      </c>
      <c r="M31" s="216">
        <v>46147.334027777775</v>
      </c>
      <c r="N31" s="215" t="s">
        <v>2715</v>
      </c>
      <c r="O31" s="203" t="s">
        <v>62</v>
      </c>
      <c r="Q31" s="203" t="s">
        <v>62</v>
      </c>
      <c r="S31" s="203" t="s">
        <v>62</v>
      </c>
      <c r="U31" s="203" t="s">
        <v>62</v>
      </c>
      <c r="W31" s="203" t="s">
        <v>62</v>
      </c>
      <c r="Y31" s="203" t="s">
        <v>62</v>
      </c>
      <c r="AA31" s="203" t="s">
        <v>62</v>
      </c>
      <c r="AB31" s="202"/>
      <c r="AC31" s="203" t="s">
        <v>62</v>
      </c>
      <c r="AD31" s="202"/>
      <c r="AE31" s="203" t="s">
        <v>62</v>
      </c>
      <c r="AF31" s="205" t="str">
        <f t="shared" si="1"/>
        <v>NA</v>
      </c>
      <c r="AG31" s="217" t="str">
        <f t="shared" si="0"/>
        <v>NÃO AVALIADO POR FALHA DE SINCRONISMO</v>
      </c>
      <c r="AI31" s="218" t="str">
        <f t="shared" si="2"/>
        <v>SÃO PAULO</v>
      </c>
      <c r="AJ31" s="218" t="s">
        <v>6</v>
      </c>
    </row>
    <row r="32" spans="1:36" s="204" customFormat="1" ht="30" customHeight="1">
      <c r="A32" s="215" t="s">
        <v>198</v>
      </c>
      <c r="B32" s="215">
        <v>2617590724</v>
      </c>
      <c r="C32" s="215" t="s">
        <v>141</v>
      </c>
      <c r="D32" s="215" t="s">
        <v>68</v>
      </c>
      <c r="E32" s="215" t="s">
        <v>5</v>
      </c>
      <c r="F32" s="215" t="s">
        <v>826</v>
      </c>
      <c r="G32" s="215">
        <v>768</v>
      </c>
      <c r="H32" s="215" t="s">
        <v>226</v>
      </c>
      <c r="I32" s="215" t="s">
        <v>251</v>
      </c>
      <c r="J32" s="215" t="s">
        <v>2713</v>
      </c>
      <c r="K32" s="219" t="s">
        <v>2741</v>
      </c>
      <c r="L32" s="216">
        <v>46147.333333333336</v>
      </c>
      <c r="M32" s="216">
        <v>46147.334027777775</v>
      </c>
      <c r="N32" s="215" t="s">
        <v>2715</v>
      </c>
      <c r="O32" s="203" t="s">
        <v>62</v>
      </c>
      <c r="Q32" s="203" t="s">
        <v>62</v>
      </c>
      <c r="S32" s="203" t="s">
        <v>62</v>
      </c>
      <c r="U32" s="203" t="s">
        <v>62</v>
      </c>
      <c r="W32" s="203" t="s">
        <v>62</v>
      </c>
      <c r="Y32" s="203" t="s">
        <v>62</v>
      </c>
      <c r="AA32" s="203" t="s">
        <v>62</v>
      </c>
      <c r="AB32" s="202"/>
      <c r="AC32" s="203" t="s">
        <v>62</v>
      </c>
      <c r="AD32" s="202"/>
      <c r="AE32" s="203" t="s">
        <v>62</v>
      </c>
      <c r="AF32" s="205" t="str">
        <f t="shared" si="1"/>
        <v>NA</v>
      </c>
      <c r="AG32" s="217" t="str">
        <f t="shared" si="0"/>
        <v>NÃO AVALIADO POR FALHA DE SINCRONISMO</v>
      </c>
      <c r="AI32" s="218" t="str">
        <f t="shared" si="2"/>
        <v>SÃO PAULO</v>
      </c>
      <c r="AJ32" s="218" t="s">
        <v>6</v>
      </c>
    </row>
    <row r="33" spans="1:36" s="204" customFormat="1" ht="30" customHeight="1">
      <c r="A33" s="215" t="s">
        <v>198</v>
      </c>
      <c r="B33" s="215">
        <v>2618739377</v>
      </c>
      <c r="C33" s="215" t="s">
        <v>141</v>
      </c>
      <c r="D33" s="215" t="s">
        <v>68</v>
      </c>
      <c r="E33" s="215" t="s">
        <v>5</v>
      </c>
      <c r="F33" s="215" t="s">
        <v>2745</v>
      </c>
      <c r="G33" s="215">
        <v>260</v>
      </c>
      <c r="H33" s="215" t="s">
        <v>226</v>
      </c>
      <c r="I33" s="215" t="s">
        <v>215</v>
      </c>
      <c r="J33" s="215" t="s">
        <v>2713</v>
      </c>
      <c r="K33" s="219" t="s">
        <v>2744</v>
      </c>
      <c r="L33" s="216">
        <v>46147.597222222219</v>
      </c>
      <c r="M33" s="216">
        <v>46147.597916666666</v>
      </c>
      <c r="N33" s="215" t="s">
        <v>2738</v>
      </c>
      <c r="O33" s="203" t="s">
        <v>62</v>
      </c>
      <c r="Q33" s="203" t="s">
        <v>62</v>
      </c>
      <c r="S33" s="203" t="s">
        <v>62</v>
      </c>
      <c r="U33" s="203" t="s">
        <v>62</v>
      </c>
      <c r="W33" s="203" t="s">
        <v>62</v>
      </c>
      <c r="Y33" s="203" t="s">
        <v>62</v>
      </c>
      <c r="AA33" s="203" t="s">
        <v>62</v>
      </c>
      <c r="AB33" s="202"/>
      <c r="AC33" s="203" t="s">
        <v>62</v>
      </c>
      <c r="AD33" s="202"/>
      <c r="AE33" s="203" t="s">
        <v>62</v>
      </c>
      <c r="AF33" s="205" t="str">
        <f t="shared" si="1"/>
        <v>NA</v>
      </c>
      <c r="AG33" s="217" t="str">
        <f t="shared" si="0"/>
        <v>NÃO AVALIADO POR FALHA DE SINCRONISMO</v>
      </c>
      <c r="AI33" s="218" t="str">
        <f t="shared" si="2"/>
        <v>SÃO PAULO</v>
      </c>
      <c r="AJ33" s="218" t="s">
        <v>6</v>
      </c>
    </row>
    <row r="34" spans="1:36" s="204" customFormat="1" ht="30" customHeight="1">
      <c r="A34" s="215" t="s">
        <v>198</v>
      </c>
      <c r="B34" s="215">
        <v>2618602587</v>
      </c>
      <c r="C34" s="215" t="s">
        <v>139</v>
      </c>
      <c r="D34" s="215" t="s">
        <v>68</v>
      </c>
      <c r="E34" s="215" t="s">
        <v>5</v>
      </c>
      <c r="F34" s="215" t="s">
        <v>2746</v>
      </c>
      <c r="G34" s="215">
        <v>733</v>
      </c>
      <c r="H34" s="215" t="s">
        <v>226</v>
      </c>
      <c r="I34" s="215" t="s">
        <v>577</v>
      </c>
      <c r="J34" s="215" t="s">
        <v>2713</v>
      </c>
      <c r="K34" s="219" t="s">
        <v>2747</v>
      </c>
      <c r="L34" s="216">
        <v>46147.597222222219</v>
      </c>
      <c r="M34" s="216">
        <v>46147.597916666666</v>
      </c>
      <c r="N34" s="215" t="s">
        <v>2738</v>
      </c>
      <c r="O34" s="203" t="s">
        <v>62</v>
      </c>
      <c r="Q34" s="203" t="s">
        <v>62</v>
      </c>
      <c r="S34" s="203" t="s">
        <v>62</v>
      </c>
      <c r="U34" s="203" t="s">
        <v>62</v>
      </c>
      <c r="W34" s="203" t="s">
        <v>62</v>
      </c>
      <c r="Y34" s="203" t="s">
        <v>62</v>
      </c>
      <c r="AA34" s="203" t="s">
        <v>62</v>
      </c>
      <c r="AB34" s="202"/>
      <c r="AC34" s="203" t="s">
        <v>62</v>
      </c>
      <c r="AD34" s="202"/>
      <c r="AE34" s="203" t="s">
        <v>62</v>
      </c>
      <c r="AF34" s="205" t="str">
        <f t="shared" si="1"/>
        <v>NA</v>
      </c>
      <c r="AG34" s="217" t="str">
        <f t="shared" si="0"/>
        <v>NÃO AVALIADO POR FALHA DE SINCRONISMO</v>
      </c>
      <c r="AI34" s="218" t="str">
        <f t="shared" si="2"/>
        <v>SÃO PAULO</v>
      </c>
      <c r="AJ34" s="218" t="s">
        <v>6</v>
      </c>
    </row>
    <row r="35" spans="1:36" s="204" customFormat="1" ht="30" customHeight="1">
      <c r="A35" s="215" t="s">
        <v>198</v>
      </c>
      <c r="B35" s="215">
        <v>2618089149</v>
      </c>
      <c r="C35" s="215" t="s">
        <v>142</v>
      </c>
      <c r="D35" s="215" t="s">
        <v>68</v>
      </c>
      <c r="E35" s="215" t="s">
        <v>5</v>
      </c>
      <c r="F35" s="215" t="s">
        <v>2748</v>
      </c>
      <c r="G35" s="215">
        <v>26</v>
      </c>
      <c r="H35" s="215" t="s">
        <v>200</v>
      </c>
      <c r="I35" s="215" t="s">
        <v>607</v>
      </c>
      <c r="J35" s="215" t="s">
        <v>2718</v>
      </c>
      <c r="K35" s="219" t="s">
        <v>2717</v>
      </c>
      <c r="L35" s="216">
        <v>46147.333333333336</v>
      </c>
      <c r="M35" s="216">
        <v>46147.334027777775</v>
      </c>
      <c r="N35" s="215" t="s">
        <v>2715</v>
      </c>
      <c r="O35" s="203" t="s">
        <v>62</v>
      </c>
      <c r="Q35" s="203" t="s">
        <v>62</v>
      </c>
      <c r="S35" s="203" t="s">
        <v>62</v>
      </c>
      <c r="U35" s="203" t="s">
        <v>62</v>
      </c>
      <c r="W35" s="203" t="s">
        <v>62</v>
      </c>
      <c r="Y35" s="203" t="s">
        <v>62</v>
      </c>
      <c r="AA35" s="203" t="s">
        <v>62</v>
      </c>
      <c r="AB35" s="202"/>
      <c r="AC35" s="203" t="s">
        <v>62</v>
      </c>
      <c r="AD35" s="202"/>
      <c r="AE35" s="203" t="s">
        <v>62</v>
      </c>
      <c r="AF35" s="205" t="str">
        <f t="shared" si="1"/>
        <v>NA</v>
      </c>
      <c r="AG35" s="217" t="str">
        <f t="shared" si="0"/>
        <v>NÃO AVALIADO POR FALHA DE SINCRONISMO</v>
      </c>
      <c r="AI35" s="218" t="str">
        <f t="shared" si="2"/>
        <v>SÃO PAULO</v>
      </c>
      <c r="AJ35" s="218" t="s">
        <v>6</v>
      </c>
    </row>
    <row r="36" spans="1:36" s="204" customFormat="1" ht="30" customHeight="1">
      <c r="A36" s="215" t="s">
        <v>198</v>
      </c>
      <c r="B36" s="215">
        <v>2616323844</v>
      </c>
      <c r="C36" s="215" t="s">
        <v>141</v>
      </c>
      <c r="D36" s="215" t="s">
        <v>68</v>
      </c>
      <c r="E36" s="215" t="s">
        <v>5</v>
      </c>
      <c r="F36" s="215" t="s">
        <v>628</v>
      </c>
      <c r="G36" s="215">
        <v>196</v>
      </c>
      <c r="H36" s="215"/>
      <c r="I36" s="215" t="s">
        <v>232</v>
      </c>
      <c r="J36" s="215" t="s">
        <v>2713</v>
      </c>
      <c r="K36" s="219" t="s">
        <v>2741</v>
      </c>
      <c r="L36" s="216">
        <v>46147.333333333336</v>
      </c>
      <c r="M36" s="216">
        <v>46147.334027777775</v>
      </c>
      <c r="N36" s="215" t="s">
        <v>2715</v>
      </c>
      <c r="O36" s="203" t="s">
        <v>62</v>
      </c>
      <c r="Q36" s="203" t="s">
        <v>62</v>
      </c>
      <c r="S36" s="203" t="s">
        <v>62</v>
      </c>
      <c r="U36" s="203" t="s">
        <v>62</v>
      </c>
      <c r="W36" s="203" t="s">
        <v>62</v>
      </c>
      <c r="Y36" s="203" t="s">
        <v>62</v>
      </c>
      <c r="AA36" s="203" t="s">
        <v>62</v>
      </c>
      <c r="AB36" s="202"/>
      <c r="AC36" s="203" t="s">
        <v>62</v>
      </c>
      <c r="AD36" s="202"/>
      <c r="AE36" s="203" t="s">
        <v>62</v>
      </c>
      <c r="AF36" s="205" t="str">
        <f t="shared" si="1"/>
        <v>NA</v>
      </c>
      <c r="AG36" s="217" t="str">
        <f t="shared" si="0"/>
        <v>NÃO AVALIADO POR FALHA DE SINCRONISMO</v>
      </c>
      <c r="AI36" s="218" t="str">
        <f t="shared" si="2"/>
        <v>SÃO PAULO</v>
      </c>
      <c r="AJ36" s="218" t="s">
        <v>6</v>
      </c>
    </row>
    <row r="37" spans="1:36" s="204" customFormat="1" ht="30" customHeight="1">
      <c r="A37" s="215" t="s">
        <v>198</v>
      </c>
      <c r="B37" s="215">
        <v>2618469362</v>
      </c>
      <c r="C37" s="215" t="s">
        <v>139</v>
      </c>
      <c r="D37" s="215" t="s">
        <v>68</v>
      </c>
      <c r="E37" s="215" t="s">
        <v>5</v>
      </c>
      <c r="F37" s="215" t="s">
        <v>1456</v>
      </c>
      <c r="G37" s="215">
        <v>600</v>
      </c>
      <c r="H37" s="215" t="s">
        <v>318</v>
      </c>
      <c r="I37" s="215" t="s">
        <v>1457</v>
      </c>
      <c r="J37" s="215" t="s">
        <v>2713</v>
      </c>
      <c r="K37" s="219" t="s">
        <v>2749</v>
      </c>
      <c r="L37" s="216">
        <v>46178.25</v>
      </c>
      <c r="M37" s="216">
        <v>46178.250694444447</v>
      </c>
      <c r="N37" s="215" t="s">
        <v>2715</v>
      </c>
      <c r="O37" s="203" t="s">
        <v>205</v>
      </c>
      <c r="Q37" s="203" t="s">
        <v>239</v>
      </c>
      <c r="R37" s="204" t="s">
        <v>2750</v>
      </c>
      <c r="S37" s="203" t="s">
        <v>205</v>
      </c>
      <c r="U37" s="203" t="s">
        <v>206</v>
      </c>
      <c r="W37" s="203" t="s">
        <v>205</v>
      </c>
      <c r="Y37" s="203" t="s">
        <v>206</v>
      </c>
      <c r="AA37" s="203" t="s">
        <v>205</v>
      </c>
      <c r="AB37" s="202"/>
      <c r="AC37" s="203" t="s">
        <v>239</v>
      </c>
      <c r="AD37" s="202" t="s">
        <v>390</v>
      </c>
      <c r="AE37" s="203" t="s">
        <v>205</v>
      </c>
      <c r="AF37" s="205" t="str">
        <f t="shared" si="1"/>
        <v>NC</v>
      </c>
      <c r="AG37" s="217" t="str">
        <f t="shared" si="0"/>
        <v>UTILIZOU O PDA CORRETAMENTE. NÃO HÁ FOTOS DE TODAS AS ETAPAS</v>
      </c>
      <c r="AI37" s="218" t="str">
        <f t="shared" si="2"/>
        <v>SÃO PAULO</v>
      </c>
      <c r="AJ37" s="218" t="s">
        <v>6</v>
      </c>
    </row>
    <row r="38" spans="1:36" s="204" customFormat="1" ht="30" customHeight="1">
      <c r="A38" s="215" t="s">
        <v>198</v>
      </c>
      <c r="B38" s="215">
        <v>2618602495</v>
      </c>
      <c r="C38" s="215" t="s">
        <v>140</v>
      </c>
      <c r="D38" s="215" t="s">
        <v>68</v>
      </c>
      <c r="E38" s="215" t="s">
        <v>5</v>
      </c>
      <c r="F38" s="215" t="s">
        <v>2745</v>
      </c>
      <c r="G38" s="215">
        <v>260</v>
      </c>
      <c r="H38" s="215" t="s">
        <v>226</v>
      </c>
      <c r="I38" s="215" t="s">
        <v>215</v>
      </c>
      <c r="J38" s="215" t="s">
        <v>2718</v>
      </c>
      <c r="K38" s="219" t="s">
        <v>2744</v>
      </c>
      <c r="L38" s="216">
        <v>46178.25</v>
      </c>
      <c r="M38" s="216">
        <v>46178.250694444447</v>
      </c>
      <c r="N38" s="215" t="s">
        <v>2715</v>
      </c>
      <c r="O38" s="203" t="s">
        <v>62</v>
      </c>
      <c r="Q38" s="203" t="s">
        <v>62</v>
      </c>
      <c r="S38" s="203" t="s">
        <v>62</v>
      </c>
      <c r="U38" s="203" t="s">
        <v>62</v>
      </c>
      <c r="W38" s="203" t="s">
        <v>62</v>
      </c>
      <c r="Y38" s="203" t="s">
        <v>62</v>
      </c>
      <c r="AA38" s="203" t="s">
        <v>62</v>
      </c>
      <c r="AB38" s="202"/>
      <c r="AC38" s="203" t="s">
        <v>62</v>
      </c>
      <c r="AD38" s="202"/>
      <c r="AE38" s="203" t="s">
        <v>62</v>
      </c>
      <c r="AF38" s="205" t="str">
        <f t="shared" si="1"/>
        <v>NA</v>
      </c>
      <c r="AG38" s="217" t="str">
        <f t="shared" si="0"/>
        <v>NÃO AVALIADO POR FALHA DE SINCRONISMO</v>
      </c>
      <c r="AI38" s="218" t="str">
        <f t="shared" si="2"/>
        <v>SÃO PAULO</v>
      </c>
      <c r="AJ38" s="218" t="s">
        <v>6</v>
      </c>
    </row>
    <row r="39" spans="1:36" s="204" customFormat="1" ht="30" customHeight="1">
      <c r="A39" s="215" t="s">
        <v>198</v>
      </c>
      <c r="B39" s="215">
        <v>2618310766</v>
      </c>
      <c r="C39" s="215" t="s">
        <v>141</v>
      </c>
      <c r="D39" s="215" t="s">
        <v>68</v>
      </c>
      <c r="E39" s="215" t="s">
        <v>5</v>
      </c>
      <c r="F39" s="215" t="s">
        <v>458</v>
      </c>
      <c r="G39" s="215">
        <v>1321</v>
      </c>
      <c r="H39" s="215"/>
      <c r="I39" s="215" t="s">
        <v>274</v>
      </c>
      <c r="J39" s="215" t="s">
        <v>2713</v>
      </c>
      <c r="K39" s="219" t="s">
        <v>2741</v>
      </c>
      <c r="L39" s="216">
        <v>46178.333333333336</v>
      </c>
      <c r="M39" s="216">
        <v>46178.334027777775</v>
      </c>
      <c r="N39" s="215" t="s">
        <v>2715</v>
      </c>
      <c r="O39" s="203" t="s">
        <v>62</v>
      </c>
      <c r="Q39" s="203" t="s">
        <v>62</v>
      </c>
      <c r="S39" s="203" t="s">
        <v>62</v>
      </c>
      <c r="U39" s="203" t="s">
        <v>62</v>
      </c>
      <c r="W39" s="203" t="s">
        <v>62</v>
      </c>
      <c r="Y39" s="203" t="s">
        <v>62</v>
      </c>
      <c r="AA39" s="203" t="s">
        <v>62</v>
      </c>
      <c r="AB39" s="202"/>
      <c r="AC39" s="203" t="s">
        <v>62</v>
      </c>
      <c r="AD39" s="202"/>
      <c r="AE39" s="203" t="s">
        <v>62</v>
      </c>
      <c r="AF39" s="205" t="str">
        <f t="shared" si="1"/>
        <v>NA</v>
      </c>
      <c r="AG39" s="217" t="str">
        <f t="shared" si="0"/>
        <v>NÃO AVALIADO POR FALHA DE SINCRONISMO</v>
      </c>
      <c r="AI39" s="218" t="str">
        <f t="shared" si="2"/>
        <v>SÃO PAULO</v>
      </c>
      <c r="AJ39" s="218" t="s">
        <v>6</v>
      </c>
    </row>
    <row r="40" spans="1:36" s="204" customFormat="1" ht="30" customHeight="1">
      <c r="A40" s="215" t="s">
        <v>198</v>
      </c>
      <c r="B40" s="215">
        <v>2618310523</v>
      </c>
      <c r="C40" s="215" t="s">
        <v>141</v>
      </c>
      <c r="D40" s="215" t="s">
        <v>68</v>
      </c>
      <c r="E40" s="215" t="s">
        <v>5</v>
      </c>
      <c r="F40" s="215" t="s">
        <v>1434</v>
      </c>
      <c r="G40" s="215">
        <v>65</v>
      </c>
      <c r="H40" s="215" t="s">
        <v>318</v>
      </c>
      <c r="I40" s="215" t="s">
        <v>289</v>
      </c>
      <c r="J40" s="215" t="s">
        <v>2713</v>
      </c>
      <c r="K40" s="219" t="s">
        <v>2751</v>
      </c>
      <c r="L40" s="216">
        <v>46178.333333333336</v>
      </c>
      <c r="M40" s="216">
        <v>46178.334027777775</v>
      </c>
      <c r="N40" s="215" t="s">
        <v>2715</v>
      </c>
      <c r="O40" s="203" t="s">
        <v>62</v>
      </c>
      <c r="Q40" s="203" t="s">
        <v>62</v>
      </c>
      <c r="S40" s="203" t="s">
        <v>62</v>
      </c>
      <c r="U40" s="203" t="s">
        <v>62</v>
      </c>
      <c r="W40" s="203" t="s">
        <v>62</v>
      </c>
      <c r="Y40" s="203" t="s">
        <v>62</v>
      </c>
      <c r="AA40" s="203" t="s">
        <v>62</v>
      </c>
      <c r="AB40" s="202"/>
      <c r="AC40" s="203" t="s">
        <v>62</v>
      </c>
      <c r="AD40" s="202"/>
      <c r="AE40" s="203" t="s">
        <v>62</v>
      </c>
      <c r="AF40" s="205" t="str">
        <f t="shared" si="1"/>
        <v>NA</v>
      </c>
      <c r="AG40" s="217" t="str">
        <f t="shared" si="0"/>
        <v>NÃO AVALIADO POR FALHA DE SINCRONISMO</v>
      </c>
      <c r="AI40" s="218" t="str">
        <f t="shared" si="2"/>
        <v>SÃO PAULO</v>
      </c>
      <c r="AJ40" s="218" t="s">
        <v>6</v>
      </c>
    </row>
    <row r="41" spans="1:36" s="204" customFormat="1" ht="30" customHeight="1">
      <c r="A41" s="215" t="s">
        <v>198</v>
      </c>
      <c r="B41" s="215">
        <v>2617448353</v>
      </c>
      <c r="C41" s="215" t="s">
        <v>141</v>
      </c>
      <c r="D41" s="215" t="s">
        <v>68</v>
      </c>
      <c r="E41" s="215" t="s">
        <v>5</v>
      </c>
      <c r="F41" s="215" t="s">
        <v>2752</v>
      </c>
      <c r="G41" s="215">
        <v>134</v>
      </c>
      <c r="H41" s="215"/>
      <c r="I41" s="215" t="s">
        <v>274</v>
      </c>
      <c r="J41" s="215" t="s">
        <v>2713</v>
      </c>
      <c r="K41" s="219" t="s">
        <v>2753</v>
      </c>
      <c r="L41" s="216">
        <v>46178.333333333336</v>
      </c>
      <c r="M41" s="216">
        <v>46178.334027777775</v>
      </c>
      <c r="N41" s="215" t="s">
        <v>2715</v>
      </c>
      <c r="O41" s="203" t="s">
        <v>62</v>
      </c>
      <c r="Q41" s="203" t="s">
        <v>62</v>
      </c>
      <c r="S41" s="203" t="s">
        <v>62</v>
      </c>
      <c r="U41" s="203" t="s">
        <v>62</v>
      </c>
      <c r="W41" s="203" t="s">
        <v>62</v>
      </c>
      <c r="Y41" s="203" t="s">
        <v>62</v>
      </c>
      <c r="AA41" s="203" t="s">
        <v>62</v>
      </c>
      <c r="AB41" s="202"/>
      <c r="AC41" s="203" t="s">
        <v>62</v>
      </c>
      <c r="AD41" s="202"/>
      <c r="AE41" s="203" t="s">
        <v>62</v>
      </c>
      <c r="AF41" s="205" t="str">
        <f t="shared" si="1"/>
        <v>NA</v>
      </c>
      <c r="AG41" s="217" t="str">
        <f t="shared" si="0"/>
        <v>NÃO AVALIADO POR FALHA DE SINCRONISMO</v>
      </c>
      <c r="AI41" s="218" t="str">
        <f t="shared" si="2"/>
        <v>SÃO PAULO</v>
      </c>
      <c r="AJ41" s="218" t="s">
        <v>6</v>
      </c>
    </row>
    <row r="42" spans="1:36" s="204" customFormat="1" ht="30" customHeight="1">
      <c r="A42" s="215" t="s">
        <v>198</v>
      </c>
      <c r="B42" s="215">
        <v>2617628905</v>
      </c>
      <c r="C42" s="215" t="s">
        <v>141</v>
      </c>
      <c r="D42" s="215" t="s">
        <v>68</v>
      </c>
      <c r="E42" s="215" t="s">
        <v>5</v>
      </c>
      <c r="F42" s="215" t="s">
        <v>263</v>
      </c>
      <c r="G42" s="215">
        <v>481</v>
      </c>
      <c r="H42" s="215" t="s">
        <v>226</v>
      </c>
      <c r="I42" s="215" t="s">
        <v>264</v>
      </c>
      <c r="J42" s="215" t="s">
        <v>2713</v>
      </c>
      <c r="K42" s="219" t="s">
        <v>2754</v>
      </c>
      <c r="L42" s="216">
        <v>46178.333333333336</v>
      </c>
      <c r="M42" s="216">
        <v>46178.334027777775</v>
      </c>
      <c r="N42" s="215" t="s">
        <v>2715</v>
      </c>
      <c r="O42" s="203" t="s">
        <v>62</v>
      </c>
      <c r="Q42" s="203" t="s">
        <v>62</v>
      </c>
      <c r="S42" s="203" t="s">
        <v>62</v>
      </c>
      <c r="U42" s="203" t="s">
        <v>62</v>
      </c>
      <c r="W42" s="203" t="s">
        <v>62</v>
      </c>
      <c r="Y42" s="203" t="s">
        <v>62</v>
      </c>
      <c r="AA42" s="203" t="s">
        <v>62</v>
      </c>
      <c r="AB42" s="202"/>
      <c r="AC42" s="203" t="s">
        <v>62</v>
      </c>
      <c r="AD42" s="202"/>
      <c r="AE42" s="203" t="s">
        <v>62</v>
      </c>
      <c r="AF42" s="205" t="str">
        <f t="shared" si="1"/>
        <v>NA</v>
      </c>
      <c r="AG42" s="217" t="str">
        <f t="shared" si="0"/>
        <v>NÃO AVALIADO POR FALHA DE SINCRONISMO</v>
      </c>
      <c r="AI42" s="218" t="str">
        <f t="shared" si="2"/>
        <v>SÃO PAULO</v>
      </c>
      <c r="AJ42" s="218" t="s">
        <v>6</v>
      </c>
    </row>
    <row r="43" spans="1:36" s="204" customFormat="1" ht="30" customHeight="1">
      <c r="A43" s="215" t="s">
        <v>198</v>
      </c>
      <c r="B43" s="215">
        <v>2618106256</v>
      </c>
      <c r="C43" s="215" t="s">
        <v>141</v>
      </c>
      <c r="D43" s="215" t="s">
        <v>68</v>
      </c>
      <c r="E43" s="215" t="s">
        <v>5</v>
      </c>
      <c r="F43" s="215" t="s">
        <v>469</v>
      </c>
      <c r="G43" s="215">
        <v>1</v>
      </c>
      <c r="H43" s="215"/>
      <c r="I43" s="215" t="s">
        <v>470</v>
      </c>
      <c r="J43" s="215" t="s">
        <v>2713</v>
      </c>
      <c r="K43" s="219" t="s">
        <v>2741</v>
      </c>
      <c r="L43" s="216">
        <v>46178.333333333336</v>
      </c>
      <c r="M43" s="216">
        <v>46178.334027777775</v>
      </c>
      <c r="N43" s="215" t="s">
        <v>2715</v>
      </c>
      <c r="O43" s="203" t="s">
        <v>62</v>
      </c>
      <c r="Q43" s="203" t="s">
        <v>62</v>
      </c>
      <c r="S43" s="203" t="s">
        <v>62</v>
      </c>
      <c r="U43" s="203" t="s">
        <v>62</v>
      </c>
      <c r="W43" s="203" t="s">
        <v>62</v>
      </c>
      <c r="Y43" s="203" t="s">
        <v>62</v>
      </c>
      <c r="AA43" s="203" t="s">
        <v>62</v>
      </c>
      <c r="AB43" s="202"/>
      <c r="AC43" s="203" t="s">
        <v>62</v>
      </c>
      <c r="AD43" s="202"/>
      <c r="AE43" s="203" t="s">
        <v>62</v>
      </c>
      <c r="AF43" s="205" t="str">
        <f t="shared" si="1"/>
        <v>NA</v>
      </c>
      <c r="AG43" s="217" t="str">
        <f t="shared" si="0"/>
        <v>NÃO AVALIADO POR FALHA DE SINCRONISMO</v>
      </c>
      <c r="AI43" s="218" t="str">
        <f t="shared" si="2"/>
        <v>SÃO PAULO</v>
      </c>
      <c r="AJ43" s="218" t="s">
        <v>6</v>
      </c>
    </row>
    <row r="44" spans="1:36" s="204" customFormat="1" ht="30" customHeight="1">
      <c r="A44" s="215" t="s">
        <v>198</v>
      </c>
      <c r="B44" s="215">
        <v>2617950354</v>
      </c>
      <c r="C44" s="215" t="s">
        <v>142</v>
      </c>
      <c r="D44" s="215" t="s">
        <v>68</v>
      </c>
      <c r="E44" s="215" t="s">
        <v>5</v>
      </c>
      <c r="F44" s="215" t="s">
        <v>241</v>
      </c>
      <c r="G44" s="215">
        <v>72</v>
      </c>
      <c r="H44" s="215" t="s">
        <v>200</v>
      </c>
      <c r="I44" s="215" t="s">
        <v>242</v>
      </c>
      <c r="J44" s="215" t="s">
        <v>2718</v>
      </c>
      <c r="K44" s="219" t="s">
        <v>2754</v>
      </c>
      <c r="L44" s="216">
        <v>46208.251388888886</v>
      </c>
      <c r="M44" s="216">
        <v>46208.252083333333</v>
      </c>
      <c r="N44" s="215" t="s">
        <v>2073</v>
      </c>
      <c r="O44" s="203" t="s">
        <v>62</v>
      </c>
      <c r="Q44" s="203" t="s">
        <v>62</v>
      </c>
      <c r="S44" s="203" t="s">
        <v>62</v>
      </c>
      <c r="U44" s="203" t="s">
        <v>62</v>
      </c>
      <c r="W44" s="203" t="s">
        <v>62</v>
      </c>
      <c r="Y44" s="203" t="s">
        <v>62</v>
      </c>
      <c r="AA44" s="203" t="s">
        <v>62</v>
      </c>
      <c r="AB44" s="202"/>
      <c r="AC44" s="203" t="s">
        <v>62</v>
      </c>
      <c r="AD44" s="202"/>
      <c r="AE44" s="203" t="s">
        <v>62</v>
      </c>
      <c r="AF44" s="205" t="str">
        <f t="shared" si="1"/>
        <v>NA</v>
      </c>
      <c r="AG44" s="217" t="str">
        <f t="shared" si="0"/>
        <v>NÃO AVALIADO POR FALHA DE SINCRONISMO</v>
      </c>
      <c r="AI44" s="218" t="str">
        <f t="shared" si="2"/>
        <v>SÃO PAULO</v>
      </c>
      <c r="AJ44" s="218" t="s">
        <v>6</v>
      </c>
    </row>
    <row r="45" spans="1:36" s="204" customFormat="1" ht="30" customHeight="1">
      <c r="A45" s="215" t="s">
        <v>198</v>
      </c>
      <c r="B45" s="215">
        <v>2618418766</v>
      </c>
      <c r="C45" s="215" t="s">
        <v>141</v>
      </c>
      <c r="D45" s="215" t="s">
        <v>68</v>
      </c>
      <c r="E45" s="215" t="s">
        <v>5</v>
      </c>
      <c r="F45" s="215" t="s">
        <v>1437</v>
      </c>
      <c r="G45" s="215">
        <v>5680</v>
      </c>
      <c r="H45" s="215"/>
      <c r="I45" s="215" t="s">
        <v>260</v>
      </c>
      <c r="J45" s="215" t="s">
        <v>2713</v>
      </c>
      <c r="K45" s="219" t="s">
        <v>2732</v>
      </c>
      <c r="L45" s="216">
        <v>46208.333333333336</v>
      </c>
      <c r="M45" s="216">
        <v>46208.334027777775</v>
      </c>
      <c r="N45" s="215" t="s">
        <v>2073</v>
      </c>
      <c r="O45" s="203" t="s">
        <v>62</v>
      </c>
      <c r="Q45" s="203" t="s">
        <v>62</v>
      </c>
      <c r="S45" s="203" t="s">
        <v>62</v>
      </c>
      <c r="U45" s="203" t="s">
        <v>62</v>
      </c>
      <c r="W45" s="203" t="s">
        <v>62</v>
      </c>
      <c r="Y45" s="203" t="s">
        <v>62</v>
      </c>
      <c r="AA45" s="203" t="s">
        <v>62</v>
      </c>
      <c r="AB45" s="202"/>
      <c r="AC45" s="203" t="s">
        <v>62</v>
      </c>
      <c r="AD45" s="202"/>
      <c r="AE45" s="203" t="s">
        <v>62</v>
      </c>
      <c r="AF45" s="205" t="str">
        <f t="shared" si="1"/>
        <v>NA</v>
      </c>
      <c r="AG45" s="217" t="str">
        <f t="shared" si="0"/>
        <v>NÃO AVALIADO POR FALHA DE SINCRONISMO</v>
      </c>
      <c r="AI45" s="218" t="str">
        <f t="shared" si="2"/>
        <v>SÃO PAULO</v>
      </c>
      <c r="AJ45" s="218" t="s">
        <v>6</v>
      </c>
    </row>
    <row r="46" spans="1:36" s="204" customFormat="1" ht="30" customHeight="1">
      <c r="A46" s="215" t="s">
        <v>198</v>
      </c>
      <c r="B46" s="215">
        <v>2618415803</v>
      </c>
      <c r="C46" s="215" t="s">
        <v>141</v>
      </c>
      <c r="D46" s="215" t="s">
        <v>68</v>
      </c>
      <c r="E46" s="215" t="s">
        <v>5</v>
      </c>
      <c r="F46" s="215" t="s">
        <v>1483</v>
      </c>
      <c r="G46" s="215">
        <v>66</v>
      </c>
      <c r="H46" s="215" t="s">
        <v>200</v>
      </c>
      <c r="I46" s="215" t="s">
        <v>260</v>
      </c>
      <c r="J46" s="215" t="s">
        <v>2713</v>
      </c>
      <c r="K46" s="215" t="s">
        <v>2737</v>
      </c>
      <c r="L46" s="216">
        <v>46208.333333333336</v>
      </c>
      <c r="M46" s="216">
        <v>46208.334027777775</v>
      </c>
      <c r="N46" s="215" t="s">
        <v>2073</v>
      </c>
      <c r="O46" s="203" t="s">
        <v>62</v>
      </c>
      <c r="Q46" s="203" t="s">
        <v>62</v>
      </c>
      <c r="S46" s="203" t="s">
        <v>62</v>
      </c>
      <c r="U46" s="203" t="s">
        <v>62</v>
      </c>
      <c r="W46" s="203" t="s">
        <v>62</v>
      </c>
      <c r="Y46" s="203" t="s">
        <v>62</v>
      </c>
      <c r="AA46" s="203" t="s">
        <v>62</v>
      </c>
      <c r="AB46" s="202"/>
      <c r="AC46" s="203" t="s">
        <v>62</v>
      </c>
      <c r="AD46" s="202"/>
      <c r="AE46" s="203" t="s">
        <v>62</v>
      </c>
      <c r="AF46" s="205" t="str">
        <f t="shared" si="1"/>
        <v>NA</v>
      </c>
      <c r="AG46" s="217" t="str">
        <f t="shared" si="0"/>
        <v>NÃO AVALIADO POR FALHA DE SINCRONISMO</v>
      </c>
      <c r="AI46" s="218" t="str">
        <f t="shared" si="2"/>
        <v>SÃO PAULO</v>
      </c>
      <c r="AJ46" s="218" t="s">
        <v>6</v>
      </c>
    </row>
    <row r="47" spans="1:36" s="204" customFormat="1" ht="30" customHeight="1">
      <c r="A47" s="215" t="s">
        <v>198</v>
      </c>
      <c r="B47" s="215">
        <v>2618416272</v>
      </c>
      <c r="C47" s="215" t="s">
        <v>141</v>
      </c>
      <c r="D47" s="215" t="s">
        <v>68</v>
      </c>
      <c r="E47" s="215" t="s">
        <v>5</v>
      </c>
      <c r="F47" s="215" t="s">
        <v>218</v>
      </c>
      <c r="G47" s="215">
        <v>99</v>
      </c>
      <c r="H47" s="215" t="s">
        <v>200</v>
      </c>
      <c r="I47" s="215" t="s">
        <v>219</v>
      </c>
      <c r="J47" s="215" t="s">
        <v>2713</v>
      </c>
      <c r="K47" s="219" t="s">
        <v>2755</v>
      </c>
      <c r="L47" s="216">
        <v>46208.333333333336</v>
      </c>
      <c r="M47" s="216">
        <v>46208.334027777775</v>
      </c>
      <c r="N47" s="215" t="s">
        <v>2073</v>
      </c>
      <c r="O47" s="203" t="s">
        <v>62</v>
      </c>
      <c r="Q47" s="203" t="s">
        <v>62</v>
      </c>
      <c r="S47" s="203" t="s">
        <v>62</v>
      </c>
      <c r="U47" s="203" t="s">
        <v>62</v>
      </c>
      <c r="W47" s="203" t="s">
        <v>62</v>
      </c>
      <c r="Y47" s="203" t="s">
        <v>62</v>
      </c>
      <c r="AA47" s="203" t="s">
        <v>62</v>
      </c>
      <c r="AB47" s="202"/>
      <c r="AC47" s="203" t="s">
        <v>62</v>
      </c>
      <c r="AD47" s="202"/>
      <c r="AE47" s="203" t="s">
        <v>62</v>
      </c>
      <c r="AF47" s="205" t="str">
        <f t="shared" si="1"/>
        <v>NA</v>
      </c>
      <c r="AG47" s="217" t="str">
        <f t="shared" si="0"/>
        <v>NÃO AVALIADO POR FALHA DE SINCRONISMO</v>
      </c>
      <c r="AI47" s="218" t="str">
        <f t="shared" si="2"/>
        <v>SÃO PAULO</v>
      </c>
      <c r="AJ47" s="218" t="s">
        <v>6</v>
      </c>
    </row>
    <row r="48" spans="1:36" s="204" customFormat="1" ht="30" customHeight="1">
      <c r="A48" s="215" t="s">
        <v>198</v>
      </c>
      <c r="B48" s="215">
        <v>2618451331</v>
      </c>
      <c r="C48" s="215" t="s">
        <v>142</v>
      </c>
      <c r="D48" s="215" t="s">
        <v>68</v>
      </c>
      <c r="E48" s="215" t="s">
        <v>5</v>
      </c>
      <c r="F48" s="215" t="s">
        <v>332</v>
      </c>
      <c r="G48" s="215">
        <v>308</v>
      </c>
      <c r="H48" s="215"/>
      <c r="I48" s="215" t="s">
        <v>333</v>
      </c>
      <c r="J48" s="215" t="s">
        <v>2718</v>
      </c>
      <c r="K48" s="219" t="s">
        <v>2756</v>
      </c>
      <c r="L48" s="216">
        <v>46208.291666666664</v>
      </c>
      <c r="M48" s="216">
        <v>46208.292361111111</v>
      </c>
      <c r="N48" s="215" t="s">
        <v>2073</v>
      </c>
      <c r="O48" s="203" t="s">
        <v>62</v>
      </c>
      <c r="Q48" s="203" t="s">
        <v>62</v>
      </c>
      <c r="S48" s="203" t="s">
        <v>62</v>
      </c>
      <c r="U48" s="203" t="s">
        <v>62</v>
      </c>
      <c r="W48" s="203" t="s">
        <v>62</v>
      </c>
      <c r="Y48" s="203" t="s">
        <v>62</v>
      </c>
      <c r="AA48" s="203" t="s">
        <v>62</v>
      </c>
      <c r="AB48" s="202"/>
      <c r="AC48" s="203" t="s">
        <v>62</v>
      </c>
      <c r="AD48" s="202"/>
      <c r="AE48" s="203" t="s">
        <v>62</v>
      </c>
      <c r="AF48" s="205" t="str">
        <f t="shared" si="1"/>
        <v>NA</v>
      </c>
      <c r="AG48" s="217" t="str">
        <f t="shared" si="0"/>
        <v>NÃO AVALIADO POR FALHA DE SINCRONISMO</v>
      </c>
      <c r="AI48" s="218" t="str">
        <f t="shared" si="2"/>
        <v>SÃO PAULO</v>
      </c>
      <c r="AJ48" s="218" t="s">
        <v>6</v>
      </c>
    </row>
    <row r="49" spans="1:37" s="204" customFormat="1" ht="30" customHeight="1">
      <c r="A49" s="215" t="s">
        <v>198</v>
      </c>
      <c r="B49" s="215">
        <v>2618451572</v>
      </c>
      <c r="C49" s="215" t="s">
        <v>142</v>
      </c>
      <c r="D49" s="215" t="s">
        <v>68</v>
      </c>
      <c r="E49" s="215" t="s">
        <v>5</v>
      </c>
      <c r="F49" s="215" t="s">
        <v>332</v>
      </c>
      <c r="G49" s="215">
        <v>290</v>
      </c>
      <c r="H49" s="215" t="s">
        <v>200</v>
      </c>
      <c r="I49" s="215" t="s">
        <v>333</v>
      </c>
      <c r="J49" s="215" t="s">
        <v>2718</v>
      </c>
      <c r="K49" s="219" t="s">
        <v>2757</v>
      </c>
      <c r="L49" s="216">
        <v>46208.333333333336</v>
      </c>
      <c r="M49" s="216">
        <v>46208.334027777775</v>
      </c>
      <c r="N49" s="215" t="s">
        <v>2073</v>
      </c>
      <c r="O49" s="203" t="s">
        <v>62</v>
      </c>
      <c r="Q49" s="203" t="s">
        <v>62</v>
      </c>
      <c r="S49" s="203" t="s">
        <v>62</v>
      </c>
      <c r="U49" s="203" t="s">
        <v>62</v>
      </c>
      <c r="W49" s="203" t="s">
        <v>62</v>
      </c>
      <c r="Y49" s="203" t="s">
        <v>62</v>
      </c>
      <c r="AA49" s="203" t="s">
        <v>62</v>
      </c>
      <c r="AB49" s="202"/>
      <c r="AC49" s="203" t="s">
        <v>62</v>
      </c>
      <c r="AD49" s="202"/>
      <c r="AE49" s="203" t="s">
        <v>62</v>
      </c>
      <c r="AF49" s="205" t="str">
        <f t="shared" si="1"/>
        <v>NA</v>
      </c>
      <c r="AG49" s="217" t="str">
        <f t="shared" si="0"/>
        <v>NÃO AVALIADO POR FALHA DE SINCRONISMO</v>
      </c>
      <c r="AI49" s="218" t="str">
        <f t="shared" si="2"/>
        <v>SÃO PAULO</v>
      </c>
      <c r="AJ49" s="218" t="s">
        <v>6</v>
      </c>
    </row>
    <row r="50" spans="1:37" s="204" customFormat="1" ht="30" customHeight="1">
      <c r="A50" s="215" t="s">
        <v>198</v>
      </c>
      <c r="B50" s="215">
        <v>2617781781</v>
      </c>
      <c r="C50" s="215" t="s">
        <v>141</v>
      </c>
      <c r="D50" s="215" t="s">
        <v>68</v>
      </c>
      <c r="E50" s="215" t="s">
        <v>5</v>
      </c>
      <c r="F50" s="215" t="s">
        <v>2758</v>
      </c>
      <c r="G50" s="215">
        <v>259</v>
      </c>
      <c r="H50" s="215"/>
      <c r="I50" s="215" t="s">
        <v>1471</v>
      </c>
      <c r="J50" s="215" t="s">
        <v>2713</v>
      </c>
      <c r="K50" s="219" t="s">
        <v>2759</v>
      </c>
      <c r="L50" s="216">
        <v>46208.333333333336</v>
      </c>
      <c r="M50" s="216">
        <v>46208.334027777775</v>
      </c>
      <c r="N50" s="215" t="s">
        <v>2738</v>
      </c>
      <c r="O50" s="203" t="s">
        <v>62</v>
      </c>
      <c r="Q50" s="203" t="s">
        <v>62</v>
      </c>
      <c r="S50" s="203" t="s">
        <v>62</v>
      </c>
      <c r="U50" s="203" t="s">
        <v>62</v>
      </c>
      <c r="W50" s="203" t="s">
        <v>62</v>
      </c>
      <c r="Y50" s="203" t="s">
        <v>62</v>
      </c>
      <c r="AA50" s="203" t="s">
        <v>62</v>
      </c>
      <c r="AB50" s="202"/>
      <c r="AC50" s="203" t="s">
        <v>62</v>
      </c>
      <c r="AD50" s="202"/>
      <c r="AE50" s="203" t="s">
        <v>62</v>
      </c>
      <c r="AF50" s="205" t="str">
        <f t="shared" si="1"/>
        <v>NA</v>
      </c>
      <c r="AG50" s="217" t="str">
        <f t="shared" si="0"/>
        <v>NÃO AVALIADO POR FALHA DE SINCRONISMO</v>
      </c>
      <c r="AI50" s="218" t="str">
        <f t="shared" si="2"/>
        <v>SÃO PAULO</v>
      </c>
      <c r="AJ50" s="218" t="s">
        <v>6</v>
      </c>
    </row>
    <row r="51" spans="1:37" s="204" customFormat="1" ht="30" customHeight="1">
      <c r="A51" s="215" t="s">
        <v>198</v>
      </c>
      <c r="B51" s="215">
        <v>2618451734</v>
      </c>
      <c r="C51" s="215" t="s">
        <v>142</v>
      </c>
      <c r="D51" s="215" t="s">
        <v>68</v>
      </c>
      <c r="E51" s="215" t="s">
        <v>5</v>
      </c>
      <c r="F51" s="215" t="s">
        <v>332</v>
      </c>
      <c r="G51" s="215">
        <v>284</v>
      </c>
      <c r="H51" s="215" t="s">
        <v>200</v>
      </c>
      <c r="I51" s="215" t="s">
        <v>333</v>
      </c>
      <c r="J51" s="215" t="s">
        <v>2718</v>
      </c>
      <c r="K51" s="219" t="s">
        <v>2760</v>
      </c>
      <c r="L51" s="216">
        <v>46208.333333333336</v>
      </c>
      <c r="M51" s="216">
        <v>46208.334027777775</v>
      </c>
      <c r="N51" s="215" t="s">
        <v>2073</v>
      </c>
      <c r="O51" s="203" t="s">
        <v>62</v>
      </c>
      <c r="Q51" s="203" t="s">
        <v>62</v>
      </c>
      <c r="S51" s="203" t="s">
        <v>62</v>
      </c>
      <c r="U51" s="203" t="s">
        <v>62</v>
      </c>
      <c r="W51" s="203" t="s">
        <v>62</v>
      </c>
      <c r="Y51" s="203" t="s">
        <v>62</v>
      </c>
      <c r="AA51" s="203" t="s">
        <v>62</v>
      </c>
      <c r="AB51" s="202"/>
      <c r="AC51" s="203" t="s">
        <v>62</v>
      </c>
      <c r="AD51" s="202"/>
      <c r="AE51" s="203" t="s">
        <v>62</v>
      </c>
      <c r="AF51" s="205" t="str">
        <f t="shared" si="1"/>
        <v>NA</v>
      </c>
      <c r="AG51" s="217" t="str">
        <f t="shared" si="0"/>
        <v>NÃO AVALIADO POR FALHA DE SINCRONISMO</v>
      </c>
      <c r="AI51" s="218" t="str">
        <f t="shared" si="2"/>
        <v>SÃO PAULO</v>
      </c>
      <c r="AJ51" s="218" t="s">
        <v>6</v>
      </c>
    </row>
    <row r="52" spans="1:37" s="204" customFormat="1" ht="30" customHeight="1">
      <c r="A52" s="215" t="s">
        <v>198</v>
      </c>
      <c r="B52" s="215">
        <v>2618603424</v>
      </c>
      <c r="C52" s="215" t="s">
        <v>141</v>
      </c>
      <c r="D52" s="215" t="s">
        <v>68</v>
      </c>
      <c r="E52" s="215" t="s">
        <v>5</v>
      </c>
      <c r="F52" s="215" t="s">
        <v>1502</v>
      </c>
      <c r="G52" s="215">
        <v>2037</v>
      </c>
      <c r="H52" s="215" t="s">
        <v>226</v>
      </c>
      <c r="I52" s="215" t="s">
        <v>369</v>
      </c>
      <c r="J52" s="215" t="s">
        <v>2713</v>
      </c>
      <c r="K52" s="219" t="s">
        <v>2761</v>
      </c>
      <c r="L52" s="216">
        <v>46239.333333333336</v>
      </c>
      <c r="M52" s="216">
        <v>46239.334027777775</v>
      </c>
      <c r="N52" s="215" t="s">
        <v>2073</v>
      </c>
      <c r="O52" s="203" t="s">
        <v>62</v>
      </c>
      <c r="Q52" s="203" t="s">
        <v>62</v>
      </c>
      <c r="S52" s="203" t="s">
        <v>62</v>
      </c>
      <c r="U52" s="203" t="s">
        <v>62</v>
      </c>
      <c r="W52" s="203" t="s">
        <v>62</v>
      </c>
      <c r="Y52" s="203" t="s">
        <v>62</v>
      </c>
      <c r="AA52" s="203" t="s">
        <v>62</v>
      </c>
      <c r="AB52" s="202"/>
      <c r="AC52" s="203" t="s">
        <v>62</v>
      </c>
      <c r="AD52" s="202"/>
      <c r="AE52" s="203" t="s">
        <v>62</v>
      </c>
      <c r="AF52" s="205" t="str">
        <f t="shared" si="1"/>
        <v>NA</v>
      </c>
      <c r="AG52" s="217" t="str">
        <f t="shared" si="0"/>
        <v>NÃO AVALIADO POR FALHA DE SINCRONISMO</v>
      </c>
      <c r="AI52" s="218" t="str">
        <f t="shared" si="2"/>
        <v>SÃO PAULO</v>
      </c>
      <c r="AJ52" s="218" t="s">
        <v>6</v>
      </c>
    </row>
    <row r="53" spans="1:37" s="204" customFormat="1" ht="30" customHeight="1">
      <c r="A53" s="215" t="s">
        <v>198</v>
      </c>
      <c r="B53" s="215">
        <v>2618415985</v>
      </c>
      <c r="C53" s="215" t="s">
        <v>141</v>
      </c>
      <c r="D53" s="215" t="s">
        <v>68</v>
      </c>
      <c r="E53" s="215" t="s">
        <v>5</v>
      </c>
      <c r="F53" s="215" t="s">
        <v>1484</v>
      </c>
      <c r="G53" s="215">
        <v>110</v>
      </c>
      <c r="H53" s="215" t="s">
        <v>318</v>
      </c>
      <c r="I53" s="215" t="s">
        <v>1485</v>
      </c>
      <c r="J53" s="215" t="s">
        <v>2713</v>
      </c>
      <c r="K53" s="219" t="s">
        <v>2732</v>
      </c>
      <c r="L53" s="216">
        <v>46239.291666666664</v>
      </c>
      <c r="M53" s="216">
        <v>46239.292361111111</v>
      </c>
      <c r="N53" s="215" t="s">
        <v>2073</v>
      </c>
      <c r="O53" s="203" t="s">
        <v>62</v>
      </c>
      <c r="Q53" s="203" t="s">
        <v>62</v>
      </c>
      <c r="S53" s="203" t="s">
        <v>62</v>
      </c>
      <c r="U53" s="203" t="s">
        <v>62</v>
      </c>
      <c r="W53" s="203" t="s">
        <v>62</v>
      </c>
      <c r="Y53" s="203" t="s">
        <v>62</v>
      </c>
      <c r="AA53" s="203" t="s">
        <v>62</v>
      </c>
      <c r="AC53" s="203" t="s">
        <v>62</v>
      </c>
      <c r="AE53" s="203" t="s">
        <v>62</v>
      </c>
      <c r="AF53" s="205" t="str">
        <f t="shared" si="1"/>
        <v>NA</v>
      </c>
      <c r="AG53" s="217" t="str">
        <f t="shared" si="0"/>
        <v>NÃO AVALIADO POR FALHA DE SINCRONISMO</v>
      </c>
      <c r="AI53" s="218" t="str">
        <f t="shared" si="2"/>
        <v>SÃO PAULO</v>
      </c>
      <c r="AJ53" s="218" t="s">
        <v>6</v>
      </c>
    </row>
    <row r="54" spans="1:37" s="271" customFormat="1" ht="30" customHeight="1">
      <c r="A54" s="228" t="s">
        <v>198</v>
      </c>
      <c r="B54" s="228">
        <v>2617563355</v>
      </c>
      <c r="C54" s="228" t="s">
        <v>142</v>
      </c>
      <c r="D54" s="228" t="s">
        <v>68</v>
      </c>
      <c r="E54" s="228" t="s">
        <v>5</v>
      </c>
      <c r="F54" s="228" t="s">
        <v>199</v>
      </c>
      <c r="G54" s="228">
        <v>465</v>
      </c>
      <c r="H54" s="228" t="s">
        <v>200</v>
      </c>
      <c r="I54" s="228" t="s">
        <v>201</v>
      </c>
      <c r="J54" s="228" t="s">
        <v>2718</v>
      </c>
      <c r="K54" s="229" t="s">
        <v>2762</v>
      </c>
      <c r="L54" s="230">
        <v>46239.333333333336</v>
      </c>
      <c r="M54" s="230">
        <v>46239.334027777775</v>
      </c>
      <c r="N54" s="228" t="s">
        <v>2073</v>
      </c>
      <c r="O54" s="270" t="s">
        <v>62</v>
      </c>
      <c r="Q54" s="270" t="s">
        <v>62</v>
      </c>
      <c r="S54" s="270" t="s">
        <v>62</v>
      </c>
      <c r="U54" s="270" t="s">
        <v>62</v>
      </c>
      <c r="W54" s="270" t="s">
        <v>62</v>
      </c>
      <c r="Y54" s="270" t="s">
        <v>62</v>
      </c>
      <c r="AA54" s="270" t="s">
        <v>62</v>
      </c>
      <c r="AB54" s="272"/>
      <c r="AC54" s="270" t="s">
        <v>62</v>
      </c>
      <c r="AD54" s="272"/>
      <c r="AE54" s="270" t="s">
        <v>62</v>
      </c>
      <c r="AF54" s="273" t="str">
        <f t="shared" si="1"/>
        <v>NA</v>
      </c>
      <c r="AG54" s="274" t="str">
        <f t="shared" si="0"/>
        <v>NÃO AVALIADO POR FALHA DE SINCRONISMO</v>
      </c>
      <c r="AI54" s="275" t="str">
        <f t="shared" si="2"/>
        <v>SÃO PAULO</v>
      </c>
      <c r="AJ54" s="275" t="s">
        <v>6</v>
      </c>
    </row>
    <row r="55" spans="1:37" s="204" customFormat="1" ht="30" customHeight="1">
      <c r="A55" s="215" t="s">
        <v>198</v>
      </c>
      <c r="B55" s="215">
        <v>2619333834</v>
      </c>
      <c r="C55" s="215" t="s">
        <v>142</v>
      </c>
      <c r="D55" s="215" t="s">
        <v>68</v>
      </c>
      <c r="E55" s="215" t="s">
        <v>5</v>
      </c>
      <c r="F55" s="215" t="s">
        <v>1356</v>
      </c>
      <c r="G55" s="215">
        <v>199</v>
      </c>
      <c r="H55" s="215"/>
      <c r="I55" s="215" t="s">
        <v>280</v>
      </c>
      <c r="J55" s="215" t="s">
        <v>2718</v>
      </c>
      <c r="K55" s="219" t="s">
        <v>2721</v>
      </c>
      <c r="L55" s="216">
        <v>46331.291666666664</v>
      </c>
      <c r="M55" s="216">
        <v>46331.292361111111</v>
      </c>
      <c r="N55" s="215" t="s">
        <v>2715</v>
      </c>
      <c r="O55" s="203" t="s">
        <v>62</v>
      </c>
      <c r="Q55" s="203" t="s">
        <v>62</v>
      </c>
      <c r="S55" s="203" t="s">
        <v>62</v>
      </c>
      <c r="U55" s="203" t="s">
        <v>62</v>
      </c>
      <c r="W55" s="203" t="s">
        <v>62</v>
      </c>
      <c r="Y55" s="203" t="s">
        <v>62</v>
      </c>
      <c r="AA55" s="203" t="s">
        <v>62</v>
      </c>
      <c r="AB55" s="202"/>
      <c r="AC55" s="203" t="s">
        <v>62</v>
      </c>
      <c r="AD55" s="202"/>
      <c r="AE55" s="203" t="s">
        <v>62</v>
      </c>
      <c r="AF55" s="205" t="str">
        <f t="shared" ref="AF55:AF78" si="3">IF(AND(O55="",Q55="",S55="",U55="",W55="",Y55="",AA55="",AC55=""),"",
IF(OR(    AND(O55&lt;&gt;"NA",O55&lt;&gt;"C",O55&lt;&gt;"NC",O55&lt;&gt;"SF",O55&lt;&gt;""),
    AND(Q55&lt;&gt;"NA",Q55&lt;&gt;"C",Q55&lt;&gt;"NC",Q55&lt;&gt;"SF",Q55&lt;&gt;""),
    AND(S55&lt;&gt;"NA",S55&lt;&gt;"C",S55&lt;&gt;"NC",S55&lt;&gt;"SF",S55&lt;&gt;""),
    AND(U55&lt;&gt;"NA",U55&lt;&gt;"C",U55&lt;&gt;"NC",U55&lt;&gt;"SF",U55&lt;&gt;""),
    AND(W55&lt;&gt;"NA",W55&lt;&gt;"C",W55&lt;&gt;"NC",W55&lt;&gt;"SF",W55&lt;&gt;""),
    AND(Y55&lt;&gt;"NA",Y55&lt;&gt;"C",Y55&lt;&gt;"NC",Y55&lt;&gt;"SF",Y55&lt;&gt;""),
    AND(AA55&lt;&gt;"NA",AA55&lt;&gt;"C",AA55&lt;&gt;"NC",AA55&lt;&gt;"SF",AA55&lt;&gt;""),
    AND(AC55&lt;&gt;"NA",AC55&lt;&gt;"C",AC55&lt;&gt;"NC",AC55&lt;&gt;"SF",AC55&lt;&gt;"")
),"FALSO",
IF(AND(O55="NA",Q55="NA",S55="NA",U55="NA",W55="NA",Y55="NA",AA55="NA",AC55="NA"),"NA",
IF(OR(O55="NC",Q55="NC",S55="NC",U55="NC",W55="NC",Y55="NC",AA55="NC",AC55="NC",
       O55="SF",Q55="SF",S55="SF",U55="SF",W55="SF",Y55="SF",AA55="SF",AC55="SF"),"NC",
IF(SUM(IF(O55="C",1,0),IF(Q55="C",1,0),IF(S55="C",1,0),IF(U55="C",1,0),IF(W55="C",1,0),IF(Y55="C",1,0),IF(AA55="C",1,0),IF(AC55="C",1,0))=1,"C","C")))))</f>
        <v>NA</v>
      </c>
      <c r="AG55" s="217" t="str">
        <f t="shared" ref="AG55:AG77" si="4">IF(AND(AE55="C",AF55="C"),"UTILIZOU O PDA CORRETAMENTE",IF(AND(AE55="C",AF55="NC"),"UTILIZOU O PDA CORRETAMENTE. NÃO HÁ FOTOS DE TODAS AS ETAPAS",IF(AND(AE55="NC",AF55="NC"),"NÃO UTILIZOU O PDA",IF(AND(AE55="NA",AF55="NA"),"NÃO AVALIADO POR FALHA DE SINCRONISMO"))))</f>
        <v>NÃO AVALIADO POR FALHA DE SINCRONISMO</v>
      </c>
      <c r="AI55" s="218" t="str">
        <f t="shared" ref="AI55:AI67" si="5">E55</f>
        <v>SÃO PAULO</v>
      </c>
      <c r="AJ55" s="218" t="s">
        <v>6</v>
      </c>
    </row>
    <row r="56" spans="1:37" s="204" customFormat="1" ht="30" customHeight="1">
      <c r="A56" s="215" t="s">
        <v>198</v>
      </c>
      <c r="B56" s="215">
        <v>2619464928</v>
      </c>
      <c r="C56" s="215" t="s">
        <v>142</v>
      </c>
      <c r="D56" s="215" t="s">
        <v>68</v>
      </c>
      <c r="E56" s="215" t="s">
        <v>5</v>
      </c>
      <c r="F56" s="215" t="s">
        <v>2763</v>
      </c>
      <c r="G56" s="215">
        <v>48</v>
      </c>
      <c r="H56" s="215" t="s">
        <v>200</v>
      </c>
      <c r="I56" s="215" t="s">
        <v>343</v>
      </c>
      <c r="J56" s="215" t="s">
        <v>2718</v>
      </c>
      <c r="K56" s="219" t="s">
        <v>2764</v>
      </c>
      <c r="L56" s="216">
        <v>46331.25</v>
      </c>
      <c r="M56" s="216">
        <v>46331.250694444447</v>
      </c>
      <c r="N56" s="215" t="s">
        <v>2738</v>
      </c>
      <c r="O56" s="203" t="s">
        <v>62</v>
      </c>
      <c r="Q56" s="203" t="s">
        <v>62</v>
      </c>
      <c r="S56" s="203" t="s">
        <v>62</v>
      </c>
      <c r="U56" s="203" t="s">
        <v>62</v>
      </c>
      <c r="W56" s="203" t="s">
        <v>62</v>
      </c>
      <c r="Y56" s="203" t="s">
        <v>62</v>
      </c>
      <c r="AA56" s="203" t="s">
        <v>62</v>
      </c>
      <c r="AB56" s="202"/>
      <c r="AC56" s="203" t="s">
        <v>62</v>
      </c>
      <c r="AD56" s="202"/>
      <c r="AE56" s="203" t="s">
        <v>62</v>
      </c>
      <c r="AF56" s="205" t="str">
        <f t="shared" si="3"/>
        <v>NA</v>
      </c>
      <c r="AG56" s="217" t="str">
        <f t="shared" si="4"/>
        <v>NÃO AVALIADO POR FALHA DE SINCRONISMO</v>
      </c>
      <c r="AI56" s="218" t="str">
        <f t="shared" si="5"/>
        <v>SÃO PAULO</v>
      </c>
      <c r="AJ56" s="218" t="s">
        <v>6</v>
      </c>
    </row>
    <row r="57" spans="1:37" s="204" customFormat="1" ht="30" customHeight="1">
      <c r="A57" s="215" t="s">
        <v>198</v>
      </c>
      <c r="B57" s="215">
        <v>2619464432</v>
      </c>
      <c r="C57" s="215" t="s">
        <v>140</v>
      </c>
      <c r="D57" s="215" t="s">
        <v>68</v>
      </c>
      <c r="E57" s="215" t="s">
        <v>5</v>
      </c>
      <c r="F57" s="215" t="s">
        <v>2765</v>
      </c>
      <c r="G57" s="215">
        <v>226</v>
      </c>
      <c r="H57" s="215"/>
      <c r="I57" s="215" t="s">
        <v>1329</v>
      </c>
      <c r="J57" s="215" t="s">
        <v>2718</v>
      </c>
      <c r="K57" s="219" t="s">
        <v>2766</v>
      </c>
      <c r="L57" s="216">
        <v>46331.291666666664</v>
      </c>
      <c r="M57" s="216">
        <v>46331.292361111111</v>
      </c>
      <c r="N57" s="215" t="s">
        <v>2715</v>
      </c>
      <c r="O57" s="203" t="s">
        <v>62</v>
      </c>
      <c r="Q57" s="203" t="s">
        <v>62</v>
      </c>
      <c r="S57" s="203" t="s">
        <v>62</v>
      </c>
      <c r="U57" s="203" t="s">
        <v>62</v>
      </c>
      <c r="W57" s="203" t="s">
        <v>62</v>
      </c>
      <c r="Y57" s="203" t="s">
        <v>62</v>
      </c>
      <c r="AA57" s="203" t="s">
        <v>62</v>
      </c>
      <c r="AB57" s="202"/>
      <c r="AC57" s="203" t="s">
        <v>62</v>
      </c>
      <c r="AD57" s="202"/>
      <c r="AE57" s="203" t="s">
        <v>62</v>
      </c>
      <c r="AF57" s="205" t="str">
        <f t="shared" si="3"/>
        <v>NA</v>
      </c>
      <c r="AG57" s="217" t="str">
        <f t="shared" si="4"/>
        <v>NÃO AVALIADO POR FALHA DE SINCRONISMO</v>
      </c>
      <c r="AI57" s="218" t="str">
        <f t="shared" si="5"/>
        <v>SÃO PAULO</v>
      </c>
      <c r="AJ57" s="218" t="s">
        <v>6</v>
      </c>
    </row>
    <row r="58" spans="1:37" s="204" customFormat="1" ht="30" customHeight="1">
      <c r="A58" s="215" t="s">
        <v>198</v>
      </c>
      <c r="B58" s="215">
        <v>2613850950</v>
      </c>
      <c r="C58" s="215" t="s">
        <v>140</v>
      </c>
      <c r="D58" s="215" t="s">
        <v>68</v>
      </c>
      <c r="E58" s="215" t="s">
        <v>5</v>
      </c>
      <c r="F58" s="215" t="s">
        <v>585</v>
      </c>
      <c r="G58" s="215">
        <v>13</v>
      </c>
      <c r="H58" s="215" t="s">
        <v>226</v>
      </c>
      <c r="I58" s="215" t="s">
        <v>215</v>
      </c>
      <c r="J58" s="215" t="s">
        <v>2767</v>
      </c>
      <c r="K58" s="215" t="s">
        <v>2768</v>
      </c>
      <c r="L58" s="216">
        <v>46331.392361111109</v>
      </c>
      <c r="M58" s="216">
        <v>46331.399305555555</v>
      </c>
      <c r="N58" s="215" t="s">
        <v>212</v>
      </c>
      <c r="O58" s="203" t="s">
        <v>62</v>
      </c>
      <c r="Q58" s="203" t="s">
        <v>62</v>
      </c>
      <c r="S58" s="203" t="s">
        <v>62</v>
      </c>
      <c r="U58" s="203" t="s">
        <v>62</v>
      </c>
      <c r="W58" s="203" t="s">
        <v>62</v>
      </c>
      <c r="Y58" s="203" t="s">
        <v>62</v>
      </c>
      <c r="AA58" s="203" t="s">
        <v>62</v>
      </c>
      <c r="AB58" s="202"/>
      <c r="AC58" s="203" t="s">
        <v>62</v>
      </c>
      <c r="AD58" s="202"/>
      <c r="AE58" s="203" t="s">
        <v>62</v>
      </c>
      <c r="AF58" s="205" t="str">
        <f t="shared" si="3"/>
        <v>NA</v>
      </c>
      <c r="AG58" s="217" t="str">
        <f t="shared" si="4"/>
        <v>NÃO AVALIADO POR FALHA DE SINCRONISMO</v>
      </c>
      <c r="AI58" s="218" t="str">
        <f t="shared" si="5"/>
        <v>SÃO PAULO</v>
      </c>
      <c r="AJ58" s="218" t="s">
        <v>6</v>
      </c>
      <c r="AK58" s="202"/>
    </row>
    <row r="59" spans="1:37" s="204" customFormat="1" ht="30" customHeight="1">
      <c r="A59" s="215" t="s">
        <v>198</v>
      </c>
      <c r="B59" s="215">
        <v>2617114355</v>
      </c>
      <c r="C59" s="215" t="s">
        <v>141</v>
      </c>
      <c r="D59" s="215" t="s">
        <v>68</v>
      </c>
      <c r="E59" s="215" t="s">
        <v>5</v>
      </c>
      <c r="F59" s="215" t="s">
        <v>2769</v>
      </c>
      <c r="G59" s="215">
        <v>35</v>
      </c>
      <c r="H59" s="215"/>
      <c r="I59" s="215" t="s">
        <v>427</v>
      </c>
      <c r="J59" s="215" t="s">
        <v>2713</v>
      </c>
      <c r="K59" s="219" t="s">
        <v>2770</v>
      </c>
      <c r="L59" s="216">
        <v>46331.333333333336</v>
      </c>
      <c r="M59" s="216">
        <v>46331.334027777775</v>
      </c>
      <c r="N59" s="215" t="s">
        <v>2715</v>
      </c>
      <c r="O59" s="215" t="s">
        <v>62</v>
      </c>
      <c r="Q59" s="203" t="s">
        <v>62</v>
      </c>
      <c r="S59" s="203" t="s">
        <v>62</v>
      </c>
      <c r="U59" s="203" t="s">
        <v>62</v>
      </c>
      <c r="W59" s="203" t="s">
        <v>62</v>
      </c>
      <c r="Y59" s="203" t="s">
        <v>62</v>
      </c>
      <c r="AA59" s="203" t="s">
        <v>62</v>
      </c>
      <c r="AB59" s="202"/>
      <c r="AC59" s="203" t="s">
        <v>62</v>
      </c>
      <c r="AD59" s="202"/>
      <c r="AE59" s="203" t="s">
        <v>62</v>
      </c>
      <c r="AF59" s="205" t="str">
        <f t="shared" si="3"/>
        <v>NA</v>
      </c>
      <c r="AG59" s="217" t="str">
        <f t="shared" si="4"/>
        <v>NÃO AVALIADO POR FALHA DE SINCRONISMO</v>
      </c>
      <c r="AI59" s="218" t="str">
        <f t="shared" si="5"/>
        <v>SÃO PAULO</v>
      </c>
      <c r="AJ59" s="218" t="s">
        <v>6</v>
      </c>
      <c r="AK59" s="202"/>
    </row>
    <row r="60" spans="1:37" s="204" customFormat="1" ht="30" customHeight="1">
      <c r="A60" s="215" t="s">
        <v>198</v>
      </c>
      <c r="B60" s="215">
        <v>2616978007</v>
      </c>
      <c r="C60" s="215" t="s">
        <v>141</v>
      </c>
      <c r="D60" s="215" t="s">
        <v>68</v>
      </c>
      <c r="E60" s="215" t="s">
        <v>5</v>
      </c>
      <c r="F60" s="215" t="s">
        <v>2771</v>
      </c>
      <c r="G60" s="215">
        <v>122</v>
      </c>
      <c r="H60" s="215" t="s">
        <v>200</v>
      </c>
      <c r="I60" s="215" t="s">
        <v>402</v>
      </c>
      <c r="J60" s="215" t="s">
        <v>2713</v>
      </c>
      <c r="K60" s="219" t="s">
        <v>2751</v>
      </c>
      <c r="L60" s="216">
        <v>46331.333333333336</v>
      </c>
      <c r="M60" s="216">
        <v>46331.334027777775</v>
      </c>
      <c r="N60" s="215" t="s">
        <v>2715</v>
      </c>
      <c r="O60" s="215" t="s">
        <v>62</v>
      </c>
      <c r="Q60" s="203" t="s">
        <v>62</v>
      </c>
      <c r="S60" s="203" t="s">
        <v>62</v>
      </c>
      <c r="U60" s="203" t="s">
        <v>62</v>
      </c>
      <c r="W60" s="203" t="s">
        <v>62</v>
      </c>
      <c r="Y60" s="203" t="s">
        <v>62</v>
      </c>
      <c r="AA60" s="203" t="s">
        <v>62</v>
      </c>
      <c r="AB60" s="202"/>
      <c r="AC60" s="203" t="s">
        <v>62</v>
      </c>
      <c r="AD60" s="202"/>
      <c r="AE60" s="203" t="s">
        <v>62</v>
      </c>
      <c r="AF60" s="205" t="str">
        <f t="shared" si="3"/>
        <v>NA</v>
      </c>
      <c r="AG60" s="217" t="str">
        <f t="shared" si="4"/>
        <v>NÃO AVALIADO POR FALHA DE SINCRONISMO</v>
      </c>
      <c r="AI60" s="218" t="str">
        <f t="shared" si="5"/>
        <v>SÃO PAULO</v>
      </c>
      <c r="AJ60" s="218" t="s">
        <v>6</v>
      </c>
      <c r="AK60" s="202"/>
    </row>
    <row r="61" spans="1:37" s="204" customFormat="1" ht="30" customHeight="1">
      <c r="A61" s="215" t="s">
        <v>198</v>
      </c>
      <c r="B61" s="215">
        <v>2618427777</v>
      </c>
      <c r="C61" s="215" t="s">
        <v>141</v>
      </c>
      <c r="D61" s="215" t="s">
        <v>68</v>
      </c>
      <c r="E61" s="215" t="s">
        <v>5</v>
      </c>
      <c r="F61" s="215" t="s">
        <v>1497</v>
      </c>
      <c r="G61" s="215">
        <v>908</v>
      </c>
      <c r="H61" s="215"/>
      <c r="I61" s="215" t="s">
        <v>246</v>
      </c>
      <c r="J61" s="215" t="s">
        <v>2713</v>
      </c>
      <c r="K61" s="219" t="s">
        <v>2741</v>
      </c>
      <c r="L61" s="216">
        <v>46331.333333333336</v>
      </c>
      <c r="M61" s="216">
        <v>46331.334027777775</v>
      </c>
      <c r="N61" s="215" t="s">
        <v>2715</v>
      </c>
      <c r="O61" s="215" t="s">
        <v>62</v>
      </c>
      <c r="Q61" s="203" t="s">
        <v>62</v>
      </c>
      <c r="S61" s="203" t="s">
        <v>62</v>
      </c>
      <c r="U61" s="203" t="s">
        <v>62</v>
      </c>
      <c r="W61" s="203" t="s">
        <v>62</v>
      </c>
      <c r="Y61" s="203" t="s">
        <v>62</v>
      </c>
      <c r="AA61" s="203" t="s">
        <v>62</v>
      </c>
      <c r="AB61" s="202"/>
      <c r="AC61" s="203" t="s">
        <v>62</v>
      </c>
      <c r="AD61" s="202"/>
      <c r="AE61" s="203" t="s">
        <v>62</v>
      </c>
      <c r="AF61" s="205" t="str">
        <f t="shared" si="3"/>
        <v>NA</v>
      </c>
      <c r="AG61" s="217" t="str">
        <f t="shared" si="4"/>
        <v>NÃO AVALIADO POR FALHA DE SINCRONISMO</v>
      </c>
      <c r="AI61" s="218" t="str">
        <f t="shared" si="5"/>
        <v>SÃO PAULO</v>
      </c>
      <c r="AJ61" s="218" t="s">
        <v>6</v>
      </c>
      <c r="AK61" s="202"/>
    </row>
    <row r="62" spans="1:37" s="204" customFormat="1" ht="30" customHeight="1">
      <c r="A62" s="215" t="s">
        <v>198</v>
      </c>
      <c r="B62" s="215">
        <v>2618877190</v>
      </c>
      <c r="C62" s="215" t="s">
        <v>142</v>
      </c>
      <c r="D62" s="215" t="s">
        <v>68</v>
      </c>
      <c r="E62" s="215" t="s">
        <v>5</v>
      </c>
      <c r="F62" s="215" t="s">
        <v>332</v>
      </c>
      <c r="G62" s="215">
        <v>180</v>
      </c>
      <c r="H62" s="215"/>
      <c r="I62" s="215" t="s">
        <v>333</v>
      </c>
      <c r="J62" s="215" t="s">
        <v>2718</v>
      </c>
      <c r="K62" s="219" t="s">
        <v>2772</v>
      </c>
      <c r="L62" s="216">
        <v>46331.333333333336</v>
      </c>
      <c r="M62" s="216">
        <v>46331.334027777775</v>
      </c>
      <c r="N62" s="215" t="s">
        <v>2715</v>
      </c>
      <c r="O62" s="215" t="s">
        <v>62</v>
      </c>
      <c r="Q62" s="203" t="s">
        <v>62</v>
      </c>
      <c r="S62" s="203" t="s">
        <v>62</v>
      </c>
      <c r="U62" s="203" t="s">
        <v>62</v>
      </c>
      <c r="W62" s="203" t="s">
        <v>62</v>
      </c>
      <c r="Y62" s="203" t="s">
        <v>62</v>
      </c>
      <c r="AA62" s="203" t="s">
        <v>62</v>
      </c>
      <c r="AB62" s="202"/>
      <c r="AC62" s="203" t="s">
        <v>62</v>
      </c>
      <c r="AD62" s="202"/>
      <c r="AE62" s="203" t="s">
        <v>62</v>
      </c>
      <c r="AF62" s="205" t="str">
        <f t="shared" si="3"/>
        <v>NA</v>
      </c>
      <c r="AG62" s="217" t="str">
        <f t="shared" si="4"/>
        <v>NÃO AVALIADO POR FALHA DE SINCRONISMO</v>
      </c>
      <c r="AI62" s="218" t="str">
        <f t="shared" si="5"/>
        <v>SÃO PAULO</v>
      </c>
      <c r="AJ62" s="218" t="s">
        <v>6</v>
      </c>
      <c r="AK62" s="202"/>
    </row>
    <row r="63" spans="1:37" s="204" customFormat="1" ht="30" customHeight="1">
      <c r="A63" s="215" t="s">
        <v>198</v>
      </c>
      <c r="B63" s="215">
        <v>2618630086</v>
      </c>
      <c r="C63" s="215" t="s">
        <v>142</v>
      </c>
      <c r="D63" s="215" t="s">
        <v>68</v>
      </c>
      <c r="E63" s="215" t="s">
        <v>5</v>
      </c>
      <c r="F63" s="215" t="s">
        <v>332</v>
      </c>
      <c r="G63" s="215">
        <v>272</v>
      </c>
      <c r="H63" s="215"/>
      <c r="I63" s="215" t="s">
        <v>333</v>
      </c>
      <c r="J63" s="215" t="s">
        <v>2718</v>
      </c>
      <c r="K63" s="219" t="s">
        <v>2772</v>
      </c>
      <c r="L63" s="216">
        <v>46331.333333333336</v>
      </c>
      <c r="M63" s="216">
        <v>46331.334027777775</v>
      </c>
      <c r="N63" s="215" t="s">
        <v>2715</v>
      </c>
      <c r="O63" s="215" t="s">
        <v>62</v>
      </c>
      <c r="Q63" s="203" t="s">
        <v>62</v>
      </c>
      <c r="S63" s="203" t="s">
        <v>62</v>
      </c>
      <c r="U63" s="203" t="s">
        <v>62</v>
      </c>
      <c r="W63" s="203" t="s">
        <v>62</v>
      </c>
      <c r="Y63" s="203" t="s">
        <v>62</v>
      </c>
      <c r="AA63" s="203" t="s">
        <v>62</v>
      </c>
      <c r="AB63" s="202"/>
      <c r="AC63" s="203" t="s">
        <v>62</v>
      </c>
      <c r="AD63" s="202"/>
      <c r="AE63" s="203" t="s">
        <v>62</v>
      </c>
      <c r="AF63" s="205" t="str">
        <f t="shared" si="3"/>
        <v>NA</v>
      </c>
      <c r="AG63" s="217" t="str">
        <f t="shared" si="4"/>
        <v>NÃO AVALIADO POR FALHA DE SINCRONISMO</v>
      </c>
      <c r="AI63" s="218" t="str">
        <f t="shared" si="5"/>
        <v>SÃO PAULO</v>
      </c>
      <c r="AJ63" s="218" t="s">
        <v>6</v>
      </c>
      <c r="AK63" s="202"/>
    </row>
    <row r="64" spans="1:37" s="204" customFormat="1" ht="30" customHeight="1">
      <c r="A64" s="215" t="s">
        <v>198</v>
      </c>
      <c r="B64" s="215">
        <v>2617110084</v>
      </c>
      <c r="C64" s="215" t="s">
        <v>141</v>
      </c>
      <c r="D64" s="215" t="s">
        <v>68</v>
      </c>
      <c r="E64" s="215" t="s">
        <v>5</v>
      </c>
      <c r="F64" s="215" t="s">
        <v>2773</v>
      </c>
      <c r="G64" s="215">
        <v>655</v>
      </c>
      <c r="H64" s="215" t="s">
        <v>226</v>
      </c>
      <c r="I64" s="215" t="s">
        <v>402</v>
      </c>
      <c r="J64" s="215" t="s">
        <v>2713</v>
      </c>
      <c r="K64" s="219" t="s">
        <v>2754</v>
      </c>
      <c r="L64" s="216">
        <v>46331.333333333336</v>
      </c>
      <c r="M64" s="216">
        <v>46331.334027777775</v>
      </c>
      <c r="N64" s="215" t="s">
        <v>2715</v>
      </c>
      <c r="O64" s="215" t="s">
        <v>62</v>
      </c>
      <c r="Q64" s="203" t="s">
        <v>62</v>
      </c>
      <c r="S64" s="203" t="s">
        <v>62</v>
      </c>
      <c r="U64" s="203" t="s">
        <v>62</v>
      </c>
      <c r="W64" s="203" t="s">
        <v>62</v>
      </c>
      <c r="Y64" s="203" t="s">
        <v>62</v>
      </c>
      <c r="AA64" s="203" t="s">
        <v>62</v>
      </c>
      <c r="AB64" s="202"/>
      <c r="AC64" s="203" t="s">
        <v>62</v>
      </c>
      <c r="AD64" s="202"/>
      <c r="AE64" s="203" t="s">
        <v>62</v>
      </c>
      <c r="AF64" s="205" t="str">
        <f t="shared" si="3"/>
        <v>NA</v>
      </c>
      <c r="AG64" s="217" t="str">
        <f t="shared" si="4"/>
        <v>NÃO AVALIADO POR FALHA DE SINCRONISMO</v>
      </c>
      <c r="AI64" s="218" t="str">
        <f t="shared" si="5"/>
        <v>SÃO PAULO</v>
      </c>
      <c r="AJ64" s="218" t="s">
        <v>6</v>
      </c>
      <c r="AK64" s="202"/>
    </row>
    <row r="65" spans="1:37" s="204" customFormat="1" ht="30" customHeight="1">
      <c r="A65" s="215" t="s">
        <v>198</v>
      </c>
      <c r="B65" s="215">
        <v>2618454945</v>
      </c>
      <c r="C65" s="215" t="s">
        <v>142</v>
      </c>
      <c r="D65" s="215" t="s">
        <v>68</v>
      </c>
      <c r="E65" s="215" t="s">
        <v>5</v>
      </c>
      <c r="F65" s="215" t="s">
        <v>332</v>
      </c>
      <c r="G65" s="215">
        <v>278</v>
      </c>
      <c r="H65" s="215"/>
      <c r="I65" s="215" t="s">
        <v>333</v>
      </c>
      <c r="J65" s="215" t="s">
        <v>2718</v>
      </c>
      <c r="K65" s="219" t="s">
        <v>2728</v>
      </c>
      <c r="L65" s="216">
        <v>46331.333333333336</v>
      </c>
      <c r="M65" s="216">
        <v>46331.334027777775</v>
      </c>
      <c r="N65" s="215" t="s">
        <v>2715</v>
      </c>
      <c r="O65" s="215" t="s">
        <v>62</v>
      </c>
      <c r="Q65" s="203" t="s">
        <v>62</v>
      </c>
      <c r="S65" s="203" t="s">
        <v>62</v>
      </c>
      <c r="U65" s="203" t="s">
        <v>62</v>
      </c>
      <c r="W65" s="203" t="s">
        <v>62</v>
      </c>
      <c r="Y65" s="203" t="s">
        <v>62</v>
      </c>
      <c r="AA65" s="203" t="s">
        <v>62</v>
      </c>
      <c r="AB65" s="202"/>
      <c r="AC65" s="203" t="s">
        <v>62</v>
      </c>
      <c r="AD65" s="202"/>
      <c r="AE65" s="203" t="s">
        <v>62</v>
      </c>
      <c r="AF65" s="205" t="str">
        <f t="shared" si="3"/>
        <v>NA</v>
      </c>
      <c r="AG65" s="217" t="str">
        <f t="shared" si="4"/>
        <v>NÃO AVALIADO POR FALHA DE SINCRONISMO</v>
      </c>
      <c r="AI65" s="218" t="str">
        <f t="shared" si="5"/>
        <v>SÃO PAULO</v>
      </c>
      <c r="AJ65" s="218" t="s">
        <v>6</v>
      </c>
      <c r="AK65" s="202"/>
    </row>
    <row r="66" spans="1:37" s="204" customFormat="1" ht="30" customHeight="1">
      <c r="A66" s="228" t="s">
        <v>198</v>
      </c>
      <c r="B66" s="228">
        <v>2618424973</v>
      </c>
      <c r="C66" s="228" t="s">
        <v>141</v>
      </c>
      <c r="D66" s="228" t="s">
        <v>68</v>
      </c>
      <c r="E66" s="228" t="s">
        <v>5</v>
      </c>
      <c r="F66" s="228" t="s">
        <v>1437</v>
      </c>
      <c r="G66" s="228">
        <v>5696</v>
      </c>
      <c r="H66" s="228" t="s">
        <v>200</v>
      </c>
      <c r="I66" s="228" t="s">
        <v>260</v>
      </c>
      <c r="J66" s="228" t="s">
        <v>2713</v>
      </c>
      <c r="K66" s="229" t="s">
        <v>2741</v>
      </c>
      <c r="L66" s="230">
        <v>46331.333333333336</v>
      </c>
      <c r="M66" s="230">
        <v>46331.334027777775</v>
      </c>
      <c r="N66" s="228" t="s">
        <v>2715</v>
      </c>
      <c r="O66" s="276" t="s">
        <v>62</v>
      </c>
      <c r="Q66" s="277" t="s">
        <v>62</v>
      </c>
      <c r="S66" s="277" t="s">
        <v>62</v>
      </c>
      <c r="U66" s="277" t="s">
        <v>62</v>
      </c>
      <c r="W66" s="277" t="s">
        <v>62</v>
      </c>
      <c r="Y66" s="277" t="s">
        <v>62</v>
      </c>
      <c r="AA66" s="277" t="s">
        <v>62</v>
      </c>
      <c r="AC66" s="277" t="s">
        <v>62</v>
      </c>
      <c r="AE66" s="277" t="s">
        <v>62</v>
      </c>
      <c r="AF66" s="205" t="str">
        <f t="shared" si="3"/>
        <v>NA</v>
      </c>
      <c r="AG66" s="217" t="str">
        <f t="shared" si="4"/>
        <v>NÃO AVALIADO POR FALHA DE SINCRONISMO</v>
      </c>
      <c r="AI66" s="218" t="str">
        <f t="shared" si="5"/>
        <v>SÃO PAULO</v>
      </c>
      <c r="AJ66" s="218" t="s">
        <v>6</v>
      </c>
      <c r="AK66" s="202"/>
    </row>
    <row r="67" spans="1:37" ht="30" customHeight="1">
      <c r="A67" s="215" t="s">
        <v>198</v>
      </c>
      <c r="B67" s="215">
        <v>2618478456</v>
      </c>
      <c r="C67" s="215" t="s">
        <v>141</v>
      </c>
      <c r="D67" s="215" t="s">
        <v>68</v>
      </c>
      <c r="E67" s="215" t="s">
        <v>5</v>
      </c>
      <c r="F67" s="215" t="s">
        <v>1356</v>
      </c>
      <c r="G67" s="215">
        <v>269</v>
      </c>
      <c r="H67" s="215"/>
      <c r="I67" s="215" t="s">
        <v>280</v>
      </c>
      <c r="J67" s="215" t="s">
        <v>2713</v>
      </c>
      <c r="K67" s="219" t="s">
        <v>2741</v>
      </c>
      <c r="L67" s="216">
        <v>46361.333333333336</v>
      </c>
      <c r="M67" s="216">
        <v>46361.334027777775</v>
      </c>
      <c r="N67" s="215" t="s">
        <v>2774</v>
      </c>
      <c r="O67" s="215" t="s">
        <v>62</v>
      </c>
      <c r="P67" s="278"/>
      <c r="Q67" s="224" t="s">
        <v>62</v>
      </c>
      <c r="R67" s="225"/>
      <c r="S67" s="224" t="s">
        <v>62</v>
      </c>
      <c r="T67" s="225"/>
      <c r="U67" s="224" t="s">
        <v>62</v>
      </c>
      <c r="V67" s="225"/>
      <c r="W67" s="224" t="s">
        <v>62</v>
      </c>
      <c r="X67" s="225"/>
      <c r="Y67" s="224" t="s">
        <v>62</v>
      </c>
      <c r="Z67" s="225"/>
      <c r="AA67" s="224" t="s">
        <v>62</v>
      </c>
      <c r="AB67" s="232"/>
      <c r="AC67" s="224" t="s">
        <v>62</v>
      </c>
      <c r="AD67" s="232"/>
      <c r="AE67" s="224" t="s">
        <v>62</v>
      </c>
      <c r="AF67" s="196" t="str">
        <f t="shared" si="3"/>
        <v>NA</v>
      </c>
      <c r="AG67" s="262" t="str">
        <f t="shared" si="4"/>
        <v>NÃO AVALIADO POR FALHA DE SINCRONISMO</v>
      </c>
      <c r="AH67" s="278"/>
      <c r="AI67" s="279" t="str">
        <f t="shared" si="5"/>
        <v>SÃO PAULO</v>
      </c>
      <c r="AJ67" s="280" t="s">
        <v>6</v>
      </c>
      <c r="AK67" s="281"/>
    </row>
    <row r="68" spans="1:37" ht="30" customHeight="1">
      <c r="A68" s="215" t="s">
        <v>198</v>
      </c>
      <c r="B68" s="215">
        <v>2618310932</v>
      </c>
      <c r="C68" s="215" t="s">
        <v>141</v>
      </c>
      <c r="D68" s="215" t="s">
        <v>68</v>
      </c>
      <c r="E68" s="215" t="s">
        <v>5</v>
      </c>
      <c r="F68" s="215" t="s">
        <v>1467</v>
      </c>
      <c r="G68" s="215">
        <v>243</v>
      </c>
      <c r="H68" s="215" t="s">
        <v>200</v>
      </c>
      <c r="I68" s="215" t="s">
        <v>810</v>
      </c>
      <c r="J68" s="215" t="s">
        <v>2713</v>
      </c>
      <c r="K68" s="219" t="s">
        <v>2775</v>
      </c>
      <c r="L68" s="216">
        <v>46361.333333333336</v>
      </c>
      <c r="M68" s="216">
        <v>46361.334027777775</v>
      </c>
      <c r="N68" s="215" t="s">
        <v>2774</v>
      </c>
      <c r="O68" s="215" t="s">
        <v>62</v>
      </c>
      <c r="P68" s="9"/>
      <c r="Q68" s="145" t="s">
        <v>62</v>
      </c>
      <c r="R68" s="92"/>
      <c r="S68" s="145" t="s">
        <v>62</v>
      </c>
      <c r="T68" s="92"/>
      <c r="U68" s="145" t="s">
        <v>62</v>
      </c>
      <c r="V68" s="92"/>
      <c r="W68" s="145" t="s">
        <v>62</v>
      </c>
      <c r="X68" s="92"/>
      <c r="Y68" s="145" t="s">
        <v>62</v>
      </c>
      <c r="Z68" s="92"/>
      <c r="AA68" s="145" t="s">
        <v>62</v>
      </c>
      <c r="AB68" s="64"/>
      <c r="AC68" s="145" t="s">
        <v>62</v>
      </c>
      <c r="AD68" s="64"/>
      <c r="AE68" s="145" t="s">
        <v>62</v>
      </c>
      <c r="AF68" s="196" t="str">
        <f t="shared" si="3"/>
        <v>NA</v>
      </c>
      <c r="AG68" s="155" t="str">
        <f t="shared" si="4"/>
        <v>NÃO AVALIADO POR FALHA DE SINCRONISMO</v>
      </c>
      <c r="AH68" s="9"/>
      <c r="AI68" s="282" t="str">
        <f t="shared" ref="AI68:AI127" si="6">E68</f>
        <v>SÃO PAULO</v>
      </c>
      <c r="AJ68" s="283" t="s">
        <v>6</v>
      </c>
      <c r="AK68" s="281"/>
    </row>
    <row r="69" spans="1:37" ht="30" customHeight="1">
      <c r="A69" s="215" t="s">
        <v>198</v>
      </c>
      <c r="B69" s="215">
        <v>2618443876</v>
      </c>
      <c r="C69" s="215" t="s">
        <v>141</v>
      </c>
      <c r="D69" s="215" t="s">
        <v>68</v>
      </c>
      <c r="E69" s="215" t="s">
        <v>5</v>
      </c>
      <c r="F69" s="215" t="s">
        <v>1522</v>
      </c>
      <c r="G69" s="215">
        <v>0</v>
      </c>
      <c r="H69" s="215"/>
      <c r="I69" s="215" t="s">
        <v>607</v>
      </c>
      <c r="J69" s="215" t="s">
        <v>2713</v>
      </c>
      <c r="K69" s="219" t="s">
        <v>2776</v>
      </c>
      <c r="L69" s="216">
        <v>46361.333333333336</v>
      </c>
      <c r="M69" s="216">
        <v>46361.334027777775</v>
      </c>
      <c r="N69" s="215" t="s">
        <v>2774</v>
      </c>
      <c r="O69" s="215" t="s">
        <v>62</v>
      </c>
      <c r="P69" s="9"/>
      <c r="Q69" s="145" t="s">
        <v>62</v>
      </c>
      <c r="R69" s="92"/>
      <c r="S69" s="145" t="s">
        <v>62</v>
      </c>
      <c r="T69" s="92"/>
      <c r="U69" s="145" t="s">
        <v>62</v>
      </c>
      <c r="V69" s="92"/>
      <c r="W69" s="145" t="s">
        <v>62</v>
      </c>
      <c r="X69" s="92"/>
      <c r="Y69" s="145" t="s">
        <v>62</v>
      </c>
      <c r="Z69" s="92"/>
      <c r="AA69" s="145" t="s">
        <v>62</v>
      </c>
      <c r="AB69" s="64"/>
      <c r="AC69" s="145" t="s">
        <v>62</v>
      </c>
      <c r="AD69" s="64"/>
      <c r="AE69" s="145" t="s">
        <v>62</v>
      </c>
      <c r="AF69" s="196" t="str">
        <f t="shared" si="3"/>
        <v>NA</v>
      </c>
      <c r="AG69" s="155" t="str">
        <f t="shared" si="4"/>
        <v>NÃO AVALIADO POR FALHA DE SINCRONISMO</v>
      </c>
      <c r="AH69" s="9"/>
      <c r="AI69" s="282" t="str">
        <f t="shared" si="6"/>
        <v>SÃO PAULO</v>
      </c>
      <c r="AJ69" s="283" t="s">
        <v>6</v>
      </c>
      <c r="AK69" s="281"/>
    </row>
    <row r="70" spans="1:37" ht="30" customHeight="1">
      <c r="A70" s="228" t="s">
        <v>198</v>
      </c>
      <c r="B70" s="228">
        <v>2619135657</v>
      </c>
      <c r="C70" s="228" t="s">
        <v>141</v>
      </c>
      <c r="D70" s="228" t="s">
        <v>68</v>
      </c>
      <c r="E70" s="228" t="s">
        <v>5</v>
      </c>
      <c r="F70" s="228" t="s">
        <v>513</v>
      </c>
      <c r="G70" s="228">
        <v>2052</v>
      </c>
      <c r="H70" s="228" t="s">
        <v>1512</v>
      </c>
      <c r="I70" s="228" t="s">
        <v>251</v>
      </c>
      <c r="J70" s="228" t="s">
        <v>2713</v>
      </c>
      <c r="K70" s="229" t="s">
        <v>2777</v>
      </c>
      <c r="L70" s="230">
        <v>46361.333333333336</v>
      </c>
      <c r="M70" s="230">
        <v>46361.334027777775</v>
      </c>
      <c r="N70" s="228" t="s">
        <v>2774</v>
      </c>
      <c r="O70" s="215" t="s">
        <v>62</v>
      </c>
      <c r="P70" s="9"/>
      <c r="Q70" s="145" t="s">
        <v>62</v>
      </c>
      <c r="R70" s="92"/>
      <c r="S70" s="145" t="s">
        <v>62</v>
      </c>
      <c r="T70" s="92"/>
      <c r="U70" s="145" t="s">
        <v>62</v>
      </c>
      <c r="V70" s="92"/>
      <c r="W70" s="145" t="s">
        <v>62</v>
      </c>
      <c r="X70" s="92"/>
      <c r="Y70" s="145" t="s">
        <v>62</v>
      </c>
      <c r="Z70" s="92"/>
      <c r="AA70" s="145" t="s">
        <v>62</v>
      </c>
      <c r="AB70" s="64"/>
      <c r="AC70" s="145" t="s">
        <v>62</v>
      </c>
      <c r="AD70" s="64"/>
      <c r="AE70" s="145" t="s">
        <v>62</v>
      </c>
      <c r="AF70" s="196" t="str">
        <f t="shared" si="3"/>
        <v>NA</v>
      </c>
      <c r="AG70" s="155" t="str">
        <f t="shared" si="4"/>
        <v>NÃO AVALIADO POR FALHA DE SINCRONISMO</v>
      </c>
      <c r="AH70" s="9"/>
      <c r="AI70" s="282" t="str">
        <f t="shared" si="6"/>
        <v>SÃO PAULO</v>
      </c>
      <c r="AJ70" s="283" t="s">
        <v>6</v>
      </c>
      <c r="AK70" s="281"/>
    </row>
    <row r="71" spans="1:37" ht="30" customHeight="1">
      <c r="A71" s="215" t="s">
        <v>198</v>
      </c>
      <c r="B71" s="215">
        <v>2616333890</v>
      </c>
      <c r="C71" s="215" t="s">
        <v>142</v>
      </c>
      <c r="D71" s="215" t="s">
        <v>68</v>
      </c>
      <c r="E71" s="215" t="s">
        <v>5</v>
      </c>
      <c r="F71" s="215" t="s">
        <v>1091</v>
      </c>
      <c r="G71" s="215">
        <v>189</v>
      </c>
      <c r="H71" s="215" t="s">
        <v>200</v>
      </c>
      <c r="I71" s="215" t="s">
        <v>1092</v>
      </c>
      <c r="J71" s="215" t="s">
        <v>2718</v>
      </c>
      <c r="K71" s="219" t="s">
        <v>2778</v>
      </c>
      <c r="L71" s="215" t="s">
        <v>2779</v>
      </c>
      <c r="M71" s="215" t="s">
        <v>2780</v>
      </c>
      <c r="N71" s="215" t="s">
        <v>2738</v>
      </c>
      <c r="O71" s="231" t="s">
        <v>62</v>
      </c>
      <c r="P71" s="92"/>
      <c r="Q71" s="145" t="s">
        <v>62</v>
      </c>
      <c r="R71" s="92"/>
      <c r="S71" s="145" t="s">
        <v>62</v>
      </c>
      <c r="T71" s="92"/>
      <c r="U71" s="145" t="s">
        <v>62</v>
      </c>
      <c r="V71" s="92"/>
      <c r="W71" s="145" t="s">
        <v>62</v>
      </c>
      <c r="X71" s="92"/>
      <c r="Y71" s="145" t="s">
        <v>62</v>
      </c>
      <c r="Z71" s="92"/>
      <c r="AA71" s="145" t="s">
        <v>62</v>
      </c>
      <c r="AB71" s="64"/>
      <c r="AC71" s="145" t="s">
        <v>62</v>
      </c>
      <c r="AD71" s="64"/>
      <c r="AE71" s="145" t="s">
        <v>62</v>
      </c>
      <c r="AF71" s="196" t="str">
        <f t="shared" si="3"/>
        <v>NA</v>
      </c>
      <c r="AG71" s="155" t="str">
        <f t="shared" si="4"/>
        <v>NÃO AVALIADO POR FALHA DE SINCRONISMO</v>
      </c>
      <c r="AH71" s="9"/>
      <c r="AI71" s="282" t="str">
        <f t="shared" si="6"/>
        <v>SÃO PAULO</v>
      </c>
      <c r="AJ71" s="283" t="s">
        <v>6</v>
      </c>
      <c r="AK71" s="281"/>
    </row>
    <row r="72" spans="1:37" ht="30" customHeight="1">
      <c r="A72" s="215" t="s">
        <v>198</v>
      </c>
      <c r="B72" s="215">
        <v>2618695275</v>
      </c>
      <c r="C72" s="215" t="s">
        <v>141</v>
      </c>
      <c r="D72" s="215" t="s">
        <v>68</v>
      </c>
      <c r="E72" s="215" t="s">
        <v>5</v>
      </c>
      <c r="F72" s="215" t="s">
        <v>1551</v>
      </c>
      <c r="G72" s="215">
        <v>27</v>
      </c>
      <c r="H72" s="215" t="s">
        <v>226</v>
      </c>
      <c r="I72" s="215" t="s">
        <v>274</v>
      </c>
      <c r="J72" s="215" t="s">
        <v>2713</v>
      </c>
      <c r="K72" s="219" t="s">
        <v>2781</v>
      </c>
      <c r="L72" s="215" t="s">
        <v>2779</v>
      </c>
      <c r="M72" s="215" t="s">
        <v>2780</v>
      </c>
      <c r="N72" s="215" t="s">
        <v>2073</v>
      </c>
      <c r="O72" s="157" t="s">
        <v>62</v>
      </c>
      <c r="P72" s="92"/>
      <c r="Q72" s="145" t="s">
        <v>62</v>
      </c>
      <c r="R72" s="92"/>
      <c r="S72" s="145" t="s">
        <v>62</v>
      </c>
      <c r="T72" s="92"/>
      <c r="U72" s="145" t="s">
        <v>62</v>
      </c>
      <c r="V72" s="92"/>
      <c r="W72" s="145" t="s">
        <v>62</v>
      </c>
      <c r="X72" s="92"/>
      <c r="Y72" s="145" t="s">
        <v>62</v>
      </c>
      <c r="Z72" s="92"/>
      <c r="AA72" s="145" t="s">
        <v>62</v>
      </c>
      <c r="AB72" s="64"/>
      <c r="AC72" s="145" t="s">
        <v>62</v>
      </c>
      <c r="AD72" s="64"/>
      <c r="AE72" s="145" t="s">
        <v>62</v>
      </c>
      <c r="AF72" s="196" t="str">
        <f t="shared" si="3"/>
        <v>NA</v>
      </c>
      <c r="AG72" s="155" t="str">
        <f t="shared" si="4"/>
        <v>NÃO AVALIADO POR FALHA DE SINCRONISMO</v>
      </c>
      <c r="AH72" s="9"/>
      <c r="AI72" s="282" t="str">
        <f t="shared" si="6"/>
        <v>SÃO PAULO</v>
      </c>
      <c r="AJ72" s="283" t="s">
        <v>6</v>
      </c>
      <c r="AK72" s="281"/>
    </row>
    <row r="73" spans="1:37" ht="30" customHeight="1">
      <c r="A73" s="215" t="s">
        <v>198</v>
      </c>
      <c r="B73" s="215">
        <v>2613630877</v>
      </c>
      <c r="C73" s="215" t="s">
        <v>140</v>
      </c>
      <c r="D73" s="215" t="s">
        <v>68</v>
      </c>
      <c r="E73" s="215" t="s">
        <v>5</v>
      </c>
      <c r="F73" s="215" t="s">
        <v>731</v>
      </c>
      <c r="G73" s="215">
        <v>13</v>
      </c>
      <c r="H73" s="215" t="s">
        <v>226</v>
      </c>
      <c r="I73" s="215" t="s">
        <v>732</v>
      </c>
      <c r="J73" s="215" t="s">
        <v>2767</v>
      </c>
      <c r="K73" s="215" t="s">
        <v>2782</v>
      </c>
      <c r="L73" s="215" t="s">
        <v>2783</v>
      </c>
      <c r="M73" s="215" t="s">
        <v>2784</v>
      </c>
      <c r="N73" s="215" t="s">
        <v>212</v>
      </c>
      <c r="O73" s="157" t="s">
        <v>62</v>
      </c>
      <c r="P73" s="92"/>
      <c r="Q73" s="145" t="s">
        <v>62</v>
      </c>
      <c r="R73" s="92"/>
      <c r="S73" s="145" t="s">
        <v>62</v>
      </c>
      <c r="T73" s="92"/>
      <c r="U73" s="145" t="s">
        <v>62</v>
      </c>
      <c r="V73" s="92"/>
      <c r="W73" s="145" t="s">
        <v>62</v>
      </c>
      <c r="X73" s="92"/>
      <c r="Y73" s="145" t="s">
        <v>62</v>
      </c>
      <c r="Z73" s="92"/>
      <c r="AA73" s="145" t="s">
        <v>62</v>
      </c>
      <c r="AB73" s="64"/>
      <c r="AC73" s="145" t="s">
        <v>62</v>
      </c>
      <c r="AD73" s="64"/>
      <c r="AE73" s="145" t="s">
        <v>62</v>
      </c>
      <c r="AF73" s="196" t="str">
        <f t="shared" si="3"/>
        <v>NA</v>
      </c>
      <c r="AG73" s="155" t="str">
        <f t="shared" si="4"/>
        <v>NÃO AVALIADO POR FALHA DE SINCRONISMO</v>
      </c>
      <c r="AH73" s="9"/>
      <c r="AI73" s="282" t="str">
        <f t="shared" si="6"/>
        <v>SÃO PAULO</v>
      </c>
      <c r="AJ73" s="283" t="s">
        <v>6</v>
      </c>
      <c r="AK73" s="281"/>
    </row>
    <row r="74" spans="1:37" ht="30" customHeight="1">
      <c r="A74" s="228" t="s">
        <v>198</v>
      </c>
      <c r="B74" s="228">
        <v>2617969248</v>
      </c>
      <c r="C74" s="228" t="s">
        <v>140</v>
      </c>
      <c r="D74" s="228" t="s">
        <v>68</v>
      </c>
      <c r="E74" s="228" t="s">
        <v>5</v>
      </c>
      <c r="F74" s="228" t="s">
        <v>736</v>
      </c>
      <c r="G74" s="228">
        <v>114</v>
      </c>
      <c r="H74" s="228"/>
      <c r="I74" s="228" t="s">
        <v>737</v>
      </c>
      <c r="J74" s="228" t="s">
        <v>2767</v>
      </c>
      <c r="K74" s="228" t="s">
        <v>2785</v>
      </c>
      <c r="L74" s="228" t="s">
        <v>2783</v>
      </c>
      <c r="M74" s="228" t="s">
        <v>2784</v>
      </c>
      <c r="N74" s="228" t="s">
        <v>212</v>
      </c>
      <c r="O74" s="157" t="s">
        <v>62</v>
      </c>
      <c r="P74" s="92"/>
      <c r="Q74" s="157" t="s">
        <v>62</v>
      </c>
      <c r="R74" s="92"/>
      <c r="S74" s="157" t="s">
        <v>62</v>
      </c>
      <c r="T74" s="92"/>
      <c r="U74" s="157" t="s">
        <v>62</v>
      </c>
      <c r="V74" s="92"/>
      <c r="W74" s="157" t="s">
        <v>62</v>
      </c>
      <c r="X74" s="92"/>
      <c r="Y74" s="157" t="s">
        <v>62</v>
      </c>
      <c r="Z74" s="92"/>
      <c r="AA74" s="157" t="s">
        <v>62</v>
      </c>
      <c r="AB74" s="64"/>
      <c r="AC74" s="157" t="s">
        <v>62</v>
      </c>
      <c r="AD74" s="64"/>
      <c r="AE74" s="157" t="s">
        <v>62</v>
      </c>
      <c r="AF74" s="196" t="str">
        <f t="shared" si="3"/>
        <v>NA</v>
      </c>
      <c r="AG74" s="155" t="str">
        <f t="shared" si="4"/>
        <v>NÃO AVALIADO POR FALHA DE SINCRONISMO</v>
      </c>
      <c r="AH74" s="9"/>
      <c r="AI74" s="282" t="str">
        <f t="shared" si="6"/>
        <v>SÃO PAULO</v>
      </c>
      <c r="AJ74" s="283" t="s">
        <v>6</v>
      </c>
      <c r="AK74" s="281"/>
    </row>
    <row r="75" spans="1:37" ht="30" customHeight="1">
      <c r="A75" s="215" t="s">
        <v>198</v>
      </c>
      <c r="B75" s="215">
        <v>2618310695</v>
      </c>
      <c r="C75" s="215" t="s">
        <v>141</v>
      </c>
      <c r="D75" s="215" t="s">
        <v>68</v>
      </c>
      <c r="E75" s="215" t="s">
        <v>5</v>
      </c>
      <c r="F75" s="215" t="s">
        <v>1465</v>
      </c>
      <c r="G75" s="215">
        <v>201</v>
      </c>
      <c r="H75" s="215" t="s">
        <v>226</v>
      </c>
      <c r="I75" s="215" t="s">
        <v>215</v>
      </c>
      <c r="J75" s="215" t="s">
        <v>2713</v>
      </c>
      <c r="K75" s="219" t="s">
        <v>2786</v>
      </c>
      <c r="L75" s="215" t="s">
        <v>2787</v>
      </c>
      <c r="M75" s="215" t="s">
        <v>2788</v>
      </c>
      <c r="N75" s="215" t="s">
        <v>2073</v>
      </c>
      <c r="O75" s="157" t="s">
        <v>62</v>
      </c>
      <c r="P75" s="92"/>
      <c r="Q75" s="145" t="s">
        <v>62</v>
      </c>
      <c r="R75" s="92"/>
      <c r="S75" s="145" t="s">
        <v>62</v>
      </c>
      <c r="T75" s="92"/>
      <c r="U75" s="145" t="s">
        <v>62</v>
      </c>
      <c r="V75" s="92"/>
      <c r="W75" s="145" t="s">
        <v>62</v>
      </c>
      <c r="X75" s="92"/>
      <c r="Y75" s="145" t="s">
        <v>62</v>
      </c>
      <c r="Z75" s="92"/>
      <c r="AA75" s="145" t="s">
        <v>62</v>
      </c>
      <c r="AB75" s="64"/>
      <c r="AC75" s="145" t="s">
        <v>62</v>
      </c>
      <c r="AD75" s="64"/>
      <c r="AE75" s="145" t="s">
        <v>62</v>
      </c>
      <c r="AF75" s="196" t="str">
        <f t="shared" si="3"/>
        <v>NA</v>
      </c>
      <c r="AG75" s="155" t="str">
        <f t="shared" si="4"/>
        <v>NÃO AVALIADO POR FALHA DE SINCRONISMO</v>
      </c>
      <c r="AH75" s="9"/>
      <c r="AI75" s="282" t="str">
        <f t="shared" si="6"/>
        <v>SÃO PAULO</v>
      </c>
      <c r="AJ75" s="283" t="s">
        <v>6</v>
      </c>
      <c r="AK75" s="281"/>
    </row>
    <row r="76" spans="1:37" ht="30" customHeight="1">
      <c r="A76" s="228" t="s">
        <v>198</v>
      </c>
      <c r="B76" s="228">
        <v>2618454421</v>
      </c>
      <c r="C76" s="228" t="s">
        <v>141</v>
      </c>
      <c r="D76" s="228" t="s">
        <v>68</v>
      </c>
      <c r="E76" s="228" t="s">
        <v>5</v>
      </c>
      <c r="F76" s="228" t="s">
        <v>1523</v>
      </c>
      <c r="G76" s="228">
        <v>52</v>
      </c>
      <c r="H76" s="228" t="s">
        <v>226</v>
      </c>
      <c r="I76" s="228" t="s">
        <v>562</v>
      </c>
      <c r="J76" s="228" t="s">
        <v>2713</v>
      </c>
      <c r="K76" s="229" t="s">
        <v>2789</v>
      </c>
      <c r="L76" s="228" t="s">
        <v>2787</v>
      </c>
      <c r="M76" s="228" t="s">
        <v>2788</v>
      </c>
      <c r="N76" s="228" t="s">
        <v>2073</v>
      </c>
      <c r="O76" s="157" t="s">
        <v>62</v>
      </c>
      <c r="P76" s="92"/>
      <c r="Q76" s="145" t="s">
        <v>62</v>
      </c>
      <c r="R76" s="92"/>
      <c r="S76" s="145" t="s">
        <v>62</v>
      </c>
      <c r="T76" s="92"/>
      <c r="U76" s="145" t="s">
        <v>62</v>
      </c>
      <c r="V76" s="92"/>
      <c r="W76" s="145" t="s">
        <v>62</v>
      </c>
      <c r="X76" s="92"/>
      <c r="Y76" s="145" t="s">
        <v>62</v>
      </c>
      <c r="Z76" s="92"/>
      <c r="AA76" s="145" t="s">
        <v>62</v>
      </c>
      <c r="AB76" s="64"/>
      <c r="AC76" s="145" t="s">
        <v>62</v>
      </c>
      <c r="AD76" s="64"/>
      <c r="AE76" s="145" t="s">
        <v>62</v>
      </c>
      <c r="AF76" s="196" t="str">
        <f t="shared" si="3"/>
        <v>NA</v>
      </c>
      <c r="AG76" s="155" t="str">
        <f t="shared" si="4"/>
        <v>NÃO AVALIADO POR FALHA DE SINCRONISMO</v>
      </c>
      <c r="AH76" s="9"/>
      <c r="AI76" s="282" t="str">
        <f t="shared" si="6"/>
        <v>SÃO PAULO</v>
      </c>
      <c r="AJ76" s="283" t="s">
        <v>6</v>
      </c>
      <c r="AK76" s="281"/>
    </row>
    <row r="77" spans="1:37" ht="30" customHeight="1">
      <c r="A77" s="215" t="s">
        <v>198</v>
      </c>
      <c r="B77" s="215">
        <v>2618927253</v>
      </c>
      <c r="C77" s="215" t="s">
        <v>141</v>
      </c>
      <c r="D77" s="215" t="s">
        <v>68</v>
      </c>
      <c r="E77" s="215" t="s">
        <v>5</v>
      </c>
      <c r="F77" s="215" t="s">
        <v>1509</v>
      </c>
      <c r="G77" s="215">
        <v>55</v>
      </c>
      <c r="H77" s="215"/>
      <c r="I77" s="215" t="s">
        <v>1510</v>
      </c>
      <c r="J77" s="215" t="s">
        <v>2713</v>
      </c>
      <c r="K77" s="219" t="s">
        <v>2790</v>
      </c>
      <c r="L77" s="215" t="s">
        <v>2292</v>
      </c>
      <c r="M77" s="215" t="s">
        <v>2791</v>
      </c>
      <c r="N77" s="215" t="s">
        <v>2073</v>
      </c>
      <c r="O77" s="157" t="s">
        <v>62</v>
      </c>
      <c r="P77" s="92"/>
      <c r="Q77" s="145" t="s">
        <v>62</v>
      </c>
      <c r="R77" s="92"/>
      <c r="S77" s="145" t="s">
        <v>62</v>
      </c>
      <c r="T77" s="92"/>
      <c r="U77" s="145" t="s">
        <v>62</v>
      </c>
      <c r="V77" s="92"/>
      <c r="W77" s="145" t="s">
        <v>62</v>
      </c>
      <c r="X77" s="92"/>
      <c r="Y77" s="145" t="s">
        <v>62</v>
      </c>
      <c r="Z77" s="92"/>
      <c r="AA77" s="145" t="s">
        <v>62</v>
      </c>
      <c r="AB77" s="64"/>
      <c r="AC77" s="145" t="s">
        <v>62</v>
      </c>
      <c r="AD77" s="64"/>
      <c r="AE77" s="145" t="s">
        <v>62</v>
      </c>
      <c r="AF77" s="196" t="str">
        <f t="shared" si="3"/>
        <v>NA</v>
      </c>
      <c r="AG77" s="155" t="str">
        <f t="shared" si="4"/>
        <v>NÃO AVALIADO POR FALHA DE SINCRONISMO</v>
      </c>
      <c r="AH77" s="9"/>
      <c r="AI77" s="282" t="str">
        <f t="shared" si="6"/>
        <v>SÃO PAULO</v>
      </c>
      <c r="AJ77" s="283" t="s">
        <v>6</v>
      </c>
      <c r="AK77" s="281"/>
    </row>
    <row r="78" spans="1:37" ht="30" customHeight="1">
      <c r="A78" s="215" t="s">
        <v>198</v>
      </c>
      <c r="B78" s="215">
        <v>2620569776</v>
      </c>
      <c r="C78" s="215" t="s">
        <v>141</v>
      </c>
      <c r="D78" s="215" t="s">
        <v>68</v>
      </c>
      <c r="E78" s="215" t="s">
        <v>5</v>
      </c>
      <c r="F78" s="215" t="s">
        <v>1605</v>
      </c>
      <c r="G78" s="215">
        <v>299</v>
      </c>
      <c r="H78" s="215" t="s">
        <v>318</v>
      </c>
      <c r="I78" s="215" t="s">
        <v>1606</v>
      </c>
      <c r="J78" s="215" t="s">
        <v>2713</v>
      </c>
      <c r="K78" s="219" t="s">
        <v>2792</v>
      </c>
      <c r="L78" s="215" t="s">
        <v>2793</v>
      </c>
      <c r="M78" s="215" t="s">
        <v>879</v>
      </c>
      <c r="N78" s="215" t="s">
        <v>2073</v>
      </c>
      <c r="O78" s="157" t="s">
        <v>62</v>
      </c>
      <c r="P78" s="92"/>
      <c r="Q78" s="145" t="s">
        <v>62</v>
      </c>
      <c r="R78" s="92"/>
      <c r="S78" s="145" t="s">
        <v>62</v>
      </c>
      <c r="T78" s="92"/>
      <c r="U78" s="145" t="s">
        <v>62</v>
      </c>
      <c r="V78" s="92"/>
      <c r="W78" s="145" t="s">
        <v>62</v>
      </c>
      <c r="X78" s="92"/>
      <c r="Y78" s="145" t="s">
        <v>62</v>
      </c>
      <c r="Z78" s="92"/>
      <c r="AA78" s="145" t="s">
        <v>62</v>
      </c>
      <c r="AB78" s="64"/>
      <c r="AC78" s="145" t="s">
        <v>62</v>
      </c>
      <c r="AD78" s="64"/>
      <c r="AE78" s="145" t="s">
        <v>62</v>
      </c>
      <c r="AF78" s="196" t="str">
        <f t="shared" si="3"/>
        <v>NA</v>
      </c>
      <c r="AG78" s="155" t="str">
        <f t="shared" ref="AG78:AG137" si="7">IF(AND(AE78="C",AF78="C"),"UTILIZOU O PDA CORRETAMENTE",IF(AND(AE78="C",AF78="NC"),"UTILIZOU O PDA CORRETAMENTE. NÃO HÁ FOTOS DE TODAS AS ETAPAS",IF(AND(AE78="NC",AF78="NC"),"NÃO UTILIZOU O PDA",IF(AND(AE78="NA",AF78="NA"),"NÃO AVALIADO POR FALHA DE SINCRONISMO"))))</f>
        <v>NÃO AVALIADO POR FALHA DE SINCRONISMO</v>
      </c>
      <c r="AH78" s="9"/>
      <c r="AI78" s="282" t="str">
        <f t="shared" si="6"/>
        <v>SÃO PAULO</v>
      </c>
      <c r="AJ78" s="283" t="s">
        <v>6</v>
      </c>
      <c r="AK78" s="281"/>
    </row>
    <row r="79" spans="1:37" ht="30" customHeight="1">
      <c r="A79" s="228" t="s">
        <v>198</v>
      </c>
      <c r="B79" s="228">
        <v>2620389446</v>
      </c>
      <c r="C79" s="228" t="s">
        <v>141</v>
      </c>
      <c r="D79" s="228" t="s">
        <v>68</v>
      </c>
      <c r="E79" s="228" t="s">
        <v>5</v>
      </c>
      <c r="F79" s="228" t="s">
        <v>2794</v>
      </c>
      <c r="G79" s="228">
        <v>60</v>
      </c>
      <c r="H79" s="228" t="s">
        <v>200</v>
      </c>
      <c r="I79" s="228" t="s">
        <v>427</v>
      </c>
      <c r="J79" s="228" t="s">
        <v>2795</v>
      </c>
      <c r="K79" s="228" t="s">
        <v>2796</v>
      </c>
      <c r="L79" s="228" t="s">
        <v>947</v>
      </c>
      <c r="M79" s="228" t="s">
        <v>948</v>
      </c>
      <c r="N79" s="228" t="s">
        <v>2797</v>
      </c>
      <c r="O79" s="157" t="s">
        <v>62</v>
      </c>
      <c r="P79" s="92"/>
      <c r="Q79" s="145" t="s">
        <v>62</v>
      </c>
      <c r="R79" s="92"/>
      <c r="S79" s="145" t="s">
        <v>62</v>
      </c>
      <c r="T79" s="92"/>
      <c r="U79" s="145" t="s">
        <v>62</v>
      </c>
      <c r="V79" s="92"/>
      <c r="W79" s="145" t="s">
        <v>62</v>
      </c>
      <c r="X79" s="92"/>
      <c r="Y79" s="145" t="s">
        <v>62</v>
      </c>
      <c r="Z79" s="92"/>
      <c r="AA79" s="145" t="s">
        <v>62</v>
      </c>
      <c r="AB79" s="64"/>
      <c r="AC79" s="145" t="s">
        <v>62</v>
      </c>
      <c r="AD79" s="64"/>
      <c r="AE79" s="145" t="s">
        <v>62</v>
      </c>
      <c r="AF79" s="196" t="str">
        <f t="shared" ref="AF79:AF138" si="8">IF(AND(O79="",Q79="",S79="",U79="",W79="",Y79="",AA79="",AC79=""),"",
IF(OR(    AND(O79&lt;&gt;"NA",O79&lt;&gt;"C",O79&lt;&gt;"NC",O79&lt;&gt;"SF",O79&lt;&gt;""),
    AND(Q79&lt;&gt;"NA",Q79&lt;&gt;"C",Q79&lt;&gt;"NC",Q79&lt;&gt;"SF",Q79&lt;&gt;""),
    AND(S79&lt;&gt;"NA",S79&lt;&gt;"C",S79&lt;&gt;"NC",S79&lt;&gt;"SF",S79&lt;&gt;""),
    AND(U79&lt;&gt;"NA",U79&lt;&gt;"C",U79&lt;&gt;"NC",U79&lt;&gt;"SF",U79&lt;&gt;""),
    AND(W79&lt;&gt;"NA",W79&lt;&gt;"C",W79&lt;&gt;"NC",W79&lt;&gt;"SF",W79&lt;&gt;""),
    AND(Y79&lt;&gt;"NA",Y79&lt;&gt;"C",Y79&lt;&gt;"NC",Y79&lt;&gt;"SF",Y79&lt;&gt;""),
    AND(AA79&lt;&gt;"NA",AA79&lt;&gt;"C",AA79&lt;&gt;"NC",AA79&lt;&gt;"SF",AA79&lt;&gt;""),
    AND(AC79&lt;&gt;"NA",AC79&lt;&gt;"C",AC79&lt;&gt;"NC",AC79&lt;&gt;"SF",AC79&lt;&gt;"")
),"FALSO",
IF(AND(O79="NA",Q79="NA",S79="NA",U79="NA",W79="NA",Y79="NA",AA79="NA",AC79="NA"),"NA",
IF(OR(O79="NC",Q79="NC",S79="NC",U79="NC",W79="NC",Y79="NC",AA79="NC",AC79="NC",
       O79="SF",Q79="SF",S79="SF",U79="SF",W79="SF",Y79="SF",AA79="SF",AC79="SF"),"NC",
IF(SUM(IF(O79="C",1,0),IF(Q79="C",1,0),IF(S79="C",1,0),IF(U79="C",1,0),IF(W79="C",1,0),IF(Y79="C",1,0),IF(AA79="C",1,0),IF(AC79="C",1,0))=1,"C","C")))))</f>
        <v>NA</v>
      </c>
      <c r="AG79" s="155" t="str">
        <f t="shared" si="7"/>
        <v>NÃO AVALIADO POR FALHA DE SINCRONISMO</v>
      </c>
      <c r="AH79" s="9"/>
      <c r="AI79" s="282" t="str">
        <f t="shared" si="6"/>
        <v>SÃO PAULO</v>
      </c>
      <c r="AJ79" s="283" t="s">
        <v>6</v>
      </c>
      <c r="AK79" s="281"/>
    </row>
    <row r="80" spans="1:37" ht="30" customHeight="1">
      <c r="A80" s="215" t="s">
        <v>198</v>
      </c>
      <c r="B80" s="215">
        <v>2620545605</v>
      </c>
      <c r="C80" s="215" t="s">
        <v>141</v>
      </c>
      <c r="D80" s="215" t="s">
        <v>68</v>
      </c>
      <c r="E80" s="215" t="s">
        <v>5</v>
      </c>
      <c r="F80" s="215" t="s">
        <v>1697</v>
      </c>
      <c r="G80" s="215">
        <v>480</v>
      </c>
      <c r="H80" s="215"/>
      <c r="I80" s="215" t="s">
        <v>1698</v>
      </c>
      <c r="J80" s="215" t="s">
        <v>2713</v>
      </c>
      <c r="K80" s="219" t="s">
        <v>2798</v>
      </c>
      <c r="L80" s="215" t="s">
        <v>2799</v>
      </c>
      <c r="M80" s="215" t="s">
        <v>2800</v>
      </c>
      <c r="N80" s="215" t="s">
        <v>1414</v>
      </c>
      <c r="O80" s="157" t="s">
        <v>62</v>
      </c>
      <c r="P80" s="92"/>
      <c r="Q80" s="145" t="s">
        <v>62</v>
      </c>
      <c r="R80" s="92"/>
      <c r="S80" s="145" t="s">
        <v>62</v>
      </c>
      <c r="T80" s="92"/>
      <c r="U80" s="145" t="s">
        <v>62</v>
      </c>
      <c r="V80" s="92"/>
      <c r="W80" s="145" t="s">
        <v>62</v>
      </c>
      <c r="X80" s="92"/>
      <c r="Y80" s="145" t="s">
        <v>62</v>
      </c>
      <c r="Z80" s="92"/>
      <c r="AA80" s="145" t="s">
        <v>62</v>
      </c>
      <c r="AB80" s="64"/>
      <c r="AC80" s="145" t="s">
        <v>62</v>
      </c>
      <c r="AD80" s="64"/>
      <c r="AE80" s="145" t="s">
        <v>62</v>
      </c>
      <c r="AF80" s="196" t="str">
        <f t="shared" si="8"/>
        <v>NA</v>
      </c>
      <c r="AG80" s="155" t="str">
        <f t="shared" si="7"/>
        <v>NÃO AVALIADO POR FALHA DE SINCRONISMO</v>
      </c>
      <c r="AH80" s="9"/>
      <c r="AI80" s="282" t="str">
        <f t="shared" si="6"/>
        <v>SÃO PAULO</v>
      </c>
      <c r="AJ80" s="283" t="s">
        <v>6</v>
      </c>
      <c r="AK80" s="281"/>
    </row>
    <row r="81" spans="1:37" ht="30" customHeight="1">
      <c r="A81" s="215" t="s">
        <v>198</v>
      </c>
      <c r="B81" s="215">
        <v>2617771558</v>
      </c>
      <c r="C81" s="215" t="s">
        <v>142</v>
      </c>
      <c r="D81" s="215" t="s">
        <v>68</v>
      </c>
      <c r="E81" s="215" t="s">
        <v>5</v>
      </c>
      <c r="F81" s="215" t="s">
        <v>1932</v>
      </c>
      <c r="G81" s="215">
        <v>138</v>
      </c>
      <c r="H81" s="215" t="s">
        <v>200</v>
      </c>
      <c r="I81" s="215" t="s">
        <v>320</v>
      </c>
      <c r="J81" s="215" t="s">
        <v>2718</v>
      </c>
      <c r="K81" s="219" t="s">
        <v>2801</v>
      </c>
      <c r="L81" s="215" t="s">
        <v>2799</v>
      </c>
      <c r="M81" s="215" t="s">
        <v>2800</v>
      </c>
      <c r="N81" s="215" t="s">
        <v>1414</v>
      </c>
      <c r="O81" s="157" t="s">
        <v>62</v>
      </c>
      <c r="P81" s="92"/>
      <c r="Q81" s="145" t="s">
        <v>62</v>
      </c>
      <c r="R81" s="92"/>
      <c r="S81" s="145" t="s">
        <v>62</v>
      </c>
      <c r="T81" s="92"/>
      <c r="U81" s="145" t="s">
        <v>62</v>
      </c>
      <c r="V81" s="92"/>
      <c r="W81" s="145" t="s">
        <v>62</v>
      </c>
      <c r="X81" s="92"/>
      <c r="Y81" s="145" t="s">
        <v>62</v>
      </c>
      <c r="Z81" s="92"/>
      <c r="AA81" s="145" t="s">
        <v>62</v>
      </c>
      <c r="AB81" s="64"/>
      <c r="AC81" s="145" t="s">
        <v>62</v>
      </c>
      <c r="AD81" s="64"/>
      <c r="AE81" s="145" t="s">
        <v>62</v>
      </c>
      <c r="AF81" s="196" t="str">
        <f t="shared" si="8"/>
        <v>NA</v>
      </c>
      <c r="AG81" s="155" t="str">
        <f t="shared" si="7"/>
        <v>NÃO AVALIADO POR FALHA DE SINCRONISMO</v>
      </c>
      <c r="AH81" s="9"/>
      <c r="AI81" s="282" t="str">
        <f t="shared" si="6"/>
        <v>SÃO PAULO</v>
      </c>
      <c r="AJ81" s="283" t="s">
        <v>6</v>
      </c>
      <c r="AK81" s="281"/>
    </row>
    <row r="82" spans="1:37" ht="30" customHeight="1">
      <c r="A82" s="215" t="s">
        <v>198</v>
      </c>
      <c r="B82" s="215">
        <v>2620577634</v>
      </c>
      <c r="C82" s="215" t="s">
        <v>139</v>
      </c>
      <c r="D82" s="215" t="s">
        <v>68</v>
      </c>
      <c r="E82" s="215" t="s">
        <v>5</v>
      </c>
      <c r="F82" s="215" t="s">
        <v>2802</v>
      </c>
      <c r="G82" s="215">
        <v>71</v>
      </c>
      <c r="H82" s="215" t="s">
        <v>318</v>
      </c>
      <c r="I82" s="215" t="s">
        <v>789</v>
      </c>
      <c r="J82" s="215" t="s">
        <v>2713</v>
      </c>
      <c r="K82" s="219" t="s">
        <v>2803</v>
      </c>
      <c r="L82" s="215" t="s">
        <v>2799</v>
      </c>
      <c r="M82" s="215" t="s">
        <v>2800</v>
      </c>
      <c r="N82" s="215" t="s">
        <v>297</v>
      </c>
      <c r="O82" s="157" t="s">
        <v>205</v>
      </c>
      <c r="P82" s="92"/>
      <c r="Q82" s="145" t="s">
        <v>205</v>
      </c>
      <c r="R82" s="92"/>
      <c r="S82" s="145" t="s">
        <v>205</v>
      </c>
      <c r="T82" s="92"/>
      <c r="U82" s="145" t="s">
        <v>205</v>
      </c>
      <c r="V82" s="92"/>
      <c r="W82" s="145" t="s">
        <v>205</v>
      </c>
      <c r="X82" s="92"/>
      <c r="Y82" s="145" t="s">
        <v>205</v>
      </c>
      <c r="Z82" s="92"/>
      <c r="AA82" s="145" t="s">
        <v>205</v>
      </c>
      <c r="AB82" s="64"/>
      <c r="AC82" s="145" t="s">
        <v>239</v>
      </c>
      <c r="AD82" s="64" t="s">
        <v>390</v>
      </c>
      <c r="AE82" s="145" t="s">
        <v>205</v>
      </c>
      <c r="AF82" s="196" t="str">
        <f t="shared" si="8"/>
        <v>NC</v>
      </c>
      <c r="AG82" s="155" t="str">
        <f t="shared" si="7"/>
        <v>UTILIZOU O PDA CORRETAMENTE. NÃO HÁ FOTOS DE TODAS AS ETAPAS</v>
      </c>
      <c r="AH82" s="9"/>
      <c r="AI82" s="282" t="str">
        <f t="shared" si="6"/>
        <v>SÃO PAULO</v>
      </c>
      <c r="AJ82" s="283" t="s">
        <v>6</v>
      </c>
      <c r="AK82" s="281"/>
    </row>
    <row r="83" spans="1:37" ht="30" customHeight="1">
      <c r="A83" s="215" t="s">
        <v>198</v>
      </c>
      <c r="B83" s="215">
        <v>2620192509</v>
      </c>
      <c r="C83" s="215" t="s">
        <v>142</v>
      </c>
      <c r="D83" s="215" t="s">
        <v>68</v>
      </c>
      <c r="E83" s="215" t="s">
        <v>5</v>
      </c>
      <c r="F83" s="215" t="s">
        <v>332</v>
      </c>
      <c r="G83" s="215">
        <v>383</v>
      </c>
      <c r="H83" s="215"/>
      <c r="I83" s="215" t="s">
        <v>333</v>
      </c>
      <c r="J83" s="215" t="s">
        <v>2718</v>
      </c>
      <c r="K83" s="219" t="s">
        <v>2772</v>
      </c>
      <c r="L83" s="215" t="s">
        <v>2804</v>
      </c>
      <c r="M83" s="215" t="s">
        <v>2805</v>
      </c>
      <c r="N83" s="215" t="s">
        <v>2715</v>
      </c>
      <c r="O83" s="157" t="s">
        <v>62</v>
      </c>
      <c r="P83" s="92"/>
      <c r="Q83" s="145" t="s">
        <v>62</v>
      </c>
      <c r="R83" s="92"/>
      <c r="S83" s="145" t="s">
        <v>62</v>
      </c>
      <c r="T83" s="92"/>
      <c r="U83" s="145" t="s">
        <v>62</v>
      </c>
      <c r="V83" s="92"/>
      <c r="W83" s="145" t="s">
        <v>62</v>
      </c>
      <c r="X83" s="92"/>
      <c r="Y83" s="145" t="s">
        <v>62</v>
      </c>
      <c r="Z83" s="92"/>
      <c r="AA83" s="145" t="s">
        <v>62</v>
      </c>
      <c r="AB83" s="64"/>
      <c r="AC83" s="145" t="s">
        <v>62</v>
      </c>
      <c r="AD83" s="64"/>
      <c r="AE83" s="145" t="s">
        <v>62</v>
      </c>
      <c r="AF83" s="196" t="str">
        <f t="shared" si="8"/>
        <v>NA</v>
      </c>
      <c r="AG83" s="155" t="str">
        <f t="shared" si="7"/>
        <v>NÃO AVALIADO POR FALHA DE SINCRONISMO</v>
      </c>
      <c r="AH83" s="9"/>
      <c r="AI83" s="282" t="str">
        <f t="shared" si="6"/>
        <v>SÃO PAULO</v>
      </c>
      <c r="AJ83" s="283" t="s">
        <v>6</v>
      </c>
      <c r="AK83" s="281"/>
    </row>
    <row r="84" spans="1:37" ht="30" customHeight="1">
      <c r="A84" s="215" t="s">
        <v>198</v>
      </c>
      <c r="B84" s="215">
        <v>2618899418</v>
      </c>
      <c r="C84" s="215" t="s">
        <v>142</v>
      </c>
      <c r="D84" s="215" t="s">
        <v>68</v>
      </c>
      <c r="E84" s="215" t="s">
        <v>5</v>
      </c>
      <c r="F84" s="215" t="s">
        <v>332</v>
      </c>
      <c r="G84" s="215">
        <v>658</v>
      </c>
      <c r="H84" s="215" t="s">
        <v>226</v>
      </c>
      <c r="I84" s="215" t="s">
        <v>333</v>
      </c>
      <c r="J84" s="215" t="s">
        <v>2718</v>
      </c>
      <c r="K84" s="219" t="s">
        <v>2806</v>
      </c>
      <c r="L84" s="215" t="s">
        <v>2804</v>
      </c>
      <c r="M84" s="215" t="s">
        <v>2805</v>
      </c>
      <c r="N84" s="215" t="s">
        <v>2715</v>
      </c>
      <c r="O84" s="157" t="s">
        <v>62</v>
      </c>
      <c r="P84" s="92"/>
      <c r="Q84" s="145" t="s">
        <v>62</v>
      </c>
      <c r="R84" s="92"/>
      <c r="S84" s="145" t="s">
        <v>62</v>
      </c>
      <c r="T84" s="92"/>
      <c r="U84" s="145" t="s">
        <v>62</v>
      </c>
      <c r="V84" s="92"/>
      <c r="W84" s="145" t="s">
        <v>62</v>
      </c>
      <c r="X84" s="92"/>
      <c r="Y84" s="145" t="s">
        <v>62</v>
      </c>
      <c r="Z84" s="92"/>
      <c r="AA84" s="145" t="s">
        <v>62</v>
      </c>
      <c r="AB84" s="64"/>
      <c r="AC84" s="145" t="s">
        <v>62</v>
      </c>
      <c r="AD84" s="64"/>
      <c r="AE84" s="145" t="s">
        <v>62</v>
      </c>
      <c r="AF84" s="196" t="str">
        <f t="shared" si="8"/>
        <v>NA</v>
      </c>
      <c r="AG84" s="155" t="str">
        <f t="shared" si="7"/>
        <v>NÃO AVALIADO POR FALHA DE SINCRONISMO</v>
      </c>
      <c r="AH84" s="9"/>
      <c r="AI84" s="282" t="str">
        <f t="shared" si="6"/>
        <v>SÃO PAULO</v>
      </c>
      <c r="AJ84" s="283" t="s">
        <v>6</v>
      </c>
      <c r="AK84" s="281"/>
    </row>
    <row r="85" spans="1:37" ht="30" customHeight="1">
      <c r="A85" s="215" t="s">
        <v>198</v>
      </c>
      <c r="B85" s="215">
        <v>2618877461</v>
      </c>
      <c r="C85" s="215" t="s">
        <v>142</v>
      </c>
      <c r="D85" s="215" t="s">
        <v>68</v>
      </c>
      <c r="E85" s="215" t="s">
        <v>5</v>
      </c>
      <c r="F85" s="215" t="s">
        <v>332</v>
      </c>
      <c r="G85" s="215">
        <v>192</v>
      </c>
      <c r="H85" s="215"/>
      <c r="I85" s="215" t="s">
        <v>333</v>
      </c>
      <c r="J85" s="215" t="s">
        <v>2718</v>
      </c>
      <c r="K85" s="219" t="s">
        <v>2772</v>
      </c>
      <c r="L85" s="215" t="s">
        <v>2804</v>
      </c>
      <c r="M85" s="215" t="s">
        <v>2805</v>
      </c>
      <c r="N85" s="215" t="s">
        <v>2715</v>
      </c>
      <c r="O85" s="157" t="s">
        <v>62</v>
      </c>
      <c r="P85" s="92"/>
      <c r="Q85" s="145" t="s">
        <v>62</v>
      </c>
      <c r="R85" s="92"/>
      <c r="S85" s="145" t="s">
        <v>62</v>
      </c>
      <c r="T85" s="92"/>
      <c r="U85" s="145" t="s">
        <v>62</v>
      </c>
      <c r="V85" s="92"/>
      <c r="W85" s="145" t="s">
        <v>62</v>
      </c>
      <c r="X85" s="92"/>
      <c r="Y85" s="145" t="s">
        <v>62</v>
      </c>
      <c r="Z85" s="92"/>
      <c r="AA85" s="145" t="s">
        <v>62</v>
      </c>
      <c r="AB85" s="64"/>
      <c r="AC85" s="145" t="s">
        <v>62</v>
      </c>
      <c r="AD85" s="64"/>
      <c r="AE85" s="145" t="s">
        <v>62</v>
      </c>
      <c r="AF85" s="196" t="str">
        <f t="shared" si="8"/>
        <v>NA</v>
      </c>
      <c r="AG85" s="155" t="str">
        <f t="shared" si="7"/>
        <v>NÃO AVALIADO POR FALHA DE SINCRONISMO</v>
      </c>
      <c r="AH85" s="9"/>
      <c r="AI85" s="282" t="str">
        <f t="shared" si="6"/>
        <v>SÃO PAULO</v>
      </c>
      <c r="AJ85" s="283" t="s">
        <v>6</v>
      </c>
      <c r="AK85" s="281"/>
    </row>
    <row r="86" spans="1:37" ht="30" customHeight="1">
      <c r="A86" s="215" t="s">
        <v>198</v>
      </c>
      <c r="B86" s="215">
        <v>2618631166</v>
      </c>
      <c r="C86" s="215" t="s">
        <v>142</v>
      </c>
      <c r="D86" s="215" t="s">
        <v>68</v>
      </c>
      <c r="E86" s="215" t="s">
        <v>5</v>
      </c>
      <c r="F86" s="215" t="s">
        <v>332</v>
      </c>
      <c r="G86" s="215">
        <v>260</v>
      </c>
      <c r="H86" s="215" t="s">
        <v>200</v>
      </c>
      <c r="I86" s="215" t="s">
        <v>333</v>
      </c>
      <c r="J86" s="215" t="s">
        <v>2718</v>
      </c>
      <c r="K86" s="219" t="s">
        <v>2772</v>
      </c>
      <c r="L86" s="215" t="s">
        <v>2804</v>
      </c>
      <c r="M86" s="215" t="s">
        <v>2805</v>
      </c>
      <c r="N86" s="215" t="s">
        <v>2715</v>
      </c>
      <c r="O86" s="157" t="s">
        <v>62</v>
      </c>
      <c r="P86" s="92"/>
      <c r="Q86" s="145" t="s">
        <v>62</v>
      </c>
      <c r="R86" s="92"/>
      <c r="S86" s="145" t="s">
        <v>62</v>
      </c>
      <c r="T86" s="92"/>
      <c r="U86" s="145" t="s">
        <v>62</v>
      </c>
      <c r="V86" s="92"/>
      <c r="W86" s="145" t="s">
        <v>62</v>
      </c>
      <c r="X86" s="92"/>
      <c r="Y86" s="145" t="s">
        <v>62</v>
      </c>
      <c r="Z86" s="92"/>
      <c r="AA86" s="145" t="s">
        <v>62</v>
      </c>
      <c r="AB86" s="64"/>
      <c r="AC86" s="145" t="s">
        <v>62</v>
      </c>
      <c r="AD86" s="64"/>
      <c r="AE86" s="145" t="s">
        <v>62</v>
      </c>
      <c r="AF86" s="196" t="str">
        <f t="shared" si="8"/>
        <v>NA</v>
      </c>
      <c r="AG86" s="155" t="str">
        <f t="shared" si="7"/>
        <v>NÃO AVALIADO POR FALHA DE SINCRONISMO</v>
      </c>
      <c r="AH86" s="9"/>
      <c r="AI86" s="282" t="str">
        <f t="shared" si="6"/>
        <v>SÃO PAULO</v>
      </c>
      <c r="AJ86" s="283" t="s">
        <v>6</v>
      </c>
      <c r="AK86" s="281"/>
    </row>
    <row r="87" spans="1:37" ht="30" customHeight="1">
      <c r="A87" s="215" t="s">
        <v>198</v>
      </c>
      <c r="B87" s="215">
        <v>2617018506</v>
      </c>
      <c r="C87" s="215" t="s">
        <v>141</v>
      </c>
      <c r="D87" s="215" t="s">
        <v>68</v>
      </c>
      <c r="E87" s="215" t="s">
        <v>5</v>
      </c>
      <c r="F87" s="215" t="s">
        <v>1497</v>
      </c>
      <c r="G87" s="215">
        <v>733</v>
      </c>
      <c r="H87" s="215"/>
      <c r="I87" s="215" t="s">
        <v>246</v>
      </c>
      <c r="J87" s="215" t="s">
        <v>2713</v>
      </c>
      <c r="K87" s="219" t="s">
        <v>2741</v>
      </c>
      <c r="L87" s="215" t="s">
        <v>2804</v>
      </c>
      <c r="M87" s="215" t="s">
        <v>2805</v>
      </c>
      <c r="N87" s="215" t="s">
        <v>2715</v>
      </c>
      <c r="O87" s="157" t="s">
        <v>62</v>
      </c>
      <c r="P87" s="92"/>
      <c r="Q87" s="145" t="s">
        <v>62</v>
      </c>
      <c r="R87" s="92"/>
      <c r="S87" s="145" t="s">
        <v>62</v>
      </c>
      <c r="T87" s="92"/>
      <c r="U87" s="145" t="s">
        <v>62</v>
      </c>
      <c r="V87" s="92"/>
      <c r="W87" s="145" t="s">
        <v>62</v>
      </c>
      <c r="X87" s="92"/>
      <c r="Y87" s="145" t="s">
        <v>62</v>
      </c>
      <c r="Z87" s="92"/>
      <c r="AA87" s="145" t="s">
        <v>62</v>
      </c>
      <c r="AB87" s="64"/>
      <c r="AC87" s="145" t="s">
        <v>62</v>
      </c>
      <c r="AD87" s="64"/>
      <c r="AE87" s="145" t="s">
        <v>62</v>
      </c>
      <c r="AF87" s="196" t="str">
        <f t="shared" si="8"/>
        <v>NA</v>
      </c>
      <c r="AG87" s="155" t="str">
        <f t="shared" si="7"/>
        <v>NÃO AVALIADO POR FALHA DE SINCRONISMO</v>
      </c>
      <c r="AH87" s="9"/>
      <c r="AI87" s="282" t="str">
        <f t="shared" si="6"/>
        <v>SÃO PAULO</v>
      </c>
      <c r="AJ87" s="283" t="s">
        <v>6</v>
      </c>
      <c r="AK87" s="281"/>
    </row>
    <row r="88" spans="1:37" ht="30" customHeight="1">
      <c r="A88" s="215" t="s">
        <v>198</v>
      </c>
      <c r="B88" s="215">
        <v>2620826299</v>
      </c>
      <c r="C88" s="215" t="s">
        <v>140</v>
      </c>
      <c r="D88" s="215" t="s">
        <v>68</v>
      </c>
      <c r="E88" s="215" t="s">
        <v>5</v>
      </c>
      <c r="F88" s="215" t="s">
        <v>602</v>
      </c>
      <c r="G88" s="215">
        <v>147</v>
      </c>
      <c r="H88" s="215" t="s">
        <v>200</v>
      </c>
      <c r="I88" s="215" t="s">
        <v>246</v>
      </c>
      <c r="J88" s="215" t="s">
        <v>2718</v>
      </c>
      <c r="K88" s="219" t="s">
        <v>2807</v>
      </c>
      <c r="L88" s="215" t="s">
        <v>2808</v>
      </c>
      <c r="M88" s="215" t="s">
        <v>2809</v>
      </c>
      <c r="N88" s="215" t="s">
        <v>2715</v>
      </c>
      <c r="O88" s="157" t="s">
        <v>205</v>
      </c>
      <c r="P88" s="92"/>
      <c r="Q88" s="145" t="s">
        <v>205</v>
      </c>
      <c r="R88" s="92"/>
      <c r="S88" s="145" t="s">
        <v>205</v>
      </c>
      <c r="T88" s="92"/>
      <c r="U88" s="145" t="s">
        <v>206</v>
      </c>
      <c r="V88" s="92"/>
      <c r="W88" s="145" t="s">
        <v>205</v>
      </c>
      <c r="X88" s="92"/>
      <c r="Y88" s="145" t="s">
        <v>206</v>
      </c>
      <c r="Z88" s="92"/>
      <c r="AA88" s="145" t="s">
        <v>205</v>
      </c>
      <c r="AB88" s="64"/>
      <c r="AC88" s="145" t="s">
        <v>239</v>
      </c>
      <c r="AD88" s="64" t="s">
        <v>390</v>
      </c>
      <c r="AE88" s="145" t="s">
        <v>205</v>
      </c>
      <c r="AF88" s="196" t="str">
        <f t="shared" si="8"/>
        <v>NC</v>
      </c>
      <c r="AG88" s="155" t="str">
        <f t="shared" si="7"/>
        <v>UTILIZOU O PDA CORRETAMENTE. NÃO HÁ FOTOS DE TODAS AS ETAPAS</v>
      </c>
      <c r="AH88" s="9"/>
      <c r="AI88" s="282" t="str">
        <f t="shared" si="6"/>
        <v>SÃO PAULO</v>
      </c>
      <c r="AJ88" s="283" t="s">
        <v>6</v>
      </c>
      <c r="AK88" s="281"/>
    </row>
    <row r="89" spans="1:37" ht="30" customHeight="1">
      <c r="A89" s="215" t="s">
        <v>198</v>
      </c>
      <c r="B89" s="215">
        <v>2620125709</v>
      </c>
      <c r="C89" s="215" t="s">
        <v>141</v>
      </c>
      <c r="D89" s="215" t="s">
        <v>68</v>
      </c>
      <c r="E89" s="215" t="s">
        <v>5</v>
      </c>
      <c r="F89" s="215" t="s">
        <v>1603</v>
      </c>
      <c r="G89" s="215">
        <v>144</v>
      </c>
      <c r="H89" s="215"/>
      <c r="I89" s="215" t="s">
        <v>426</v>
      </c>
      <c r="J89" s="215" t="s">
        <v>2713</v>
      </c>
      <c r="K89" s="219" t="s">
        <v>2810</v>
      </c>
      <c r="L89" s="215" t="s">
        <v>2804</v>
      </c>
      <c r="M89" s="215" t="s">
        <v>2805</v>
      </c>
      <c r="N89" s="215" t="s">
        <v>297</v>
      </c>
      <c r="O89" s="157" t="s">
        <v>62</v>
      </c>
      <c r="P89" s="92"/>
      <c r="Q89" s="145" t="s">
        <v>62</v>
      </c>
      <c r="R89" s="92"/>
      <c r="S89" s="145" t="s">
        <v>62</v>
      </c>
      <c r="T89" s="92"/>
      <c r="U89" s="145" t="s">
        <v>62</v>
      </c>
      <c r="V89" s="92"/>
      <c r="W89" s="145" t="s">
        <v>62</v>
      </c>
      <c r="X89" s="92"/>
      <c r="Y89" s="145" t="s">
        <v>62</v>
      </c>
      <c r="Z89" s="92"/>
      <c r="AA89" s="145" t="s">
        <v>62</v>
      </c>
      <c r="AB89" s="64"/>
      <c r="AC89" s="145" t="s">
        <v>62</v>
      </c>
      <c r="AD89" s="64"/>
      <c r="AE89" s="145" t="s">
        <v>62</v>
      </c>
      <c r="AF89" s="196" t="str">
        <f t="shared" si="8"/>
        <v>NA</v>
      </c>
      <c r="AG89" s="155" t="str">
        <f t="shared" si="7"/>
        <v>NÃO AVALIADO POR FALHA DE SINCRONISMO</v>
      </c>
      <c r="AH89" s="9"/>
      <c r="AI89" s="282" t="str">
        <f t="shared" si="6"/>
        <v>SÃO PAULO</v>
      </c>
      <c r="AJ89" s="283" t="s">
        <v>6</v>
      </c>
      <c r="AK89" s="281"/>
    </row>
    <row r="90" spans="1:37" ht="30" customHeight="1">
      <c r="A90" s="215" t="s">
        <v>198</v>
      </c>
      <c r="B90" s="215">
        <v>2619332992</v>
      </c>
      <c r="C90" s="215" t="s">
        <v>141</v>
      </c>
      <c r="D90" s="215" t="s">
        <v>68</v>
      </c>
      <c r="E90" s="215" t="s">
        <v>5</v>
      </c>
      <c r="F90" s="215" t="s">
        <v>1560</v>
      </c>
      <c r="G90" s="215">
        <v>265</v>
      </c>
      <c r="H90" s="215" t="s">
        <v>200</v>
      </c>
      <c r="I90" s="215" t="s">
        <v>1561</v>
      </c>
      <c r="J90" s="215" t="s">
        <v>2713</v>
      </c>
      <c r="K90" s="219" t="s">
        <v>2811</v>
      </c>
      <c r="L90" s="215" t="s">
        <v>2812</v>
      </c>
      <c r="M90" s="215" t="s">
        <v>2813</v>
      </c>
      <c r="N90" s="215" t="s">
        <v>297</v>
      </c>
      <c r="O90" s="157" t="s">
        <v>205</v>
      </c>
      <c r="P90" s="92"/>
      <c r="Q90" s="145" t="s">
        <v>205</v>
      </c>
      <c r="R90" s="92"/>
      <c r="S90" s="145" t="s">
        <v>205</v>
      </c>
      <c r="T90" s="92"/>
      <c r="U90" s="145" t="s">
        <v>205</v>
      </c>
      <c r="V90" s="92"/>
      <c r="W90" s="145" t="s">
        <v>205</v>
      </c>
      <c r="X90" s="92"/>
      <c r="Y90" s="145" t="s">
        <v>205</v>
      </c>
      <c r="Z90" s="92"/>
      <c r="AA90" s="145" t="s">
        <v>205</v>
      </c>
      <c r="AB90" s="64"/>
      <c r="AC90" s="145" t="s">
        <v>239</v>
      </c>
      <c r="AD90" s="64" t="s">
        <v>390</v>
      </c>
      <c r="AE90" s="145" t="s">
        <v>205</v>
      </c>
      <c r="AF90" s="196" t="str">
        <f t="shared" si="8"/>
        <v>NC</v>
      </c>
      <c r="AG90" s="155" t="str">
        <f t="shared" si="7"/>
        <v>UTILIZOU O PDA CORRETAMENTE. NÃO HÁ FOTOS DE TODAS AS ETAPAS</v>
      </c>
      <c r="AH90" s="9"/>
      <c r="AI90" s="282" t="str">
        <f t="shared" si="6"/>
        <v>SÃO PAULO</v>
      </c>
      <c r="AJ90" s="283" t="s">
        <v>6</v>
      </c>
      <c r="AK90" s="281"/>
    </row>
    <row r="91" spans="1:37" ht="30" customHeight="1">
      <c r="A91" s="215" t="s">
        <v>198</v>
      </c>
      <c r="B91" s="215">
        <v>2619356921</v>
      </c>
      <c r="C91" s="215" t="s">
        <v>141</v>
      </c>
      <c r="D91" s="215" t="s">
        <v>68</v>
      </c>
      <c r="E91" s="215" t="s">
        <v>5</v>
      </c>
      <c r="F91" s="215" t="s">
        <v>1629</v>
      </c>
      <c r="G91" s="215">
        <v>2839</v>
      </c>
      <c r="H91" s="215"/>
      <c r="I91" s="215" t="s">
        <v>448</v>
      </c>
      <c r="J91" s="215" t="s">
        <v>2713</v>
      </c>
      <c r="K91" s="219" t="s">
        <v>2814</v>
      </c>
      <c r="L91" s="215" t="s">
        <v>2804</v>
      </c>
      <c r="M91" s="215" t="s">
        <v>2805</v>
      </c>
      <c r="N91" s="215" t="s">
        <v>297</v>
      </c>
      <c r="O91" s="157" t="s">
        <v>205</v>
      </c>
      <c r="P91" s="92"/>
      <c r="Q91" s="145" t="s">
        <v>205</v>
      </c>
      <c r="R91" s="92"/>
      <c r="S91" s="145" t="s">
        <v>205</v>
      </c>
      <c r="T91" s="92"/>
      <c r="U91" s="145" t="s">
        <v>206</v>
      </c>
      <c r="V91" s="92"/>
      <c r="W91" s="145" t="s">
        <v>205</v>
      </c>
      <c r="X91" s="92"/>
      <c r="Y91" s="145" t="s">
        <v>206</v>
      </c>
      <c r="Z91" s="92"/>
      <c r="AA91" s="145" t="s">
        <v>205</v>
      </c>
      <c r="AB91" s="64"/>
      <c r="AC91" s="145" t="s">
        <v>205</v>
      </c>
      <c r="AD91" s="64"/>
      <c r="AE91" s="145" t="s">
        <v>205</v>
      </c>
      <c r="AF91" s="196" t="str">
        <f t="shared" si="8"/>
        <v>NC</v>
      </c>
      <c r="AG91" s="155" t="str">
        <f t="shared" si="7"/>
        <v>UTILIZOU O PDA CORRETAMENTE. NÃO HÁ FOTOS DE TODAS AS ETAPAS</v>
      </c>
      <c r="AH91" s="9"/>
      <c r="AI91" s="282" t="str">
        <f t="shared" si="6"/>
        <v>SÃO PAULO</v>
      </c>
      <c r="AJ91" s="283" t="s">
        <v>6</v>
      </c>
      <c r="AK91" s="281"/>
    </row>
    <row r="92" spans="1:37" ht="30" customHeight="1">
      <c r="A92" s="215" t="s">
        <v>198</v>
      </c>
      <c r="B92" s="215">
        <v>2619201085</v>
      </c>
      <c r="C92" s="215" t="s">
        <v>141</v>
      </c>
      <c r="D92" s="215" t="s">
        <v>68</v>
      </c>
      <c r="E92" s="215" t="s">
        <v>5</v>
      </c>
      <c r="F92" s="215" t="s">
        <v>292</v>
      </c>
      <c r="G92" s="215">
        <v>0</v>
      </c>
      <c r="H92" s="215" t="s">
        <v>200</v>
      </c>
      <c r="I92" s="215" t="s">
        <v>260</v>
      </c>
      <c r="J92" s="215" t="s">
        <v>2713</v>
      </c>
      <c r="K92" s="219" t="s">
        <v>2815</v>
      </c>
      <c r="L92" s="215" t="s">
        <v>2804</v>
      </c>
      <c r="M92" s="215" t="s">
        <v>2805</v>
      </c>
      <c r="N92" s="215" t="s">
        <v>297</v>
      </c>
      <c r="O92" s="157" t="s">
        <v>205</v>
      </c>
      <c r="P92" s="92"/>
      <c r="Q92" s="145" t="s">
        <v>205</v>
      </c>
      <c r="R92" s="92"/>
      <c r="S92" s="145" t="s">
        <v>205</v>
      </c>
      <c r="T92" s="92"/>
      <c r="U92" s="145" t="s">
        <v>205</v>
      </c>
      <c r="V92" s="92"/>
      <c r="W92" s="145" t="s">
        <v>205</v>
      </c>
      <c r="X92" s="92"/>
      <c r="Y92" s="145" t="s">
        <v>205</v>
      </c>
      <c r="Z92" s="92"/>
      <c r="AA92" s="145" t="s">
        <v>205</v>
      </c>
      <c r="AB92" s="64"/>
      <c r="AC92" s="145" t="s">
        <v>205</v>
      </c>
      <c r="AD92" s="64"/>
      <c r="AE92" s="145" t="s">
        <v>205</v>
      </c>
      <c r="AF92" s="196" t="str">
        <f t="shared" si="8"/>
        <v>C</v>
      </c>
      <c r="AG92" s="155" t="str">
        <f t="shared" si="7"/>
        <v>UTILIZOU O PDA CORRETAMENTE</v>
      </c>
      <c r="AH92" s="9"/>
      <c r="AI92" s="282" t="str">
        <f t="shared" si="6"/>
        <v>SÃO PAULO</v>
      </c>
      <c r="AJ92" s="283" t="s">
        <v>6</v>
      </c>
      <c r="AK92" s="281"/>
    </row>
    <row r="93" spans="1:37" ht="30" customHeight="1">
      <c r="A93" s="228" t="s">
        <v>198</v>
      </c>
      <c r="B93" s="228">
        <v>2619975560</v>
      </c>
      <c r="C93" s="228" t="s">
        <v>141</v>
      </c>
      <c r="D93" s="228" t="s">
        <v>68</v>
      </c>
      <c r="E93" s="228" t="s">
        <v>5</v>
      </c>
      <c r="F93" s="228" t="s">
        <v>1599</v>
      </c>
      <c r="G93" s="228">
        <v>6500</v>
      </c>
      <c r="H93" s="228"/>
      <c r="I93" s="228" t="s">
        <v>626</v>
      </c>
      <c r="J93" s="228" t="s">
        <v>2713</v>
      </c>
      <c r="K93" s="229" t="s">
        <v>2816</v>
      </c>
      <c r="L93" s="228" t="s">
        <v>2804</v>
      </c>
      <c r="M93" s="228" t="s">
        <v>2805</v>
      </c>
      <c r="N93" s="228" t="s">
        <v>297</v>
      </c>
      <c r="O93" s="157" t="s">
        <v>205</v>
      </c>
      <c r="P93" s="92"/>
      <c r="Q93" s="145" t="s">
        <v>205</v>
      </c>
      <c r="R93" s="92"/>
      <c r="S93" s="145" t="s">
        <v>205</v>
      </c>
      <c r="T93" s="92"/>
      <c r="U93" s="145" t="s">
        <v>205</v>
      </c>
      <c r="V93" s="92"/>
      <c r="W93" s="145" t="s">
        <v>205</v>
      </c>
      <c r="X93" s="92"/>
      <c r="Y93" s="145" t="s">
        <v>205</v>
      </c>
      <c r="Z93" s="92"/>
      <c r="AA93" s="145" t="s">
        <v>205</v>
      </c>
      <c r="AB93" s="64"/>
      <c r="AC93" s="145" t="s">
        <v>205</v>
      </c>
      <c r="AD93" s="64"/>
      <c r="AE93" s="145" t="s">
        <v>205</v>
      </c>
      <c r="AF93" s="196" t="str">
        <f t="shared" si="8"/>
        <v>C</v>
      </c>
      <c r="AG93" s="155" t="str">
        <f t="shared" si="7"/>
        <v>UTILIZOU O PDA CORRETAMENTE</v>
      </c>
      <c r="AH93" s="9"/>
      <c r="AI93" s="282" t="str">
        <f t="shared" si="6"/>
        <v>SÃO PAULO</v>
      </c>
      <c r="AJ93" s="283" t="s">
        <v>6</v>
      </c>
      <c r="AK93" s="281"/>
    </row>
    <row r="94" spans="1:37" ht="30" customHeight="1">
      <c r="A94" s="215" t="s">
        <v>198</v>
      </c>
      <c r="B94" s="215">
        <v>2620846882</v>
      </c>
      <c r="C94" s="215" t="s">
        <v>139</v>
      </c>
      <c r="D94" s="215" t="s">
        <v>68</v>
      </c>
      <c r="E94" s="215" t="s">
        <v>5</v>
      </c>
      <c r="F94" s="215" t="s">
        <v>1694</v>
      </c>
      <c r="G94" s="215">
        <v>251</v>
      </c>
      <c r="H94" s="215"/>
      <c r="I94" s="215" t="s">
        <v>1695</v>
      </c>
      <c r="J94" s="215" t="s">
        <v>2713</v>
      </c>
      <c r="K94" s="219" t="s">
        <v>2817</v>
      </c>
      <c r="L94" s="215" t="s">
        <v>2818</v>
      </c>
      <c r="M94" s="215" t="s">
        <v>2819</v>
      </c>
      <c r="N94" s="215" t="s">
        <v>297</v>
      </c>
      <c r="O94" s="157" t="s">
        <v>205</v>
      </c>
      <c r="P94" s="92"/>
      <c r="Q94" s="145" t="s">
        <v>205</v>
      </c>
      <c r="R94" s="92"/>
      <c r="S94" s="145" t="s">
        <v>205</v>
      </c>
      <c r="T94" s="92"/>
      <c r="U94" s="145" t="s">
        <v>205</v>
      </c>
      <c r="V94" s="92"/>
      <c r="W94" s="145" t="s">
        <v>205</v>
      </c>
      <c r="X94" s="92"/>
      <c r="Y94" s="145" t="s">
        <v>205</v>
      </c>
      <c r="Z94" s="92"/>
      <c r="AA94" s="145" t="s">
        <v>205</v>
      </c>
      <c r="AB94" s="64"/>
      <c r="AC94" s="145" t="s">
        <v>205</v>
      </c>
      <c r="AD94" s="64"/>
      <c r="AE94" s="145" t="s">
        <v>205</v>
      </c>
      <c r="AF94" s="196" t="str">
        <f t="shared" si="8"/>
        <v>C</v>
      </c>
      <c r="AG94" s="155" t="str">
        <f t="shared" si="7"/>
        <v>UTILIZOU O PDA CORRETAMENTE</v>
      </c>
      <c r="AH94" s="9"/>
      <c r="AI94" s="282" t="str">
        <f t="shared" si="6"/>
        <v>SÃO PAULO</v>
      </c>
      <c r="AJ94" s="283" t="s">
        <v>6</v>
      </c>
      <c r="AK94" s="281"/>
    </row>
    <row r="95" spans="1:37" ht="30" customHeight="1">
      <c r="A95" s="215" t="s">
        <v>198</v>
      </c>
      <c r="B95" s="215">
        <v>2619474265</v>
      </c>
      <c r="C95" s="215" t="s">
        <v>142</v>
      </c>
      <c r="D95" s="215" t="s">
        <v>68</v>
      </c>
      <c r="E95" s="215" t="s">
        <v>5</v>
      </c>
      <c r="F95" s="215" t="s">
        <v>332</v>
      </c>
      <c r="G95" s="215">
        <v>198</v>
      </c>
      <c r="H95" s="215" t="s">
        <v>200</v>
      </c>
      <c r="I95" s="215" t="s">
        <v>333</v>
      </c>
      <c r="J95" s="215" t="s">
        <v>2718</v>
      </c>
      <c r="K95" s="219" t="s">
        <v>2772</v>
      </c>
      <c r="L95" s="215" t="s">
        <v>2820</v>
      </c>
      <c r="M95" s="215" t="s">
        <v>2821</v>
      </c>
      <c r="N95" s="215" t="s">
        <v>2715</v>
      </c>
      <c r="O95" s="157" t="s">
        <v>62</v>
      </c>
      <c r="P95" s="92"/>
      <c r="Q95" s="145" t="s">
        <v>62</v>
      </c>
      <c r="R95" s="92"/>
      <c r="S95" s="145" t="s">
        <v>62</v>
      </c>
      <c r="T95" s="92"/>
      <c r="U95" s="145" t="s">
        <v>62</v>
      </c>
      <c r="V95" s="92"/>
      <c r="W95" s="145" t="s">
        <v>62</v>
      </c>
      <c r="X95" s="92"/>
      <c r="Y95" s="145" t="s">
        <v>62</v>
      </c>
      <c r="Z95" s="92"/>
      <c r="AA95" s="145" t="s">
        <v>62</v>
      </c>
      <c r="AB95" s="64"/>
      <c r="AC95" s="145" t="s">
        <v>62</v>
      </c>
      <c r="AD95" s="64"/>
      <c r="AE95" s="145" t="s">
        <v>62</v>
      </c>
      <c r="AF95" s="196" t="str">
        <f t="shared" si="8"/>
        <v>NA</v>
      </c>
      <c r="AG95" s="155" t="str">
        <f t="shared" si="7"/>
        <v>NÃO AVALIADO POR FALHA DE SINCRONISMO</v>
      </c>
      <c r="AH95" s="9"/>
      <c r="AI95" s="282" t="str">
        <f t="shared" si="6"/>
        <v>SÃO PAULO</v>
      </c>
      <c r="AJ95" s="283" t="s">
        <v>6</v>
      </c>
      <c r="AK95" s="281"/>
    </row>
    <row r="96" spans="1:37" ht="30" customHeight="1">
      <c r="A96" s="215" t="s">
        <v>198</v>
      </c>
      <c r="B96" s="215">
        <v>2619824616</v>
      </c>
      <c r="C96" s="215" t="s">
        <v>142</v>
      </c>
      <c r="D96" s="215" t="s">
        <v>68</v>
      </c>
      <c r="E96" s="215" t="s">
        <v>5</v>
      </c>
      <c r="F96" s="215" t="s">
        <v>332</v>
      </c>
      <c r="G96" s="215">
        <v>221</v>
      </c>
      <c r="H96" s="215" t="s">
        <v>226</v>
      </c>
      <c r="I96" s="215" t="s">
        <v>333</v>
      </c>
      <c r="J96" s="215" t="s">
        <v>2718</v>
      </c>
      <c r="K96" s="219" t="s">
        <v>2772</v>
      </c>
      <c r="L96" s="215" t="s">
        <v>2818</v>
      </c>
      <c r="M96" s="215" t="s">
        <v>2819</v>
      </c>
      <c r="N96" s="215" t="s">
        <v>2715</v>
      </c>
      <c r="O96" s="157" t="s">
        <v>62</v>
      </c>
      <c r="P96" s="92"/>
      <c r="Q96" s="145" t="s">
        <v>62</v>
      </c>
      <c r="R96" s="92"/>
      <c r="S96" s="145" t="s">
        <v>62</v>
      </c>
      <c r="T96" s="92"/>
      <c r="U96" s="145" t="s">
        <v>62</v>
      </c>
      <c r="V96" s="92"/>
      <c r="W96" s="145" t="s">
        <v>62</v>
      </c>
      <c r="X96" s="92"/>
      <c r="Y96" s="145" t="s">
        <v>62</v>
      </c>
      <c r="Z96" s="92"/>
      <c r="AA96" s="145" t="s">
        <v>62</v>
      </c>
      <c r="AB96" s="64"/>
      <c r="AC96" s="145" t="s">
        <v>62</v>
      </c>
      <c r="AD96" s="64"/>
      <c r="AE96" s="145" t="s">
        <v>62</v>
      </c>
      <c r="AF96" s="196" t="str">
        <f t="shared" si="8"/>
        <v>NA</v>
      </c>
      <c r="AG96" s="155" t="str">
        <f t="shared" si="7"/>
        <v>NÃO AVALIADO POR FALHA DE SINCRONISMO</v>
      </c>
      <c r="AH96" s="9"/>
      <c r="AI96" s="282" t="str">
        <f t="shared" si="6"/>
        <v>SÃO PAULO</v>
      </c>
      <c r="AJ96" s="283" t="s">
        <v>6</v>
      </c>
      <c r="AK96" s="281"/>
    </row>
    <row r="97" spans="1:37" ht="30" customHeight="1">
      <c r="A97" s="215" t="s">
        <v>198</v>
      </c>
      <c r="B97" s="215">
        <v>2620250211</v>
      </c>
      <c r="C97" s="215" t="s">
        <v>142</v>
      </c>
      <c r="D97" s="215" t="s">
        <v>68</v>
      </c>
      <c r="E97" s="215" t="s">
        <v>5</v>
      </c>
      <c r="F97" s="215" t="s">
        <v>332</v>
      </c>
      <c r="G97" s="215">
        <v>597</v>
      </c>
      <c r="H97" s="215" t="s">
        <v>318</v>
      </c>
      <c r="I97" s="215" t="s">
        <v>567</v>
      </c>
      <c r="J97" s="215" t="s">
        <v>2718</v>
      </c>
      <c r="K97" s="219" t="s">
        <v>2772</v>
      </c>
      <c r="L97" s="215" t="s">
        <v>2818</v>
      </c>
      <c r="M97" s="215" t="s">
        <v>2819</v>
      </c>
      <c r="N97" s="215" t="s">
        <v>2715</v>
      </c>
      <c r="O97" s="157" t="s">
        <v>62</v>
      </c>
      <c r="P97" s="92"/>
      <c r="Q97" s="145" t="s">
        <v>62</v>
      </c>
      <c r="R97" s="92"/>
      <c r="S97" s="145" t="s">
        <v>62</v>
      </c>
      <c r="T97" s="92"/>
      <c r="U97" s="145" t="s">
        <v>62</v>
      </c>
      <c r="V97" s="92"/>
      <c r="W97" s="145" t="s">
        <v>62</v>
      </c>
      <c r="X97" s="92"/>
      <c r="Y97" s="145" t="s">
        <v>62</v>
      </c>
      <c r="Z97" s="92"/>
      <c r="AA97" s="145" t="s">
        <v>62</v>
      </c>
      <c r="AB97" s="64"/>
      <c r="AC97" s="145" t="s">
        <v>62</v>
      </c>
      <c r="AD97" s="64"/>
      <c r="AE97" s="145" t="s">
        <v>62</v>
      </c>
      <c r="AF97" s="196" t="str">
        <f t="shared" si="8"/>
        <v>NA</v>
      </c>
      <c r="AG97" s="155" t="str">
        <f t="shared" si="7"/>
        <v>NÃO AVALIADO POR FALHA DE SINCRONISMO</v>
      </c>
      <c r="AH97" s="9"/>
      <c r="AI97" s="282" t="str">
        <f t="shared" si="6"/>
        <v>SÃO PAULO</v>
      </c>
      <c r="AJ97" s="283" t="s">
        <v>6</v>
      </c>
      <c r="AK97" s="281"/>
    </row>
    <row r="98" spans="1:37" ht="30" customHeight="1">
      <c r="A98" s="215" t="s">
        <v>198</v>
      </c>
      <c r="B98" s="215">
        <v>2620249869</v>
      </c>
      <c r="C98" s="215" t="s">
        <v>142</v>
      </c>
      <c r="D98" s="215" t="s">
        <v>68</v>
      </c>
      <c r="E98" s="215" t="s">
        <v>5</v>
      </c>
      <c r="F98" s="215" t="s">
        <v>332</v>
      </c>
      <c r="G98" s="215">
        <v>609</v>
      </c>
      <c r="H98" s="215" t="s">
        <v>200</v>
      </c>
      <c r="I98" s="215" t="s">
        <v>333</v>
      </c>
      <c r="J98" s="215" t="s">
        <v>2718</v>
      </c>
      <c r="K98" s="219" t="s">
        <v>2772</v>
      </c>
      <c r="L98" s="215" t="s">
        <v>2818</v>
      </c>
      <c r="M98" s="215" t="s">
        <v>2819</v>
      </c>
      <c r="N98" s="215" t="s">
        <v>2715</v>
      </c>
      <c r="O98" s="157" t="s">
        <v>62</v>
      </c>
      <c r="P98" s="92"/>
      <c r="Q98" s="145" t="s">
        <v>62</v>
      </c>
      <c r="R98" s="92"/>
      <c r="S98" s="145" t="s">
        <v>62</v>
      </c>
      <c r="T98" s="92"/>
      <c r="U98" s="145" t="s">
        <v>62</v>
      </c>
      <c r="V98" s="92"/>
      <c r="W98" s="145" t="s">
        <v>62</v>
      </c>
      <c r="X98" s="92"/>
      <c r="Y98" s="145" t="s">
        <v>62</v>
      </c>
      <c r="Z98" s="92"/>
      <c r="AA98" s="145" t="s">
        <v>62</v>
      </c>
      <c r="AB98" s="64"/>
      <c r="AC98" s="145" t="s">
        <v>62</v>
      </c>
      <c r="AD98" s="64"/>
      <c r="AE98" s="145" t="s">
        <v>62</v>
      </c>
      <c r="AF98" s="196" t="str">
        <f t="shared" si="8"/>
        <v>NA</v>
      </c>
      <c r="AG98" s="155" t="str">
        <f t="shared" si="7"/>
        <v>NÃO AVALIADO POR FALHA DE SINCRONISMO</v>
      </c>
      <c r="AH98" s="9"/>
      <c r="AI98" s="282" t="str">
        <f t="shared" si="6"/>
        <v>SÃO PAULO</v>
      </c>
      <c r="AJ98" s="283" t="s">
        <v>6</v>
      </c>
      <c r="AK98" s="281"/>
    </row>
    <row r="99" spans="1:37" ht="30" customHeight="1">
      <c r="A99" s="215" t="s">
        <v>198</v>
      </c>
      <c r="B99" s="215">
        <v>2619301315</v>
      </c>
      <c r="C99" s="215" t="s">
        <v>141</v>
      </c>
      <c r="D99" s="215" t="s">
        <v>68</v>
      </c>
      <c r="E99" s="215" t="s">
        <v>5</v>
      </c>
      <c r="F99" s="215" t="s">
        <v>513</v>
      </c>
      <c r="G99" s="215">
        <v>3147</v>
      </c>
      <c r="H99" s="215"/>
      <c r="I99" s="215" t="s">
        <v>251</v>
      </c>
      <c r="J99" s="215" t="s">
        <v>2713</v>
      </c>
      <c r="K99" s="219" t="s">
        <v>2822</v>
      </c>
      <c r="L99" s="215" t="s">
        <v>2818</v>
      </c>
      <c r="M99" s="215" t="s">
        <v>2819</v>
      </c>
      <c r="N99" s="215" t="s">
        <v>2073</v>
      </c>
      <c r="O99" s="157" t="s">
        <v>62</v>
      </c>
      <c r="P99" s="92"/>
      <c r="Q99" s="145" t="s">
        <v>62</v>
      </c>
      <c r="R99" s="92"/>
      <c r="S99" s="145" t="s">
        <v>62</v>
      </c>
      <c r="T99" s="92"/>
      <c r="U99" s="145" t="s">
        <v>62</v>
      </c>
      <c r="V99" s="92"/>
      <c r="W99" s="145" t="s">
        <v>62</v>
      </c>
      <c r="X99" s="92"/>
      <c r="Y99" s="145" t="s">
        <v>62</v>
      </c>
      <c r="Z99" s="92"/>
      <c r="AA99" s="145" t="s">
        <v>62</v>
      </c>
      <c r="AB99" s="64"/>
      <c r="AC99" s="145" t="s">
        <v>62</v>
      </c>
      <c r="AD99" s="64"/>
      <c r="AE99" s="145" t="s">
        <v>62</v>
      </c>
      <c r="AF99" s="196" t="str">
        <f t="shared" si="8"/>
        <v>NA</v>
      </c>
      <c r="AG99" s="155" t="str">
        <f t="shared" si="7"/>
        <v>NÃO AVALIADO POR FALHA DE SINCRONISMO</v>
      </c>
      <c r="AH99" s="9"/>
      <c r="AI99" s="282" t="str">
        <f t="shared" si="6"/>
        <v>SÃO PAULO</v>
      </c>
      <c r="AJ99" s="283" t="s">
        <v>6</v>
      </c>
      <c r="AK99" s="281"/>
    </row>
    <row r="100" spans="1:37" ht="30" customHeight="1">
      <c r="A100" s="215" t="s">
        <v>198</v>
      </c>
      <c r="B100" s="215">
        <v>2620382150</v>
      </c>
      <c r="C100" s="215" t="s">
        <v>141</v>
      </c>
      <c r="D100" s="215" t="s">
        <v>68</v>
      </c>
      <c r="E100" s="215" t="s">
        <v>5</v>
      </c>
      <c r="F100" s="215" t="s">
        <v>513</v>
      </c>
      <c r="G100" s="215">
        <v>226</v>
      </c>
      <c r="H100" s="215" t="s">
        <v>1674</v>
      </c>
      <c r="I100" s="215" t="s">
        <v>251</v>
      </c>
      <c r="J100" s="215" t="s">
        <v>2713</v>
      </c>
      <c r="K100" s="219" t="s">
        <v>2823</v>
      </c>
      <c r="L100" s="215" t="s">
        <v>2818</v>
      </c>
      <c r="M100" s="215" t="s">
        <v>2819</v>
      </c>
      <c r="N100" s="215" t="s">
        <v>2073</v>
      </c>
      <c r="O100" s="157" t="s">
        <v>62</v>
      </c>
      <c r="P100" s="92"/>
      <c r="Q100" s="145" t="s">
        <v>62</v>
      </c>
      <c r="R100" s="92"/>
      <c r="S100" s="145" t="s">
        <v>62</v>
      </c>
      <c r="T100" s="92"/>
      <c r="U100" s="145" t="s">
        <v>62</v>
      </c>
      <c r="V100" s="92"/>
      <c r="W100" s="145" t="s">
        <v>62</v>
      </c>
      <c r="X100" s="92"/>
      <c r="Y100" s="145" t="s">
        <v>62</v>
      </c>
      <c r="Z100" s="92"/>
      <c r="AA100" s="145" t="s">
        <v>62</v>
      </c>
      <c r="AB100" s="64"/>
      <c r="AC100" s="145" t="s">
        <v>62</v>
      </c>
      <c r="AD100" s="64"/>
      <c r="AE100" s="145" t="s">
        <v>62</v>
      </c>
      <c r="AF100" s="196" t="str">
        <f t="shared" si="8"/>
        <v>NA</v>
      </c>
      <c r="AG100" s="155" t="str">
        <f t="shared" si="7"/>
        <v>NÃO AVALIADO POR FALHA DE SINCRONISMO</v>
      </c>
      <c r="AH100" s="9"/>
      <c r="AI100" s="282" t="str">
        <f t="shared" si="6"/>
        <v>SÃO PAULO</v>
      </c>
      <c r="AJ100" s="283" t="s">
        <v>6</v>
      </c>
      <c r="AK100" s="281"/>
    </row>
    <row r="101" spans="1:37" ht="30" customHeight="1">
      <c r="A101" s="215" t="s">
        <v>198</v>
      </c>
      <c r="B101" s="215">
        <v>2619831939</v>
      </c>
      <c r="C101" s="215" t="s">
        <v>142</v>
      </c>
      <c r="D101" s="215" t="s">
        <v>68</v>
      </c>
      <c r="E101" s="215" t="s">
        <v>5</v>
      </c>
      <c r="F101" s="215" t="s">
        <v>585</v>
      </c>
      <c r="G101" s="215">
        <v>13</v>
      </c>
      <c r="H101" s="215" t="s">
        <v>318</v>
      </c>
      <c r="I101" s="215" t="s">
        <v>215</v>
      </c>
      <c r="J101" s="215" t="s">
        <v>2718</v>
      </c>
      <c r="K101" s="219" t="s">
        <v>2824</v>
      </c>
      <c r="L101" s="215" t="s">
        <v>2820</v>
      </c>
      <c r="M101" s="215" t="s">
        <v>2821</v>
      </c>
      <c r="N101" s="215" t="s">
        <v>2073</v>
      </c>
      <c r="O101" s="157" t="s">
        <v>62</v>
      </c>
      <c r="P101" s="92"/>
      <c r="Q101" s="145" t="s">
        <v>62</v>
      </c>
      <c r="R101" s="92"/>
      <c r="S101" s="145" t="s">
        <v>62</v>
      </c>
      <c r="T101" s="92"/>
      <c r="U101" s="145" t="s">
        <v>62</v>
      </c>
      <c r="V101" s="92"/>
      <c r="W101" s="145" t="s">
        <v>62</v>
      </c>
      <c r="X101" s="92"/>
      <c r="Y101" s="145" t="s">
        <v>62</v>
      </c>
      <c r="Z101" s="92"/>
      <c r="AA101" s="145" t="s">
        <v>62</v>
      </c>
      <c r="AB101" s="64"/>
      <c r="AC101" s="145" t="s">
        <v>62</v>
      </c>
      <c r="AD101" s="64"/>
      <c r="AE101" s="145" t="s">
        <v>62</v>
      </c>
      <c r="AF101" s="196" t="str">
        <f t="shared" si="8"/>
        <v>NA</v>
      </c>
      <c r="AG101" s="155" t="str">
        <f t="shared" si="7"/>
        <v>NÃO AVALIADO POR FALHA DE SINCRONISMO</v>
      </c>
      <c r="AH101" s="9"/>
      <c r="AI101" s="282" t="str">
        <f t="shared" si="6"/>
        <v>SÃO PAULO</v>
      </c>
      <c r="AJ101" s="283" t="s">
        <v>6</v>
      </c>
      <c r="AK101" s="281"/>
    </row>
    <row r="102" spans="1:37" ht="30" customHeight="1">
      <c r="A102" s="215" t="s">
        <v>198</v>
      </c>
      <c r="B102" s="215">
        <v>2619832294</v>
      </c>
      <c r="C102" s="215" t="s">
        <v>142</v>
      </c>
      <c r="D102" s="215" t="s">
        <v>68</v>
      </c>
      <c r="E102" s="215" t="s">
        <v>5</v>
      </c>
      <c r="F102" s="215" t="s">
        <v>585</v>
      </c>
      <c r="G102" s="215">
        <v>17</v>
      </c>
      <c r="H102" s="215" t="s">
        <v>226</v>
      </c>
      <c r="I102" s="215" t="s">
        <v>620</v>
      </c>
      <c r="J102" s="215" t="s">
        <v>2718</v>
      </c>
      <c r="K102" s="219" t="s">
        <v>2825</v>
      </c>
      <c r="L102" s="215" t="s">
        <v>2818</v>
      </c>
      <c r="M102" s="215" t="s">
        <v>2819</v>
      </c>
      <c r="N102" s="215" t="s">
        <v>2073</v>
      </c>
      <c r="O102" s="157" t="s">
        <v>62</v>
      </c>
      <c r="P102" s="92"/>
      <c r="Q102" s="145" t="s">
        <v>62</v>
      </c>
      <c r="R102" s="92"/>
      <c r="S102" s="145" t="s">
        <v>62</v>
      </c>
      <c r="T102" s="92"/>
      <c r="U102" s="145" t="s">
        <v>62</v>
      </c>
      <c r="V102" s="92"/>
      <c r="W102" s="145" t="s">
        <v>62</v>
      </c>
      <c r="X102" s="92"/>
      <c r="Y102" s="145" t="s">
        <v>62</v>
      </c>
      <c r="Z102" s="92"/>
      <c r="AA102" s="145" t="s">
        <v>62</v>
      </c>
      <c r="AB102" s="64"/>
      <c r="AC102" s="145" t="s">
        <v>62</v>
      </c>
      <c r="AD102" s="64"/>
      <c r="AE102" s="145" t="s">
        <v>62</v>
      </c>
      <c r="AF102" s="196" t="str">
        <f t="shared" si="8"/>
        <v>NA</v>
      </c>
      <c r="AG102" s="155" t="str">
        <f t="shared" si="7"/>
        <v>NÃO AVALIADO POR FALHA DE SINCRONISMO</v>
      </c>
      <c r="AH102" s="9"/>
      <c r="AI102" s="282" t="str">
        <f t="shared" si="6"/>
        <v>SÃO PAULO</v>
      </c>
      <c r="AJ102" s="283" t="s">
        <v>6</v>
      </c>
      <c r="AK102" s="281"/>
    </row>
    <row r="103" spans="1:37" ht="30" customHeight="1">
      <c r="A103" s="215" t="s">
        <v>198</v>
      </c>
      <c r="B103" s="215">
        <v>2619959107</v>
      </c>
      <c r="C103" s="215" t="s">
        <v>141</v>
      </c>
      <c r="D103" s="215" t="s">
        <v>68</v>
      </c>
      <c r="E103" s="215" t="s">
        <v>5</v>
      </c>
      <c r="F103" s="215" t="s">
        <v>1574</v>
      </c>
      <c r="G103" s="215">
        <v>246</v>
      </c>
      <c r="H103" s="215" t="s">
        <v>200</v>
      </c>
      <c r="I103" s="215" t="s">
        <v>1575</v>
      </c>
      <c r="J103" s="215" t="s">
        <v>2713</v>
      </c>
      <c r="K103" s="219" t="s">
        <v>2826</v>
      </c>
      <c r="L103" s="215" t="s">
        <v>2820</v>
      </c>
      <c r="M103" s="215" t="s">
        <v>2821</v>
      </c>
      <c r="N103" s="215" t="s">
        <v>297</v>
      </c>
      <c r="O103" s="157" t="s">
        <v>205</v>
      </c>
      <c r="P103" s="92"/>
      <c r="Q103" s="145" t="s">
        <v>205</v>
      </c>
      <c r="R103" s="92"/>
      <c r="S103" s="145" t="s">
        <v>205</v>
      </c>
      <c r="T103" s="92"/>
      <c r="U103" s="145" t="s">
        <v>205</v>
      </c>
      <c r="V103" s="92"/>
      <c r="W103" s="145" t="s">
        <v>205</v>
      </c>
      <c r="X103" s="92"/>
      <c r="Y103" s="145" t="s">
        <v>205</v>
      </c>
      <c r="Z103" s="92"/>
      <c r="AA103" s="145" t="s">
        <v>205</v>
      </c>
      <c r="AB103" s="64"/>
      <c r="AC103" s="145" t="s">
        <v>239</v>
      </c>
      <c r="AD103" s="64" t="s">
        <v>390</v>
      </c>
      <c r="AE103" s="145" t="s">
        <v>205</v>
      </c>
      <c r="AF103" s="196" t="str">
        <f t="shared" si="8"/>
        <v>NC</v>
      </c>
      <c r="AG103" s="155" t="str">
        <f t="shared" si="7"/>
        <v>UTILIZOU O PDA CORRETAMENTE. NÃO HÁ FOTOS DE TODAS AS ETAPAS</v>
      </c>
      <c r="AH103" s="9"/>
      <c r="AI103" s="282" t="str">
        <f t="shared" si="6"/>
        <v>SÃO PAULO</v>
      </c>
      <c r="AJ103" s="283" t="s">
        <v>6</v>
      </c>
      <c r="AK103" s="281"/>
    </row>
    <row r="104" spans="1:37" ht="30" customHeight="1">
      <c r="A104" s="228" t="s">
        <v>198</v>
      </c>
      <c r="B104" s="228">
        <v>2620205908</v>
      </c>
      <c r="C104" s="228" t="s">
        <v>141</v>
      </c>
      <c r="D104" s="228" t="s">
        <v>68</v>
      </c>
      <c r="E104" s="228" t="s">
        <v>5</v>
      </c>
      <c r="F104" s="228" t="s">
        <v>788</v>
      </c>
      <c r="G104" s="228">
        <v>40</v>
      </c>
      <c r="H104" s="228"/>
      <c r="I104" s="228" t="s">
        <v>789</v>
      </c>
      <c r="J104" s="228" t="s">
        <v>2713</v>
      </c>
      <c r="K104" s="229" t="s">
        <v>2827</v>
      </c>
      <c r="L104" s="228" t="s">
        <v>2818</v>
      </c>
      <c r="M104" s="228" t="s">
        <v>2819</v>
      </c>
      <c r="N104" s="228" t="s">
        <v>297</v>
      </c>
      <c r="O104" s="238" t="s">
        <v>62</v>
      </c>
      <c r="P104" s="92"/>
      <c r="Q104" s="145" t="s">
        <v>62</v>
      </c>
      <c r="R104" s="92"/>
      <c r="S104" s="145" t="s">
        <v>62</v>
      </c>
      <c r="T104" s="92"/>
      <c r="U104" s="145" t="s">
        <v>62</v>
      </c>
      <c r="V104" s="92"/>
      <c r="W104" s="145" t="s">
        <v>62</v>
      </c>
      <c r="X104" s="92"/>
      <c r="Y104" s="145" t="s">
        <v>62</v>
      </c>
      <c r="Z104" s="92"/>
      <c r="AA104" s="145" t="s">
        <v>62</v>
      </c>
      <c r="AB104" s="64"/>
      <c r="AC104" s="145" t="s">
        <v>62</v>
      </c>
      <c r="AD104" s="64"/>
      <c r="AE104" s="145" t="s">
        <v>62</v>
      </c>
      <c r="AF104" s="196" t="str">
        <f t="shared" si="8"/>
        <v>NA</v>
      </c>
      <c r="AG104" s="155" t="str">
        <f t="shared" si="7"/>
        <v>NÃO AVALIADO POR FALHA DE SINCRONISMO</v>
      </c>
      <c r="AH104" s="9"/>
      <c r="AI104" s="282" t="str">
        <f t="shared" si="6"/>
        <v>SÃO PAULO</v>
      </c>
      <c r="AJ104" s="283" t="s">
        <v>6</v>
      </c>
      <c r="AK104" s="281"/>
    </row>
    <row r="105" spans="1:37" ht="30" customHeight="1">
      <c r="A105" s="215" t="s">
        <v>198</v>
      </c>
      <c r="B105" s="215">
        <v>2620825102</v>
      </c>
      <c r="C105" s="215" t="s">
        <v>139</v>
      </c>
      <c r="D105" s="215" t="s">
        <v>68</v>
      </c>
      <c r="E105" s="215" t="s">
        <v>5</v>
      </c>
      <c r="F105" s="215" t="s">
        <v>561</v>
      </c>
      <c r="G105" s="215">
        <v>929</v>
      </c>
      <c r="H105" s="215" t="s">
        <v>2828</v>
      </c>
      <c r="I105" s="215" t="s">
        <v>343</v>
      </c>
      <c r="J105" s="215" t="s">
        <v>2713</v>
      </c>
      <c r="K105" s="219" t="s">
        <v>2829</v>
      </c>
      <c r="L105" s="215" t="s">
        <v>2830</v>
      </c>
      <c r="M105" s="215" t="s">
        <v>2831</v>
      </c>
      <c r="N105" s="215" t="s">
        <v>2832</v>
      </c>
      <c r="O105" s="215" t="s">
        <v>205</v>
      </c>
      <c r="P105" s="9"/>
      <c r="Q105" s="145" t="s">
        <v>205</v>
      </c>
      <c r="R105" s="92"/>
      <c r="S105" s="145" t="s">
        <v>205</v>
      </c>
      <c r="T105" s="92"/>
      <c r="U105" s="145" t="s">
        <v>205</v>
      </c>
      <c r="V105" s="92"/>
      <c r="W105" s="145" t="s">
        <v>206</v>
      </c>
      <c r="X105" s="92"/>
      <c r="Y105" s="145" t="s">
        <v>206</v>
      </c>
      <c r="Z105" s="92"/>
      <c r="AA105" s="145" t="s">
        <v>205</v>
      </c>
      <c r="AB105" s="64"/>
      <c r="AC105" s="145" t="s">
        <v>239</v>
      </c>
      <c r="AD105" s="64" t="s">
        <v>2833</v>
      </c>
      <c r="AE105" s="145" t="s">
        <v>205</v>
      </c>
      <c r="AF105" s="196" t="str">
        <f t="shared" si="8"/>
        <v>NC</v>
      </c>
      <c r="AG105" s="95" t="str">
        <f t="shared" si="7"/>
        <v>UTILIZOU O PDA CORRETAMENTE. NÃO HÁ FOTOS DE TODAS AS ETAPAS</v>
      </c>
      <c r="AH105" s="9"/>
      <c r="AI105" s="150" t="str">
        <f t="shared" si="6"/>
        <v>SÃO PAULO</v>
      </c>
      <c r="AJ105" s="153" t="s">
        <v>6</v>
      </c>
    </row>
    <row r="106" spans="1:37" ht="30" customHeight="1">
      <c r="A106" s="215" t="s">
        <v>198</v>
      </c>
      <c r="B106" s="215">
        <v>2619331422</v>
      </c>
      <c r="C106" s="215" t="s">
        <v>141</v>
      </c>
      <c r="D106" s="215" t="s">
        <v>68</v>
      </c>
      <c r="E106" s="215" t="s">
        <v>5</v>
      </c>
      <c r="F106" s="215" t="s">
        <v>1539</v>
      </c>
      <c r="G106" s="215">
        <v>68</v>
      </c>
      <c r="H106" s="215" t="s">
        <v>200</v>
      </c>
      <c r="I106" s="215" t="s">
        <v>1505</v>
      </c>
      <c r="J106" s="215" t="s">
        <v>2713</v>
      </c>
      <c r="K106" s="219" t="s">
        <v>2834</v>
      </c>
      <c r="L106" s="215" t="s">
        <v>2835</v>
      </c>
      <c r="M106" s="215" t="s">
        <v>2836</v>
      </c>
      <c r="N106" s="215" t="s">
        <v>2832</v>
      </c>
      <c r="O106" s="215" t="s">
        <v>205</v>
      </c>
      <c r="P106" s="9"/>
      <c r="Q106" s="145" t="s">
        <v>205</v>
      </c>
      <c r="R106" s="92"/>
      <c r="S106" s="145" t="s">
        <v>205</v>
      </c>
      <c r="T106" s="92"/>
      <c r="U106" s="145" t="s">
        <v>205</v>
      </c>
      <c r="V106" s="92"/>
      <c r="W106" s="145" t="s">
        <v>205</v>
      </c>
      <c r="X106" s="92"/>
      <c r="Y106" s="145" t="s">
        <v>206</v>
      </c>
      <c r="Z106" s="92"/>
      <c r="AA106" s="145" t="s">
        <v>205</v>
      </c>
      <c r="AB106" s="64"/>
      <c r="AC106" s="145" t="s">
        <v>239</v>
      </c>
      <c r="AD106" s="64" t="s">
        <v>390</v>
      </c>
      <c r="AE106" s="145" t="s">
        <v>205</v>
      </c>
      <c r="AF106" s="196" t="str">
        <f t="shared" si="8"/>
        <v>NC</v>
      </c>
      <c r="AG106" s="95" t="str">
        <f t="shared" si="7"/>
        <v>UTILIZOU O PDA CORRETAMENTE. NÃO HÁ FOTOS DE TODAS AS ETAPAS</v>
      </c>
      <c r="AH106" s="9"/>
      <c r="AI106" s="150" t="str">
        <f t="shared" si="6"/>
        <v>SÃO PAULO</v>
      </c>
      <c r="AJ106" s="153" t="s">
        <v>6</v>
      </c>
    </row>
    <row r="107" spans="1:37" ht="30" customHeight="1">
      <c r="A107" s="215" t="s">
        <v>198</v>
      </c>
      <c r="B107" s="215">
        <v>2621275808</v>
      </c>
      <c r="C107" s="215" t="s">
        <v>141</v>
      </c>
      <c r="D107" s="215" t="s">
        <v>68</v>
      </c>
      <c r="E107" s="215" t="s">
        <v>5</v>
      </c>
      <c r="F107" s="215" t="s">
        <v>616</v>
      </c>
      <c r="G107" s="215">
        <v>389</v>
      </c>
      <c r="H107" s="215"/>
      <c r="I107" s="215" t="s">
        <v>397</v>
      </c>
      <c r="J107" s="215" t="s">
        <v>2713</v>
      </c>
      <c r="K107" s="219" t="s">
        <v>2837</v>
      </c>
      <c r="L107" s="215" t="s">
        <v>2838</v>
      </c>
      <c r="M107" s="215" t="s">
        <v>1191</v>
      </c>
      <c r="N107" s="215" t="s">
        <v>2738</v>
      </c>
      <c r="O107" s="215" t="s">
        <v>62</v>
      </c>
      <c r="P107" s="9"/>
      <c r="Q107" s="145" t="s">
        <v>62</v>
      </c>
      <c r="R107" s="92"/>
      <c r="S107" s="145" t="s">
        <v>62</v>
      </c>
      <c r="T107" s="92"/>
      <c r="U107" s="145" t="s">
        <v>62</v>
      </c>
      <c r="V107" s="92"/>
      <c r="W107" s="145" t="s">
        <v>62</v>
      </c>
      <c r="X107" s="92"/>
      <c r="Y107" s="145" t="s">
        <v>62</v>
      </c>
      <c r="Z107" s="92"/>
      <c r="AA107" s="145" t="s">
        <v>62</v>
      </c>
      <c r="AB107" s="64"/>
      <c r="AC107" s="145" t="s">
        <v>62</v>
      </c>
      <c r="AD107" s="64" t="s">
        <v>2839</v>
      </c>
      <c r="AE107" s="145" t="s">
        <v>62</v>
      </c>
      <c r="AF107" s="196" t="str">
        <f t="shared" si="8"/>
        <v>NA</v>
      </c>
      <c r="AG107" s="95" t="str">
        <f t="shared" si="7"/>
        <v>NÃO AVALIADO POR FALHA DE SINCRONISMO</v>
      </c>
      <c r="AH107" s="9"/>
      <c r="AI107" s="150" t="str">
        <f t="shared" si="6"/>
        <v>SÃO PAULO</v>
      </c>
      <c r="AJ107" s="153" t="s">
        <v>6</v>
      </c>
    </row>
    <row r="108" spans="1:37" ht="30" customHeight="1">
      <c r="A108" s="215" t="s">
        <v>198</v>
      </c>
      <c r="B108" s="215">
        <v>2619820031</v>
      </c>
      <c r="C108" s="215" t="s">
        <v>141</v>
      </c>
      <c r="D108" s="215" t="s">
        <v>68</v>
      </c>
      <c r="E108" s="215" t="s">
        <v>5</v>
      </c>
      <c r="F108" s="215" t="s">
        <v>1625</v>
      </c>
      <c r="G108" s="215">
        <v>2687</v>
      </c>
      <c r="H108" s="215"/>
      <c r="I108" s="215" t="s">
        <v>289</v>
      </c>
      <c r="J108" s="215" t="s">
        <v>2713</v>
      </c>
      <c r="K108" s="219" t="s">
        <v>2840</v>
      </c>
      <c r="L108" s="215" t="s">
        <v>2841</v>
      </c>
      <c r="M108" s="215" t="s">
        <v>2842</v>
      </c>
      <c r="N108" s="215" t="s">
        <v>2832</v>
      </c>
      <c r="O108" s="215" t="s">
        <v>206</v>
      </c>
      <c r="P108" s="9"/>
      <c r="Q108" s="145" t="s">
        <v>205</v>
      </c>
      <c r="R108" s="92"/>
      <c r="S108" s="145" t="s">
        <v>205</v>
      </c>
      <c r="T108" s="92"/>
      <c r="U108" s="145" t="s">
        <v>205</v>
      </c>
      <c r="V108" s="92"/>
      <c r="W108" s="145" t="s">
        <v>205</v>
      </c>
      <c r="X108" s="92"/>
      <c r="Y108" s="145" t="s">
        <v>206</v>
      </c>
      <c r="Z108" s="92"/>
      <c r="AA108" s="145" t="s">
        <v>205</v>
      </c>
      <c r="AB108" s="64"/>
      <c r="AC108" s="145" t="s">
        <v>205</v>
      </c>
      <c r="AD108" s="64"/>
      <c r="AE108" s="145" t="s">
        <v>205</v>
      </c>
      <c r="AF108" s="196" t="str">
        <f t="shared" si="8"/>
        <v>NC</v>
      </c>
      <c r="AG108" s="95" t="str">
        <f t="shared" si="7"/>
        <v>UTILIZOU O PDA CORRETAMENTE. NÃO HÁ FOTOS DE TODAS AS ETAPAS</v>
      </c>
      <c r="AH108" s="9"/>
      <c r="AI108" s="150" t="str">
        <f t="shared" si="6"/>
        <v>SÃO PAULO</v>
      </c>
      <c r="AJ108" s="153" t="s">
        <v>6</v>
      </c>
    </row>
    <row r="109" spans="1:37" ht="30" customHeight="1">
      <c r="A109" s="215" t="s">
        <v>198</v>
      </c>
      <c r="B109" s="215">
        <v>2619945185</v>
      </c>
      <c r="C109" s="215" t="s">
        <v>141</v>
      </c>
      <c r="D109" s="215" t="s">
        <v>68</v>
      </c>
      <c r="E109" s="215" t="s">
        <v>5</v>
      </c>
      <c r="F109" s="215" t="s">
        <v>561</v>
      </c>
      <c r="G109" s="215">
        <v>1915</v>
      </c>
      <c r="H109" s="215" t="s">
        <v>200</v>
      </c>
      <c r="I109" s="215" t="s">
        <v>223</v>
      </c>
      <c r="J109" s="215" t="s">
        <v>2713</v>
      </c>
      <c r="K109" s="219" t="s">
        <v>2843</v>
      </c>
      <c r="L109" s="215" t="s">
        <v>2835</v>
      </c>
      <c r="M109" s="215" t="s">
        <v>2836</v>
      </c>
      <c r="N109" s="215" t="s">
        <v>2832</v>
      </c>
      <c r="O109" s="215" t="s">
        <v>205</v>
      </c>
      <c r="P109" s="9"/>
      <c r="Q109" s="145" t="s">
        <v>205</v>
      </c>
      <c r="R109" s="92"/>
      <c r="S109" s="145" t="s">
        <v>205</v>
      </c>
      <c r="T109" s="92"/>
      <c r="U109" s="145" t="s">
        <v>205</v>
      </c>
      <c r="V109" s="92"/>
      <c r="W109" s="145" t="s">
        <v>205</v>
      </c>
      <c r="X109" s="92"/>
      <c r="Y109" s="145" t="s">
        <v>205</v>
      </c>
      <c r="Z109" s="92"/>
      <c r="AA109" s="145" t="s">
        <v>205</v>
      </c>
      <c r="AB109" s="64"/>
      <c r="AC109" s="145" t="s">
        <v>205</v>
      </c>
      <c r="AD109" s="64"/>
      <c r="AE109" s="145" t="s">
        <v>205</v>
      </c>
      <c r="AF109" s="196" t="str">
        <f t="shared" si="8"/>
        <v>C</v>
      </c>
      <c r="AG109" s="95" t="str">
        <f t="shared" si="7"/>
        <v>UTILIZOU O PDA CORRETAMENTE</v>
      </c>
      <c r="AH109" s="9"/>
      <c r="AI109" s="150" t="str">
        <f t="shared" si="6"/>
        <v>SÃO PAULO</v>
      </c>
      <c r="AJ109" s="153" t="s">
        <v>6</v>
      </c>
    </row>
    <row r="110" spans="1:37" ht="30" customHeight="1">
      <c r="A110" s="215" t="s">
        <v>198</v>
      </c>
      <c r="B110" s="215">
        <v>2620530523</v>
      </c>
      <c r="C110" s="215" t="s">
        <v>141</v>
      </c>
      <c r="D110" s="215" t="s">
        <v>68</v>
      </c>
      <c r="E110" s="215" t="s">
        <v>5</v>
      </c>
      <c r="F110" s="215" t="s">
        <v>1705</v>
      </c>
      <c r="G110" s="215">
        <v>358</v>
      </c>
      <c r="H110" s="215"/>
      <c r="I110" s="215" t="s">
        <v>1706</v>
      </c>
      <c r="J110" s="215" t="s">
        <v>2713</v>
      </c>
      <c r="K110" s="219" t="s">
        <v>2844</v>
      </c>
      <c r="L110" s="215" t="s">
        <v>2835</v>
      </c>
      <c r="M110" s="215" t="s">
        <v>2836</v>
      </c>
      <c r="N110" s="215" t="s">
        <v>2832</v>
      </c>
      <c r="O110" s="215" t="s">
        <v>205</v>
      </c>
      <c r="P110" s="9"/>
      <c r="Q110" s="145" t="s">
        <v>205</v>
      </c>
      <c r="R110" s="92"/>
      <c r="S110" s="145" t="s">
        <v>205</v>
      </c>
      <c r="T110" s="92"/>
      <c r="U110" s="145" t="s">
        <v>205</v>
      </c>
      <c r="V110" s="92"/>
      <c r="W110" s="145" t="s">
        <v>205</v>
      </c>
      <c r="X110" s="92"/>
      <c r="Y110" s="145" t="s">
        <v>206</v>
      </c>
      <c r="Z110" s="92"/>
      <c r="AA110" s="145" t="s">
        <v>205</v>
      </c>
      <c r="AB110" s="64"/>
      <c r="AC110" s="145" t="s">
        <v>205</v>
      </c>
      <c r="AD110" s="64"/>
      <c r="AE110" s="145" t="s">
        <v>205</v>
      </c>
      <c r="AF110" s="196" t="str">
        <f t="shared" si="8"/>
        <v>NC</v>
      </c>
      <c r="AG110" s="95" t="str">
        <f t="shared" si="7"/>
        <v>UTILIZOU O PDA CORRETAMENTE. NÃO HÁ FOTOS DE TODAS AS ETAPAS</v>
      </c>
      <c r="AH110" s="9"/>
      <c r="AI110" s="150" t="str">
        <f t="shared" si="6"/>
        <v>SÃO PAULO</v>
      </c>
      <c r="AJ110" s="153" t="s">
        <v>6</v>
      </c>
    </row>
    <row r="111" spans="1:37" ht="30" customHeight="1">
      <c r="A111" s="215" t="s">
        <v>198</v>
      </c>
      <c r="B111" s="215">
        <v>2620816524</v>
      </c>
      <c r="C111" s="215" t="s">
        <v>142</v>
      </c>
      <c r="D111" s="215" t="s">
        <v>68</v>
      </c>
      <c r="E111" s="215" t="s">
        <v>5</v>
      </c>
      <c r="F111" s="215" t="s">
        <v>585</v>
      </c>
      <c r="G111" s="215">
        <v>115</v>
      </c>
      <c r="H111" s="215" t="s">
        <v>226</v>
      </c>
      <c r="I111" s="215" t="s">
        <v>215</v>
      </c>
      <c r="J111" s="215" t="s">
        <v>2718</v>
      </c>
      <c r="K111" s="219" t="s">
        <v>2845</v>
      </c>
      <c r="L111" s="215" t="s">
        <v>2835</v>
      </c>
      <c r="M111" s="215" t="s">
        <v>2836</v>
      </c>
      <c r="N111" s="215" t="s">
        <v>2073</v>
      </c>
      <c r="O111" s="215" t="s">
        <v>62</v>
      </c>
      <c r="P111" s="9"/>
      <c r="Q111" s="145" t="s">
        <v>62</v>
      </c>
      <c r="R111" s="92"/>
      <c r="S111" s="145" t="s">
        <v>62</v>
      </c>
      <c r="T111" s="92"/>
      <c r="U111" s="145" t="s">
        <v>62</v>
      </c>
      <c r="V111" s="92"/>
      <c r="W111" s="145" t="s">
        <v>62</v>
      </c>
      <c r="X111" s="92"/>
      <c r="Y111" s="145" t="s">
        <v>62</v>
      </c>
      <c r="Z111" s="92"/>
      <c r="AA111" s="145" t="s">
        <v>62</v>
      </c>
      <c r="AB111" s="64"/>
      <c r="AC111" s="145" t="s">
        <v>62</v>
      </c>
      <c r="AD111" s="64"/>
      <c r="AE111" s="145" t="s">
        <v>62</v>
      </c>
      <c r="AF111" s="196" t="str">
        <f t="shared" si="8"/>
        <v>NA</v>
      </c>
      <c r="AG111" s="95" t="str">
        <f t="shared" si="7"/>
        <v>NÃO AVALIADO POR FALHA DE SINCRONISMO</v>
      </c>
      <c r="AH111" s="9"/>
      <c r="AI111" s="150" t="str">
        <f t="shared" si="6"/>
        <v>SÃO PAULO</v>
      </c>
      <c r="AJ111" s="153" t="s">
        <v>6</v>
      </c>
    </row>
    <row r="112" spans="1:37" ht="30" customHeight="1">
      <c r="A112" s="215" t="s">
        <v>198</v>
      </c>
      <c r="B112" s="215">
        <v>2620817313</v>
      </c>
      <c r="C112" s="215" t="s">
        <v>142</v>
      </c>
      <c r="D112" s="215" t="s">
        <v>68</v>
      </c>
      <c r="E112" s="215" t="s">
        <v>5</v>
      </c>
      <c r="F112" s="215" t="s">
        <v>585</v>
      </c>
      <c r="G112" s="215">
        <v>20</v>
      </c>
      <c r="H112" s="215" t="s">
        <v>226</v>
      </c>
      <c r="I112" s="215" t="s">
        <v>620</v>
      </c>
      <c r="J112" s="215" t="s">
        <v>2718</v>
      </c>
      <c r="K112" s="219" t="s">
        <v>2846</v>
      </c>
      <c r="L112" s="215" t="s">
        <v>2835</v>
      </c>
      <c r="M112" s="215" t="s">
        <v>2836</v>
      </c>
      <c r="N112" s="215" t="s">
        <v>2073</v>
      </c>
      <c r="O112" s="215" t="s">
        <v>62</v>
      </c>
      <c r="P112" s="9"/>
      <c r="Q112" s="145" t="s">
        <v>62</v>
      </c>
      <c r="R112" s="92"/>
      <c r="S112" s="145" t="s">
        <v>62</v>
      </c>
      <c r="T112" s="92"/>
      <c r="U112" s="145" t="s">
        <v>62</v>
      </c>
      <c r="V112" s="92"/>
      <c r="W112" s="145" t="s">
        <v>62</v>
      </c>
      <c r="X112" s="92"/>
      <c r="Y112" s="145" t="s">
        <v>62</v>
      </c>
      <c r="Z112" s="92"/>
      <c r="AA112" s="145" t="s">
        <v>62</v>
      </c>
      <c r="AB112" s="64"/>
      <c r="AC112" s="145" t="s">
        <v>62</v>
      </c>
      <c r="AD112" s="64"/>
      <c r="AE112" s="145" t="s">
        <v>62</v>
      </c>
      <c r="AF112" s="196" t="str">
        <f t="shared" si="8"/>
        <v>NA</v>
      </c>
      <c r="AG112" s="95" t="str">
        <f t="shared" si="7"/>
        <v>NÃO AVALIADO POR FALHA DE SINCRONISMO</v>
      </c>
      <c r="AH112" s="9"/>
      <c r="AI112" s="150" t="str">
        <f t="shared" si="6"/>
        <v>SÃO PAULO</v>
      </c>
      <c r="AJ112" s="153" t="s">
        <v>6</v>
      </c>
    </row>
    <row r="113" spans="1:36" ht="30" customHeight="1">
      <c r="A113" s="215" t="s">
        <v>198</v>
      </c>
      <c r="B113" s="215">
        <v>2620816804</v>
      </c>
      <c r="C113" s="215" t="s">
        <v>142</v>
      </c>
      <c r="D113" s="215" t="s">
        <v>68</v>
      </c>
      <c r="E113" s="215" t="s">
        <v>5</v>
      </c>
      <c r="F113" s="215" t="s">
        <v>585</v>
      </c>
      <c r="G113" s="215">
        <v>119</v>
      </c>
      <c r="H113" s="215" t="s">
        <v>226</v>
      </c>
      <c r="I113" s="215" t="s">
        <v>215</v>
      </c>
      <c r="J113" s="215" t="s">
        <v>2718</v>
      </c>
      <c r="K113" s="219" t="s">
        <v>2847</v>
      </c>
      <c r="L113" s="215" t="s">
        <v>2835</v>
      </c>
      <c r="M113" s="215" t="s">
        <v>2836</v>
      </c>
      <c r="N113" s="215" t="s">
        <v>2073</v>
      </c>
      <c r="O113" s="215" t="s">
        <v>62</v>
      </c>
      <c r="P113" s="9"/>
      <c r="Q113" s="215" t="s">
        <v>62</v>
      </c>
      <c r="R113" s="92"/>
      <c r="S113" s="215" t="s">
        <v>62</v>
      </c>
      <c r="T113" s="92"/>
      <c r="U113" s="215" t="s">
        <v>62</v>
      </c>
      <c r="V113" s="92"/>
      <c r="W113" s="215" t="s">
        <v>62</v>
      </c>
      <c r="X113" s="92"/>
      <c r="Y113" s="215" t="s">
        <v>62</v>
      </c>
      <c r="Z113" s="92"/>
      <c r="AA113" s="215" t="s">
        <v>62</v>
      </c>
      <c r="AB113" s="64"/>
      <c r="AC113" s="215" t="s">
        <v>62</v>
      </c>
      <c r="AD113" s="64"/>
      <c r="AE113" s="215" t="s">
        <v>62</v>
      </c>
      <c r="AF113" s="196" t="str">
        <f t="shared" si="8"/>
        <v>NA</v>
      </c>
      <c r="AG113" s="95" t="str">
        <f t="shared" si="7"/>
        <v>NÃO AVALIADO POR FALHA DE SINCRONISMO</v>
      </c>
      <c r="AH113" s="9"/>
      <c r="AI113" s="150" t="str">
        <f t="shared" si="6"/>
        <v>SÃO PAULO</v>
      </c>
      <c r="AJ113" s="153" t="s">
        <v>6</v>
      </c>
    </row>
    <row r="114" spans="1:36" ht="30" customHeight="1">
      <c r="A114" s="215" t="s">
        <v>198</v>
      </c>
      <c r="B114" s="215">
        <v>2620199826</v>
      </c>
      <c r="C114" s="215" t="s">
        <v>141</v>
      </c>
      <c r="D114" s="215" t="s">
        <v>68</v>
      </c>
      <c r="E114" s="215" t="s">
        <v>5</v>
      </c>
      <c r="F114" s="215" t="s">
        <v>513</v>
      </c>
      <c r="G114" s="215">
        <v>0</v>
      </c>
      <c r="H114" s="215"/>
      <c r="I114" s="215" t="s">
        <v>607</v>
      </c>
      <c r="J114" s="215" t="s">
        <v>2713</v>
      </c>
      <c r="K114" s="219" t="s">
        <v>2822</v>
      </c>
      <c r="L114" s="215" t="s">
        <v>2841</v>
      </c>
      <c r="M114" s="215" t="s">
        <v>2842</v>
      </c>
      <c r="N114" s="215" t="s">
        <v>2073</v>
      </c>
      <c r="O114" s="215" t="s">
        <v>62</v>
      </c>
      <c r="P114" s="9"/>
      <c r="Q114" s="145" t="s">
        <v>62</v>
      </c>
      <c r="R114" s="92"/>
      <c r="S114" s="145" t="s">
        <v>62</v>
      </c>
      <c r="T114" s="92"/>
      <c r="U114" s="145" t="s">
        <v>62</v>
      </c>
      <c r="V114" s="92"/>
      <c r="W114" s="145" t="s">
        <v>62</v>
      </c>
      <c r="X114" s="92"/>
      <c r="Y114" s="145" t="s">
        <v>62</v>
      </c>
      <c r="Z114" s="92"/>
      <c r="AA114" s="145" t="s">
        <v>62</v>
      </c>
      <c r="AB114" s="64"/>
      <c r="AC114" s="145" t="s">
        <v>62</v>
      </c>
      <c r="AD114" s="64"/>
      <c r="AE114" s="145" t="s">
        <v>62</v>
      </c>
      <c r="AF114" s="196" t="str">
        <f t="shared" si="8"/>
        <v>NA</v>
      </c>
      <c r="AG114" s="95" t="str">
        <f t="shared" si="7"/>
        <v>NÃO AVALIADO POR FALHA DE SINCRONISMO</v>
      </c>
      <c r="AH114" s="9"/>
      <c r="AI114" s="150" t="str">
        <f t="shared" si="6"/>
        <v>SÃO PAULO</v>
      </c>
      <c r="AJ114" s="153" t="s">
        <v>6</v>
      </c>
    </row>
    <row r="115" spans="1:36" ht="30" customHeight="1">
      <c r="A115" s="215" t="s">
        <v>198</v>
      </c>
      <c r="B115" s="215">
        <v>2619392292</v>
      </c>
      <c r="C115" s="215" t="s">
        <v>141</v>
      </c>
      <c r="D115" s="215" t="s">
        <v>68</v>
      </c>
      <c r="E115" s="215" t="s">
        <v>5</v>
      </c>
      <c r="F115" s="215" t="s">
        <v>284</v>
      </c>
      <c r="G115" s="215">
        <v>0</v>
      </c>
      <c r="H115" s="215" t="s">
        <v>200</v>
      </c>
      <c r="I115" s="215" t="s">
        <v>410</v>
      </c>
      <c r="J115" s="215" t="s">
        <v>2713</v>
      </c>
      <c r="K115" s="219" t="s">
        <v>2848</v>
      </c>
      <c r="L115" s="215" t="s">
        <v>2841</v>
      </c>
      <c r="M115" s="215" t="s">
        <v>2842</v>
      </c>
      <c r="N115" s="215" t="s">
        <v>2832</v>
      </c>
      <c r="O115" s="215" t="s">
        <v>205</v>
      </c>
      <c r="P115" s="9"/>
      <c r="Q115" s="145" t="s">
        <v>205</v>
      </c>
      <c r="R115" s="92"/>
      <c r="S115" s="145" t="s">
        <v>205</v>
      </c>
      <c r="T115" s="92"/>
      <c r="U115" s="145" t="s">
        <v>205</v>
      </c>
      <c r="V115" s="92"/>
      <c r="W115" s="145" t="s">
        <v>205</v>
      </c>
      <c r="X115" s="92"/>
      <c r="Y115" s="145" t="s">
        <v>205</v>
      </c>
      <c r="Z115" s="92"/>
      <c r="AA115" s="145" t="s">
        <v>205</v>
      </c>
      <c r="AB115" s="64"/>
      <c r="AC115" s="145" t="s">
        <v>205</v>
      </c>
      <c r="AD115" s="64"/>
      <c r="AE115" s="145" t="s">
        <v>205</v>
      </c>
      <c r="AF115" s="196" t="str">
        <f t="shared" si="8"/>
        <v>C</v>
      </c>
      <c r="AG115" s="95" t="str">
        <f t="shared" si="7"/>
        <v>UTILIZOU O PDA CORRETAMENTE</v>
      </c>
      <c r="AH115" s="9"/>
      <c r="AI115" s="150" t="str">
        <f t="shared" si="6"/>
        <v>SÃO PAULO</v>
      </c>
      <c r="AJ115" s="153" t="s">
        <v>6</v>
      </c>
    </row>
    <row r="116" spans="1:36" ht="30" customHeight="1">
      <c r="A116" s="228" t="s">
        <v>198</v>
      </c>
      <c r="B116" s="228">
        <v>2620720392</v>
      </c>
      <c r="C116" s="228" t="s">
        <v>142</v>
      </c>
      <c r="D116" s="228" t="s">
        <v>68</v>
      </c>
      <c r="E116" s="228" t="s">
        <v>5</v>
      </c>
      <c r="F116" s="228" t="s">
        <v>788</v>
      </c>
      <c r="G116" s="228">
        <v>60</v>
      </c>
      <c r="H116" s="228" t="s">
        <v>966</v>
      </c>
      <c r="I116" s="228" t="s">
        <v>789</v>
      </c>
      <c r="J116" s="228" t="s">
        <v>2718</v>
      </c>
      <c r="K116" s="229" t="s">
        <v>2849</v>
      </c>
      <c r="L116" s="228" t="s">
        <v>2835</v>
      </c>
      <c r="M116" s="228" t="s">
        <v>2836</v>
      </c>
      <c r="N116" s="215" t="s">
        <v>2738</v>
      </c>
      <c r="O116" s="215" t="s">
        <v>62</v>
      </c>
      <c r="P116" s="9"/>
      <c r="Q116" s="145" t="s">
        <v>62</v>
      </c>
      <c r="R116" s="92"/>
      <c r="S116" s="145" t="s">
        <v>62</v>
      </c>
      <c r="T116" s="92"/>
      <c r="U116" s="145" t="s">
        <v>62</v>
      </c>
      <c r="V116" s="92"/>
      <c r="W116" s="145" t="s">
        <v>62</v>
      </c>
      <c r="X116" s="92"/>
      <c r="Y116" s="145" t="s">
        <v>62</v>
      </c>
      <c r="Z116" s="92"/>
      <c r="AA116" s="145" t="s">
        <v>62</v>
      </c>
      <c r="AB116" s="64"/>
      <c r="AC116" s="145" t="s">
        <v>62</v>
      </c>
      <c r="AD116" s="64"/>
      <c r="AE116" s="145" t="s">
        <v>62</v>
      </c>
      <c r="AF116" s="196" t="str">
        <f t="shared" si="8"/>
        <v>NA</v>
      </c>
      <c r="AG116" s="95" t="str">
        <f t="shared" si="7"/>
        <v>NÃO AVALIADO POR FALHA DE SINCRONISMO</v>
      </c>
      <c r="AH116" s="9"/>
      <c r="AI116" s="150" t="str">
        <f t="shared" si="6"/>
        <v>SÃO PAULO</v>
      </c>
      <c r="AJ116" s="153" t="s">
        <v>6</v>
      </c>
    </row>
    <row r="117" spans="1:36" ht="30" customHeight="1">
      <c r="A117" s="215" t="s">
        <v>198</v>
      </c>
      <c r="B117" s="215">
        <v>2621042622</v>
      </c>
      <c r="C117" s="215" t="s">
        <v>139</v>
      </c>
      <c r="D117" s="215" t="s">
        <v>68</v>
      </c>
      <c r="E117" s="215" t="s">
        <v>5</v>
      </c>
      <c r="F117" s="215" t="s">
        <v>2850</v>
      </c>
      <c r="G117" s="215">
        <v>476</v>
      </c>
      <c r="H117" s="215"/>
      <c r="I117" s="215" t="s">
        <v>1177</v>
      </c>
      <c r="J117" s="215" t="s">
        <v>2713</v>
      </c>
      <c r="K117" s="219" t="s">
        <v>2851</v>
      </c>
      <c r="L117" s="216">
        <v>46163.25</v>
      </c>
      <c r="M117" s="216">
        <v>46163.250694444447</v>
      </c>
      <c r="N117" s="215" t="s">
        <v>2073</v>
      </c>
      <c r="O117" s="231" t="s">
        <v>62</v>
      </c>
      <c r="P117" s="92"/>
      <c r="Q117" s="145" t="s">
        <v>62</v>
      </c>
      <c r="R117" s="92"/>
      <c r="S117" s="145" t="s">
        <v>62</v>
      </c>
      <c r="T117" s="92"/>
      <c r="U117" s="145" t="s">
        <v>62</v>
      </c>
      <c r="V117" s="92"/>
      <c r="W117" s="145" t="s">
        <v>62</v>
      </c>
      <c r="X117" s="92"/>
      <c r="Y117" s="145" t="s">
        <v>62</v>
      </c>
      <c r="Z117" s="92"/>
      <c r="AA117" s="145" t="s">
        <v>62</v>
      </c>
      <c r="AB117" s="64"/>
      <c r="AC117" s="145" t="s">
        <v>62</v>
      </c>
      <c r="AD117" s="64"/>
      <c r="AE117" s="145" t="s">
        <v>62</v>
      </c>
      <c r="AF117" s="196" t="str">
        <f t="shared" si="8"/>
        <v>NA</v>
      </c>
      <c r="AG117" s="95" t="str">
        <f t="shared" si="7"/>
        <v>NÃO AVALIADO POR FALHA DE SINCRONISMO</v>
      </c>
      <c r="AH117" s="9"/>
      <c r="AI117" s="150" t="str">
        <f t="shared" si="6"/>
        <v>SÃO PAULO</v>
      </c>
      <c r="AJ117" s="153" t="s">
        <v>6</v>
      </c>
    </row>
    <row r="118" spans="1:36" ht="30" customHeight="1">
      <c r="A118" s="215" t="s">
        <v>198</v>
      </c>
      <c r="B118" s="215">
        <v>2613925045</v>
      </c>
      <c r="C118" s="215" t="s">
        <v>141</v>
      </c>
      <c r="D118" s="215" t="s">
        <v>68</v>
      </c>
      <c r="E118" s="215" t="s">
        <v>5</v>
      </c>
      <c r="F118" s="215" t="s">
        <v>2637</v>
      </c>
      <c r="G118" s="215">
        <v>313</v>
      </c>
      <c r="H118" s="215"/>
      <c r="I118" s="215" t="s">
        <v>343</v>
      </c>
      <c r="J118" s="215" t="s">
        <v>2713</v>
      </c>
      <c r="K118" s="219" t="s">
        <v>2849</v>
      </c>
      <c r="L118" s="216">
        <v>46163.291666666664</v>
      </c>
      <c r="M118" s="216">
        <v>46163.292361111111</v>
      </c>
      <c r="N118" s="215" t="s">
        <v>2832</v>
      </c>
      <c r="O118" s="157" t="s">
        <v>205</v>
      </c>
      <c r="P118" s="92"/>
      <c r="Q118" s="145" t="s">
        <v>205</v>
      </c>
      <c r="R118" s="92"/>
      <c r="S118" s="145" t="s">
        <v>205</v>
      </c>
      <c r="T118" s="92"/>
      <c r="U118" s="145" t="s">
        <v>205</v>
      </c>
      <c r="V118" s="92"/>
      <c r="W118" s="145" t="s">
        <v>205</v>
      </c>
      <c r="X118" s="92"/>
      <c r="Y118" s="145" t="s">
        <v>205</v>
      </c>
      <c r="Z118" s="92"/>
      <c r="AA118" s="145" t="s">
        <v>205</v>
      </c>
      <c r="AB118" s="64"/>
      <c r="AC118" s="145" t="s">
        <v>239</v>
      </c>
      <c r="AD118" s="64" t="s">
        <v>390</v>
      </c>
      <c r="AE118" s="145" t="s">
        <v>205</v>
      </c>
      <c r="AF118" s="196" t="str">
        <f t="shared" si="8"/>
        <v>NC</v>
      </c>
      <c r="AG118" s="95" t="str">
        <f t="shared" si="7"/>
        <v>UTILIZOU O PDA CORRETAMENTE. NÃO HÁ FOTOS DE TODAS AS ETAPAS</v>
      </c>
      <c r="AH118" s="9"/>
      <c r="AI118" s="150" t="str">
        <f t="shared" si="6"/>
        <v>SÃO PAULO</v>
      </c>
      <c r="AJ118" s="153" t="s">
        <v>6</v>
      </c>
    </row>
    <row r="119" spans="1:36" ht="30" customHeight="1">
      <c r="A119" s="215" t="s">
        <v>198</v>
      </c>
      <c r="B119" s="215">
        <v>2619808466</v>
      </c>
      <c r="C119" s="215" t="s">
        <v>141</v>
      </c>
      <c r="D119" s="215" t="s">
        <v>68</v>
      </c>
      <c r="E119" s="215" t="s">
        <v>5</v>
      </c>
      <c r="F119" s="215" t="s">
        <v>614</v>
      </c>
      <c r="G119" s="215">
        <v>88</v>
      </c>
      <c r="H119" s="215"/>
      <c r="I119" s="215" t="s">
        <v>372</v>
      </c>
      <c r="J119" s="215" t="s">
        <v>2713</v>
      </c>
      <c r="K119" s="219" t="s">
        <v>2725</v>
      </c>
      <c r="L119" s="216">
        <v>46163.291666666664</v>
      </c>
      <c r="M119" s="216">
        <v>46163.292361111111</v>
      </c>
      <c r="N119" s="215" t="s">
        <v>2073</v>
      </c>
      <c r="O119" s="157" t="s">
        <v>62</v>
      </c>
      <c r="P119" s="92"/>
      <c r="Q119" s="145" t="s">
        <v>62</v>
      </c>
      <c r="R119" s="92"/>
      <c r="S119" s="145" t="s">
        <v>62</v>
      </c>
      <c r="T119" s="92"/>
      <c r="U119" s="145" t="s">
        <v>62</v>
      </c>
      <c r="V119" s="92"/>
      <c r="W119" s="145" t="s">
        <v>62</v>
      </c>
      <c r="X119" s="92"/>
      <c r="Y119" s="145" t="s">
        <v>62</v>
      </c>
      <c r="Z119" s="92"/>
      <c r="AA119" s="145" t="s">
        <v>62</v>
      </c>
      <c r="AB119" s="64"/>
      <c r="AC119" s="145" t="s">
        <v>62</v>
      </c>
      <c r="AD119" s="64"/>
      <c r="AE119" s="145" t="s">
        <v>62</v>
      </c>
      <c r="AF119" s="196" t="str">
        <f t="shared" si="8"/>
        <v>NA</v>
      </c>
      <c r="AG119" s="95" t="str">
        <f t="shared" si="7"/>
        <v>NÃO AVALIADO POR FALHA DE SINCRONISMO</v>
      </c>
      <c r="AH119" s="9"/>
      <c r="AI119" s="150" t="str">
        <f t="shared" si="6"/>
        <v>SÃO PAULO</v>
      </c>
      <c r="AJ119" s="153" t="s">
        <v>6</v>
      </c>
    </row>
    <row r="120" spans="1:36" ht="30" customHeight="1">
      <c r="A120" s="215" t="s">
        <v>198</v>
      </c>
      <c r="B120" s="215">
        <v>2620717958</v>
      </c>
      <c r="C120" s="215" t="s">
        <v>141</v>
      </c>
      <c r="D120" s="215" t="s">
        <v>68</v>
      </c>
      <c r="E120" s="215" t="s">
        <v>5</v>
      </c>
      <c r="F120" s="215" t="s">
        <v>1749</v>
      </c>
      <c r="G120" s="215">
        <v>67</v>
      </c>
      <c r="H120" s="215"/>
      <c r="I120" s="215" t="s">
        <v>215</v>
      </c>
      <c r="J120" s="215" t="s">
        <v>2713</v>
      </c>
      <c r="K120" s="219" t="s">
        <v>2786</v>
      </c>
      <c r="L120" s="216">
        <v>46163.291666666664</v>
      </c>
      <c r="M120" s="216">
        <v>46163.292361111111</v>
      </c>
      <c r="N120" s="215" t="s">
        <v>2073</v>
      </c>
      <c r="O120" s="157" t="s">
        <v>62</v>
      </c>
      <c r="P120" s="92"/>
      <c r="Q120" s="145" t="s">
        <v>62</v>
      </c>
      <c r="R120" s="92"/>
      <c r="S120" s="145" t="s">
        <v>62</v>
      </c>
      <c r="T120" s="92"/>
      <c r="U120" s="145" t="s">
        <v>62</v>
      </c>
      <c r="V120" s="92"/>
      <c r="W120" s="145" t="s">
        <v>62</v>
      </c>
      <c r="X120" s="92"/>
      <c r="Y120" s="145" t="s">
        <v>62</v>
      </c>
      <c r="Z120" s="92"/>
      <c r="AA120" s="145" t="s">
        <v>62</v>
      </c>
      <c r="AB120" s="64"/>
      <c r="AC120" s="145" t="s">
        <v>62</v>
      </c>
      <c r="AD120" s="64"/>
      <c r="AE120" s="145" t="s">
        <v>62</v>
      </c>
      <c r="AF120" s="196" t="str">
        <f t="shared" si="8"/>
        <v>NA</v>
      </c>
      <c r="AG120" s="95" t="str">
        <f t="shared" si="7"/>
        <v>NÃO AVALIADO POR FALHA DE SINCRONISMO</v>
      </c>
      <c r="AH120" s="9"/>
      <c r="AI120" s="150" t="str">
        <f t="shared" si="6"/>
        <v>SÃO PAULO</v>
      </c>
      <c r="AJ120" s="153" t="s">
        <v>6</v>
      </c>
    </row>
    <row r="121" spans="1:36" ht="30" customHeight="1">
      <c r="A121" s="215" t="s">
        <v>198</v>
      </c>
      <c r="B121" s="215">
        <v>2621072420</v>
      </c>
      <c r="C121" s="215" t="s">
        <v>141</v>
      </c>
      <c r="D121" s="215" t="s">
        <v>68</v>
      </c>
      <c r="E121" s="215" t="s">
        <v>5</v>
      </c>
      <c r="F121" s="215" t="s">
        <v>1802</v>
      </c>
      <c r="G121" s="215">
        <v>111</v>
      </c>
      <c r="H121" s="215" t="s">
        <v>200</v>
      </c>
      <c r="I121" s="215" t="s">
        <v>343</v>
      </c>
      <c r="J121" s="215" t="s">
        <v>2713</v>
      </c>
      <c r="K121" s="219" t="s">
        <v>2852</v>
      </c>
      <c r="L121" s="216">
        <v>46163.291666666664</v>
      </c>
      <c r="M121" s="216">
        <v>46163.292361111111</v>
      </c>
      <c r="N121" s="215" t="s">
        <v>2832</v>
      </c>
      <c r="O121" s="157" t="s">
        <v>205</v>
      </c>
      <c r="P121" s="92"/>
      <c r="Q121" s="145" t="s">
        <v>205</v>
      </c>
      <c r="R121" s="92"/>
      <c r="S121" s="145" t="s">
        <v>205</v>
      </c>
      <c r="T121" s="92"/>
      <c r="U121" s="145" t="s">
        <v>239</v>
      </c>
      <c r="V121" s="92" t="s">
        <v>519</v>
      </c>
      <c r="W121" s="145" t="s">
        <v>206</v>
      </c>
      <c r="X121" s="92"/>
      <c r="Y121" s="145" t="s">
        <v>205</v>
      </c>
      <c r="Z121" s="92"/>
      <c r="AA121" s="145" t="s">
        <v>205</v>
      </c>
      <c r="AB121" s="64"/>
      <c r="AC121" s="145" t="s">
        <v>239</v>
      </c>
      <c r="AD121" s="64" t="s">
        <v>390</v>
      </c>
      <c r="AE121" s="145" t="s">
        <v>205</v>
      </c>
      <c r="AF121" s="196" t="str">
        <f>IF(AND(O121="",Q121="",S121="",U121="",W121="",Y121="",AA121="",AC121=""),"",
IF(OR(    AND(O121&lt;&gt;"NA",O121&lt;&gt;"C",O121&lt;&gt;"NC",O121&lt;&gt;"SF",O121&lt;&gt;""),
    AND(Q121&lt;&gt;"NA",Q121&lt;&gt;"C",Q121&lt;&gt;"NC",Q121&lt;&gt;"SF",Q121&lt;&gt;""),
    AND(S121&lt;&gt;"NA",S121&lt;&gt;"C",S121&lt;&gt;"NC",S121&lt;&gt;"SF",S121&lt;&gt;""),
    AND(U121&lt;&gt;"NA",U121&lt;&gt;"C",U121&lt;&gt;"NC",U121&lt;&gt;"SF",U121&lt;&gt;""),
    AND(W121&lt;&gt;"NA",W121&lt;&gt;"C",W121&lt;&gt;"NC",W121&lt;&gt;"SF",W121&lt;&gt;""),
    AND(Y121&lt;&gt;"NA",Y121&lt;&gt;"C",Y121&lt;&gt;"NC",Y121&lt;&gt;"SF",Y121&lt;&gt;""),
    AND(AA121&lt;&gt;"NA",AA121&lt;&gt;"C",AA121&lt;&gt;"NC",AA121&lt;&gt;"SF",AA121&lt;&gt;""),
    AND(AC121&lt;&gt;"NA",AC121&lt;&gt;"C",AC121&lt;&gt;"NC",AC121&lt;&gt;"SF",AC121&lt;&gt;"")
),"FALSO",
IF(AND(O121="NA",Q121="NA",S121="NA",U121="NA",W121="NA",Y121="NA",AA121="NA",AC121="NA"),"NA",
IF(OR(O121="NC",Q121="NC",S121="NC",U121="NC",W121="NC",Y121="NC",AA121="NC",AC121="NC",
       O121="SF",Q121="SF",S121="SF",U121="SF",W121="SF",Y121="SF",AA121="SF",AC121="SF"),"NC",
IF(SUM(IF(O121="C",1,0),IF(Q121="C",1,0),IF(S121="C",1,0),IF(U121="C",1,0),IF(W121="C",1,0),IF(Y121="C",1,0),IF(AA121="C",1,0),IF(AC121="C",1,0))=1,"C","C")))))</f>
        <v>NC</v>
      </c>
      <c r="AG121" s="95" t="str">
        <f t="shared" si="7"/>
        <v>UTILIZOU O PDA CORRETAMENTE. NÃO HÁ FOTOS DE TODAS AS ETAPAS</v>
      </c>
      <c r="AH121" s="9"/>
      <c r="AI121" s="150" t="str">
        <f t="shared" si="6"/>
        <v>SÃO PAULO</v>
      </c>
      <c r="AJ121" s="153" t="s">
        <v>6</v>
      </c>
    </row>
    <row r="122" spans="1:36" ht="30" customHeight="1">
      <c r="A122" s="215" t="s">
        <v>198</v>
      </c>
      <c r="B122" s="215">
        <v>2620574621</v>
      </c>
      <c r="C122" s="215" t="s">
        <v>141</v>
      </c>
      <c r="D122" s="215" t="s">
        <v>68</v>
      </c>
      <c r="E122" s="215" t="s">
        <v>5</v>
      </c>
      <c r="F122" s="215" t="s">
        <v>1710</v>
      </c>
      <c r="G122" s="215">
        <v>330</v>
      </c>
      <c r="H122" s="215"/>
      <c r="I122" s="215" t="s">
        <v>1706</v>
      </c>
      <c r="J122" s="215" t="s">
        <v>2713</v>
      </c>
      <c r="K122" s="219" t="s">
        <v>2853</v>
      </c>
      <c r="L122" s="216">
        <v>46163.543749999997</v>
      </c>
      <c r="M122" s="216">
        <v>46163.544444444444</v>
      </c>
      <c r="N122" s="215" t="s">
        <v>2832</v>
      </c>
      <c r="O122" s="157" t="s">
        <v>205</v>
      </c>
      <c r="P122" s="92"/>
      <c r="Q122" s="145" t="s">
        <v>205</v>
      </c>
      <c r="R122" s="92"/>
      <c r="S122" s="145" t="s">
        <v>205</v>
      </c>
      <c r="T122" s="92"/>
      <c r="U122" s="145" t="s">
        <v>205</v>
      </c>
      <c r="V122" s="92"/>
      <c r="W122" s="145" t="s">
        <v>205</v>
      </c>
      <c r="X122" s="92"/>
      <c r="Y122" s="145" t="s">
        <v>205</v>
      </c>
      <c r="Z122" s="92"/>
      <c r="AA122" s="145" t="s">
        <v>205</v>
      </c>
      <c r="AB122" s="64"/>
      <c r="AC122" s="145" t="s">
        <v>239</v>
      </c>
      <c r="AD122" s="64" t="s">
        <v>390</v>
      </c>
      <c r="AE122" s="145" t="s">
        <v>205</v>
      </c>
      <c r="AF122" s="196" t="str">
        <f t="shared" si="8"/>
        <v>NC</v>
      </c>
      <c r="AG122" s="95" t="str">
        <f t="shared" si="7"/>
        <v>UTILIZOU O PDA CORRETAMENTE. NÃO HÁ FOTOS DE TODAS AS ETAPAS</v>
      </c>
      <c r="AH122" s="9"/>
      <c r="AI122" s="150" t="str">
        <f t="shared" si="6"/>
        <v>SÃO PAULO</v>
      </c>
      <c r="AJ122" s="153" t="s">
        <v>6</v>
      </c>
    </row>
    <row r="123" spans="1:36" ht="30" customHeight="1">
      <c r="A123" s="228" t="s">
        <v>198</v>
      </c>
      <c r="B123" s="228">
        <v>2620879145</v>
      </c>
      <c r="C123" s="228" t="s">
        <v>142</v>
      </c>
      <c r="D123" s="228" t="s">
        <v>68</v>
      </c>
      <c r="E123" s="228" t="s">
        <v>5</v>
      </c>
      <c r="F123" s="228" t="s">
        <v>585</v>
      </c>
      <c r="G123" s="228">
        <v>5</v>
      </c>
      <c r="H123" s="228" t="s">
        <v>318</v>
      </c>
      <c r="I123" s="228" t="s">
        <v>620</v>
      </c>
      <c r="J123" s="228" t="s">
        <v>2718</v>
      </c>
      <c r="K123" s="229" t="s">
        <v>2854</v>
      </c>
      <c r="L123" s="230">
        <v>46163.291666666664</v>
      </c>
      <c r="M123" s="230">
        <v>46163.292361111111</v>
      </c>
      <c r="N123" s="228" t="s">
        <v>2073</v>
      </c>
      <c r="O123" s="157" t="s">
        <v>62</v>
      </c>
      <c r="P123" s="92"/>
      <c r="Q123" s="145" t="s">
        <v>62</v>
      </c>
      <c r="R123" s="92"/>
      <c r="S123" s="145" t="s">
        <v>62</v>
      </c>
      <c r="T123" s="92"/>
      <c r="U123" s="145" t="s">
        <v>62</v>
      </c>
      <c r="V123" s="92"/>
      <c r="W123" s="145" t="s">
        <v>62</v>
      </c>
      <c r="X123" s="92"/>
      <c r="Y123" s="145" t="s">
        <v>62</v>
      </c>
      <c r="Z123" s="92"/>
      <c r="AA123" s="145" t="s">
        <v>62</v>
      </c>
      <c r="AB123" s="64"/>
      <c r="AC123" s="145" t="s">
        <v>62</v>
      </c>
      <c r="AD123" s="64"/>
      <c r="AE123" s="145" t="s">
        <v>62</v>
      </c>
      <c r="AF123" s="196" t="s">
        <v>62</v>
      </c>
      <c r="AG123" s="95" t="str">
        <f t="shared" si="7"/>
        <v>NÃO AVALIADO POR FALHA DE SINCRONISMO</v>
      </c>
      <c r="AH123" s="9"/>
      <c r="AI123" s="150" t="str">
        <f t="shared" si="6"/>
        <v>SÃO PAULO</v>
      </c>
      <c r="AJ123" s="153" t="s">
        <v>6</v>
      </c>
    </row>
    <row r="124" spans="1:36" ht="30" customHeight="1">
      <c r="A124" s="215" t="s">
        <v>198</v>
      </c>
      <c r="B124" s="215">
        <v>2621473515</v>
      </c>
      <c r="C124" s="215" t="s">
        <v>141</v>
      </c>
      <c r="D124" s="215" t="s">
        <v>68</v>
      </c>
      <c r="E124" s="215" t="s">
        <v>5</v>
      </c>
      <c r="F124" s="215" t="s">
        <v>389</v>
      </c>
      <c r="G124" s="215">
        <v>779</v>
      </c>
      <c r="H124" s="215" t="s">
        <v>226</v>
      </c>
      <c r="I124" s="215" t="s">
        <v>257</v>
      </c>
      <c r="J124" s="215" t="s">
        <v>2713</v>
      </c>
      <c r="K124" s="219" t="s">
        <v>2855</v>
      </c>
      <c r="L124" s="216">
        <v>46164.25</v>
      </c>
      <c r="M124" s="216">
        <v>46164.250694444447</v>
      </c>
      <c r="N124" s="215" t="s">
        <v>2832</v>
      </c>
      <c r="O124" s="157" t="s">
        <v>205</v>
      </c>
      <c r="P124" s="92"/>
      <c r="Q124" s="145" t="s">
        <v>205</v>
      </c>
      <c r="R124" s="92"/>
      <c r="S124" s="145" t="s">
        <v>205</v>
      </c>
      <c r="T124" s="92"/>
      <c r="U124" s="145" t="s">
        <v>205</v>
      </c>
      <c r="V124" s="92"/>
      <c r="W124" s="145" t="s">
        <v>205</v>
      </c>
      <c r="X124" s="92"/>
      <c r="Y124" s="145" t="s">
        <v>205</v>
      </c>
      <c r="Z124" s="92"/>
      <c r="AA124" s="145" t="s">
        <v>205</v>
      </c>
      <c r="AB124" s="64"/>
      <c r="AC124" s="145" t="s">
        <v>205</v>
      </c>
      <c r="AD124" s="64"/>
      <c r="AE124" s="145" t="s">
        <v>205</v>
      </c>
      <c r="AF124" s="196" t="str">
        <f t="shared" si="8"/>
        <v>C</v>
      </c>
      <c r="AG124" s="95" t="str">
        <f t="shared" si="7"/>
        <v>UTILIZOU O PDA CORRETAMENTE</v>
      </c>
      <c r="AH124" s="9"/>
      <c r="AI124" s="150" t="str">
        <f t="shared" si="6"/>
        <v>SÃO PAULO</v>
      </c>
      <c r="AJ124" s="153" t="s">
        <v>6</v>
      </c>
    </row>
    <row r="125" spans="1:36" ht="30" customHeight="1">
      <c r="A125" s="215" t="s">
        <v>198</v>
      </c>
      <c r="B125" s="215">
        <v>2621358245</v>
      </c>
      <c r="C125" s="215" t="s">
        <v>141</v>
      </c>
      <c r="D125" s="215" t="s">
        <v>68</v>
      </c>
      <c r="E125" s="215" t="s">
        <v>5</v>
      </c>
      <c r="F125" s="215" t="s">
        <v>1843</v>
      </c>
      <c r="G125" s="215">
        <v>277</v>
      </c>
      <c r="H125" s="215" t="s">
        <v>200</v>
      </c>
      <c r="I125" s="215" t="s">
        <v>215</v>
      </c>
      <c r="J125" s="215" t="s">
        <v>2713</v>
      </c>
      <c r="K125" s="219" t="s">
        <v>2856</v>
      </c>
      <c r="L125" s="216">
        <v>46164.291666666664</v>
      </c>
      <c r="M125" s="216">
        <v>46164.298611111109</v>
      </c>
      <c r="N125" s="215" t="s">
        <v>2073</v>
      </c>
      <c r="O125" s="157" t="s">
        <v>62</v>
      </c>
      <c r="P125" s="92"/>
      <c r="Q125" s="145" t="s">
        <v>62</v>
      </c>
      <c r="R125" s="92"/>
      <c r="S125" s="145" t="s">
        <v>62</v>
      </c>
      <c r="T125" s="92"/>
      <c r="U125" s="145" t="s">
        <v>62</v>
      </c>
      <c r="V125" s="92"/>
      <c r="W125" s="145" t="s">
        <v>62</v>
      </c>
      <c r="X125" s="92"/>
      <c r="Y125" s="145" t="s">
        <v>62</v>
      </c>
      <c r="Z125" s="92"/>
      <c r="AA125" s="145" t="s">
        <v>62</v>
      </c>
      <c r="AB125" s="64"/>
      <c r="AC125" s="145" t="s">
        <v>62</v>
      </c>
      <c r="AD125" s="64"/>
      <c r="AE125" s="145" t="s">
        <v>62</v>
      </c>
      <c r="AF125" s="196" t="str">
        <f t="shared" si="8"/>
        <v>NA</v>
      </c>
      <c r="AG125" s="95" t="str">
        <f t="shared" si="7"/>
        <v>NÃO AVALIADO POR FALHA DE SINCRONISMO</v>
      </c>
      <c r="AH125" s="9" t="s">
        <v>60</v>
      </c>
      <c r="AI125" s="150" t="str">
        <f t="shared" si="6"/>
        <v>SÃO PAULO</v>
      </c>
      <c r="AJ125" s="153" t="s">
        <v>6</v>
      </c>
    </row>
    <row r="126" spans="1:36" ht="30" customHeight="1">
      <c r="A126" s="228" t="s">
        <v>198</v>
      </c>
      <c r="B126" s="228">
        <v>2621443963</v>
      </c>
      <c r="C126" s="228" t="s">
        <v>141</v>
      </c>
      <c r="D126" s="228" t="s">
        <v>68</v>
      </c>
      <c r="E126" s="228" t="s">
        <v>5</v>
      </c>
      <c r="F126" s="228" t="s">
        <v>1845</v>
      </c>
      <c r="G126" s="228">
        <v>731</v>
      </c>
      <c r="H126" s="228" t="s">
        <v>200</v>
      </c>
      <c r="I126" s="228" t="s">
        <v>289</v>
      </c>
      <c r="J126" s="228" t="s">
        <v>2713</v>
      </c>
      <c r="K126" s="229" t="s">
        <v>2857</v>
      </c>
      <c r="L126" s="230">
        <v>46164.291666666664</v>
      </c>
      <c r="M126" s="230">
        <v>46164.292361111111</v>
      </c>
      <c r="N126" s="228" t="s">
        <v>2832</v>
      </c>
      <c r="O126" s="157" t="s">
        <v>205</v>
      </c>
      <c r="P126" s="92"/>
      <c r="Q126" s="145" t="s">
        <v>205</v>
      </c>
      <c r="R126" s="92"/>
      <c r="S126" s="145" t="s">
        <v>205</v>
      </c>
      <c r="T126" s="92"/>
      <c r="U126" s="145" t="s">
        <v>205</v>
      </c>
      <c r="V126" s="92"/>
      <c r="W126" s="145" t="s">
        <v>205</v>
      </c>
      <c r="X126" s="92"/>
      <c r="Y126" s="145" t="s">
        <v>205</v>
      </c>
      <c r="Z126" s="92"/>
      <c r="AA126" s="145" t="s">
        <v>205</v>
      </c>
      <c r="AB126" s="64"/>
      <c r="AC126" s="145" t="s">
        <v>205</v>
      </c>
      <c r="AD126" s="64"/>
      <c r="AE126" s="145" t="s">
        <v>205</v>
      </c>
      <c r="AF126" s="196" t="str">
        <f t="shared" si="8"/>
        <v>C</v>
      </c>
      <c r="AG126" s="95" t="str">
        <f t="shared" si="7"/>
        <v>UTILIZOU O PDA CORRETAMENTE</v>
      </c>
      <c r="AH126" s="9" t="s">
        <v>60</v>
      </c>
      <c r="AI126" s="150" t="str">
        <f t="shared" si="6"/>
        <v>SÃO PAULO</v>
      </c>
      <c r="AJ126" s="153" t="s">
        <v>6</v>
      </c>
    </row>
    <row r="127" spans="1:36" ht="30" customHeight="1">
      <c r="A127" s="265" t="s">
        <v>198</v>
      </c>
      <c r="B127" s="265">
        <v>2621051793</v>
      </c>
      <c r="C127" s="265" t="s">
        <v>142</v>
      </c>
      <c r="D127" s="265" t="s">
        <v>68</v>
      </c>
      <c r="E127" s="265" t="s">
        <v>5</v>
      </c>
      <c r="F127" s="265" t="s">
        <v>945</v>
      </c>
      <c r="G127" s="265">
        <v>60</v>
      </c>
      <c r="H127" s="265" t="s">
        <v>226</v>
      </c>
      <c r="I127" s="265" t="s">
        <v>789</v>
      </c>
      <c r="J127" s="265" t="s">
        <v>2718</v>
      </c>
      <c r="K127" s="331" t="s">
        <v>2858</v>
      </c>
      <c r="L127" s="332">
        <v>46167.291666666664</v>
      </c>
      <c r="M127" s="332">
        <v>46167.292361111111</v>
      </c>
      <c r="N127" s="265" t="s">
        <v>2832</v>
      </c>
      <c r="O127" s="157" t="s">
        <v>62</v>
      </c>
      <c r="P127" s="92"/>
      <c r="Q127" s="145" t="s">
        <v>62</v>
      </c>
      <c r="R127" s="92"/>
      <c r="S127" s="145" t="s">
        <v>62</v>
      </c>
      <c r="T127" s="92"/>
      <c r="U127" s="145" t="s">
        <v>62</v>
      </c>
      <c r="V127" s="92"/>
      <c r="W127" s="145" t="s">
        <v>62</v>
      </c>
      <c r="X127" s="92"/>
      <c r="Y127" s="145" t="s">
        <v>62</v>
      </c>
      <c r="Z127" s="92"/>
      <c r="AA127" s="145" t="s">
        <v>62</v>
      </c>
      <c r="AB127" s="64"/>
      <c r="AC127" s="145" t="s">
        <v>62</v>
      </c>
      <c r="AD127" s="64"/>
      <c r="AE127" s="145" t="s">
        <v>62</v>
      </c>
      <c r="AF127" s="196" t="str">
        <f t="shared" si="8"/>
        <v>NA</v>
      </c>
      <c r="AG127" s="95" t="str">
        <f t="shared" si="7"/>
        <v>NÃO AVALIADO POR FALHA DE SINCRONISMO</v>
      </c>
      <c r="AH127" s="9" t="s">
        <v>39</v>
      </c>
      <c r="AI127" s="150" t="str">
        <f t="shared" si="6"/>
        <v>SÃO PAULO</v>
      </c>
      <c r="AJ127" s="153" t="s">
        <v>6</v>
      </c>
    </row>
    <row r="128" spans="1:36" ht="30" customHeight="1">
      <c r="A128" s="265" t="s">
        <v>198</v>
      </c>
      <c r="B128" s="265">
        <v>2621055846</v>
      </c>
      <c r="C128" s="265" t="s">
        <v>142</v>
      </c>
      <c r="D128" s="265" t="s">
        <v>68</v>
      </c>
      <c r="E128" s="265" t="s">
        <v>5</v>
      </c>
      <c r="F128" s="265" t="s">
        <v>866</v>
      </c>
      <c r="G128" s="265">
        <v>94</v>
      </c>
      <c r="H128" s="265"/>
      <c r="I128" s="265" t="s">
        <v>789</v>
      </c>
      <c r="J128" s="265" t="s">
        <v>2718</v>
      </c>
      <c r="K128" s="331" t="s">
        <v>2859</v>
      </c>
      <c r="L128" s="332">
        <v>46167.270833333336</v>
      </c>
      <c r="M128" s="332">
        <v>46167.271527777775</v>
      </c>
      <c r="N128" s="265" t="s">
        <v>2832</v>
      </c>
      <c r="O128" s="157" t="s">
        <v>62</v>
      </c>
      <c r="P128" s="92"/>
      <c r="Q128" s="145" t="s">
        <v>62</v>
      </c>
      <c r="R128" s="92"/>
      <c r="S128" s="145" t="s">
        <v>62</v>
      </c>
      <c r="T128" s="92"/>
      <c r="U128" s="145" t="s">
        <v>62</v>
      </c>
      <c r="V128" s="92"/>
      <c r="W128" s="145" t="s">
        <v>62</v>
      </c>
      <c r="X128" s="92"/>
      <c r="Y128" s="145" t="s">
        <v>62</v>
      </c>
      <c r="Z128" s="92"/>
      <c r="AA128" s="145" t="s">
        <v>62</v>
      </c>
      <c r="AB128" s="64"/>
      <c r="AC128" s="145" t="s">
        <v>62</v>
      </c>
      <c r="AD128" s="64"/>
      <c r="AE128" s="145" t="s">
        <v>62</v>
      </c>
      <c r="AF128" s="196" t="str">
        <f t="shared" si="8"/>
        <v>NA</v>
      </c>
      <c r="AG128" s="95" t="str">
        <f t="shared" si="7"/>
        <v>NÃO AVALIADO POR FALHA DE SINCRONISMO</v>
      </c>
      <c r="AH128" s="9" t="s">
        <v>39</v>
      </c>
      <c r="AI128" s="150" t="str">
        <f t="shared" ref="AI128:AI191" si="9">E128</f>
        <v>SÃO PAULO</v>
      </c>
      <c r="AJ128" s="153" t="s">
        <v>6</v>
      </c>
    </row>
    <row r="129" spans="1:36" ht="30" customHeight="1">
      <c r="A129" s="215" t="s">
        <v>198</v>
      </c>
      <c r="B129" s="215">
        <v>2621075701</v>
      </c>
      <c r="C129" s="215" t="s">
        <v>142</v>
      </c>
      <c r="D129" s="215" t="s">
        <v>68</v>
      </c>
      <c r="E129" s="215" t="s">
        <v>5</v>
      </c>
      <c r="F129" s="215" t="s">
        <v>1105</v>
      </c>
      <c r="G129" s="215">
        <v>211</v>
      </c>
      <c r="H129" s="215" t="s">
        <v>226</v>
      </c>
      <c r="I129" s="215" t="s">
        <v>789</v>
      </c>
      <c r="J129" s="215" t="s">
        <v>2718</v>
      </c>
      <c r="K129" s="219" t="s">
        <v>2855</v>
      </c>
      <c r="L129" s="216">
        <v>46167.291666666664</v>
      </c>
      <c r="M129" s="216">
        <v>46167.292361111111</v>
      </c>
      <c r="N129" s="215" t="s">
        <v>2832</v>
      </c>
      <c r="O129" s="157" t="s">
        <v>62</v>
      </c>
      <c r="P129" s="92"/>
      <c r="Q129" s="145" t="s">
        <v>62</v>
      </c>
      <c r="R129" s="92"/>
      <c r="S129" s="145" t="s">
        <v>62</v>
      </c>
      <c r="T129" s="92"/>
      <c r="U129" s="145" t="s">
        <v>62</v>
      </c>
      <c r="V129" s="92"/>
      <c r="W129" s="145" t="s">
        <v>62</v>
      </c>
      <c r="X129" s="92"/>
      <c r="Y129" s="145" t="s">
        <v>62</v>
      </c>
      <c r="Z129" s="92"/>
      <c r="AA129" s="145" t="s">
        <v>62</v>
      </c>
      <c r="AB129" s="64"/>
      <c r="AC129" s="145" t="s">
        <v>62</v>
      </c>
      <c r="AD129" s="64"/>
      <c r="AE129" s="145" t="s">
        <v>62</v>
      </c>
      <c r="AF129" s="196" t="str">
        <f t="shared" si="8"/>
        <v>NA</v>
      </c>
      <c r="AG129" s="95" t="str">
        <f t="shared" si="7"/>
        <v>NÃO AVALIADO POR FALHA DE SINCRONISMO</v>
      </c>
      <c r="AH129" s="9" t="s">
        <v>39</v>
      </c>
      <c r="AI129" s="150" t="str">
        <f t="shared" si="9"/>
        <v>SÃO PAULO</v>
      </c>
      <c r="AJ129" s="153" t="s">
        <v>6</v>
      </c>
    </row>
    <row r="130" spans="1:36" ht="30" customHeight="1">
      <c r="A130" s="228" t="s">
        <v>198</v>
      </c>
      <c r="B130" s="228">
        <v>2620715724</v>
      </c>
      <c r="C130" s="228" t="s">
        <v>142</v>
      </c>
      <c r="D130" s="228" t="s">
        <v>68</v>
      </c>
      <c r="E130" s="228" t="s">
        <v>5</v>
      </c>
      <c r="F130" s="228" t="s">
        <v>969</v>
      </c>
      <c r="G130" s="228">
        <v>17</v>
      </c>
      <c r="H130" s="228" t="s">
        <v>318</v>
      </c>
      <c r="I130" s="228" t="s">
        <v>789</v>
      </c>
      <c r="J130" s="228" t="s">
        <v>2718</v>
      </c>
      <c r="K130" s="229" t="s">
        <v>2860</v>
      </c>
      <c r="L130" s="230">
        <v>46167.291666666664</v>
      </c>
      <c r="M130" s="230">
        <v>46167.292361111111</v>
      </c>
      <c r="N130" s="228" t="s">
        <v>2832</v>
      </c>
      <c r="O130" s="157" t="s">
        <v>62</v>
      </c>
      <c r="P130" s="92"/>
      <c r="Q130" s="145" t="s">
        <v>62</v>
      </c>
      <c r="R130" s="92"/>
      <c r="S130" s="145" t="s">
        <v>62</v>
      </c>
      <c r="T130" s="92"/>
      <c r="U130" s="145" t="s">
        <v>62</v>
      </c>
      <c r="V130" s="92"/>
      <c r="W130" s="145" t="s">
        <v>62</v>
      </c>
      <c r="X130" s="92"/>
      <c r="Y130" s="145" t="s">
        <v>62</v>
      </c>
      <c r="Z130" s="92"/>
      <c r="AA130" s="145" t="s">
        <v>62</v>
      </c>
      <c r="AB130" s="64"/>
      <c r="AC130" s="145" t="s">
        <v>62</v>
      </c>
      <c r="AD130" s="64"/>
      <c r="AE130" s="145" t="s">
        <v>62</v>
      </c>
      <c r="AF130" s="196" t="str">
        <f t="shared" si="8"/>
        <v>NA</v>
      </c>
      <c r="AG130" s="95" t="str">
        <f t="shared" si="7"/>
        <v>NÃO AVALIADO POR FALHA DE SINCRONISMO</v>
      </c>
      <c r="AH130" s="9" t="s">
        <v>39</v>
      </c>
      <c r="AI130" s="150" t="str">
        <f t="shared" si="9"/>
        <v>SÃO PAULO</v>
      </c>
      <c r="AJ130" s="153" t="s">
        <v>6</v>
      </c>
    </row>
    <row r="131" spans="1:36" ht="30" customHeight="1">
      <c r="A131" s="215" t="s">
        <v>198</v>
      </c>
      <c r="B131" s="215">
        <v>2621263478</v>
      </c>
      <c r="C131" s="215" t="s">
        <v>142</v>
      </c>
      <c r="D131" s="215" t="s">
        <v>68</v>
      </c>
      <c r="E131" s="215" t="s">
        <v>5</v>
      </c>
      <c r="F131" s="215" t="s">
        <v>585</v>
      </c>
      <c r="G131" s="215">
        <v>157</v>
      </c>
      <c r="H131" s="215" t="s">
        <v>226</v>
      </c>
      <c r="I131" s="215" t="s">
        <v>215</v>
      </c>
      <c r="J131" s="215" t="s">
        <v>2718</v>
      </c>
      <c r="K131" s="219" t="s">
        <v>2861</v>
      </c>
      <c r="L131" s="216">
        <v>46168.291666666664</v>
      </c>
      <c r="M131" s="216">
        <v>46168.292361111111</v>
      </c>
      <c r="N131" s="215" t="s">
        <v>2073</v>
      </c>
      <c r="O131" s="157" t="s">
        <v>62</v>
      </c>
      <c r="P131" s="92"/>
      <c r="Q131" s="145" t="s">
        <v>62</v>
      </c>
      <c r="R131" s="92"/>
      <c r="S131" s="145" t="s">
        <v>62</v>
      </c>
      <c r="T131" s="92"/>
      <c r="U131" s="145" t="s">
        <v>62</v>
      </c>
      <c r="V131" s="92"/>
      <c r="W131" s="145" t="s">
        <v>62</v>
      </c>
      <c r="X131" s="92"/>
      <c r="Y131" s="145" t="s">
        <v>62</v>
      </c>
      <c r="Z131" s="92"/>
      <c r="AA131" s="145" t="s">
        <v>62</v>
      </c>
      <c r="AB131" s="64"/>
      <c r="AC131" s="145" t="s">
        <v>62</v>
      </c>
      <c r="AD131" s="64"/>
      <c r="AE131" s="145" t="s">
        <v>62</v>
      </c>
      <c r="AF131" s="196" t="str">
        <f t="shared" si="8"/>
        <v>NA</v>
      </c>
      <c r="AG131" s="95" t="str">
        <f t="shared" si="7"/>
        <v>NÃO AVALIADO POR FALHA DE SINCRONISMO</v>
      </c>
      <c r="AH131" s="9" t="s">
        <v>39</v>
      </c>
      <c r="AI131" s="150" t="str">
        <f t="shared" si="9"/>
        <v>SÃO PAULO</v>
      </c>
      <c r="AJ131" s="153" t="s">
        <v>6</v>
      </c>
    </row>
    <row r="132" spans="1:36" ht="30" customHeight="1">
      <c r="A132" s="228" t="s">
        <v>198</v>
      </c>
      <c r="B132" s="228">
        <v>2621263114</v>
      </c>
      <c r="C132" s="228" t="s">
        <v>142</v>
      </c>
      <c r="D132" s="228" t="s">
        <v>68</v>
      </c>
      <c r="E132" s="228" t="s">
        <v>5</v>
      </c>
      <c r="F132" s="228" t="s">
        <v>585</v>
      </c>
      <c r="G132" s="228">
        <v>155</v>
      </c>
      <c r="H132" s="228" t="s">
        <v>214</v>
      </c>
      <c r="I132" s="228" t="s">
        <v>215</v>
      </c>
      <c r="J132" s="228" t="s">
        <v>2718</v>
      </c>
      <c r="K132" s="229" t="s">
        <v>2862</v>
      </c>
      <c r="L132" s="230">
        <v>46168.291666666664</v>
      </c>
      <c r="M132" s="230">
        <v>46168.292361111111</v>
      </c>
      <c r="N132" s="228" t="s">
        <v>2073</v>
      </c>
      <c r="O132" s="157" t="s">
        <v>62</v>
      </c>
      <c r="P132" s="92"/>
      <c r="Q132" s="145" t="s">
        <v>62</v>
      </c>
      <c r="R132" s="92"/>
      <c r="S132" s="145" t="s">
        <v>62</v>
      </c>
      <c r="T132" s="92"/>
      <c r="U132" s="145" t="s">
        <v>62</v>
      </c>
      <c r="V132" s="92"/>
      <c r="W132" s="145" t="s">
        <v>62</v>
      </c>
      <c r="X132" s="92"/>
      <c r="Y132" s="145" t="s">
        <v>62</v>
      </c>
      <c r="Z132" s="92"/>
      <c r="AA132" s="145" t="s">
        <v>62</v>
      </c>
      <c r="AB132" s="64"/>
      <c r="AC132" s="145" t="s">
        <v>62</v>
      </c>
      <c r="AD132" s="64"/>
      <c r="AE132" s="145" t="s">
        <v>62</v>
      </c>
      <c r="AF132" s="196" t="str">
        <f t="shared" si="8"/>
        <v>NA</v>
      </c>
      <c r="AG132" s="95" t="str">
        <f t="shared" si="7"/>
        <v>NÃO AVALIADO POR FALHA DE SINCRONISMO</v>
      </c>
      <c r="AH132" s="9" t="s">
        <v>39</v>
      </c>
      <c r="AI132" s="150" t="str">
        <f t="shared" si="9"/>
        <v>SÃO PAULO</v>
      </c>
      <c r="AJ132" s="153" t="s">
        <v>6</v>
      </c>
    </row>
    <row r="133" spans="1:36" ht="30" customHeight="1">
      <c r="A133" s="215" t="s">
        <v>198</v>
      </c>
      <c r="B133" s="215">
        <v>2621277656</v>
      </c>
      <c r="C133" s="215" t="s">
        <v>141</v>
      </c>
      <c r="D133" s="215" t="s">
        <v>68</v>
      </c>
      <c r="E133" s="215" t="s">
        <v>5</v>
      </c>
      <c r="F133" s="215" t="s">
        <v>940</v>
      </c>
      <c r="G133" s="215">
        <v>3726</v>
      </c>
      <c r="H133" s="215" t="s">
        <v>226</v>
      </c>
      <c r="I133" s="215" t="s">
        <v>1173</v>
      </c>
      <c r="J133" s="215" t="s">
        <v>2713</v>
      </c>
      <c r="K133" s="219" t="s">
        <v>2863</v>
      </c>
      <c r="L133" s="216">
        <v>46169.25</v>
      </c>
      <c r="M133" s="216">
        <v>46169.250694444447</v>
      </c>
      <c r="N133" s="215" t="s">
        <v>2832</v>
      </c>
      <c r="O133" s="157" t="s">
        <v>62</v>
      </c>
      <c r="P133" s="92"/>
      <c r="Q133" s="145" t="s">
        <v>62</v>
      </c>
      <c r="R133" s="92"/>
      <c r="S133" s="145" t="s">
        <v>62</v>
      </c>
      <c r="T133" s="92"/>
      <c r="U133" s="145" t="s">
        <v>62</v>
      </c>
      <c r="V133" s="92"/>
      <c r="W133" s="145" t="s">
        <v>62</v>
      </c>
      <c r="X133" s="92"/>
      <c r="Y133" s="145" t="s">
        <v>62</v>
      </c>
      <c r="Z133" s="92"/>
      <c r="AA133" s="145" t="s">
        <v>62</v>
      </c>
      <c r="AB133" s="64"/>
      <c r="AC133" s="145" t="s">
        <v>62</v>
      </c>
      <c r="AD133" s="64"/>
      <c r="AE133" s="145" t="s">
        <v>62</v>
      </c>
      <c r="AF133" s="196" t="str">
        <f t="shared" si="8"/>
        <v>NA</v>
      </c>
      <c r="AG133" s="95" t="str">
        <f t="shared" si="7"/>
        <v>NÃO AVALIADO POR FALHA DE SINCRONISMO</v>
      </c>
      <c r="AH133" s="9" t="s">
        <v>60</v>
      </c>
      <c r="AI133" s="150" t="str">
        <f t="shared" si="9"/>
        <v>SÃO PAULO</v>
      </c>
      <c r="AJ133" s="153" t="s">
        <v>6</v>
      </c>
    </row>
    <row r="134" spans="1:36" ht="30" customHeight="1">
      <c r="A134" s="215" t="s">
        <v>198</v>
      </c>
      <c r="B134" s="215">
        <v>2621275387</v>
      </c>
      <c r="C134" s="215" t="s">
        <v>141</v>
      </c>
      <c r="D134" s="215" t="s">
        <v>68</v>
      </c>
      <c r="E134" s="215" t="s">
        <v>5</v>
      </c>
      <c r="F134" s="215" t="s">
        <v>940</v>
      </c>
      <c r="G134" s="215">
        <v>3764</v>
      </c>
      <c r="H134" s="215" t="s">
        <v>318</v>
      </c>
      <c r="I134" s="215" t="s">
        <v>289</v>
      </c>
      <c r="J134" s="215" t="s">
        <v>2713</v>
      </c>
      <c r="K134" s="219" t="s">
        <v>2863</v>
      </c>
      <c r="L134" s="216">
        <v>46169.291666666664</v>
      </c>
      <c r="M134" s="216">
        <v>46169.292361111111</v>
      </c>
      <c r="N134" s="215" t="s">
        <v>2832</v>
      </c>
      <c r="O134" s="157" t="s">
        <v>62</v>
      </c>
      <c r="P134" s="92"/>
      <c r="Q134" s="145" t="s">
        <v>62</v>
      </c>
      <c r="R134" s="92"/>
      <c r="S134" s="145" t="s">
        <v>62</v>
      </c>
      <c r="T134" s="92"/>
      <c r="U134" s="145" t="s">
        <v>62</v>
      </c>
      <c r="V134" s="92"/>
      <c r="W134" s="145" t="s">
        <v>62</v>
      </c>
      <c r="X134" s="92"/>
      <c r="Y134" s="145" t="s">
        <v>62</v>
      </c>
      <c r="Z134" s="92"/>
      <c r="AA134" s="145" t="s">
        <v>62</v>
      </c>
      <c r="AB134" s="64"/>
      <c r="AC134" s="145" t="s">
        <v>62</v>
      </c>
      <c r="AD134" s="64"/>
      <c r="AE134" s="145" t="s">
        <v>62</v>
      </c>
      <c r="AF134" s="196" t="str">
        <f t="shared" si="8"/>
        <v>NA</v>
      </c>
      <c r="AG134" s="95" t="str">
        <f t="shared" si="7"/>
        <v>NÃO AVALIADO POR FALHA DE SINCRONISMO</v>
      </c>
      <c r="AH134" s="9" t="s">
        <v>60</v>
      </c>
      <c r="AI134" s="150" t="str">
        <f t="shared" si="9"/>
        <v>SÃO PAULO</v>
      </c>
      <c r="AJ134" s="153" t="s">
        <v>6</v>
      </c>
    </row>
    <row r="135" spans="1:36" ht="30" customHeight="1">
      <c r="A135" s="225"/>
      <c r="B135" s="225"/>
      <c r="C135" s="225"/>
      <c r="D135" s="225"/>
      <c r="E135" s="225"/>
      <c r="F135" s="225"/>
      <c r="G135" s="225"/>
      <c r="H135" s="225"/>
      <c r="I135" s="225"/>
      <c r="J135" s="225"/>
      <c r="K135" s="225"/>
      <c r="L135" s="225"/>
      <c r="M135" s="225"/>
      <c r="N135" s="262"/>
      <c r="O135" s="157"/>
      <c r="P135" s="92"/>
      <c r="Q135" s="145"/>
      <c r="R135" s="92"/>
      <c r="S135" s="145"/>
      <c r="T135" s="92"/>
      <c r="U135" s="145"/>
      <c r="V135" s="92"/>
      <c r="W135" s="145"/>
      <c r="X135" s="92"/>
      <c r="Y135" s="145"/>
      <c r="Z135" s="92"/>
      <c r="AA135" s="145"/>
      <c r="AB135" s="64"/>
      <c r="AC135" s="145"/>
      <c r="AD135" s="64"/>
      <c r="AE135" s="145"/>
      <c r="AF135" s="196" t="str">
        <f t="shared" si="8"/>
        <v/>
      </c>
      <c r="AG135" s="95" t="b">
        <f t="shared" si="7"/>
        <v>0</v>
      </c>
      <c r="AH135" s="9"/>
      <c r="AI135" s="150">
        <f t="shared" si="9"/>
        <v>0</v>
      </c>
      <c r="AJ135" s="153" t="s">
        <v>6</v>
      </c>
    </row>
    <row r="136" spans="1:36" ht="30" customHeight="1">
      <c r="A136" s="92"/>
      <c r="B136" s="92"/>
      <c r="C136" s="92"/>
      <c r="D136" s="92"/>
      <c r="E136" s="92"/>
      <c r="F136" s="92"/>
      <c r="G136" s="92"/>
      <c r="H136" s="92"/>
      <c r="I136" s="92"/>
      <c r="J136" s="92"/>
      <c r="K136" s="92"/>
      <c r="L136" s="92"/>
      <c r="M136" s="92"/>
      <c r="N136" s="155"/>
      <c r="O136" s="157"/>
      <c r="P136" s="92"/>
      <c r="Q136" s="145"/>
      <c r="R136" s="92"/>
      <c r="S136" s="145"/>
      <c r="T136" s="92"/>
      <c r="U136" s="145"/>
      <c r="V136" s="92"/>
      <c r="W136" s="145"/>
      <c r="X136" s="92"/>
      <c r="Y136" s="145"/>
      <c r="Z136" s="92"/>
      <c r="AA136" s="145"/>
      <c r="AB136" s="64"/>
      <c r="AC136" s="145"/>
      <c r="AD136" s="64"/>
      <c r="AE136" s="145"/>
      <c r="AF136" s="196" t="str">
        <f t="shared" si="8"/>
        <v/>
      </c>
      <c r="AG136" s="95" t="b">
        <f t="shared" si="7"/>
        <v>0</v>
      </c>
      <c r="AH136" s="9"/>
      <c r="AI136" s="150">
        <f t="shared" si="9"/>
        <v>0</v>
      </c>
      <c r="AJ136" s="153" t="s">
        <v>6</v>
      </c>
    </row>
    <row r="137" spans="1:36" ht="30" customHeight="1">
      <c r="A137" s="92"/>
      <c r="B137" s="92"/>
      <c r="C137" s="92"/>
      <c r="D137" s="92"/>
      <c r="E137" s="92"/>
      <c r="F137" s="92"/>
      <c r="G137" s="92"/>
      <c r="H137" s="92"/>
      <c r="I137" s="92"/>
      <c r="J137" s="92"/>
      <c r="K137" s="92"/>
      <c r="L137" s="92"/>
      <c r="M137" s="92"/>
      <c r="N137" s="155"/>
      <c r="O137" s="157"/>
      <c r="P137" s="92"/>
      <c r="Q137" s="145"/>
      <c r="R137" s="92"/>
      <c r="S137" s="145"/>
      <c r="T137" s="92"/>
      <c r="U137" s="145"/>
      <c r="V137" s="92"/>
      <c r="W137" s="145"/>
      <c r="X137" s="92"/>
      <c r="Y137" s="145"/>
      <c r="Z137" s="92"/>
      <c r="AA137" s="145"/>
      <c r="AB137" s="64"/>
      <c r="AC137" s="145"/>
      <c r="AD137" s="64"/>
      <c r="AE137" s="145"/>
      <c r="AF137" s="196" t="str">
        <f t="shared" si="8"/>
        <v/>
      </c>
      <c r="AG137" s="95" t="b">
        <f t="shared" si="7"/>
        <v>0</v>
      </c>
      <c r="AH137" s="9"/>
      <c r="AI137" s="150">
        <f t="shared" si="9"/>
        <v>0</v>
      </c>
      <c r="AJ137" s="153" t="s">
        <v>6</v>
      </c>
    </row>
    <row r="138" spans="1:36" ht="30" customHeight="1">
      <c r="A138" s="92"/>
      <c r="B138" s="92"/>
      <c r="C138" s="92"/>
      <c r="D138" s="92"/>
      <c r="E138" s="92"/>
      <c r="F138" s="92"/>
      <c r="G138" s="92"/>
      <c r="H138" s="92"/>
      <c r="I138" s="92"/>
      <c r="J138" s="92"/>
      <c r="K138" s="92"/>
      <c r="L138" s="92"/>
      <c r="M138" s="92"/>
      <c r="N138" s="155"/>
      <c r="O138" s="157"/>
      <c r="P138" s="92"/>
      <c r="Q138" s="145"/>
      <c r="R138" s="92"/>
      <c r="S138" s="145"/>
      <c r="T138" s="92"/>
      <c r="U138" s="145"/>
      <c r="V138" s="92"/>
      <c r="W138" s="145"/>
      <c r="X138" s="92"/>
      <c r="Y138" s="145"/>
      <c r="Z138" s="92"/>
      <c r="AA138" s="145"/>
      <c r="AB138" s="64"/>
      <c r="AC138" s="145"/>
      <c r="AD138" s="64"/>
      <c r="AE138" s="145"/>
      <c r="AF138" s="196" t="str">
        <f t="shared" si="8"/>
        <v/>
      </c>
      <c r="AG138" s="95" t="b">
        <f t="shared" ref="AG138:AG201" si="10">IF(AND(AE138="C",AF138="C"),"UTILIZOU O PDA CORRETAMENTE",IF(AND(AE138="C",AF138="NC"),"UTILIZOU O PDA CORRETAMENTE. NÃO HÁ FOTOS DE TODAS AS ETAPAS",IF(AND(AE138="NC",AF138="NC"),"NÃO UTILIZOU O PDA",IF(AND(AE138="NA",AF138="NA"),"NÃO AVALIADO POR FALHA DE SINCRONISMO"))))</f>
        <v>0</v>
      </c>
      <c r="AH138" s="9"/>
      <c r="AI138" s="150">
        <f t="shared" si="9"/>
        <v>0</v>
      </c>
      <c r="AJ138" s="153" t="s">
        <v>6</v>
      </c>
    </row>
    <row r="139" spans="1:36" ht="30" customHeight="1">
      <c r="A139" s="92"/>
      <c r="B139" s="92"/>
      <c r="C139" s="92"/>
      <c r="D139" s="92"/>
      <c r="E139" s="92"/>
      <c r="F139" s="92"/>
      <c r="G139" s="92"/>
      <c r="H139" s="92"/>
      <c r="I139" s="92"/>
      <c r="J139" s="92"/>
      <c r="K139" s="92"/>
      <c r="L139" s="92"/>
      <c r="M139" s="92"/>
      <c r="N139" s="155"/>
      <c r="O139" s="157"/>
      <c r="P139" s="92"/>
      <c r="Q139" s="145"/>
      <c r="R139" s="92"/>
      <c r="S139" s="145"/>
      <c r="T139" s="92"/>
      <c r="U139" s="145"/>
      <c r="V139" s="92"/>
      <c r="W139" s="145"/>
      <c r="X139" s="92"/>
      <c r="Y139" s="145"/>
      <c r="Z139" s="92"/>
      <c r="AA139" s="145"/>
      <c r="AB139" s="64"/>
      <c r="AC139" s="145"/>
      <c r="AD139" s="64"/>
      <c r="AE139" s="145"/>
      <c r="AF139" s="196" t="str">
        <f t="shared" ref="AF139:AF202" si="11">IF(AND(O139="",Q139="",S139="",U139="",W139="",Y139="",AA139="",AC139=""),"",
IF(OR(    AND(O139&lt;&gt;"NA",O139&lt;&gt;"C",O139&lt;&gt;"NC",O139&lt;&gt;"SF",O139&lt;&gt;""),
    AND(Q139&lt;&gt;"NA",Q139&lt;&gt;"C",Q139&lt;&gt;"NC",Q139&lt;&gt;"SF",Q139&lt;&gt;""),
    AND(S139&lt;&gt;"NA",S139&lt;&gt;"C",S139&lt;&gt;"NC",S139&lt;&gt;"SF",S139&lt;&gt;""),
    AND(U139&lt;&gt;"NA",U139&lt;&gt;"C",U139&lt;&gt;"NC",U139&lt;&gt;"SF",U139&lt;&gt;""),
    AND(W139&lt;&gt;"NA",W139&lt;&gt;"C",W139&lt;&gt;"NC",W139&lt;&gt;"SF",W139&lt;&gt;""),
    AND(Y139&lt;&gt;"NA",Y139&lt;&gt;"C",Y139&lt;&gt;"NC",Y139&lt;&gt;"SF",Y139&lt;&gt;""),
    AND(AA139&lt;&gt;"NA",AA139&lt;&gt;"C",AA139&lt;&gt;"NC",AA139&lt;&gt;"SF",AA139&lt;&gt;""),
    AND(AC139&lt;&gt;"NA",AC139&lt;&gt;"C",AC139&lt;&gt;"NC",AC139&lt;&gt;"SF",AC139&lt;&gt;"")
),"FALSO",
IF(AND(O139="NA",Q139="NA",S139="NA",U139="NA",W139="NA",Y139="NA",AA139="NA",AC139="NA"),"NA",
IF(OR(O139="NC",Q139="NC",S139="NC",U139="NC",W139="NC",Y139="NC",AA139="NC",AC139="NC",
       O139="SF",Q139="SF",S139="SF",U139="SF",W139="SF",Y139="SF",AA139="SF",AC139="SF"),"NC",
IF(SUM(IF(O139="C",1,0),IF(Q139="C",1,0),IF(S139="C",1,0),IF(U139="C",1,0),IF(W139="C",1,0),IF(Y139="C",1,0),IF(AA139="C",1,0),IF(AC139="C",1,0))=1,"C","C")))))</f>
        <v/>
      </c>
      <c r="AG139" s="95" t="b">
        <f t="shared" si="10"/>
        <v>0</v>
      </c>
      <c r="AH139" s="9"/>
      <c r="AI139" s="150">
        <f t="shared" si="9"/>
        <v>0</v>
      </c>
      <c r="AJ139" s="153" t="s">
        <v>6</v>
      </c>
    </row>
    <row r="140" spans="1:36" ht="30" customHeight="1">
      <c r="A140" s="92"/>
      <c r="B140" s="92"/>
      <c r="C140" s="92"/>
      <c r="D140" s="92"/>
      <c r="E140" s="92"/>
      <c r="F140" s="92"/>
      <c r="G140" s="92"/>
      <c r="H140" s="92"/>
      <c r="I140" s="92"/>
      <c r="J140" s="92"/>
      <c r="K140" s="92"/>
      <c r="L140" s="92"/>
      <c r="M140" s="92"/>
      <c r="N140" s="155"/>
      <c r="O140" s="157"/>
      <c r="P140" s="92"/>
      <c r="Q140" s="145"/>
      <c r="R140" s="92"/>
      <c r="S140" s="145"/>
      <c r="T140" s="92"/>
      <c r="U140" s="145"/>
      <c r="V140" s="92"/>
      <c r="W140" s="145"/>
      <c r="X140" s="92"/>
      <c r="Y140" s="145"/>
      <c r="Z140" s="92"/>
      <c r="AA140" s="145"/>
      <c r="AB140" s="64"/>
      <c r="AC140" s="145"/>
      <c r="AD140" s="64"/>
      <c r="AE140" s="145"/>
      <c r="AF140" s="196" t="str">
        <f t="shared" si="11"/>
        <v/>
      </c>
      <c r="AG140" s="95" t="b">
        <f t="shared" si="10"/>
        <v>0</v>
      </c>
      <c r="AH140" s="9"/>
      <c r="AI140" s="150">
        <f t="shared" si="9"/>
        <v>0</v>
      </c>
      <c r="AJ140" s="153" t="s">
        <v>6</v>
      </c>
    </row>
    <row r="141" spans="1:36" ht="30" customHeight="1">
      <c r="A141" s="92"/>
      <c r="B141" s="92"/>
      <c r="C141" s="92"/>
      <c r="D141" s="92"/>
      <c r="E141" s="92"/>
      <c r="F141" s="92"/>
      <c r="G141" s="92"/>
      <c r="H141" s="92"/>
      <c r="I141" s="92"/>
      <c r="J141" s="92"/>
      <c r="K141" s="92"/>
      <c r="L141" s="92"/>
      <c r="M141" s="92"/>
      <c r="N141" s="155"/>
      <c r="O141" s="157"/>
      <c r="P141" s="92"/>
      <c r="Q141" s="145"/>
      <c r="R141" s="92"/>
      <c r="S141" s="145"/>
      <c r="T141" s="92"/>
      <c r="U141" s="145"/>
      <c r="V141" s="92"/>
      <c r="W141" s="145"/>
      <c r="X141" s="92"/>
      <c r="Y141" s="145"/>
      <c r="Z141" s="92"/>
      <c r="AA141" s="145"/>
      <c r="AB141" s="64"/>
      <c r="AC141" s="145"/>
      <c r="AD141" s="64"/>
      <c r="AE141" s="145"/>
      <c r="AF141" s="196" t="str">
        <f t="shared" si="11"/>
        <v/>
      </c>
      <c r="AG141" s="95" t="b">
        <f t="shared" si="10"/>
        <v>0</v>
      </c>
      <c r="AH141" s="9"/>
      <c r="AI141" s="150">
        <f t="shared" si="9"/>
        <v>0</v>
      </c>
      <c r="AJ141" s="153" t="s">
        <v>6</v>
      </c>
    </row>
    <row r="142" spans="1:36" ht="30" customHeight="1">
      <c r="A142" s="92"/>
      <c r="B142" s="92"/>
      <c r="C142" s="92"/>
      <c r="D142" s="92"/>
      <c r="E142" s="92"/>
      <c r="F142" s="92"/>
      <c r="G142" s="92"/>
      <c r="H142" s="92"/>
      <c r="I142" s="92"/>
      <c r="J142" s="92"/>
      <c r="K142" s="92"/>
      <c r="L142" s="92"/>
      <c r="M142" s="92"/>
      <c r="N142" s="155"/>
      <c r="O142" s="157"/>
      <c r="P142" s="92"/>
      <c r="Q142" s="145"/>
      <c r="R142" s="92"/>
      <c r="S142" s="145"/>
      <c r="T142" s="92"/>
      <c r="U142" s="145"/>
      <c r="V142" s="92"/>
      <c r="W142" s="145"/>
      <c r="X142" s="92"/>
      <c r="Y142" s="145"/>
      <c r="Z142" s="92"/>
      <c r="AA142" s="145"/>
      <c r="AB142" s="64"/>
      <c r="AC142" s="145"/>
      <c r="AD142" s="64"/>
      <c r="AE142" s="145"/>
      <c r="AF142" s="196" t="str">
        <f t="shared" si="11"/>
        <v/>
      </c>
      <c r="AG142" s="95" t="b">
        <f t="shared" si="10"/>
        <v>0</v>
      </c>
      <c r="AH142" s="9"/>
      <c r="AI142" s="150">
        <f t="shared" si="9"/>
        <v>0</v>
      </c>
      <c r="AJ142" s="153" t="s">
        <v>6</v>
      </c>
    </row>
    <row r="143" spans="1:36" ht="30" customHeight="1">
      <c r="A143" s="92"/>
      <c r="B143" s="92"/>
      <c r="C143" s="92"/>
      <c r="D143" s="92"/>
      <c r="E143" s="92"/>
      <c r="F143" s="92"/>
      <c r="G143" s="92"/>
      <c r="H143" s="92"/>
      <c r="I143" s="92"/>
      <c r="J143" s="92"/>
      <c r="K143" s="92"/>
      <c r="L143" s="92"/>
      <c r="M143" s="92"/>
      <c r="N143" s="155"/>
      <c r="O143" s="157"/>
      <c r="P143" s="92"/>
      <c r="Q143" s="145"/>
      <c r="R143" s="92"/>
      <c r="S143" s="145"/>
      <c r="T143" s="92"/>
      <c r="U143" s="145"/>
      <c r="V143" s="92"/>
      <c r="W143" s="145"/>
      <c r="X143" s="92"/>
      <c r="Y143" s="145"/>
      <c r="Z143" s="92"/>
      <c r="AA143" s="145"/>
      <c r="AB143" s="64"/>
      <c r="AC143" s="145"/>
      <c r="AD143" s="64"/>
      <c r="AE143" s="145"/>
      <c r="AF143" s="196" t="str">
        <f t="shared" si="11"/>
        <v/>
      </c>
      <c r="AG143" s="95" t="b">
        <f t="shared" si="10"/>
        <v>0</v>
      </c>
      <c r="AH143" s="9"/>
      <c r="AI143" s="150">
        <f t="shared" si="9"/>
        <v>0</v>
      </c>
      <c r="AJ143" s="153" t="s">
        <v>6</v>
      </c>
    </row>
    <row r="144" spans="1:36" ht="30" customHeight="1">
      <c r="A144" s="92"/>
      <c r="B144" s="92"/>
      <c r="C144" s="92"/>
      <c r="D144" s="92"/>
      <c r="E144" s="92"/>
      <c r="F144" s="92"/>
      <c r="G144" s="92"/>
      <c r="H144" s="92"/>
      <c r="I144" s="92"/>
      <c r="J144" s="92"/>
      <c r="K144" s="92"/>
      <c r="L144" s="92"/>
      <c r="M144" s="92"/>
      <c r="N144" s="155"/>
      <c r="O144" s="157"/>
      <c r="P144" s="92"/>
      <c r="Q144" s="145"/>
      <c r="R144" s="92"/>
      <c r="S144" s="145"/>
      <c r="T144" s="92"/>
      <c r="U144" s="145"/>
      <c r="V144" s="92"/>
      <c r="W144" s="145"/>
      <c r="X144" s="92"/>
      <c r="Y144" s="145"/>
      <c r="Z144" s="92"/>
      <c r="AA144" s="145"/>
      <c r="AB144" s="64"/>
      <c r="AC144" s="145"/>
      <c r="AD144" s="64"/>
      <c r="AE144" s="145"/>
      <c r="AF144" s="196" t="str">
        <f t="shared" si="11"/>
        <v/>
      </c>
      <c r="AG144" s="95" t="b">
        <f t="shared" si="10"/>
        <v>0</v>
      </c>
      <c r="AH144" s="9"/>
      <c r="AI144" s="150">
        <f t="shared" si="9"/>
        <v>0</v>
      </c>
      <c r="AJ144" s="153" t="s">
        <v>6</v>
      </c>
    </row>
    <row r="145" spans="1:36" ht="30" customHeight="1">
      <c r="A145" s="92"/>
      <c r="B145" s="92"/>
      <c r="C145" s="92"/>
      <c r="D145" s="92"/>
      <c r="E145" s="92"/>
      <c r="F145" s="92"/>
      <c r="G145" s="92"/>
      <c r="H145" s="92"/>
      <c r="I145" s="92"/>
      <c r="J145" s="92"/>
      <c r="K145" s="92"/>
      <c r="L145" s="92"/>
      <c r="M145" s="92"/>
      <c r="N145" s="155"/>
      <c r="O145" s="157"/>
      <c r="P145" s="92"/>
      <c r="Q145" s="145"/>
      <c r="R145" s="92"/>
      <c r="S145" s="145"/>
      <c r="T145" s="92"/>
      <c r="U145" s="145"/>
      <c r="V145" s="92"/>
      <c r="W145" s="145"/>
      <c r="X145" s="92"/>
      <c r="Y145" s="145"/>
      <c r="Z145" s="92"/>
      <c r="AA145" s="145"/>
      <c r="AB145" s="64"/>
      <c r="AC145" s="145"/>
      <c r="AD145" s="64"/>
      <c r="AE145" s="145"/>
      <c r="AF145" s="196" t="str">
        <f t="shared" si="11"/>
        <v/>
      </c>
      <c r="AG145" s="95" t="b">
        <f t="shared" si="10"/>
        <v>0</v>
      </c>
      <c r="AH145" s="9"/>
      <c r="AI145" s="150">
        <f t="shared" si="9"/>
        <v>0</v>
      </c>
      <c r="AJ145" s="153" t="s">
        <v>6</v>
      </c>
    </row>
    <row r="146" spans="1:36" ht="30" customHeight="1">
      <c r="A146" s="92"/>
      <c r="B146" s="92"/>
      <c r="C146" s="92"/>
      <c r="D146" s="92"/>
      <c r="E146" s="92"/>
      <c r="F146" s="92"/>
      <c r="G146" s="92"/>
      <c r="H146" s="92"/>
      <c r="I146" s="92"/>
      <c r="J146" s="92"/>
      <c r="K146" s="92"/>
      <c r="L146" s="92"/>
      <c r="M146" s="92"/>
      <c r="N146" s="155"/>
      <c r="O146" s="157"/>
      <c r="P146" s="92"/>
      <c r="Q146" s="145"/>
      <c r="R146" s="92"/>
      <c r="S146" s="145"/>
      <c r="T146" s="92"/>
      <c r="U146" s="145"/>
      <c r="V146" s="92"/>
      <c r="W146" s="145"/>
      <c r="X146" s="92"/>
      <c r="Y146" s="145"/>
      <c r="Z146" s="92"/>
      <c r="AA146" s="145"/>
      <c r="AB146" s="64"/>
      <c r="AC146" s="145"/>
      <c r="AD146" s="64"/>
      <c r="AE146" s="145"/>
      <c r="AF146" s="196" t="str">
        <f t="shared" si="11"/>
        <v/>
      </c>
      <c r="AG146" s="95" t="b">
        <f t="shared" si="10"/>
        <v>0</v>
      </c>
      <c r="AH146" s="9"/>
      <c r="AI146" s="150">
        <f t="shared" si="9"/>
        <v>0</v>
      </c>
      <c r="AJ146" s="153" t="s">
        <v>6</v>
      </c>
    </row>
    <row r="147" spans="1:36" ht="30" customHeight="1">
      <c r="A147" s="92"/>
      <c r="B147" s="92"/>
      <c r="C147" s="92"/>
      <c r="D147" s="92"/>
      <c r="E147" s="92"/>
      <c r="F147" s="92"/>
      <c r="G147" s="92"/>
      <c r="H147" s="92"/>
      <c r="I147" s="92"/>
      <c r="J147" s="92"/>
      <c r="K147" s="92"/>
      <c r="L147" s="92"/>
      <c r="M147" s="92"/>
      <c r="N147" s="155"/>
      <c r="O147" s="157"/>
      <c r="P147" s="92"/>
      <c r="Q147" s="145"/>
      <c r="R147" s="92"/>
      <c r="S147" s="145"/>
      <c r="T147" s="92"/>
      <c r="U147" s="145"/>
      <c r="V147" s="92"/>
      <c r="W147" s="145"/>
      <c r="X147" s="92"/>
      <c r="Y147" s="145"/>
      <c r="Z147" s="92"/>
      <c r="AA147" s="145"/>
      <c r="AB147" s="64"/>
      <c r="AC147" s="145"/>
      <c r="AD147" s="64"/>
      <c r="AE147" s="145"/>
      <c r="AF147" s="196" t="str">
        <f t="shared" si="11"/>
        <v/>
      </c>
      <c r="AG147" s="95" t="b">
        <f t="shared" si="10"/>
        <v>0</v>
      </c>
      <c r="AH147" s="9"/>
      <c r="AI147" s="150">
        <f t="shared" si="9"/>
        <v>0</v>
      </c>
      <c r="AJ147" s="153" t="s">
        <v>6</v>
      </c>
    </row>
    <row r="148" spans="1:36" ht="30" customHeight="1">
      <c r="A148" s="92"/>
      <c r="B148" s="92"/>
      <c r="C148" s="92"/>
      <c r="D148" s="92"/>
      <c r="E148" s="92"/>
      <c r="F148" s="92"/>
      <c r="G148" s="92"/>
      <c r="H148" s="92"/>
      <c r="I148" s="92"/>
      <c r="J148" s="92"/>
      <c r="K148" s="92"/>
      <c r="L148" s="92"/>
      <c r="M148" s="92"/>
      <c r="N148" s="155"/>
      <c r="O148" s="157"/>
      <c r="P148" s="92"/>
      <c r="Q148" s="145"/>
      <c r="R148" s="92"/>
      <c r="S148" s="145"/>
      <c r="T148" s="92"/>
      <c r="U148" s="145"/>
      <c r="V148" s="92"/>
      <c r="W148" s="145"/>
      <c r="X148" s="92"/>
      <c r="Y148" s="145"/>
      <c r="Z148" s="92"/>
      <c r="AA148" s="145"/>
      <c r="AB148" s="64"/>
      <c r="AC148" s="145"/>
      <c r="AD148" s="64"/>
      <c r="AE148" s="145"/>
      <c r="AF148" s="196" t="str">
        <f t="shared" si="11"/>
        <v/>
      </c>
      <c r="AG148" s="95" t="b">
        <f t="shared" si="10"/>
        <v>0</v>
      </c>
      <c r="AH148" s="9"/>
      <c r="AI148" s="150">
        <f t="shared" si="9"/>
        <v>0</v>
      </c>
      <c r="AJ148" s="153" t="s">
        <v>6</v>
      </c>
    </row>
    <row r="149" spans="1:36" ht="30" customHeight="1">
      <c r="A149" s="92"/>
      <c r="B149" s="92"/>
      <c r="C149" s="92"/>
      <c r="D149" s="92"/>
      <c r="E149" s="92"/>
      <c r="F149" s="92"/>
      <c r="G149" s="92"/>
      <c r="H149" s="92"/>
      <c r="I149" s="92"/>
      <c r="J149" s="92"/>
      <c r="K149" s="92"/>
      <c r="L149" s="92"/>
      <c r="M149" s="92"/>
      <c r="N149" s="155"/>
      <c r="O149" s="157"/>
      <c r="P149" s="92"/>
      <c r="Q149" s="145"/>
      <c r="R149" s="92"/>
      <c r="S149" s="145"/>
      <c r="T149" s="92"/>
      <c r="U149" s="145"/>
      <c r="V149" s="92"/>
      <c r="W149" s="145"/>
      <c r="X149" s="92"/>
      <c r="Y149" s="145"/>
      <c r="Z149" s="92"/>
      <c r="AA149" s="145"/>
      <c r="AB149" s="64"/>
      <c r="AC149" s="145"/>
      <c r="AD149" s="64"/>
      <c r="AE149" s="145"/>
      <c r="AF149" s="196" t="str">
        <f t="shared" si="11"/>
        <v/>
      </c>
      <c r="AG149" s="95" t="b">
        <f t="shared" si="10"/>
        <v>0</v>
      </c>
      <c r="AH149" s="9"/>
      <c r="AI149" s="150">
        <f t="shared" si="9"/>
        <v>0</v>
      </c>
      <c r="AJ149" s="153" t="s">
        <v>6</v>
      </c>
    </row>
    <row r="150" spans="1:36" ht="30" customHeight="1">
      <c r="A150" s="92"/>
      <c r="B150" s="92"/>
      <c r="C150" s="92"/>
      <c r="D150" s="92"/>
      <c r="E150" s="92"/>
      <c r="F150" s="92"/>
      <c r="G150" s="92"/>
      <c r="H150" s="92"/>
      <c r="I150" s="92"/>
      <c r="J150" s="92"/>
      <c r="K150" s="92"/>
      <c r="L150" s="92"/>
      <c r="M150" s="92"/>
      <c r="N150" s="155"/>
      <c r="O150" s="157"/>
      <c r="P150" s="92"/>
      <c r="Q150" s="145"/>
      <c r="R150" s="92"/>
      <c r="S150" s="145"/>
      <c r="T150" s="92"/>
      <c r="U150" s="145"/>
      <c r="V150" s="92"/>
      <c r="W150" s="145"/>
      <c r="X150" s="92"/>
      <c r="Y150" s="145"/>
      <c r="Z150" s="92"/>
      <c r="AA150" s="145"/>
      <c r="AB150" s="64"/>
      <c r="AC150" s="145"/>
      <c r="AD150" s="64"/>
      <c r="AE150" s="145"/>
      <c r="AF150" s="196" t="str">
        <f t="shared" si="11"/>
        <v/>
      </c>
      <c r="AG150" s="95" t="b">
        <f t="shared" si="10"/>
        <v>0</v>
      </c>
      <c r="AH150" s="9"/>
      <c r="AI150" s="150">
        <f t="shared" si="9"/>
        <v>0</v>
      </c>
      <c r="AJ150" s="153" t="s">
        <v>6</v>
      </c>
    </row>
    <row r="151" spans="1:36" ht="30" customHeight="1">
      <c r="A151" s="92"/>
      <c r="B151" s="92"/>
      <c r="C151" s="92"/>
      <c r="D151" s="92"/>
      <c r="E151" s="92"/>
      <c r="F151" s="92"/>
      <c r="G151" s="92"/>
      <c r="H151" s="92"/>
      <c r="I151" s="92"/>
      <c r="J151" s="92"/>
      <c r="K151" s="92"/>
      <c r="L151" s="92"/>
      <c r="M151" s="92"/>
      <c r="N151" s="155"/>
      <c r="O151" s="157"/>
      <c r="P151" s="92"/>
      <c r="Q151" s="145"/>
      <c r="R151" s="92"/>
      <c r="S151" s="145"/>
      <c r="T151" s="92"/>
      <c r="U151" s="145"/>
      <c r="V151" s="92"/>
      <c r="W151" s="145"/>
      <c r="X151" s="92"/>
      <c r="Y151" s="145"/>
      <c r="Z151" s="92"/>
      <c r="AA151" s="145"/>
      <c r="AB151" s="64"/>
      <c r="AC151" s="145"/>
      <c r="AD151" s="64"/>
      <c r="AE151" s="145"/>
      <c r="AF151" s="196" t="str">
        <f t="shared" si="11"/>
        <v/>
      </c>
      <c r="AG151" s="95" t="b">
        <f t="shared" si="10"/>
        <v>0</v>
      </c>
      <c r="AH151" s="9"/>
      <c r="AI151" s="150">
        <f t="shared" si="9"/>
        <v>0</v>
      </c>
      <c r="AJ151" s="153" t="s">
        <v>6</v>
      </c>
    </row>
    <row r="152" spans="1:36" ht="30" customHeight="1">
      <c r="A152" s="92"/>
      <c r="B152" s="92"/>
      <c r="C152" s="92"/>
      <c r="D152" s="92"/>
      <c r="E152" s="92"/>
      <c r="F152" s="92"/>
      <c r="G152" s="92"/>
      <c r="H152" s="92"/>
      <c r="I152" s="92"/>
      <c r="J152" s="92"/>
      <c r="K152" s="92"/>
      <c r="L152" s="92"/>
      <c r="M152" s="92"/>
      <c r="N152" s="155"/>
      <c r="O152" s="157"/>
      <c r="P152" s="92"/>
      <c r="Q152" s="145"/>
      <c r="R152" s="92"/>
      <c r="S152" s="145"/>
      <c r="T152" s="92"/>
      <c r="U152" s="145"/>
      <c r="V152" s="92"/>
      <c r="W152" s="145"/>
      <c r="X152" s="92"/>
      <c r="Y152" s="145"/>
      <c r="Z152" s="92"/>
      <c r="AA152" s="145"/>
      <c r="AB152" s="64"/>
      <c r="AC152" s="145"/>
      <c r="AD152" s="64"/>
      <c r="AE152" s="145"/>
      <c r="AF152" s="196" t="str">
        <f t="shared" si="11"/>
        <v/>
      </c>
      <c r="AG152" s="95" t="b">
        <f t="shared" si="10"/>
        <v>0</v>
      </c>
      <c r="AH152" s="9"/>
      <c r="AI152" s="150">
        <f t="shared" si="9"/>
        <v>0</v>
      </c>
      <c r="AJ152" s="153" t="s">
        <v>6</v>
      </c>
    </row>
    <row r="153" spans="1:36" ht="30" customHeight="1">
      <c r="A153" s="92"/>
      <c r="B153" s="92"/>
      <c r="C153" s="92"/>
      <c r="D153" s="92"/>
      <c r="E153" s="92"/>
      <c r="F153" s="92"/>
      <c r="G153" s="92"/>
      <c r="H153" s="92"/>
      <c r="I153" s="92"/>
      <c r="J153" s="92"/>
      <c r="K153" s="92"/>
      <c r="L153" s="92"/>
      <c r="M153" s="92"/>
      <c r="N153" s="155"/>
      <c r="O153" s="157"/>
      <c r="P153" s="92"/>
      <c r="Q153" s="145"/>
      <c r="R153" s="92"/>
      <c r="S153" s="145"/>
      <c r="T153" s="92"/>
      <c r="U153" s="145"/>
      <c r="V153" s="92"/>
      <c r="W153" s="145"/>
      <c r="X153" s="92"/>
      <c r="Y153" s="145"/>
      <c r="Z153" s="92"/>
      <c r="AA153" s="145"/>
      <c r="AB153" s="64"/>
      <c r="AC153" s="145"/>
      <c r="AD153" s="64"/>
      <c r="AE153" s="145"/>
      <c r="AF153" s="196" t="str">
        <f t="shared" si="11"/>
        <v/>
      </c>
      <c r="AG153" s="95" t="b">
        <f t="shared" si="10"/>
        <v>0</v>
      </c>
      <c r="AH153" s="9"/>
      <c r="AI153" s="150">
        <f t="shared" si="9"/>
        <v>0</v>
      </c>
      <c r="AJ153" s="153" t="s">
        <v>6</v>
      </c>
    </row>
    <row r="154" spans="1:36" ht="30" customHeight="1">
      <c r="A154" s="92"/>
      <c r="B154" s="92"/>
      <c r="C154" s="92"/>
      <c r="D154" s="92"/>
      <c r="E154" s="92"/>
      <c r="F154" s="92"/>
      <c r="G154" s="92"/>
      <c r="H154" s="92"/>
      <c r="I154" s="92"/>
      <c r="J154" s="92"/>
      <c r="K154" s="92"/>
      <c r="L154" s="92"/>
      <c r="M154" s="92"/>
      <c r="N154" s="155"/>
      <c r="O154" s="157"/>
      <c r="P154" s="92"/>
      <c r="Q154" s="145"/>
      <c r="R154" s="92"/>
      <c r="S154" s="145"/>
      <c r="T154" s="92"/>
      <c r="U154" s="145"/>
      <c r="V154" s="92"/>
      <c r="W154" s="145"/>
      <c r="X154" s="92"/>
      <c r="Y154" s="145"/>
      <c r="Z154" s="92"/>
      <c r="AA154" s="145"/>
      <c r="AB154" s="64"/>
      <c r="AC154" s="145"/>
      <c r="AD154" s="64"/>
      <c r="AE154" s="145"/>
      <c r="AF154" s="196" t="str">
        <f t="shared" si="11"/>
        <v/>
      </c>
      <c r="AG154" s="95" t="b">
        <f t="shared" si="10"/>
        <v>0</v>
      </c>
      <c r="AH154" s="9"/>
      <c r="AI154" s="150">
        <f t="shared" si="9"/>
        <v>0</v>
      </c>
      <c r="AJ154" s="153" t="s">
        <v>6</v>
      </c>
    </row>
    <row r="155" spans="1:36" ht="30" customHeight="1">
      <c r="A155" s="92"/>
      <c r="B155" s="92"/>
      <c r="C155" s="92"/>
      <c r="D155" s="92"/>
      <c r="E155" s="92"/>
      <c r="F155" s="92"/>
      <c r="G155" s="92"/>
      <c r="H155" s="92"/>
      <c r="I155" s="92"/>
      <c r="J155" s="92"/>
      <c r="K155" s="92"/>
      <c r="L155" s="92"/>
      <c r="M155" s="92"/>
      <c r="N155" s="155"/>
      <c r="O155" s="157"/>
      <c r="P155" s="92"/>
      <c r="Q155" s="145"/>
      <c r="R155" s="92"/>
      <c r="S155" s="145"/>
      <c r="T155" s="92"/>
      <c r="U155" s="145"/>
      <c r="V155" s="92"/>
      <c r="W155" s="145"/>
      <c r="X155" s="92"/>
      <c r="Y155" s="145"/>
      <c r="Z155" s="92"/>
      <c r="AA155" s="145"/>
      <c r="AB155" s="64"/>
      <c r="AC155" s="145"/>
      <c r="AD155" s="64"/>
      <c r="AE155" s="145"/>
      <c r="AF155" s="196" t="str">
        <f t="shared" si="11"/>
        <v/>
      </c>
      <c r="AG155" s="95" t="b">
        <f t="shared" si="10"/>
        <v>0</v>
      </c>
      <c r="AH155" s="9"/>
      <c r="AI155" s="150">
        <f t="shared" si="9"/>
        <v>0</v>
      </c>
      <c r="AJ155" s="153" t="s">
        <v>6</v>
      </c>
    </row>
    <row r="156" spans="1:36" ht="30" customHeight="1">
      <c r="A156" s="92"/>
      <c r="B156" s="92"/>
      <c r="C156" s="92"/>
      <c r="D156" s="92"/>
      <c r="E156" s="92"/>
      <c r="F156" s="92"/>
      <c r="G156" s="92"/>
      <c r="H156" s="92"/>
      <c r="I156" s="92"/>
      <c r="J156" s="92"/>
      <c r="K156" s="92"/>
      <c r="L156" s="92"/>
      <c r="M156" s="92"/>
      <c r="N156" s="155"/>
      <c r="O156" s="157"/>
      <c r="P156" s="92"/>
      <c r="Q156" s="145"/>
      <c r="R156" s="92"/>
      <c r="S156" s="145"/>
      <c r="T156" s="92"/>
      <c r="U156" s="145"/>
      <c r="V156" s="92"/>
      <c r="W156" s="145"/>
      <c r="X156" s="92"/>
      <c r="Y156" s="145"/>
      <c r="Z156" s="92"/>
      <c r="AA156" s="145"/>
      <c r="AB156" s="64"/>
      <c r="AC156" s="145"/>
      <c r="AD156" s="64"/>
      <c r="AE156" s="145"/>
      <c r="AF156" s="196" t="str">
        <f t="shared" si="11"/>
        <v/>
      </c>
      <c r="AG156" s="95" t="b">
        <f t="shared" si="10"/>
        <v>0</v>
      </c>
      <c r="AH156" s="9"/>
      <c r="AI156" s="150">
        <f t="shared" si="9"/>
        <v>0</v>
      </c>
      <c r="AJ156" s="153" t="s">
        <v>6</v>
      </c>
    </row>
    <row r="157" spans="1:36" ht="30" customHeight="1">
      <c r="A157" s="92"/>
      <c r="B157" s="92"/>
      <c r="C157" s="92"/>
      <c r="D157" s="92"/>
      <c r="E157" s="92"/>
      <c r="F157" s="92"/>
      <c r="G157" s="92"/>
      <c r="H157" s="92"/>
      <c r="I157" s="92"/>
      <c r="J157" s="92"/>
      <c r="K157" s="92"/>
      <c r="L157" s="92"/>
      <c r="M157" s="92"/>
      <c r="N157" s="155"/>
      <c r="O157" s="157"/>
      <c r="P157" s="92"/>
      <c r="Q157" s="145"/>
      <c r="R157" s="92"/>
      <c r="S157" s="145"/>
      <c r="T157" s="92"/>
      <c r="U157" s="145"/>
      <c r="V157" s="92"/>
      <c r="W157" s="145"/>
      <c r="X157" s="92"/>
      <c r="Y157" s="145"/>
      <c r="Z157" s="92"/>
      <c r="AA157" s="145"/>
      <c r="AB157" s="64"/>
      <c r="AC157" s="145"/>
      <c r="AD157" s="64"/>
      <c r="AE157" s="145"/>
      <c r="AF157" s="196" t="str">
        <f t="shared" si="11"/>
        <v/>
      </c>
      <c r="AG157" s="95" t="b">
        <f t="shared" si="10"/>
        <v>0</v>
      </c>
      <c r="AH157" s="9"/>
      <c r="AI157" s="150">
        <f t="shared" si="9"/>
        <v>0</v>
      </c>
      <c r="AJ157" s="153" t="s">
        <v>6</v>
      </c>
    </row>
    <row r="158" spans="1:36" ht="30" customHeight="1">
      <c r="A158" s="92"/>
      <c r="B158" s="92"/>
      <c r="C158" s="92"/>
      <c r="D158" s="92"/>
      <c r="E158" s="92"/>
      <c r="F158" s="92"/>
      <c r="G158" s="92"/>
      <c r="H158" s="92"/>
      <c r="I158" s="92"/>
      <c r="J158" s="92"/>
      <c r="K158" s="92"/>
      <c r="L158" s="92"/>
      <c r="M158" s="92"/>
      <c r="N158" s="155"/>
      <c r="O158" s="157"/>
      <c r="P158" s="92"/>
      <c r="Q158" s="145"/>
      <c r="R158" s="92"/>
      <c r="S158" s="145"/>
      <c r="T158" s="92"/>
      <c r="U158" s="145"/>
      <c r="V158" s="92"/>
      <c r="W158" s="145"/>
      <c r="X158" s="92"/>
      <c r="Y158" s="145"/>
      <c r="Z158" s="92"/>
      <c r="AA158" s="145"/>
      <c r="AB158" s="64"/>
      <c r="AC158" s="145"/>
      <c r="AD158" s="64"/>
      <c r="AE158" s="145"/>
      <c r="AF158" s="196" t="str">
        <f t="shared" si="11"/>
        <v/>
      </c>
      <c r="AG158" s="95" t="b">
        <f t="shared" si="10"/>
        <v>0</v>
      </c>
      <c r="AH158" s="9"/>
      <c r="AI158" s="150">
        <f t="shared" si="9"/>
        <v>0</v>
      </c>
      <c r="AJ158" s="153" t="s">
        <v>6</v>
      </c>
    </row>
    <row r="159" spans="1:36" ht="30" customHeight="1">
      <c r="A159" s="92"/>
      <c r="B159" s="92"/>
      <c r="C159" s="92"/>
      <c r="D159" s="92"/>
      <c r="E159" s="92"/>
      <c r="F159" s="92"/>
      <c r="G159" s="92"/>
      <c r="H159" s="92"/>
      <c r="I159" s="92"/>
      <c r="J159" s="92"/>
      <c r="K159" s="92"/>
      <c r="L159" s="92"/>
      <c r="M159" s="92"/>
      <c r="N159" s="155"/>
      <c r="O159" s="157"/>
      <c r="P159" s="92"/>
      <c r="Q159" s="145"/>
      <c r="R159" s="92"/>
      <c r="S159" s="145"/>
      <c r="T159" s="92"/>
      <c r="U159" s="145"/>
      <c r="V159" s="92"/>
      <c r="W159" s="145"/>
      <c r="X159" s="92"/>
      <c r="Y159" s="145"/>
      <c r="Z159" s="92"/>
      <c r="AA159" s="145"/>
      <c r="AB159" s="64"/>
      <c r="AC159" s="145"/>
      <c r="AD159" s="64"/>
      <c r="AE159" s="145"/>
      <c r="AF159" s="196" t="str">
        <f t="shared" si="11"/>
        <v/>
      </c>
      <c r="AG159" s="95" t="b">
        <f t="shared" si="10"/>
        <v>0</v>
      </c>
      <c r="AH159" s="9"/>
      <c r="AI159" s="150">
        <f t="shared" si="9"/>
        <v>0</v>
      </c>
      <c r="AJ159" s="153" t="s">
        <v>6</v>
      </c>
    </row>
    <row r="160" spans="1:36" ht="30" customHeight="1">
      <c r="A160" s="92"/>
      <c r="B160" s="92"/>
      <c r="C160" s="92"/>
      <c r="D160" s="92"/>
      <c r="E160" s="92"/>
      <c r="F160" s="92"/>
      <c r="G160" s="92"/>
      <c r="H160" s="92"/>
      <c r="I160" s="92"/>
      <c r="J160" s="92"/>
      <c r="K160" s="92"/>
      <c r="L160" s="92"/>
      <c r="M160" s="92"/>
      <c r="N160" s="155"/>
      <c r="O160" s="157"/>
      <c r="P160" s="92"/>
      <c r="Q160" s="145"/>
      <c r="R160" s="92"/>
      <c r="S160" s="145"/>
      <c r="T160" s="92"/>
      <c r="U160" s="145"/>
      <c r="V160" s="92"/>
      <c r="W160" s="145"/>
      <c r="X160" s="92"/>
      <c r="Y160" s="145"/>
      <c r="Z160" s="92"/>
      <c r="AA160" s="145"/>
      <c r="AB160" s="64"/>
      <c r="AC160" s="145"/>
      <c r="AD160" s="64"/>
      <c r="AE160" s="145"/>
      <c r="AF160" s="196" t="str">
        <f t="shared" si="11"/>
        <v/>
      </c>
      <c r="AG160" s="95" t="b">
        <f t="shared" si="10"/>
        <v>0</v>
      </c>
      <c r="AH160" s="9"/>
      <c r="AI160" s="150">
        <f t="shared" si="9"/>
        <v>0</v>
      </c>
      <c r="AJ160" s="153" t="s">
        <v>6</v>
      </c>
    </row>
    <row r="161" spans="1:36" ht="30" customHeight="1">
      <c r="A161" s="92"/>
      <c r="B161" s="92"/>
      <c r="C161" s="92"/>
      <c r="D161" s="92"/>
      <c r="E161" s="92"/>
      <c r="F161" s="92"/>
      <c r="G161" s="92"/>
      <c r="H161" s="92"/>
      <c r="I161" s="92"/>
      <c r="J161" s="92"/>
      <c r="K161" s="92"/>
      <c r="L161" s="92"/>
      <c r="M161" s="92"/>
      <c r="N161" s="155"/>
      <c r="O161" s="157"/>
      <c r="P161" s="92"/>
      <c r="Q161" s="145"/>
      <c r="R161" s="92"/>
      <c r="S161" s="145"/>
      <c r="T161" s="92"/>
      <c r="U161" s="145"/>
      <c r="V161" s="92"/>
      <c r="W161" s="145"/>
      <c r="X161" s="92"/>
      <c r="Y161" s="145"/>
      <c r="Z161" s="92"/>
      <c r="AA161" s="145"/>
      <c r="AB161" s="64"/>
      <c r="AC161" s="145"/>
      <c r="AD161" s="64"/>
      <c r="AE161" s="145"/>
      <c r="AF161" s="196" t="str">
        <f t="shared" si="11"/>
        <v/>
      </c>
      <c r="AG161" s="95" t="b">
        <f t="shared" si="10"/>
        <v>0</v>
      </c>
      <c r="AH161" s="9"/>
      <c r="AI161" s="150">
        <f t="shared" si="9"/>
        <v>0</v>
      </c>
      <c r="AJ161" s="153" t="s">
        <v>6</v>
      </c>
    </row>
    <row r="162" spans="1:36" ht="30" customHeight="1">
      <c r="A162" s="92"/>
      <c r="B162" s="92"/>
      <c r="C162" s="92"/>
      <c r="D162" s="92"/>
      <c r="E162" s="92"/>
      <c r="F162" s="92"/>
      <c r="G162" s="92"/>
      <c r="H162" s="92"/>
      <c r="I162" s="92"/>
      <c r="J162" s="92"/>
      <c r="K162" s="92"/>
      <c r="L162" s="92"/>
      <c r="M162" s="92"/>
      <c r="N162" s="155"/>
      <c r="O162" s="157"/>
      <c r="P162" s="92"/>
      <c r="Q162" s="145"/>
      <c r="R162" s="92"/>
      <c r="S162" s="145"/>
      <c r="T162" s="92"/>
      <c r="U162" s="145"/>
      <c r="V162" s="92"/>
      <c r="W162" s="145"/>
      <c r="X162" s="92"/>
      <c r="Y162" s="145"/>
      <c r="Z162" s="92"/>
      <c r="AA162" s="145"/>
      <c r="AB162" s="64"/>
      <c r="AC162" s="145"/>
      <c r="AD162" s="64"/>
      <c r="AE162" s="145"/>
      <c r="AF162" s="196" t="str">
        <f t="shared" si="11"/>
        <v/>
      </c>
      <c r="AG162" s="95" t="b">
        <f t="shared" si="10"/>
        <v>0</v>
      </c>
      <c r="AH162" s="9"/>
      <c r="AI162" s="150">
        <f t="shared" si="9"/>
        <v>0</v>
      </c>
      <c r="AJ162" s="153" t="s">
        <v>6</v>
      </c>
    </row>
    <row r="163" spans="1:36" ht="30" customHeight="1">
      <c r="A163" s="92"/>
      <c r="B163" s="92"/>
      <c r="C163" s="92"/>
      <c r="D163" s="92"/>
      <c r="E163" s="92"/>
      <c r="F163" s="92"/>
      <c r="G163" s="92"/>
      <c r="H163" s="92"/>
      <c r="I163" s="92"/>
      <c r="J163" s="92"/>
      <c r="K163" s="92"/>
      <c r="L163" s="92"/>
      <c r="M163" s="92"/>
      <c r="N163" s="155"/>
      <c r="O163" s="157"/>
      <c r="P163" s="92"/>
      <c r="Q163" s="145"/>
      <c r="R163" s="92"/>
      <c r="S163" s="145"/>
      <c r="T163" s="92"/>
      <c r="U163" s="145"/>
      <c r="V163" s="92"/>
      <c r="W163" s="145"/>
      <c r="X163" s="92"/>
      <c r="Y163" s="145"/>
      <c r="Z163" s="92"/>
      <c r="AA163" s="145"/>
      <c r="AB163" s="64"/>
      <c r="AC163" s="145"/>
      <c r="AD163" s="64"/>
      <c r="AE163" s="145"/>
      <c r="AF163" s="196" t="str">
        <f t="shared" si="11"/>
        <v/>
      </c>
      <c r="AG163" s="95" t="b">
        <f t="shared" si="10"/>
        <v>0</v>
      </c>
      <c r="AH163" s="9"/>
      <c r="AI163" s="150">
        <f t="shared" si="9"/>
        <v>0</v>
      </c>
      <c r="AJ163" s="153" t="s">
        <v>6</v>
      </c>
    </row>
    <row r="164" spans="1:36" ht="30" customHeight="1">
      <c r="A164" s="92"/>
      <c r="B164" s="92"/>
      <c r="C164" s="92"/>
      <c r="D164" s="92"/>
      <c r="E164" s="92"/>
      <c r="F164" s="92"/>
      <c r="G164" s="92"/>
      <c r="H164" s="92"/>
      <c r="I164" s="92"/>
      <c r="J164" s="92"/>
      <c r="K164" s="92"/>
      <c r="L164" s="92"/>
      <c r="M164" s="92"/>
      <c r="N164" s="155"/>
      <c r="O164" s="157"/>
      <c r="P164" s="92"/>
      <c r="Q164" s="145"/>
      <c r="R164" s="92"/>
      <c r="S164" s="145"/>
      <c r="T164" s="92"/>
      <c r="U164" s="145"/>
      <c r="V164" s="92"/>
      <c r="W164" s="145"/>
      <c r="X164" s="92"/>
      <c r="Y164" s="145"/>
      <c r="Z164" s="92"/>
      <c r="AA164" s="145"/>
      <c r="AB164" s="64"/>
      <c r="AC164" s="145"/>
      <c r="AD164" s="64"/>
      <c r="AE164" s="145"/>
      <c r="AF164" s="196" t="str">
        <f t="shared" si="11"/>
        <v/>
      </c>
      <c r="AG164" s="95" t="b">
        <f t="shared" si="10"/>
        <v>0</v>
      </c>
      <c r="AH164" s="9"/>
      <c r="AI164" s="150">
        <f t="shared" si="9"/>
        <v>0</v>
      </c>
      <c r="AJ164" s="153" t="s">
        <v>6</v>
      </c>
    </row>
    <row r="165" spans="1:36" ht="30" customHeight="1">
      <c r="A165" s="92"/>
      <c r="B165" s="92"/>
      <c r="C165" s="92"/>
      <c r="D165" s="92"/>
      <c r="E165" s="92"/>
      <c r="F165" s="92"/>
      <c r="G165" s="92"/>
      <c r="H165" s="92"/>
      <c r="I165" s="92"/>
      <c r="J165" s="92"/>
      <c r="K165" s="92"/>
      <c r="L165" s="92"/>
      <c r="M165" s="92"/>
      <c r="N165" s="155"/>
      <c r="O165" s="157"/>
      <c r="P165" s="92"/>
      <c r="Q165" s="145"/>
      <c r="R165" s="92"/>
      <c r="S165" s="145"/>
      <c r="T165" s="92"/>
      <c r="U165" s="145"/>
      <c r="V165" s="92"/>
      <c r="W165" s="145"/>
      <c r="X165" s="92"/>
      <c r="Y165" s="145"/>
      <c r="Z165" s="92"/>
      <c r="AA165" s="145"/>
      <c r="AB165" s="64"/>
      <c r="AC165" s="145"/>
      <c r="AD165" s="64"/>
      <c r="AE165" s="145"/>
      <c r="AF165" s="196" t="str">
        <f t="shared" si="11"/>
        <v/>
      </c>
      <c r="AG165" s="95" t="b">
        <f t="shared" si="10"/>
        <v>0</v>
      </c>
      <c r="AH165" s="9"/>
      <c r="AI165" s="150">
        <f t="shared" si="9"/>
        <v>0</v>
      </c>
      <c r="AJ165" s="153" t="s">
        <v>6</v>
      </c>
    </row>
    <row r="166" spans="1:36" ht="30" customHeight="1">
      <c r="A166" s="92"/>
      <c r="B166" s="92"/>
      <c r="C166" s="92"/>
      <c r="D166" s="92"/>
      <c r="E166" s="92"/>
      <c r="F166" s="92"/>
      <c r="G166" s="92"/>
      <c r="H166" s="92"/>
      <c r="I166" s="92"/>
      <c r="J166" s="92"/>
      <c r="K166" s="92"/>
      <c r="L166" s="92"/>
      <c r="M166" s="92"/>
      <c r="N166" s="155"/>
      <c r="O166" s="157"/>
      <c r="P166" s="92"/>
      <c r="Q166" s="145"/>
      <c r="R166" s="92"/>
      <c r="S166" s="145"/>
      <c r="T166" s="92"/>
      <c r="U166" s="145"/>
      <c r="V166" s="92"/>
      <c r="W166" s="145"/>
      <c r="X166" s="92"/>
      <c r="Y166" s="145"/>
      <c r="Z166" s="92"/>
      <c r="AA166" s="145"/>
      <c r="AB166" s="64"/>
      <c r="AC166" s="145"/>
      <c r="AD166" s="64"/>
      <c r="AE166" s="145"/>
      <c r="AF166" s="196" t="str">
        <f t="shared" si="11"/>
        <v/>
      </c>
      <c r="AG166" s="95" t="b">
        <f t="shared" si="10"/>
        <v>0</v>
      </c>
      <c r="AH166" s="9"/>
      <c r="AI166" s="150">
        <f t="shared" si="9"/>
        <v>0</v>
      </c>
      <c r="AJ166" s="153" t="s">
        <v>6</v>
      </c>
    </row>
    <row r="167" spans="1:36" ht="30" customHeight="1">
      <c r="A167" s="92"/>
      <c r="B167" s="92"/>
      <c r="C167" s="92"/>
      <c r="D167" s="92"/>
      <c r="E167" s="92"/>
      <c r="F167" s="92"/>
      <c r="G167" s="92"/>
      <c r="H167" s="92"/>
      <c r="I167" s="92"/>
      <c r="J167" s="92"/>
      <c r="K167" s="92"/>
      <c r="L167" s="92"/>
      <c r="M167" s="92"/>
      <c r="N167" s="155"/>
      <c r="O167" s="157"/>
      <c r="P167" s="92"/>
      <c r="Q167" s="145"/>
      <c r="R167" s="92"/>
      <c r="S167" s="145"/>
      <c r="T167" s="92"/>
      <c r="U167" s="145"/>
      <c r="V167" s="92"/>
      <c r="W167" s="145"/>
      <c r="X167" s="92"/>
      <c r="Y167" s="145"/>
      <c r="Z167" s="92"/>
      <c r="AA167" s="145"/>
      <c r="AB167" s="64"/>
      <c r="AC167" s="145"/>
      <c r="AD167" s="64"/>
      <c r="AE167" s="145"/>
      <c r="AF167" s="196" t="str">
        <f t="shared" si="11"/>
        <v/>
      </c>
      <c r="AG167" s="95" t="b">
        <f t="shared" si="10"/>
        <v>0</v>
      </c>
      <c r="AH167" s="9"/>
      <c r="AI167" s="150">
        <f t="shared" si="9"/>
        <v>0</v>
      </c>
      <c r="AJ167" s="153" t="s">
        <v>6</v>
      </c>
    </row>
    <row r="168" spans="1:36" ht="30" customHeight="1">
      <c r="A168" s="92"/>
      <c r="B168" s="92"/>
      <c r="C168" s="92"/>
      <c r="D168" s="92"/>
      <c r="E168" s="92"/>
      <c r="F168" s="92"/>
      <c r="G168" s="92"/>
      <c r="H168" s="92"/>
      <c r="I168" s="92"/>
      <c r="J168" s="92"/>
      <c r="K168" s="92"/>
      <c r="L168" s="92"/>
      <c r="M168" s="92"/>
      <c r="N168" s="155"/>
      <c r="O168" s="157"/>
      <c r="P168" s="92"/>
      <c r="Q168" s="145"/>
      <c r="R168" s="92"/>
      <c r="S168" s="145"/>
      <c r="T168" s="92"/>
      <c r="U168" s="145"/>
      <c r="V168" s="92"/>
      <c r="W168" s="145"/>
      <c r="X168" s="92"/>
      <c r="Y168" s="145"/>
      <c r="Z168" s="92"/>
      <c r="AA168" s="145"/>
      <c r="AB168" s="64"/>
      <c r="AC168" s="145"/>
      <c r="AD168" s="64"/>
      <c r="AE168" s="145"/>
      <c r="AF168" s="196" t="str">
        <f t="shared" si="11"/>
        <v/>
      </c>
      <c r="AG168" s="95" t="b">
        <f t="shared" si="10"/>
        <v>0</v>
      </c>
      <c r="AH168" s="9"/>
      <c r="AI168" s="150">
        <f t="shared" si="9"/>
        <v>0</v>
      </c>
      <c r="AJ168" s="153" t="s">
        <v>6</v>
      </c>
    </row>
    <row r="169" spans="1:36" ht="30" customHeight="1">
      <c r="A169" s="92"/>
      <c r="B169" s="92"/>
      <c r="C169" s="92"/>
      <c r="D169" s="92"/>
      <c r="E169" s="92"/>
      <c r="F169" s="92"/>
      <c r="G169" s="92"/>
      <c r="H169" s="92"/>
      <c r="I169" s="92"/>
      <c r="J169" s="92"/>
      <c r="K169" s="92"/>
      <c r="L169" s="92"/>
      <c r="M169" s="92"/>
      <c r="N169" s="155"/>
      <c r="O169" s="157"/>
      <c r="P169" s="92"/>
      <c r="Q169" s="145"/>
      <c r="R169" s="92"/>
      <c r="S169" s="145"/>
      <c r="T169" s="92"/>
      <c r="U169" s="145"/>
      <c r="V169" s="92"/>
      <c r="W169" s="145"/>
      <c r="X169" s="92"/>
      <c r="Y169" s="145"/>
      <c r="Z169" s="92"/>
      <c r="AA169" s="145"/>
      <c r="AB169" s="64"/>
      <c r="AC169" s="145"/>
      <c r="AD169" s="64"/>
      <c r="AE169" s="145"/>
      <c r="AF169" s="196" t="str">
        <f t="shared" si="11"/>
        <v/>
      </c>
      <c r="AG169" s="95" t="b">
        <f t="shared" si="10"/>
        <v>0</v>
      </c>
      <c r="AH169" s="9"/>
      <c r="AI169" s="150">
        <f t="shared" si="9"/>
        <v>0</v>
      </c>
      <c r="AJ169" s="153" t="s">
        <v>6</v>
      </c>
    </row>
    <row r="170" spans="1:36" ht="30" customHeight="1">
      <c r="A170" s="92"/>
      <c r="B170" s="92"/>
      <c r="C170" s="92"/>
      <c r="D170" s="92"/>
      <c r="E170" s="92"/>
      <c r="F170" s="92"/>
      <c r="G170" s="92"/>
      <c r="H170" s="92"/>
      <c r="I170" s="92"/>
      <c r="J170" s="92"/>
      <c r="K170" s="92"/>
      <c r="L170" s="92"/>
      <c r="M170" s="92"/>
      <c r="N170" s="155"/>
      <c r="O170" s="157"/>
      <c r="P170" s="92"/>
      <c r="Q170" s="145"/>
      <c r="R170" s="92"/>
      <c r="S170" s="145"/>
      <c r="T170" s="92"/>
      <c r="U170" s="145"/>
      <c r="V170" s="92"/>
      <c r="W170" s="145"/>
      <c r="X170" s="92"/>
      <c r="Y170" s="145"/>
      <c r="Z170" s="92"/>
      <c r="AA170" s="145"/>
      <c r="AB170" s="64"/>
      <c r="AC170" s="145"/>
      <c r="AD170" s="64"/>
      <c r="AE170" s="145"/>
      <c r="AF170" s="196" t="str">
        <f t="shared" si="11"/>
        <v/>
      </c>
      <c r="AG170" s="95" t="b">
        <f t="shared" si="10"/>
        <v>0</v>
      </c>
      <c r="AH170" s="9"/>
      <c r="AI170" s="150">
        <f t="shared" si="9"/>
        <v>0</v>
      </c>
      <c r="AJ170" s="153" t="s">
        <v>6</v>
      </c>
    </row>
    <row r="171" spans="1:36" ht="30" customHeight="1">
      <c r="A171" s="92"/>
      <c r="B171" s="92"/>
      <c r="C171" s="92"/>
      <c r="D171" s="92"/>
      <c r="E171" s="92"/>
      <c r="F171" s="92"/>
      <c r="G171" s="92"/>
      <c r="H171" s="92"/>
      <c r="I171" s="92"/>
      <c r="J171" s="92"/>
      <c r="K171" s="92"/>
      <c r="L171" s="92"/>
      <c r="M171" s="92"/>
      <c r="N171" s="155"/>
      <c r="O171" s="157"/>
      <c r="P171" s="92"/>
      <c r="Q171" s="145"/>
      <c r="R171" s="92"/>
      <c r="S171" s="145"/>
      <c r="T171" s="92"/>
      <c r="U171" s="145"/>
      <c r="V171" s="92"/>
      <c r="W171" s="145"/>
      <c r="X171" s="92"/>
      <c r="Y171" s="145"/>
      <c r="Z171" s="92"/>
      <c r="AA171" s="145"/>
      <c r="AB171" s="64"/>
      <c r="AC171" s="145"/>
      <c r="AD171" s="64"/>
      <c r="AE171" s="145"/>
      <c r="AF171" s="196" t="str">
        <f t="shared" si="11"/>
        <v/>
      </c>
      <c r="AG171" s="95" t="b">
        <f t="shared" si="10"/>
        <v>0</v>
      </c>
      <c r="AH171" s="9"/>
      <c r="AI171" s="150">
        <f t="shared" si="9"/>
        <v>0</v>
      </c>
      <c r="AJ171" s="153" t="s">
        <v>6</v>
      </c>
    </row>
    <row r="172" spans="1:36" ht="30" customHeight="1">
      <c r="A172" s="92"/>
      <c r="B172" s="92"/>
      <c r="C172" s="92"/>
      <c r="D172" s="92"/>
      <c r="E172" s="92"/>
      <c r="F172" s="92"/>
      <c r="G172" s="92"/>
      <c r="H172" s="92"/>
      <c r="I172" s="92"/>
      <c r="J172" s="92"/>
      <c r="K172" s="92"/>
      <c r="L172" s="92"/>
      <c r="M172" s="92"/>
      <c r="N172" s="155"/>
      <c r="O172" s="157"/>
      <c r="P172" s="92"/>
      <c r="Q172" s="145"/>
      <c r="R172" s="92"/>
      <c r="S172" s="145"/>
      <c r="T172" s="92"/>
      <c r="U172" s="145"/>
      <c r="V172" s="92"/>
      <c r="W172" s="145"/>
      <c r="X172" s="92"/>
      <c r="Y172" s="145"/>
      <c r="Z172" s="92"/>
      <c r="AA172" s="145"/>
      <c r="AB172" s="64"/>
      <c r="AC172" s="145"/>
      <c r="AD172" s="64"/>
      <c r="AE172" s="145"/>
      <c r="AF172" s="196" t="str">
        <f t="shared" si="11"/>
        <v/>
      </c>
      <c r="AG172" s="95" t="b">
        <f t="shared" si="10"/>
        <v>0</v>
      </c>
      <c r="AH172" s="9"/>
      <c r="AI172" s="150">
        <f t="shared" si="9"/>
        <v>0</v>
      </c>
      <c r="AJ172" s="153" t="s">
        <v>6</v>
      </c>
    </row>
    <row r="173" spans="1:36" ht="30" customHeight="1">
      <c r="A173" s="92"/>
      <c r="B173" s="92"/>
      <c r="C173" s="92"/>
      <c r="D173" s="92"/>
      <c r="E173" s="92"/>
      <c r="F173" s="92"/>
      <c r="G173" s="92"/>
      <c r="H173" s="92"/>
      <c r="I173" s="92"/>
      <c r="J173" s="92"/>
      <c r="K173" s="92"/>
      <c r="L173" s="92"/>
      <c r="M173" s="92"/>
      <c r="N173" s="155"/>
      <c r="O173" s="157"/>
      <c r="P173" s="92"/>
      <c r="Q173" s="145"/>
      <c r="R173" s="92"/>
      <c r="S173" s="145"/>
      <c r="T173" s="92"/>
      <c r="U173" s="145"/>
      <c r="V173" s="92"/>
      <c r="W173" s="145"/>
      <c r="X173" s="92"/>
      <c r="Y173" s="145"/>
      <c r="Z173" s="92"/>
      <c r="AA173" s="145"/>
      <c r="AB173" s="64"/>
      <c r="AC173" s="145"/>
      <c r="AD173" s="64"/>
      <c r="AE173" s="145"/>
      <c r="AF173" s="196" t="str">
        <f t="shared" si="11"/>
        <v/>
      </c>
      <c r="AG173" s="95" t="b">
        <f t="shared" si="10"/>
        <v>0</v>
      </c>
      <c r="AH173" s="9"/>
      <c r="AI173" s="150">
        <f t="shared" si="9"/>
        <v>0</v>
      </c>
      <c r="AJ173" s="153" t="s">
        <v>6</v>
      </c>
    </row>
    <row r="174" spans="1:36" ht="30" customHeight="1">
      <c r="A174" s="92"/>
      <c r="B174" s="92"/>
      <c r="C174" s="92"/>
      <c r="D174" s="92"/>
      <c r="E174" s="92"/>
      <c r="F174" s="92"/>
      <c r="G174" s="92"/>
      <c r="H174" s="92"/>
      <c r="I174" s="92"/>
      <c r="J174" s="92"/>
      <c r="K174" s="92"/>
      <c r="L174" s="92"/>
      <c r="M174" s="92"/>
      <c r="N174" s="155"/>
      <c r="O174" s="157"/>
      <c r="P174" s="92"/>
      <c r="Q174" s="145"/>
      <c r="R174" s="92"/>
      <c r="S174" s="145"/>
      <c r="T174" s="92"/>
      <c r="U174" s="145"/>
      <c r="V174" s="92"/>
      <c r="W174" s="145"/>
      <c r="X174" s="92"/>
      <c r="Y174" s="145"/>
      <c r="Z174" s="92"/>
      <c r="AA174" s="145"/>
      <c r="AB174" s="64"/>
      <c r="AC174" s="145"/>
      <c r="AD174" s="64"/>
      <c r="AE174" s="145"/>
      <c r="AF174" s="196" t="str">
        <f t="shared" si="11"/>
        <v/>
      </c>
      <c r="AG174" s="95" t="b">
        <f t="shared" si="10"/>
        <v>0</v>
      </c>
      <c r="AH174" s="9"/>
      <c r="AI174" s="150">
        <f t="shared" si="9"/>
        <v>0</v>
      </c>
      <c r="AJ174" s="153" t="s">
        <v>6</v>
      </c>
    </row>
    <row r="175" spans="1:36" ht="30" customHeight="1">
      <c r="A175" s="92"/>
      <c r="B175" s="92"/>
      <c r="C175" s="92"/>
      <c r="D175" s="92"/>
      <c r="E175" s="92"/>
      <c r="F175" s="92"/>
      <c r="G175" s="92"/>
      <c r="H175" s="92"/>
      <c r="I175" s="92"/>
      <c r="J175" s="92"/>
      <c r="K175" s="92"/>
      <c r="L175" s="92"/>
      <c r="M175" s="92"/>
      <c r="N175" s="155"/>
      <c r="O175" s="157"/>
      <c r="P175" s="92"/>
      <c r="Q175" s="145"/>
      <c r="R175" s="92"/>
      <c r="S175" s="145"/>
      <c r="T175" s="92"/>
      <c r="U175" s="145"/>
      <c r="V175" s="92"/>
      <c r="W175" s="145"/>
      <c r="X175" s="92"/>
      <c r="Y175" s="145"/>
      <c r="Z175" s="92"/>
      <c r="AA175" s="145"/>
      <c r="AB175" s="64"/>
      <c r="AC175" s="145"/>
      <c r="AD175" s="64"/>
      <c r="AE175" s="145"/>
      <c r="AF175" s="196" t="str">
        <f t="shared" si="11"/>
        <v/>
      </c>
      <c r="AG175" s="95" t="b">
        <f t="shared" si="10"/>
        <v>0</v>
      </c>
      <c r="AH175" s="9"/>
      <c r="AI175" s="150">
        <f t="shared" si="9"/>
        <v>0</v>
      </c>
      <c r="AJ175" s="153" t="s">
        <v>6</v>
      </c>
    </row>
    <row r="176" spans="1:36" ht="30" customHeight="1">
      <c r="A176" s="92"/>
      <c r="B176" s="92"/>
      <c r="C176" s="92"/>
      <c r="D176" s="92"/>
      <c r="E176" s="92"/>
      <c r="F176" s="92"/>
      <c r="G176" s="92"/>
      <c r="H176" s="92"/>
      <c r="I176" s="92"/>
      <c r="J176" s="92"/>
      <c r="K176" s="92"/>
      <c r="L176" s="92"/>
      <c r="M176" s="92"/>
      <c r="N176" s="155"/>
      <c r="O176" s="157"/>
      <c r="P176" s="92"/>
      <c r="Q176" s="145"/>
      <c r="R176" s="92"/>
      <c r="S176" s="145"/>
      <c r="T176" s="92"/>
      <c r="U176" s="145"/>
      <c r="V176" s="92"/>
      <c r="W176" s="145"/>
      <c r="X176" s="92"/>
      <c r="Y176" s="145"/>
      <c r="Z176" s="92"/>
      <c r="AA176" s="145"/>
      <c r="AB176" s="64"/>
      <c r="AC176" s="145"/>
      <c r="AD176" s="64"/>
      <c r="AE176" s="145"/>
      <c r="AF176" s="196" t="str">
        <f t="shared" si="11"/>
        <v/>
      </c>
      <c r="AG176" s="95" t="b">
        <f t="shared" si="10"/>
        <v>0</v>
      </c>
      <c r="AH176" s="9"/>
      <c r="AI176" s="150">
        <f t="shared" si="9"/>
        <v>0</v>
      </c>
      <c r="AJ176" s="153" t="s">
        <v>6</v>
      </c>
    </row>
    <row r="177" spans="1:36" ht="30" customHeight="1">
      <c r="A177" s="92"/>
      <c r="B177" s="92"/>
      <c r="C177" s="92"/>
      <c r="D177" s="92"/>
      <c r="E177" s="92"/>
      <c r="F177" s="92"/>
      <c r="G177" s="92"/>
      <c r="H177" s="92"/>
      <c r="I177" s="92"/>
      <c r="J177" s="92"/>
      <c r="K177" s="92"/>
      <c r="L177" s="92"/>
      <c r="M177" s="92"/>
      <c r="N177" s="155"/>
      <c r="O177" s="157"/>
      <c r="P177" s="92"/>
      <c r="Q177" s="145"/>
      <c r="R177" s="92"/>
      <c r="S177" s="145"/>
      <c r="T177" s="92"/>
      <c r="U177" s="145"/>
      <c r="V177" s="92"/>
      <c r="W177" s="145"/>
      <c r="X177" s="92"/>
      <c r="Y177" s="145"/>
      <c r="Z177" s="92"/>
      <c r="AA177" s="145"/>
      <c r="AB177" s="64"/>
      <c r="AC177" s="145"/>
      <c r="AD177" s="64"/>
      <c r="AE177" s="145"/>
      <c r="AF177" s="196" t="str">
        <f t="shared" si="11"/>
        <v/>
      </c>
      <c r="AG177" s="95" t="b">
        <f t="shared" si="10"/>
        <v>0</v>
      </c>
      <c r="AH177" s="9"/>
      <c r="AI177" s="150">
        <f t="shared" si="9"/>
        <v>0</v>
      </c>
      <c r="AJ177" s="153" t="s">
        <v>6</v>
      </c>
    </row>
    <row r="178" spans="1:36" ht="30" customHeight="1">
      <c r="A178" s="92"/>
      <c r="B178" s="92"/>
      <c r="C178" s="92"/>
      <c r="D178" s="92"/>
      <c r="E178" s="92"/>
      <c r="F178" s="92"/>
      <c r="G178" s="92"/>
      <c r="H178" s="92"/>
      <c r="I178" s="92"/>
      <c r="J178" s="92"/>
      <c r="K178" s="92"/>
      <c r="L178" s="92"/>
      <c r="M178" s="92"/>
      <c r="N178" s="155"/>
      <c r="O178" s="157"/>
      <c r="P178" s="92"/>
      <c r="Q178" s="145"/>
      <c r="R178" s="92"/>
      <c r="S178" s="145"/>
      <c r="T178" s="92"/>
      <c r="U178" s="145"/>
      <c r="V178" s="92"/>
      <c r="W178" s="145"/>
      <c r="X178" s="92"/>
      <c r="Y178" s="145"/>
      <c r="Z178" s="92"/>
      <c r="AA178" s="145"/>
      <c r="AB178" s="64"/>
      <c r="AC178" s="145"/>
      <c r="AD178" s="64"/>
      <c r="AE178" s="145"/>
      <c r="AF178" s="196" t="str">
        <f t="shared" si="11"/>
        <v/>
      </c>
      <c r="AG178" s="95" t="b">
        <f t="shared" si="10"/>
        <v>0</v>
      </c>
      <c r="AH178" s="9"/>
      <c r="AI178" s="150">
        <f t="shared" si="9"/>
        <v>0</v>
      </c>
      <c r="AJ178" s="153" t="s">
        <v>6</v>
      </c>
    </row>
    <row r="179" spans="1:36" ht="30" customHeight="1">
      <c r="A179" s="92"/>
      <c r="B179" s="92"/>
      <c r="C179" s="92"/>
      <c r="D179" s="92"/>
      <c r="E179" s="92"/>
      <c r="F179" s="92"/>
      <c r="G179" s="92"/>
      <c r="H179" s="92"/>
      <c r="I179" s="92"/>
      <c r="J179" s="92"/>
      <c r="K179" s="92"/>
      <c r="L179" s="92"/>
      <c r="M179" s="92"/>
      <c r="N179" s="155"/>
      <c r="O179" s="157"/>
      <c r="P179" s="92"/>
      <c r="Q179" s="145"/>
      <c r="R179" s="92"/>
      <c r="S179" s="145"/>
      <c r="T179" s="92"/>
      <c r="U179" s="145"/>
      <c r="V179" s="92"/>
      <c r="W179" s="145"/>
      <c r="X179" s="92"/>
      <c r="Y179" s="145"/>
      <c r="Z179" s="92"/>
      <c r="AA179" s="145"/>
      <c r="AB179" s="64"/>
      <c r="AC179" s="145"/>
      <c r="AD179" s="64"/>
      <c r="AE179" s="145"/>
      <c r="AF179" s="196" t="str">
        <f t="shared" si="11"/>
        <v/>
      </c>
      <c r="AG179" s="95" t="b">
        <f t="shared" si="10"/>
        <v>0</v>
      </c>
      <c r="AH179" s="9"/>
      <c r="AI179" s="150">
        <f t="shared" si="9"/>
        <v>0</v>
      </c>
      <c r="AJ179" s="153" t="s">
        <v>6</v>
      </c>
    </row>
    <row r="180" spans="1:36" ht="30" customHeight="1">
      <c r="A180" s="92"/>
      <c r="B180" s="92"/>
      <c r="C180" s="92"/>
      <c r="D180" s="92"/>
      <c r="E180" s="92"/>
      <c r="F180" s="92"/>
      <c r="G180" s="92"/>
      <c r="H180" s="92"/>
      <c r="I180" s="92"/>
      <c r="J180" s="92"/>
      <c r="K180" s="92"/>
      <c r="L180" s="92"/>
      <c r="M180" s="92"/>
      <c r="N180" s="155"/>
      <c r="O180" s="157"/>
      <c r="P180" s="92"/>
      <c r="Q180" s="145"/>
      <c r="R180" s="92"/>
      <c r="S180" s="145"/>
      <c r="T180" s="92"/>
      <c r="U180" s="145"/>
      <c r="V180" s="92"/>
      <c r="W180" s="145"/>
      <c r="X180" s="92"/>
      <c r="Y180" s="145"/>
      <c r="Z180" s="92"/>
      <c r="AA180" s="145"/>
      <c r="AB180" s="64"/>
      <c r="AC180" s="145"/>
      <c r="AD180" s="64"/>
      <c r="AE180" s="145"/>
      <c r="AF180" s="196" t="str">
        <f t="shared" si="11"/>
        <v/>
      </c>
      <c r="AG180" s="95" t="b">
        <f t="shared" si="10"/>
        <v>0</v>
      </c>
      <c r="AH180" s="9"/>
      <c r="AI180" s="150">
        <f t="shared" si="9"/>
        <v>0</v>
      </c>
      <c r="AJ180" s="153" t="s">
        <v>6</v>
      </c>
    </row>
    <row r="181" spans="1:36" ht="30" customHeight="1">
      <c r="A181" s="92"/>
      <c r="B181" s="92"/>
      <c r="C181" s="92"/>
      <c r="D181" s="92"/>
      <c r="E181" s="92"/>
      <c r="F181" s="92"/>
      <c r="G181" s="92"/>
      <c r="H181" s="92"/>
      <c r="I181" s="92"/>
      <c r="J181" s="92"/>
      <c r="K181" s="92"/>
      <c r="L181" s="92"/>
      <c r="M181" s="92"/>
      <c r="N181" s="155"/>
      <c r="O181" s="157"/>
      <c r="P181" s="92"/>
      <c r="Q181" s="145"/>
      <c r="R181" s="92"/>
      <c r="S181" s="145"/>
      <c r="T181" s="92"/>
      <c r="U181" s="145"/>
      <c r="V181" s="92"/>
      <c r="W181" s="145"/>
      <c r="X181" s="92"/>
      <c r="Y181" s="145"/>
      <c r="Z181" s="92"/>
      <c r="AA181" s="145"/>
      <c r="AB181" s="64"/>
      <c r="AC181" s="145"/>
      <c r="AD181" s="64"/>
      <c r="AE181" s="145"/>
      <c r="AF181" s="196" t="str">
        <f t="shared" si="11"/>
        <v/>
      </c>
      <c r="AG181" s="95" t="b">
        <f t="shared" si="10"/>
        <v>0</v>
      </c>
      <c r="AH181" s="9"/>
      <c r="AI181" s="150">
        <f t="shared" si="9"/>
        <v>0</v>
      </c>
      <c r="AJ181" s="153" t="s">
        <v>6</v>
      </c>
    </row>
    <row r="182" spans="1:36" ht="30" customHeight="1">
      <c r="A182" s="92"/>
      <c r="B182" s="92"/>
      <c r="C182" s="92"/>
      <c r="D182" s="92"/>
      <c r="E182" s="92"/>
      <c r="F182" s="92"/>
      <c r="G182" s="92"/>
      <c r="H182" s="92"/>
      <c r="I182" s="92"/>
      <c r="J182" s="92"/>
      <c r="K182" s="92"/>
      <c r="L182" s="92"/>
      <c r="M182" s="92"/>
      <c r="N182" s="155"/>
      <c r="O182" s="157"/>
      <c r="P182" s="92"/>
      <c r="Q182" s="145"/>
      <c r="R182" s="92"/>
      <c r="S182" s="145"/>
      <c r="T182" s="92"/>
      <c r="U182" s="145"/>
      <c r="V182" s="92"/>
      <c r="W182" s="145"/>
      <c r="X182" s="92"/>
      <c r="Y182" s="145"/>
      <c r="Z182" s="92"/>
      <c r="AA182" s="145"/>
      <c r="AB182" s="64"/>
      <c r="AC182" s="145"/>
      <c r="AD182" s="64"/>
      <c r="AE182" s="145"/>
      <c r="AF182" s="196" t="str">
        <f t="shared" si="11"/>
        <v/>
      </c>
      <c r="AG182" s="95" t="b">
        <f t="shared" si="10"/>
        <v>0</v>
      </c>
      <c r="AH182" s="9"/>
      <c r="AI182" s="150">
        <f t="shared" si="9"/>
        <v>0</v>
      </c>
      <c r="AJ182" s="153" t="s">
        <v>6</v>
      </c>
    </row>
    <row r="183" spans="1:36" ht="30" customHeight="1">
      <c r="A183" s="92"/>
      <c r="B183" s="92"/>
      <c r="C183" s="92"/>
      <c r="D183" s="92"/>
      <c r="E183" s="92"/>
      <c r="F183" s="92"/>
      <c r="G183" s="92"/>
      <c r="H183" s="92"/>
      <c r="I183" s="92"/>
      <c r="J183" s="92"/>
      <c r="K183" s="92"/>
      <c r="L183" s="92"/>
      <c r="M183" s="92"/>
      <c r="N183" s="155"/>
      <c r="O183" s="157"/>
      <c r="P183" s="92"/>
      <c r="Q183" s="145"/>
      <c r="R183" s="92"/>
      <c r="S183" s="145"/>
      <c r="T183" s="92"/>
      <c r="U183" s="145"/>
      <c r="V183" s="92"/>
      <c r="W183" s="145"/>
      <c r="X183" s="92"/>
      <c r="Y183" s="145"/>
      <c r="Z183" s="92"/>
      <c r="AA183" s="145"/>
      <c r="AB183" s="64"/>
      <c r="AC183" s="145"/>
      <c r="AD183" s="64"/>
      <c r="AE183" s="145"/>
      <c r="AF183" s="196" t="str">
        <f t="shared" si="11"/>
        <v/>
      </c>
      <c r="AG183" s="95" t="b">
        <f t="shared" si="10"/>
        <v>0</v>
      </c>
      <c r="AH183" s="9"/>
      <c r="AI183" s="150">
        <f t="shared" si="9"/>
        <v>0</v>
      </c>
      <c r="AJ183" s="153" t="s">
        <v>6</v>
      </c>
    </row>
    <row r="184" spans="1:36" ht="30" customHeight="1">
      <c r="A184" s="92"/>
      <c r="B184" s="92"/>
      <c r="C184" s="92"/>
      <c r="D184" s="92"/>
      <c r="E184" s="92"/>
      <c r="F184" s="92"/>
      <c r="G184" s="92"/>
      <c r="H184" s="92"/>
      <c r="I184" s="92"/>
      <c r="J184" s="92"/>
      <c r="K184" s="92"/>
      <c r="L184" s="92"/>
      <c r="M184" s="92"/>
      <c r="N184" s="155"/>
      <c r="O184" s="157"/>
      <c r="P184" s="92"/>
      <c r="Q184" s="145"/>
      <c r="R184" s="92"/>
      <c r="S184" s="145"/>
      <c r="T184" s="92"/>
      <c r="U184" s="145"/>
      <c r="V184" s="92"/>
      <c r="W184" s="145"/>
      <c r="X184" s="92"/>
      <c r="Y184" s="145"/>
      <c r="Z184" s="92"/>
      <c r="AA184" s="145"/>
      <c r="AB184" s="64"/>
      <c r="AC184" s="145"/>
      <c r="AD184" s="64"/>
      <c r="AE184" s="145"/>
      <c r="AF184" s="196" t="str">
        <f t="shared" si="11"/>
        <v/>
      </c>
      <c r="AG184" s="95" t="b">
        <f t="shared" si="10"/>
        <v>0</v>
      </c>
      <c r="AH184" s="9"/>
      <c r="AI184" s="150">
        <f t="shared" si="9"/>
        <v>0</v>
      </c>
      <c r="AJ184" s="153" t="s">
        <v>6</v>
      </c>
    </row>
    <row r="185" spans="1:36" ht="30" customHeight="1">
      <c r="A185" s="92"/>
      <c r="B185" s="92"/>
      <c r="C185" s="92"/>
      <c r="D185" s="92"/>
      <c r="E185" s="92"/>
      <c r="F185" s="92"/>
      <c r="G185" s="92"/>
      <c r="H185" s="92"/>
      <c r="I185" s="92"/>
      <c r="J185" s="92"/>
      <c r="K185" s="92"/>
      <c r="L185" s="92"/>
      <c r="M185" s="92"/>
      <c r="N185" s="155"/>
      <c r="O185" s="157"/>
      <c r="P185" s="92"/>
      <c r="Q185" s="145"/>
      <c r="R185" s="92"/>
      <c r="S185" s="145"/>
      <c r="T185" s="92"/>
      <c r="U185" s="145"/>
      <c r="V185" s="92"/>
      <c r="W185" s="145"/>
      <c r="X185" s="92"/>
      <c r="Y185" s="145"/>
      <c r="Z185" s="92"/>
      <c r="AA185" s="145"/>
      <c r="AB185" s="64"/>
      <c r="AC185" s="145"/>
      <c r="AD185" s="64"/>
      <c r="AE185" s="145"/>
      <c r="AF185" s="196" t="str">
        <f t="shared" si="11"/>
        <v/>
      </c>
      <c r="AG185" s="95" t="b">
        <f t="shared" si="10"/>
        <v>0</v>
      </c>
      <c r="AH185" s="9"/>
      <c r="AI185" s="150">
        <f t="shared" si="9"/>
        <v>0</v>
      </c>
      <c r="AJ185" s="153" t="s">
        <v>6</v>
      </c>
    </row>
    <row r="186" spans="1:36" ht="30" customHeight="1">
      <c r="A186" s="92"/>
      <c r="B186" s="92"/>
      <c r="C186" s="92"/>
      <c r="D186" s="92"/>
      <c r="E186" s="92"/>
      <c r="F186" s="92"/>
      <c r="G186" s="92"/>
      <c r="H186" s="92"/>
      <c r="I186" s="92"/>
      <c r="J186" s="92"/>
      <c r="K186" s="92"/>
      <c r="L186" s="92"/>
      <c r="M186" s="92"/>
      <c r="N186" s="155"/>
      <c r="O186" s="157"/>
      <c r="P186" s="92"/>
      <c r="Q186" s="145"/>
      <c r="R186" s="92"/>
      <c r="S186" s="145"/>
      <c r="T186" s="92"/>
      <c r="U186" s="145"/>
      <c r="V186" s="92"/>
      <c r="W186" s="145"/>
      <c r="X186" s="92"/>
      <c r="Y186" s="145"/>
      <c r="Z186" s="92"/>
      <c r="AA186" s="145"/>
      <c r="AB186" s="64"/>
      <c r="AC186" s="145"/>
      <c r="AD186" s="64"/>
      <c r="AE186" s="145"/>
      <c r="AF186" s="196" t="str">
        <f t="shared" si="11"/>
        <v/>
      </c>
      <c r="AG186" s="95" t="b">
        <f t="shared" si="10"/>
        <v>0</v>
      </c>
      <c r="AH186" s="9"/>
      <c r="AI186" s="150">
        <f t="shared" si="9"/>
        <v>0</v>
      </c>
      <c r="AJ186" s="153" t="s">
        <v>6</v>
      </c>
    </row>
    <row r="187" spans="1:36" ht="30" customHeight="1">
      <c r="A187" s="92"/>
      <c r="B187" s="92"/>
      <c r="C187" s="92"/>
      <c r="D187" s="92"/>
      <c r="E187" s="92"/>
      <c r="F187" s="92"/>
      <c r="G187" s="92"/>
      <c r="H187" s="92"/>
      <c r="I187" s="92"/>
      <c r="J187" s="92"/>
      <c r="K187" s="92"/>
      <c r="L187" s="92"/>
      <c r="M187" s="92"/>
      <c r="N187" s="155"/>
      <c r="O187" s="157"/>
      <c r="P187" s="92"/>
      <c r="Q187" s="145"/>
      <c r="R187" s="92"/>
      <c r="S187" s="145"/>
      <c r="T187" s="92"/>
      <c r="U187" s="145"/>
      <c r="V187" s="92"/>
      <c r="W187" s="145"/>
      <c r="X187" s="92"/>
      <c r="Y187" s="145"/>
      <c r="Z187" s="92"/>
      <c r="AA187" s="145"/>
      <c r="AB187" s="64"/>
      <c r="AC187" s="145"/>
      <c r="AD187" s="64"/>
      <c r="AE187" s="145"/>
      <c r="AF187" s="196" t="str">
        <f t="shared" si="11"/>
        <v/>
      </c>
      <c r="AG187" s="95" t="b">
        <f t="shared" si="10"/>
        <v>0</v>
      </c>
      <c r="AH187" s="9"/>
      <c r="AI187" s="150">
        <f t="shared" si="9"/>
        <v>0</v>
      </c>
      <c r="AJ187" s="153" t="s">
        <v>6</v>
      </c>
    </row>
    <row r="188" spans="1:36" ht="30" customHeight="1">
      <c r="A188" s="92"/>
      <c r="B188" s="92"/>
      <c r="C188" s="92"/>
      <c r="D188" s="92"/>
      <c r="E188" s="92"/>
      <c r="F188" s="92"/>
      <c r="G188" s="92"/>
      <c r="H188" s="92"/>
      <c r="I188" s="92"/>
      <c r="J188" s="92"/>
      <c r="K188" s="92"/>
      <c r="L188" s="92"/>
      <c r="M188" s="92"/>
      <c r="N188" s="155"/>
      <c r="O188" s="157"/>
      <c r="P188" s="92"/>
      <c r="Q188" s="145"/>
      <c r="R188" s="92"/>
      <c r="S188" s="145"/>
      <c r="T188" s="92"/>
      <c r="U188" s="145"/>
      <c r="V188" s="92"/>
      <c r="W188" s="145"/>
      <c r="X188" s="92"/>
      <c r="Y188" s="145"/>
      <c r="Z188" s="92"/>
      <c r="AA188" s="145"/>
      <c r="AB188" s="64"/>
      <c r="AC188" s="145"/>
      <c r="AD188" s="64"/>
      <c r="AE188" s="145"/>
      <c r="AF188" s="196" t="str">
        <f t="shared" si="11"/>
        <v/>
      </c>
      <c r="AG188" s="95" t="b">
        <f t="shared" si="10"/>
        <v>0</v>
      </c>
      <c r="AH188" s="9"/>
      <c r="AI188" s="150">
        <f t="shared" si="9"/>
        <v>0</v>
      </c>
      <c r="AJ188" s="153" t="s">
        <v>6</v>
      </c>
    </row>
    <row r="189" spans="1:36" ht="30" customHeight="1">
      <c r="A189" s="92"/>
      <c r="B189" s="92"/>
      <c r="C189" s="92"/>
      <c r="D189" s="92"/>
      <c r="E189" s="92"/>
      <c r="F189" s="92"/>
      <c r="G189" s="92"/>
      <c r="H189" s="92"/>
      <c r="I189" s="92"/>
      <c r="J189" s="92"/>
      <c r="K189" s="92"/>
      <c r="L189" s="92"/>
      <c r="M189" s="92"/>
      <c r="N189" s="155"/>
      <c r="O189" s="157"/>
      <c r="P189" s="92"/>
      <c r="Q189" s="145"/>
      <c r="R189" s="92"/>
      <c r="S189" s="145"/>
      <c r="T189" s="92"/>
      <c r="U189" s="145"/>
      <c r="V189" s="92"/>
      <c r="W189" s="145"/>
      <c r="X189" s="92"/>
      <c r="Y189" s="145"/>
      <c r="Z189" s="92"/>
      <c r="AA189" s="145"/>
      <c r="AB189" s="64"/>
      <c r="AC189" s="145"/>
      <c r="AD189" s="64"/>
      <c r="AE189" s="145"/>
      <c r="AF189" s="196" t="str">
        <f t="shared" si="11"/>
        <v/>
      </c>
      <c r="AG189" s="95" t="b">
        <f t="shared" si="10"/>
        <v>0</v>
      </c>
      <c r="AH189" s="9"/>
      <c r="AI189" s="150">
        <f t="shared" si="9"/>
        <v>0</v>
      </c>
      <c r="AJ189" s="153" t="s">
        <v>6</v>
      </c>
    </row>
    <row r="190" spans="1:36" ht="30" customHeight="1">
      <c r="A190" s="92"/>
      <c r="B190" s="92"/>
      <c r="C190" s="92"/>
      <c r="D190" s="92"/>
      <c r="E190" s="92"/>
      <c r="F190" s="92"/>
      <c r="G190" s="92"/>
      <c r="H190" s="92"/>
      <c r="I190" s="92"/>
      <c r="J190" s="92"/>
      <c r="K190" s="92"/>
      <c r="L190" s="92"/>
      <c r="M190" s="92"/>
      <c r="N190" s="155"/>
      <c r="O190" s="157"/>
      <c r="P190" s="92"/>
      <c r="Q190" s="145"/>
      <c r="R190" s="92"/>
      <c r="S190" s="145"/>
      <c r="T190" s="92"/>
      <c r="U190" s="145"/>
      <c r="V190" s="92"/>
      <c r="W190" s="145"/>
      <c r="X190" s="92"/>
      <c r="Y190" s="145"/>
      <c r="Z190" s="92"/>
      <c r="AA190" s="145"/>
      <c r="AB190" s="64"/>
      <c r="AC190" s="145"/>
      <c r="AD190" s="64"/>
      <c r="AE190" s="145"/>
      <c r="AF190" s="196" t="str">
        <f t="shared" si="11"/>
        <v/>
      </c>
      <c r="AG190" s="95" t="b">
        <f t="shared" si="10"/>
        <v>0</v>
      </c>
      <c r="AH190" s="9"/>
      <c r="AI190" s="150">
        <f t="shared" si="9"/>
        <v>0</v>
      </c>
      <c r="AJ190" s="153" t="s">
        <v>6</v>
      </c>
    </row>
    <row r="191" spans="1:36" ht="30" customHeight="1">
      <c r="A191" s="92"/>
      <c r="B191" s="92"/>
      <c r="C191" s="92"/>
      <c r="D191" s="92"/>
      <c r="E191" s="92"/>
      <c r="F191" s="92"/>
      <c r="G191" s="92"/>
      <c r="H191" s="92"/>
      <c r="I191" s="92"/>
      <c r="J191" s="92"/>
      <c r="K191" s="92"/>
      <c r="L191" s="92"/>
      <c r="M191" s="92"/>
      <c r="N191" s="155"/>
      <c r="O191" s="157"/>
      <c r="P191" s="92"/>
      <c r="Q191" s="145"/>
      <c r="R191" s="92"/>
      <c r="S191" s="145"/>
      <c r="T191" s="92"/>
      <c r="U191" s="145"/>
      <c r="V191" s="92"/>
      <c r="W191" s="145"/>
      <c r="X191" s="92"/>
      <c r="Y191" s="145"/>
      <c r="Z191" s="92"/>
      <c r="AA191" s="145"/>
      <c r="AB191" s="64"/>
      <c r="AC191" s="145"/>
      <c r="AD191" s="64"/>
      <c r="AE191" s="145"/>
      <c r="AF191" s="196" t="str">
        <f t="shared" si="11"/>
        <v/>
      </c>
      <c r="AG191" s="95" t="b">
        <f t="shared" si="10"/>
        <v>0</v>
      </c>
      <c r="AH191" s="9"/>
      <c r="AI191" s="150">
        <f t="shared" si="9"/>
        <v>0</v>
      </c>
      <c r="AJ191" s="153" t="s">
        <v>6</v>
      </c>
    </row>
    <row r="192" spans="1:36" ht="30" customHeight="1">
      <c r="A192" s="92"/>
      <c r="B192" s="92"/>
      <c r="C192" s="92"/>
      <c r="D192" s="92"/>
      <c r="E192" s="92"/>
      <c r="F192" s="92"/>
      <c r="G192" s="92"/>
      <c r="H192" s="92"/>
      <c r="I192" s="92"/>
      <c r="J192" s="92"/>
      <c r="K192" s="92"/>
      <c r="L192" s="92"/>
      <c r="M192" s="92"/>
      <c r="N192" s="155"/>
      <c r="O192" s="157"/>
      <c r="P192" s="92"/>
      <c r="Q192" s="145"/>
      <c r="R192" s="92"/>
      <c r="S192" s="145"/>
      <c r="T192" s="92"/>
      <c r="U192" s="145"/>
      <c r="V192" s="92"/>
      <c r="W192" s="145"/>
      <c r="X192" s="92"/>
      <c r="Y192" s="145"/>
      <c r="Z192" s="92"/>
      <c r="AA192" s="145"/>
      <c r="AB192" s="64"/>
      <c r="AC192" s="145"/>
      <c r="AD192" s="64"/>
      <c r="AE192" s="145"/>
      <c r="AF192" s="196" t="str">
        <f t="shared" si="11"/>
        <v/>
      </c>
      <c r="AG192" s="95" t="b">
        <f t="shared" si="10"/>
        <v>0</v>
      </c>
      <c r="AH192" s="9"/>
      <c r="AI192" s="150">
        <f t="shared" ref="AI192:AI255" si="12">E192</f>
        <v>0</v>
      </c>
      <c r="AJ192" s="153" t="s">
        <v>6</v>
      </c>
    </row>
    <row r="193" spans="1:36" ht="30" customHeight="1">
      <c r="A193" s="92"/>
      <c r="B193" s="92"/>
      <c r="C193" s="92"/>
      <c r="D193" s="92"/>
      <c r="E193" s="92"/>
      <c r="F193" s="92"/>
      <c r="G193" s="92"/>
      <c r="H193" s="92"/>
      <c r="I193" s="92"/>
      <c r="J193" s="92"/>
      <c r="K193" s="92"/>
      <c r="L193" s="92"/>
      <c r="M193" s="92"/>
      <c r="N193" s="155"/>
      <c r="O193" s="157"/>
      <c r="P193" s="92"/>
      <c r="Q193" s="145"/>
      <c r="R193" s="92"/>
      <c r="S193" s="145"/>
      <c r="T193" s="92"/>
      <c r="U193" s="145"/>
      <c r="V193" s="92"/>
      <c r="W193" s="145"/>
      <c r="X193" s="92"/>
      <c r="Y193" s="145"/>
      <c r="Z193" s="92"/>
      <c r="AA193" s="145"/>
      <c r="AB193" s="64"/>
      <c r="AC193" s="145"/>
      <c r="AD193" s="64"/>
      <c r="AE193" s="145"/>
      <c r="AF193" s="196" t="str">
        <f t="shared" si="11"/>
        <v/>
      </c>
      <c r="AG193" s="95" t="b">
        <f t="shared" si="10"/>
        <v>0</v>
      </c>
      <c r="AH193" s="9"/>
      <c r="AI193" s="150">
        <f t="shared" si="12"/>
        <v>0</v>
      </c>
      <c r="AJ193" s="153" t="s">
        <v>6</v>
      </c>
    </row>
    <row r="194" spans="1:36" ht="30" customHeight="1">
      <c r="A194" s="92"/>
      <c r="B194" s="92"/>
      <c r="C194" s="92"/>
      <c r="D194" s="92"/>
      <c r="E194" s="92"/>
      <c r="F194" s="92"/>
      <c r="G194" s="92"/>
      <c r="H194" s="92"/>
      <c r="I194" s="92"/>
      <c r="J194" s="92"/>
      <c r="K194" s="92"/>
      <c r="L194" s="92"/>
      <c r="M194" s="92"/>
      <c r="N194" s="155"/>
      <c r="O194" s="157"/>
      <c r="P194" s="92"/>
      <c r="Q194" s="145"/>
      <c r="R194" s="92"/>
      <c r="S194" s="145"/>
      <c r="T194" s="92"/>
      <c r="U194" s="145"/>
      <c r="V194" s="92"/>
      <c r="W194" s="145"/>
      <c r="X194" s="92"/>
      <c r="Y194" s="145"/>
      <c r="Z194" s="92"/>
      <c r="AA194" s="145"/>
      <c r="AB194" s="64"/>
      <c r="AC194" s="145"/>
      <c r="AD194" s="64"/>
      <c r="AE194" s="145"/>
      <c r="AF194" s="196" t="str">
        <f t="shared" si="11"/>
        <v/>
      </c>
      <c r="AG194" s="95" t="b">
        <f t="shared" si="10"/>
        <v>0</v>
      </c>
      <c r="AH194" s="9"/>
      <c r="AI194" s="150">
        <f t="shared" si="12"/>
        <v>0</v>
      </c>
      <c r="AJ194" s="153" t="s">
        <v>6</v>
      </c>
    </row>
    <row r="195" spans="1:36" ht="30" customHeight="1">
      <c r="A195" s="92"/>
      <c r="B195" s="92"/>
      <c r="C195" s="92"/>
      <c r="D195" s="92"/>
      <c r="E195" s="92"/>
      <c r="F195" s="92"/>
      <c r="G195" s="92"/>
      <c r="H195" s="92"/>
      <c r="I195" s="92"/>
      <c r="J195" s="92"/>
      <c r="K195" s="92"/>
      <c r="L195" s="92"/>
      <c r="M195" s="92"/>
      <c r="N195" s="155"/>
      <c r="O195" s="157"/>
      <c r="P195" s="92"/>
      <c r="Q195" s="145"/>
      <c r="R195" s="92"/>
      <c r="S195" s="145"/>
      <c r="T195" s="92"/>
      <c r="U195" s="145"/>
      <c r="V195" s="92"/>
      <c r="W195" s="145"/>
      <c r="X195" s="92"/>
      <c r="Y195" s="145"/>
      <c r="Z195" s="92"/>
      <c r="AA195" s="145"/>
      <c r="AB195" s="64"/>
      <c r="AC195" s="145"/>
      <c r="AD195" s="64"/>
      <c r="AE195" s="145"/>
      <c r="AF195" s="196" t="str">
        <f t="shared" si="11"/>
        <v/>
      </c>
      <c r="AG195" s="95" t="b">
        <f t="shared" si="10"/>
        <v>0</v>
      </c>
      <c r="AH195" s="9"/>
      <c r="AI195" s="150">
        <f t="shared" si="12"/>
        <v>0</v>
      </c>
      <c r="AJ195" s="153" t="s">
        <v>6</v>
      </c>
    </row>
    <row r="196" spans="1:36" ht="30" customHeight="1">
      <c r="A196" s="92"/>
      <c r="B196" s="92"/>
      <c r="C196" s="92"/>
      <c r="D196" s="92"/>
      <c r="E196" s="92"/>
      <c r="F196" s="92"/>
      <c r="G196" s="92"/>
      <c r="H196" s="92"/>
      <c r="I196" s="92"/>
      <c r="J196" s="92"/>
      <c r="K196" s="92"/>
      <c r="L196" s="92"/>
      <c r="M196" s="92"/>
      <c r="N196" s="155"/>
      <c r="O196" s="157"/>
      <c r="P196" s="92"/>
      <c r="Q196" s="145"/>
      <c r="R196" s="92"/>
      <c r="S196" s="145"/>
      <c r="T196" s="92"/>
      <c r="U196" s="145"/>
      <c r="V196" s="92"/>
      <c r="W196" s="145"/>
      <c r="X196" s="92"/>
      <c r="Y196" s="145"/>
      <c r="Z196" s="92"/>
      <c r="AA196" s="145"/>
      <c r="AB196" s="64"/>
      <c r="AC196" s="145"/>
      <c r="AD196" s="64"/>
      <c r="AE196" s="145"/>
      <c r="AF196" s="196" t="str">
        <f t="shared" si="11"/>
        <v/>
      </c>
      <c r="AG196" s="95" t="b">
        <f t="shared" si="10"/>
        <v>0</v>
      </c>
      <c r="AH196" s="9"/>
      <c r="AI196" s="150">
        <f t="shared" si="12"/>
        <v>0</v>
      </c>
      <c r="AJ196" s="153" t="s">
        <v>6</v>
      </c>
    </row>
    <row r="197" spans="1:36" ht="30" customHeight="1">
      <c r="A197" s="92"/>
      <c r="B197" s="92"/>
      <c r="C197" s="92"/>
      <c r="D197" s="92"/>
      <c r="E197" s="92"/>
      <c r="F197" s="92"/>
      <c r="G197" s="92"/>
      <c r="H197" s="92"/>
      <c r="I197" s="92"/>
      <c r="J197" s="92"/>
      <c r="K197" s="92"/>
      <c r="L197" s="92"/>
      <c r="M197" s="92"/>
      <c r="N197" s="155"/>
      <c r="O197" s="157"/>
      <c r="P197" s="92"/>
      <c r="Q197" s="145"/>
      <c r="R197" s="92"/>
      <c r="S197" s="145"/>
      <c r="T197" s="92"/>
      <c r="U197" s="145"/>
      <c r="V197" s="92"/>
      <c r="W197" s="145"/>
      <c r="X197" s="92"/>
      <c r="Y197" s="145"/>
      <c r="Z197" s="92"/>
      <c r="AA197" s="145"/>
      <c r="AB197" s="64"/>
      <c r="AC197" s="145"/>
      <c r="AD197" s="64"/>
      <c r="AE197" s="145"/>
      <c r="AF197" s="196" t="str">
        <f t="shared" si="11"/>
        <v/>
      </c>
      <c r="AG197" s="95" t="b">
        <f t="shared" si="10"/>
        <v>0</v>
      </c>
      <c r="AH197" s="9"/>
      <c r="AI197" s="150">
        <f t="shared" si="12"/>
        <v>0</v>
      </c>
      <c r="AJ197" s="153" t="s">
        <v>6</v>
      </c>
    </row>
    <row r="198" spans="1:36" ht="30" customHeight="1">
      <c r="A198" s="92"/>
      <c r="B198" s="92"/>
      <c r="C198" s="92"/>
      <c r="D198" s="92"/>
      <c r="E198" s="92"/>
      <c r="F198" s="92"/>
      <c r="G198" s="92"/>
      <c r="H198" s="92"/>
      <c r="I198" s="92"/>
      <c r="J198" s="92"/>
      <c r="K198" s="92"/>
      <c r="L198" s="92"/>
      <c r="M198" s="92"/>
      <c r="N198" s="155"/>
      <c r="O198" s="157"/>
      <c r="P198" s="92"/>
      <c r="Q198" s="145"/>
      <c r="R198" s="92"/>
      <c r="S198" s="145"/>
      <c r="T198" s="92"/>
      <c r="U198" s="145"/>
      <c r="V198" s="92"/>
      <c r="W198" s="145"/>
      <c r="X198" s="92"/>
      <c r="Y198" s="145"/>
      <c r="Z198" s="92"/>
      <c r="AA198" s="145"/>
      <c r="AB198" s="64"/>
      <c r="AC198" s="145"/>
      <c r="AD198" s="64"/>
      <c r="AE198" s="145"/>
      <c r="AF198" s="196" t="str">
        <f t="shared" si="11"/>
        <v/>
      </c>
      <c r="AG198" s="95" t="b">
        <f t="shared" si="10"/>
        <v>0</v>
      </c>
      <c r="AH198" s="9"/>
      <c r="AI198" s="150">
        <f t="shared" si="12"/>
        <v>0</v>
      </c>
      <c r="AJ198" s="153" t="s">
        <v>6</v>
      </c>
    </row>
    <row r="199" spans="1:36" ht="30" customHeight="1">
      <c r="A199" s="92"/>
      <c r="B199" s="92"/>
      <c r="C199" s="92"/>
      <c r="D199" s="92"/>
      <c r="E199" s="92"/>
      <c r="F199" s="92"/>
      <c r="G199" s="92"/>
      <c r="H199" s="92"/>
      <c r="I199" s="92"/>
      <c r="J199" s="92"/>
      <c r="K199" s="92"/>
      <c r="L199" s="92"/>
      <c r="M199" s="92"/>
      <c r="N199" s="155"/>
      <c r="O199" s="157"/>
      <c r="P199" s="92"/>
      <c r="Q199" s="145"/>
      <c r="R199" s="92"/>
      <c r="S199" s="145"/>
      <c r="T199" s="92"/>
      <c r="U199" s="145"/>
      <c r="V199" s="92"/>
      <c r="W199" s="145"/>
      <c r="X199" s="92"/>
      <c r="Y199" s="145"/>
      <c r="Z199" s="92"/>
      <c r="AA199" s="145"/>
      <c r="AB199" s="64"/>
      <c r="AC199" s="145"/>
      <c r="AD199" s="64"/>
      <c r="AE199" s="145"/>
      <c r="AF199" s="196" t="str">
        <f t="shared" si="11"/>
        <v/>
      </c>
      <c r="AG199" s="95" t="b">
        <f t="shared" si="10"/>
        <v>0</v>
      </c>
      <c r="AH199" s="9"/>
      <c r="AI199" s="150">
        <f t="shared" si="12"/>
        <v>0</v>
      </c>
      <c r="AJ199" s="153" t="s">
        <v>6</v>
      </c>
    </row>
    <row r="200" spans="1:36" ht="30" customHeight="1">
      <c r="A200" s="92"/>
      <c r="B200" s="92"/>
      <c r="C200" s="92"/>
      <c r="D200" s="92"/>
      <c r="E200" s="92"/>
      <c r="F200" s="92"/>
      <c r="G200" s="92"/>
      <c r="H200" s="92"/>
      <c r="I200" s="92"/>
      <c r="J200" s="92"/>
      <c r="K200" s="92"/>
      <c r="L200" s="92"/>
      <c r="M200" s="92"/>
      <c r="N200" s="155"/>
      <c r="O200" s="157"/>
      <c r="P200" s="92"/>
      <c r="Q200" s="145"/>
      <c r="R200" s="92"/>
      <c r="S200" s="145"/>
      <c r="T200" s="92"/>
      <c r="U200" s="145"/>
      <c r="V200" s="92"/>
      <c r="W200" s="145"/>
      <c r="X200" s="92"/>
      <c r="Y200" s="145"/>
      <c r="Z200" s="92"/>
      <c r="AA200" s="145"/>
      <c r="AB200" s="64"/>
      <c r="AC200" s="145"/>
      <c r="AD200" s="64"/>
      <c r="AE200" s="145"/>
      <c r="AF200" s="196" t="str">
        <f t="shared" si="11"/>
        <v/>
      </c>
      <c r="AG200" s="95" t="b">
        <f t="shared" si="10"/>
        <v>0</v>
      </c>
      <c r="AH200" s="9"/>
      <c r="AI200" s="150">
        <f t="shared" si="12"/>
        <v>0</v>
      </c>
      <c r="AJ200" s="153" t="s">
        <v>6</v>
      </c>
    </row>
    <row r="201" spans="1:36" ht="30" customHeight="1">
      <c r="A201" s="92"/>
      <c r="B201" s="92"/>
      <c r="C201" s="92"/>
      <c r="D201" s="92"/>
      <c r="E201" s="92"/>
      <c r="F201" s="92"/>
      <c r="G201" s="92"/>
      <c r="H201" s="92"/>
      <c r="I201" s="92"/>
      <c r="J201" s="92"/>
      <c r="K201" s="92"/>
      <c r="L201" s="92"/>
      <c r="M201" s="92"/>
      <c r="N201" s="155"/>
      <c r="O201" s="157"/>
      <c r="P201" s="92"/>
      <c r="Q201" s="145"/>
      <c r="R201" s="92"/>
      <c r="S201" s="145"/>
      <c r="T201" s="92"/>
      <c r="U201" s="145"/>
      <c r="V201" s="92"/>
      <c r="W201" s="145"/>
      <c r="X201" s="92"/>
      <c r="Y201" s="145"/>
      <c r="Z201" s="92"/>
      <c r="AA201" s="145"/>
      <c r="AB201" s="64"/>
      <c r="AC201" s="145"/>
      <c r="AD201" s="64"/>
      <c r="AE201" s="145"/>
      <c r="AF201" s="196" t="str">
        <f t="shared" si="11"/>
        <v/>
      </c>
      <c r="AG201" s="95" t="b">
        <f t="shared" si="10"/>
        <v>0</v>
      </c>
      <c r="AH201" s="9"/>
      <c r="AI201" s="150">
        <f t="shared" si="12"/>
        <v>0</v>
      </c>
      <c r="AJ201" s="153" t="s">
        <v>6</v>
      </c>
    </row>
    <row r="202" spans="1:36" ht="30" customHeight="1">
      <c r="A202" s="92"/>
      <c r="B202" s="92"/>
      <c r="C202" s="92"/>
      <c r="D202" s="92"/>
      <c r="E202" s="92"/>
      <c r="F202" s="92"/>
      <c r="G202" s="92"/>
      <c r="H202" s="92"/>
      <c r="I202" s="92"/>
      <c r="J202" s="92"/>
      <c r="K202" s="92"/>
      <c r="L202" s="92"/>
      <c r="M202" s="92"/>
      <c r="N202" s="155"/>
      <c r="O202" s="157"/>
      <c r="P202" s="92"/>
      <c r="Q202" s="145"/>
      <c r="R202" s="92"/>
      <c r="S202" s="145"/>
      <c r="T202" s="92"/>
      <c r="U202" s="145"/>
      <c r="V202" s="92"/>
      <c r="W202" s="145"/>
      <c r="X202" s="92"/>
      <c r="Y202" s="145"/>
      <c r="Z202" s="92"/>
      <c r="AA202" s="145"/>
      <c r="AB202" s="64"/>
      <c r="AC202" s="145"/>
      <c r="AD202" s="64"/>
      <c r="AE202" s="145"/>
      <c r="AF202" s="196" t="str">
        <f t="shared" si="11"/>
        <v/>
      </c>
      <c r="AG202" s="95" t="b">
        <f t="shared" ref="AG202:AG265" si="13">IF(AND(AE202="C",AF202="C"),"UTILIZOU O PDA CORRETAMENTE",IF(AND(AE202="C",AF202="NC"),"UTILIZOU O PDA CORRETAMENTE. NÃO HÁ FOTOS DE TODAS AS ETAPAS",IF(AND(AE202="NC",AF202="NC"),"NÃO UTILIZOU O PDA",IF(AND(AE202="NA",AF202="NA"),"NÃO AVALIADO POR FALHA DE SINCRONISMO"))))</f>
        <v>0</v>
      </c>
      <c r="AH202" s="9"/>
      <c r="AI202" s="150">
        <f t="shared" si="12"/>
        <v>0</v>
      </c>
      <c r="AJ202" s="153" t="s">
        <v>6</v>
      </c>
    </row>
    <row r="203" spans="1:36" ht="30" customHeight="1">
      <c r="A203" s="92"/>
      <c r="B203" s="92"/>
      <c r="C203" s="92"/>
      <c r="D203" s="92"/>
      <c r="E203" s="92"/>
      <c r="F203" s="92"/>
      <c r="G203" s="92"/>
      <c r="H203" s="92"/>
      <c r="I203" s="92"/>
      <c r="J203" s="92"/>
      <c r="K203" s="92"/>
      <c r="L203" s="92"/>
      <c r="M203" s="92"/>
      <c r="N203" s="155"/>
      <c r="O203" s="157"/>
      <c r="P203" s="92"/>
      <c r="Q203" s="145"/>
      <c r="R203" s="92"/>
      <c r="S203" s="145"/>
      <c r="T203" s="92"/>
      <c r="U203" s="145"/>
      <c r="V203" s="92"/>
      <c r="W203" s="145"/>
      <c r="X203" s="92"/>
      <c r="Y203" s="145"/>
      <c r="Z203" s="92"/>
      <c r="AA203" s="145"/>
      <c r="AB203" s="64"/>
      <c r="AC203" s="145"/>
      <c r="AD203" s="64"/>
      <c r="AE203" s="145"/>
      <c r="AF203" s="196" t="str">
        <f t="shared" ref="AF203:AF266" si="14">IF(AND(O203="",Q203="",S203="",U203="",W203="",Y203="",AA203="",AC203=""),"",
IF(OR(    AND(O203&lt;&gt;"NA",O203&lt;&gt;"C",O203&lt;&gt;"NC",O203&lt;&gt;"SF",O203&lt;&gt;""),
    AND(Q203&lt;&gt;"NA",Q203&lt;&gt;"C",Q203&lt;&gt;"NC",Q203&lt;&gt;"SF",Q203&lt;&gt;""),
    AND(S203&lt;&gt;"NA",S203&lt;&gt;"C",S203&lt;&gt;"NC",S203&lt;&gt;"SF",S203&lt;&gt;""),
    AND(U203&lt;&gt;"NA",U203&lt;&gt;"C",U203&lt;&gt;"NC",U203&lt;&gt;"SF",U203&lt;&gt;""),
    AND(W203&lt;&gt;"NA",W203&lt;&gt;"C",W203&lt;&gt;"NC",W203&lt;&gt;"SF",W203&lt;&gt;""),
    AND(Y203&lt;&gt;"NA",Y203&lt;&gt;"C",Y203&lt;&gt;"NC",Y203&lt;&gt;"SF",Y203&lt;&gt;""),
    AND(AA203&lt;&gt;"NA",AA203&lt;&gt;"C",AA203&lt;&gt;"NC",AA203&lt;&gt;"SF",AA203&lt;&gt;""),
    AND(AC203&lt;&gt;"NA",AC203&lt;&gt;"C",AC203&lt;&gt;"NC",AC203&lt;&gt;"SF",AC203&lt;&gt;"")
),"FALSO",
IF(AND(O203="NA",Q203="NA",S203="NA",U203="NA",W203="NA",Y203="NA",AA203="NA",AC203="NA"),"NA",
IF(OR(O203="NC",Q203="NC",S203="NC",U203="NC",W203="NC",Y203="NC",AA203="NC",AC203="NC",
       O203="SF",Q203="SF",S203="SF",U203="SF",W203="SF",Y203="SF",AA203="SF",AC203="SF"),"NC",
IF(SUM(IF(O203="C",1,0),IF(Q203="C",1,0),IF(S203="C",1,0),IF(U203="C",1,0),IF(W203="C",1,0),IF(Y203="C",1,0),IF(AA203="C",1,0),IF(AC203="C",1,0))=1,"C","C")))))</f>
        <v/>
      </c>
      <c r="AG203" s="95" t="b">
        <f t="shared" si="13"/>
        <v>0</v>
      </c>
      <c r="AH203" s="9"/>
      <c r="AI203" s="150">
        <f t="shared" si="12"/>
        <v>0</v>
      </c>
      <c r="AJ203" s="153" t="s">
        <v>6</v>
      </c>
    </row>
    <row r="204" spans="1:36" ht="30" customHeight="1">
      <c r="A204" s="92"/>
      <c r="B204" s="92"/>
      <c r="C204" s="92"/>
      <c r="D204" s="92"/>
      <c r="E204" s="92"/>
      <c r="F204" s="92"/>
      <c r="G204" s="92"/>
      <c r="H204" s="92"/>
      <c r="I204" s="92"/>
      <c r="J204" s="92"/>
      <c r="K204" s="92"/>
      <c r="L204" s="92"/>
      <c r="M204" s="92"/>
      <c r="N204" s="155"/>
      <c r="O204" s="157"/>
      <c r="P204" s="92"/>
      <c r="Q204" s="145"/>
      <c r="R204" s="92"/>
      <c r="S204" s="145"/>
      <c r="T204" s="92"/>
      <c r="U204" s="145"/>
      <c r="V204" s="92"/>
      <c r="W204" s="145"/>
      <c r="X204" s="92"/>
      <c r="Y204" s="145"/>
      <c r="Z204" s="92"/>
      <c r="AA204" s="145"/>
      <c r="AB204" s="64"/>
      <c r="AC204" s="145"/>
      <c r="AD204" s="64"/>
      <c r="AE204" s="145"/>
      <c r="AF204" s="196" t="str">
        <f t="shared" si="14"/>
        <v/>
      </c>
      <c r="AG204" s="95" t="b">
        <f t="shared" si="13"/>
        <v>0</v>
      </c>
      <c r="AH204" s="9"/>
      <c r="AI204" s="150">
        <f t="shared" si="12"/>
        <v>0</v>
      </c>
      <c r="AJ204" s="153" t="s">
        <v>6</v>
      </c>
    </row>
    <row r="205" spans="1:36" ht="30" customHeight="1">
      <c r="A205" s="92"/>
      <c r="B205" s="92"/>
      <c r="C205" s="92"/>
      <c r="D205" s="92"/>
      <c r="E205" s="92"/>
      <c r="F205" s="92"/>
      <c r="G205" s="92"/>
      <c r="H205" s="92"/>
      <c r="I205" s="92"/>
      <c r="J205" s="92"/>
      <c r="K205" s="92"/>
      <c r="L205" s="92"/>
      <c r="M205" s="92"/>
      <c r="N205" s="155"/>
      <c r="O205" s="157"/>
      <c r="P205" s="92"/>
      <c r="Q205" s="145"/>
      <c r="R205" s="92"/>
      <c r="S205" s="145"/>
      <c r="T205" s="92"/>
      <c r="U205" s="145"/>
      <c r="V205" s="92"/>
      <c r="W205" s="145"/>
      <c r="X205" s="92"/>
      <c r="Y205" s="145"/>
      <c r="Z205" s="92"/>
      <c r="AA205" s="145"/>
      <c r="AB205" s="64"/>
      <c r="AC205" s="145"/>
      <c r="AD205" s="64"/>
      <c r="AE205" s="145"/>
      <c r="AF205" s="196" t="str">
        <f t="shared" si="14"/>
        <v/>
      </c>
      <c r="AG205" s="95" t="b">
        <f t="shared" si="13"/>
        <v>0</v>
      </c>
      <c r="AH205" s="9"/>
      <c r="AI205" s="150">
        <f t="shared" si="12"/>
        <v>0</v>
      </c>
      <c r="AJ205" s="153" t="s">
        <v>6</v>
      </c>
    </row>
    <row r="206" spans="1:36" ht="30" customHeight="1">
      <c r="A206" s="92"/>
      <c r="B206" s="92"/>
      <c r="C206" s="92"/>
      <c r="D206" s="92"/>
      <c r="E206" s="92"/>
      <c r="F206" s="92"/>
      <c r="G206" s="92"/>
      <c r="H206" s="92"/>
      <c r="I206" s="92"/>
      <c r="J206" s="92"/>
      <c r="K206" s="92"/>
      <c r="L206" s="92"/>
      <c r="M206" s="92"/>
      <c r="N206" s="155"/>
      <c r="O206" s="157"/>
      <c r="P206" s="92"/>
      <c r="Q206" s="145"/>
      <c r="R206" s="92"/>
      <c r="S206" s="145"/>
      <c r="T206" s="92"/>
      <c r="U206" s="145"/>
      <c r="V206" s="92"/>
      <c r="W206" s="145"/>
      <c r="X206" s="92"/>
      <c r="Y206" s="145"/>
      <c r="Z206" s="92"/>
      <c r="AA206" s="145"/>
      <c r="AB206" s="64"/>
      <c r="AC206" s="145"/>
      <c r="AD206" s="64"/>
      <c r="AE206" s="145"/>
      <c r="AF206" s="196" t="str">
        <f t="shared" si="14"/>
        <v/>
      </c>
      <c r="AG206" s="95" t="b">
        <f t="shared" si="13"/>
        <v>0</v>
      </c>
      <c r="AH206" s="9"/>
      <c r="AI206" s="150">
        <f t="shared" si="12"/>
        <v>0</v>
      </c>
      <c r="AJ206" s="153" t="s">
        <v>6</v>
      </c>
    </row>
    <row r="207" spans="1:36" ht="30" customHeight="1">
      <c r="A207" s="92"/>
      <c r="B207" s="92"/>
      <c r="C207" s="92"/>
      <c r="D207" s="92"/>
      <c r="E207" s="92"/>
      <c r="F207" s="92"/>
      <c r="G207" s="92"/>
      <c r="H207" s="92"/>
      <c r="I207" s="92"/>
      <c r="J207" s="92"/>
      <c r="K207" s="92"/>
      <c r="L207" s="92"/>
      <c r="M207" s="92"/>
      <c r="N207" s="155"/>
      <c r="O207" s="157"/>
      <c r="P207" s="92"/>
      <c r="Q207" s="145"/>
      <c r="R207" s="92"/>
      <c r="S207" s="145"/>
      <c r="T207" s="92"/>
      <c r="U207" s="145"/>
      <c r="V207" s="92"/>
      <c r="W207" s="145"/>
      <c r="X207" s="92"/>
      <c r="Y207" s="145"/>
      <c r="Z207" s="92"/>
      <c r="AA207" s="145"/>
      <c r="AB207" s="64"/>
      <c r="AC207" s="145"/>
      <c r="AD207" s="64"/>
      <c r="AE207" s="145"/>
      <c r="AF207" s="196" t="str">
        <f t="shared" si="14"/>
        <v/>
      </c>
      <c r="AG207" s="95" t="b">
        <f t="shared" si="13"/>
        <v>0</v>
      </c>
      <c r="AH207" s="9"/>
      <c r="AI207" s="150">
        <f t="shared" si="12"/>
        <v>0</v>
      </c>
      <c r="AJ207" s="153" t="s">
        <v>6</v>
      </c>
    </row>
    <row r="208" spans="1:36" ht="30" customHeight="1">
      <c r="A208" s="92"/>
      <c r="B208" s="92"/>
      <c r="C208" s="92"/>
      <c r="D208" s="92"/>
      <c r="E208" s="92"/>
      <c r="F208" s="92"/>
      <c r="G208" s="92"/>
      <c r="H208" s="92"/>
      <c r="I208" s="92"/>
      <c r="J208" s="92"/>
      <c r="K208" s="92"/>
      <c r="L208" s="92"/>
      <c r="M208" s="92"/>
      <c r="N208" s="155"/>
      <c r="O208" s="157"/>
      <c r="P208" s="92"/>
      <c r="Q208" s="145"/>
      <c r="R208" s="92"/>
      <c r="S208" s="145"/>
      <c r="T208" s="92"/>
      <c r="U208" s="145"/>
      <c r="V208" s="92"/>
      <c r="W208" s="145"/>
      <c r="X208" s="92"/>
      <c r="Y208" s="145"/>
      <c r="Z208" s="92"/>
      <c r="AA208" s="145"/>
      <c r="AB208" s="64"/>
      <c r="AC208" s="145"/>
      <c r="AD208" s="64"/>
      <c r="AE208" s="145"/>
      <c r="AF208" s="196" t="str">
        <f t="shared" si="14"/>
        <v/>
      </c>
      <c r="AG208" s="95" t="b">
        <f t="shared" si="13"/>
        <v>0</v>
      </c>
      <c r="AH208" s="9"/>
      <c r="AI208" s="150">
        <f t="shared" si="12"/>
        <v>0</v>
      </c>
      <c r="AJ208" s="153" t="s">
        <v>6</v>
      </c>
    </row>
    <row r="209" spans="1:36" ht="30" customHeight="1">
      <c r="A209" s="92"/>
      <c r="B209" s="92"/>
      <c r="C209" s="92"/>
      <c r="D209" s="92"/>
      <c r="E209" s="92"/>
      <c r="F209" s="92"/>
      <c r="G209" s="92"/>
      <c r="H209" s="92"/>
      <c r="I209" s="92"/>
      <c r="J209" s="92"/>
      <c r="K209" s="92"/>
      <c r="L209" s="92"/>
      <c r="M209" s="92"/>
      <c r="N209" s="155"/>
      <c r="O209" s="157"/>
      <c r="P209" s="92"/>
      <c r="Q209" s="145"/>
      <c r="R209" s="92"/>
      <c r="S209" s="145"/>
      <c r="T209" s="92"/>
      <c r="U209" s="145"/>
      <c r="V209" s="92"/>
      <c r="W209" s="145"/>
      <c r="X209" s="92"/>
      <c r="Y209" s="145"/>
      <c r="Z209" s="92"/>
      <c r="AA209" s="145"/>
      <c r="AB209" s="64"/>
      <c r="AC209" s="145"/>
      <c r="AD209" s="64"/>
      <c r="AE209" s="145"/>
      <c r="AF209" s="196" t="str">
        <f t="shared" si="14"/>
        <v/>
      </c>
      <c r="AG209" s="95" t="b">
        <f t="shared" si="13"/>
        <v>0</v>
      </c>
      <c r="AH209" s="9"/>
      <c r="AI209" s="150">
        <f t="shared" si="12"/>
        <v>0</v>
      </c>
      <c r="AJ209" s="153" t="s">
        <v>6</v>
      </c>
    </row>
    <row r="210" spans="1:36" ht="30" customHeight="1">
      <c r="A210" s="92"/>
      <c r="B210" s="92"/>
      <c r="C210" s="92"/>
      <c r="D210" s="92"/>
      <c r="E210" s="92"/>
      <c r="F210" s="92"/>
      <c r="G210" s="92"/>
      <c r="H210" s="92"/>
      <c r="I210" s="92"/>
      <c r="J210" s="92"/>
      <c r="K210" s="92"/>
      <c r="L210" s="92"/>
      <c r="M210" s="92"/>
      <c r="N210" s="155"/>
      <c r="O210" s="157"/>
      <c r="P210" s="92"/>
      <c r="Q210" s="145"/>
      <c r="R210" s="92"/>
      <c r="S210" s="145"/>
      <c r="T210" s="92"/>
      <c r="U210" s="145"/>
      <c r="V210" s="92"/>
      <c r="W210" s="145"/>
      <c r="X210" s="92"/>
      <c r="Y210" s="145"/>
      <c r="Z210" s="92"/>
      <c r="AA210" s="145"/>
      <c r="AB210" s="64"/>
      <c r="AC210" s="145"/>
      <c r="AD210" s="64"/>
      <c r="AE210" s="145"/>
      <c r="AF210" s="196" t="str">
        <f t="shared" si="14"/>
        <v/>
      </c>
      <c r="AG210" s="95" t="b">
        <f t="shared" si="13"/>
        <v>0</v>
      </c>
      <c r="AH210" s="9"/>
      <c r="AI210" s="150">
        <f t="shared" si="12"/>
        <v>0</v>
      </c>
      <c r="AJ210" s="153" t="s">
        <v>6</v>
      </c>
    </row>
    <row r="211" spans="1:36" ht="30" customHeight="1">
      <c r="A211" s="92"/>
      <c r="B211" s="92"/>
      <c r="C211" s="92"/>
      <c r="D211" s="92"/>
      <c r="E211" s="92"/>
      <c r="F211" s="92"/>
      <c r="G211" s="92"/>
      <c r="H211" s="92"/>
      <c r="I211" s="92"/>
      <c r="J211" s="92"/>
      <c r="K211" s="92"/>
      <c r="L211" s="92"/>
      <c r="M211" s="92"/>
      <c r="N211" s="155"/>
      <c r="O211" s="157"/>
      <c r="P211" s="92"/>
      <c r="Q211" s="145"/>
      <c r="R211" s="92"/>
      <c r="S211" s="145"/>
      <c r="T211" s="92"/>
      <c r="U211" s="145"/>
      <c r="V211" s="92"/>
      <c r="W211" s="145"/>
      <c r="X211" s="92"/>
      <c r="Y211" s="145"/>
      <c r="Z211" s="92"/>
      <c r="AA211" s="145"/>
      <c r="AB211" s="64"/>
      <c r="AC211" s="145"/>
      <c r="AD211" s="64"/>
      <c r="AE211" s="145"/>
      <c r="AF211" s="196" t="str">
        <f t="shared" si="14"/>
        <v/>
      </c>
      <c r="AG211" s="95" t="b">
        <f t="shared" si="13"/>
        <v>0</v>
      </c>
      <c r="AH211" s="9"/>
      <c r="AI211" s="150">
        <f t="shared" si="12"/>
        <v>0</v>
      </c>
      <c r="AJ211" s="153" t="s">
        <v>6</v>
      </c>
    </row>
    <row r="212" spans="1:36" ht="30" customHeight="1">
      <c r="A212" s="92"/>
      <c r="B212" s="92"/>
      <c r="C212" s="92"/>
      <c r="D212" s="92"/>
      <c r="E212" s="92"/>
      <c r="F212" s="92"/>
      <c r="G212" s="92"/>
      <c r="H212" s="92"/>
      <c r="I212" s="92"/>
      <c r="J212" s="92"/>
      <c r="K212" s="92"/>
      <c r="L212" s="92"/>
      <c r="M212" s="92"/>
      <c r="N212" s="155"/>
      <c r="O212" s="157"/>
      <c r="P212" s="92"/>
      <c r="Q212" s="145"/>
      <c r="R212" s="92"/>
      <c r="S212" s="145"/>
      <c r="T212" s="92"/>
      <c r="U212" s="145"/>
      <c r="V212" s="92"/>
      <c r="W212" s="145"/>
      <c r="X212" s="92"/>
      <c r="Y212" s="145"/>
      <c r="Z212" s="92"/>
      <c r="AA212" s="145"/>
      <c r="AB212" s="64"/>
      <c r="AC212" s="145"/>
      <c r="AD212" s="64"/>
      <c r="AE212" s="145"/>
      <c r="AF212" s="196" t="str">
        <f t="shared" si="14"/>
        <v/>
      </c>
      <c r="AG212" s="95" t="b">
        <f t="shared" si="13"/>
        <v>0</v>
      </c>
      <c r="AH212" s="9"/>
      <c r="AI212" s="150">
        <f t="shared" si="12"/>
        <v>0</v>
      </c>
      <c r="AJ212" s="153" t="s">
        <v>6</v>
      </c>
    </row>
    <row r="213" spans="1:36" ht="30" customHeight="1">
      <c r="A213" s="92"/>
      <c r="B213" s="92"/>
      <c r="C213" s="92"/>
      <c r="D213" s="92"/>
      <c r="E213" s="92"/>
      <c r="F213" s="92"/>
      <c r="G213" s="92"/>
      <c r="H213" s="92"/>
      <c r="I213" s="92"/>
      <c r="J213" s="92"/>
      <c r="K213" s="92"/>
      <c r="L213" s="92"/>
      <c r="M213" s="92"/>
      <c r="N213" s="155"/>
      <c r="O213" s="157"/>
      <c r="P213" s="92"/>
      <c r="Q213" s="145"/>
      <c r="R213" s="92"/>
      <c r="S213" s="145"/>
      <c r="T213" s="92"/>
      <c r="U213" s="145"/>
      <c r="V213" s="92"/>
      <c r="W213" s="145"/>
      <c r="X213" s="92"/>
      <c r="Y213" s="145"/>
      <c r="Z213" s="92"/>
      <c r="AA213" s="145"/>
      <c r="AB213" s="64"/>
      <c r="AC213" s="145"/>
      <c r="AD213" s="64"/>
      <c r="AE213" s="145"/>
      <c r="AF213" s="196" t="str">
        <f t="shared" si="14"/>
        <v/>
      </c>
      <c r="AG213" s="95" t="b">
        <f t="shared" si="13"/>
        <v>0</v>
      </c>
      <c r="AH213" s="9"/>
      <c r="AI213" s="150">
        <f t="shared" si="12"/>
        <v>0</v>
      </c>
      <c r="AJ213" s="153" t="s">
        <v>6</v>
      </c>
    </row>
    <row r="214" spans="1:36" ht="30" customHeight="1">
      <c r="A214" s="92"/>
      <c r="B214" s="92"/>
      <c r="C214" s="92"/>
      <c r="D214" s="92"/>
      <c r="E214" s="92"/>
      <c r="F214" s="92"/>
      <c r="G214" s="92"/>
      <c r="H214" s="92"/>
      <c r="I214" s="92"/>
      <c r="J214" s="92"/>
      <c r="K214" s="92"/>
      <c r="L214" s="92"/>
      <c r="M214" s="92"/>
      <c r="N214" s="155"/>
      <c r="O214" s="157"/>
      <c r="P214" s="92"/>
      <c r="Q214" s="145"/>
      <c r="R214" s="92"/>
      <c r="S214" s="145"/>
      <c r="T214" s="92"/>
      <c r="U214" s="145"/>
      <c r="V214" s="92"/>
      <c r="W214" s="145"/>
      <c r="X214" s="92"/>
      <c r="Y214" s="145"/>
      <c r="Z214" s="92"/>
      <c r="AA214" s="145"/>
      <c r="AB214" s="64"/>
      <c r="AC214" s="145"/>
      <c r="AD214" s="64"/>
      <c r="AE214" s="145"/>
      <c r="AF214" s="196" t="str">
        <f t="shared" si="14"/>
        <v/>
      </c>
      <c r="AG214" s="95" t="b">
        <f t="shared" si="13"/>
        <v>0</v>
      </c>
      <c r="AH214" s="9"/>
      <c r="AI214" s="150">
        <f t="shared" si="12"/>
        <v>0</v>
      </c>
      <c r="AJ214" s="153" t="s">
        <v>6</v>
      </c>
    </row>
    <row r="215" spans="1:36" ht="30" customHeight="1">
      <c r="A215" s="92"/>
      <c r="B215" s="92"/>
      <c r="C215" s="92"/>
      <c r="D215" s="92"/>
      <c r="E215" s="92"/>
      <c r="F215" s="92"/>
      <c r="G215" s="92"/>
      <c r="H215" s="92"/>
      <c r="I215" s="92"/>
      <c r="J215" s="92"/>
      <c r="K215" s="92"/>
      <c r="L215" s="92"/>
      <c r="M215" s="92"/>
      <c r="N215" s="155"/>
      <c r="O215" s="157"/>
      <c r="P215" s="92"/>
      <c r="Q215" s="145"/>
      <c r="R215" s="92"/>
      <c r="S215" s="145"/>
      <c r="T215" s="92"/>
      <c r="U215" s="145"/>
      <c r="V215" s="92"/>
      <c r="W215" s="145"/>
      <c r="X215" s="92"/>
      <c r="Y215" s="145"/>
      <c r="Z215" s="92"/>
      <c r="AA215" s="145"/>
      <c r="AB215" s="64"/>
      <c r="AC215" s="145"/>
      <c r="AD215" s="64"/>
      <c r="AE215" s="145"/>
      <c r="AF215" s="196" t="str">
        <f t="shared" si="14"/>
        <v/>
      </c>
      <c r="AG215" s="95" t="b">
        <f t="shared" si="13"/>
        <v>0</v>
      </c>
      <c r="AH215" s="9"/>
      <c r="AI215" s="150">
        <f t="shared" si="12"/>
        <v>0</v>
      </c>
      <c r="AJ215" s="153" t="s">
        <v>6</v>
      </c>
    </row>
    <row r="216" spans="1:36" ht="30" customHeight="1">
      <c r="A216" s="92"/>
      <c r="B216" s="92"/>
      <c r="C216" s="92"/>
      <c r="D216" s="92"/>
      <c r="E216" s="92"/>
      <c r="F216" s="92"/>
      <c r="G216" s="92"/>
      <c r="H216" s="92"/>
      <c r="I216" s="92"/>
      <c r="J216" s="92"/>
      <c r="K216" s="92"/>
      <c r="L216" s="92"/>
      <c r="M216" s="92"/>
      <c r="N216" s="155"/>
      <c r="O216" s="157"/>
      <c r="P216" s="92"/>
      <c r="Q216" s="145"/>
      <c r="R216" s="92"/>
      <c r="S216" s="145"/>
      <c r="T216" s="92"/>
      <c r="U216" s="145"/>
      <c r="V216" s="92"/>
      <c r="W216" s="145"/>
      <c r="X216" s="92"/>
      <c r="Y216" s="145"/>
      <c r="Z216" s="92"/>
      <c r="AA216" s="145"/>
      <c r="AB216" s="64"/>
      <c r="AC216" s="145"/>
      <c r="AD216" s="64"/>
      <c r="AE216" s="145"/>
      <c r="AF216" s="196" t="str">
        <f t="shared" si="14"/>
        <v/>
      </c>
      <c r="AG216" s="95" t="b">
        <f t="shared" si="13"/>
        <v>0</v>
      </c>
      <c r="AH216" s="9"/>
      <c r="AI216" s="150">
        <f t="shared" si="12"/>
        <v>0</v>
      </c>
      <c r="AJ216" s="153" t="s">
        <v>6</v>
      </c>
    </row>
    <row r="217" spans="1:36" ht="30" customHeight="1">
      <c r="A217" s="92"/>
      <c r="B217" s="92"/>
      <c r="C217" s="92"/>
      <c r="D217" s="92"/>
      <c r="E217" s="92"/>
      <c r="F217" s="92"/>
      <c r="G217" s="92"/>
      <c r="H217" s="92"/>
      <c r="I217" s="92"/>
      <c r="J217" s="92"/>
      <c r="K217" s="92"/>
      <c r="L217" s="92"/>
      <c r="M217" s="92"/>
      <c r="N217" s="155"/>
      <c r="O217" s="157"/>
      <c r="P217" s="92"/>
      <c r="Q217" s="145"/>
      <c r="R217" s="92"/>
      <c r="S217" s="145"/>
      <c r="T217" s="92"/>
      <c r="U217" s="145"/>
      <c r="V217" s="92"/>
      <c r="W217" s="145"/>
      <c r="X217" s="92"/>
      <c r="Y217" s="145"/>
      <c r="Z217" s="92"/>
      <c r="AA217" s="145"/>
      <c r="AB217" s="64"/>
      <c r="AC217" s="145"/>
      <c r="AD217" s="64"/>
      <c r="AE217" s="145"/>
      <c r="AF217" s="196" t="str">
        <f t="shared" si="14"/>
        <v/>
      </c>
      <c r="AG217" s="95" t="b">
        <f t="shared" si="13"/>
        <v>0</v>
      </c>
      <c r="AH217" s="9"/>
      <c r="AI217" s="150">
        <f t="shared" si="12"/>
        <v>0</v>
      </c>
      <c r="AJ217" s="153" t="s">
        <v>6</v>
      </c>
    </row>
    <row r="218" spans="1:36" ht="30" customHeight="1">
      <c r="A218" s="92"/>
      <c r="B218" s="92"/>
      <c r="C218" s="92"/>
      <c r="D218" s="92"/>
      <c r="E218" s="92"/>
      <c r="F218" s="92"/>
      <c r="G218" s="92"/>
      <c r="H218" s="92"/>
      <c r="I218" s="92"/>
      <c r="J218" s="92"/>
      <c r="K218" s="92"/>
      <c r="L218" s="92"/>
      <c r="M218" s="92"/>
      <c r="N218" s="155"/>
      <c r="O218" s="157"/>
      <c r="P218" s="92"/>
      <c r="Q218" s="145"/>
      <c r="R218" s="92"/>
      <c r="S218" s="145"/>
      <c r="T218" s="92"/>
      <c r="U218" s="145"/>
      <c r="V218" s="92"/>
      <c r="W218" s="145"/>
      <c r="X218" s="92"/>
      <c r="Y218" s="145"/>
      <c r="Z218" s="92"/>
      <c r="AA218" s="145"/>
      <c r="AB218" s="64"/>
      <c r="AC218" s="145"/>
      <c r="AD218" s="64"/>
      <c r="AE218" s="145"/>
      <c r="AF218" s="196" t="str">
        <f t="shared" si="14"/>
        <v/>
      </c>
      <c r="AG218" s="95" t="b">
        <f t="shared" si="13"/>
        <v>0</v>
      </c>
      <c r="AH218" s="9"/>
      <c r="AI218" s="150">
        <f t="shared" si="12"/>
        <v>0</v>
      </c>
      <c r="AJ218" s="153" t="s">
        <v>6</v>
      </c>
    </row>
    <row r="219" spans="1:36" ht="30" customHeight="1">
      <c r="A219" s="92"/>
      <c r="B219" s="92"/>
      <c r="C219" s="92"/>
      <c r="D219" s="92"/>
      <c r="E219" s="92"/>
      <c r="F219" s="92"/>
      <c r="G219" s="92"/>
      <c r="H219" s="92"/>
      <c r="I219" s="92"/>
      <c r="J219" s="92"/>
      <c r="K219" s="92"/>
      <c r="L219" s="92"/>
      <c r="M219" s="92"/>
      <c r="N219" s="155"/>
      <c r="O219" s="157"/>
      <c r="P219" s="92"/>
      <c r="Q219" s="145"/>
      <c r="R219" s="92"/>
      <c r="S219" s="145"/>
      <c r="T219" s="92"/>
      <c r="U219" s="145"/>
      <c r="V219" s="92"/>
      <c r="W219" s="145"/>
      <c r="X219" s="92"/>
      <c r="Y219" s="145"/>
      <c r="Z219" s="92"/>
      <c r="AA219" s="145"/>
      <c r="AB219" s="64"/>
      <c r="AC219" s="145"/>
      <c r="AD219" s="64"/>
      <c r="AE219" s="145"/>
      <c r="AF219" s="196" t="str">
        <f t="shared" si="14"/>
        <v/>
      </c>
      <c r="AG219" s="95" t="b">
        <f t="shared" si="13"/>
        <v>0</v>
      </c>
      <c r="AH219" s="9"/>
      <c r="AI219" s="150">
        <f t="shared" si="12"/>
        <v>0</v>
      </c>
      <c r="AJ219" s="153" t="s">
        <v>6</v>
      </c>
    </row>
    <row r="220" spans="1:36" ht="30" customHeight="1">
      <c r="A220" s="92"/>
      <c r="B220" s="92"/>
      <c r="C220" s="92"/>
      <c r="D220" s="92"/>
      <c r="E220" s="92"/>
      <c r="F220" s="92"/>
      <c r="G220" s="92"/>
      <c r="H220" s="92"/>
      <c r="I220" s="92"/>
      <c r="J220" s="92"/>
      <c r="K220" s="92"/>
      <c r="L220" s="92"/>
      <c r="M220" s="92"/>
      <c r="N220" s="155"/>
      <c r="O220" s="157"/>
      <c r="P220" s="92"/>
      <c r="Q220" s="145"/>
      <c r="R220" s="92"/>
      <c r="S220" s="145"/>
      <c r="T220" s="92"/>
      <c r="U220" s="145"/>
      <c r="V220" s="92"/>
      <c r="W220" s="145"/>
      <c r="X220" s="92"/>
      <c r="Y220" s="145"/>
      <c r="Z220" s="92"/>
      <c r="AA220" s="145"/>
      <c r="AB220" s="64"/>
      <c r="AC220" s="145"/>
      <c r="AD220" s="64"/>
      <c r="AE220" s="145"/>
      <c r="AF220" s="196" t="str">
        <f t="shared" si="14"/>
        <v/>
      </c>
      <c r="AG220" s="95" t="b">
        <f t="shared" si="13"/>
        <v>0</v>
      </c>
      <c r="AH220" s="9"/>
      <c r="AI220" s="150">
        <f t="shared" si="12"/>
        <v>0</v>
      </c>
      <c r="AJ220" s="153" t="s">
        <v>6</v>
      </c>
    </row>
    <row r="221" spans="1:36" ht="30" customHeight="1">
      <c r="A221" s="92"/>
      <c r="B221" s="92"/>
      <c r="C221" s="92"/>
      <c r="D221" s="92"/>
      <c r="E221" s="92"/>
      <c r="F221" s="92"/>
      <c r="G221" s="92"/>
      <c r="H221" s="92"/>
      <c r="I221" s="92"/>
      <c r="J221" s="92"/>
      <c r="K221" s="92"/>
      <c r="L221" s="92"/>
      <c r="M221" s="92"/>
      <c r="N221" s="155"/>
      <c r="O221" s="157"/>
      <c r="P221" s="92"/>
      <c r="Q221" s="145"/>
      <c r="R221" s="92"/>
      <c r="S221" s="145"/>
      <c r="T221" s="92"/>
      <c r="U221" s="145"/>
      <c r="V221" s="92"/>
      <c r="W221" s="145"/>
      <c r="X221" s="92"/>
      <c r="Y221" s="145"/>
      <c r="Z221" s="92"/>
      <c r="AA221" s="145"/>
      <c r="AB221" s="64"/>
      <c r="AC221" s="145"/>
      <c r="AD221" s="64"/>
      <c r="AE221" s="145"/>
      <c r="AF221" s="196" t="str">
        <f t="shared" si="14"/>
        <v/>
      </c>
      <c r="AG221" s="95" t="b">
        <f t="shared" si="13"/>
        <v>0</v>
      </c>
      <c r="AH221" s="9"/>
      <c r="AI221" s="150">
        <f t="shared" si="12"/>
        <v>0</v>
      </c>
      <c r="AJ221" s="153" t="s">
        <v>6</v>
      </c>
    </row>
    <row r="222" spans="1:36" ht="30" customHeight="1">
      <c r="A222" s="92"/>
      <c r="B222" s="92"/>
      <c r="C222" s="92"/>
      <c r="D222" s="92"/>
      <c r="E222" s="92"/>
      <c r="F222" s="92"/>
      <c r="G222" s="92"/>
      <c r="H222" s="92"/>
      <c r="I222" s="92"/>
      <c r="J222" s="92"/>
      <c r="K222" s="92"/>
      <c r="L222" s="92"/>
      <c r="M222" s="92"/>
      <c r="N222" s="155"/>
      <c r="O222" s="157"/>
      <c r="P222" s="92"/>
      <c r="Q222" s="145"/>
      <c r="R222" s="92"/>
      <c r="S222" s="145"/>
      <c r="T222" s="92"/>
      <c r="U222" s="145"/>
      <c r="V222" s="92"/>
      <c r="W222" s="145"/>
      <c r="X222" s="92"/>
      <c r="Y222" s="145"/>
      <c r="Z222" s="92"/>
      <c r="AA222" s="145"/>
      <c r="AB222" s="64"/>
      <c r="AC222" s="145"/>
      <c r="AD222" s="64"/>
      <c r="AE222" s="145"/>
      <c r="AF222" s="196" t="str">
        <f t="shared" si="14"/>
        <v/>
      </c>
      <c r="AG222" s="95" t="b">
        <f t="shared" si="13"/>
        <v>0</v>
      </c>
      <c r="AH222" s="9"/>
      <c r="AI222" s="150">
        <f t="shared" si="12"/>
        <v>0</v>
      </c>
      <c r="AJ222" s="153" t="s">
        <v>6</v>
      </c>
    </row>
    <row r="223" spans="1:36" ht="30" customHeight="1">
      <c r="A223" s="92"/>
      <c r="B223" s="92"/>
      <c r="C223" s="92"/>
      <c r="D223" s="92"/>
      <c r="E223" s="92"/>
      <c r="F223" s="92"/>
      <c r="G223" s="92"/>
      <c r="H223" s="92"/>
      <c r="I223" s="92"/>
      <c r="J223" s="92"/>
      <c r="K223" s="92"/>
      <c r="L223" s="92"/>
      <c r="M223" s="92"/>
      <c r="N223" s="155"/>
      <c r="O223" s="157"/>
      <c r="P223" s="92"/>
      <c r="Q223" s="145"/>
      <c r="R223" s="92"/>
      <c r="S223" s="145"/>
      <c r="T223" s="92"/>
      <c r="U223" s="145"/>
      <c r="V223" s="92"/>
      <c r="W223" s="145"/>
      <c r="X223" s="92"/>
      <c r="Y223" s="145"/>
      <c r="Z223" s="92"/>
      <c r="AA223" s="145"/>
      <c r="AB223" s="64"/>
      <c r="AC223" s="145"/>
      <c r="AD223" s="64"/>
      <c r="AE223" s="145"/>
      <c r="AF223" s="196" t="str">
        <f t="shared" si="14"/>
        <v/>
      </c>
      <c r="AG223" s="95" t="b">
        <f t="shared" si="13"/>
        <v>0</v>
      </c>
      <c r="AH223" s="9"/>
      <c r="AI223" s="150">
        <f t="shared" si="12"/>
        <v>0</v>
      </c>
      <c r="AJ223" s="153" t="s">
        <v>6</v>
      </c>
    </row>
    <row r="224" spans="1:36" ht="30" customHeight="1">
      <c r="A224" s="92"/>
      <c r="B224" s="92"/>
      <c r="C224" s="92"/>
      <c r="D224" s="92"/>
      <c r="E224" s="92"/>
      <c r="F224" s="92"/>
      <c r="G224" s="92"/>
      <c r="H224" s="92"/>
      <c r="I224" s="92"/>
      <c r="J224" s="92"/>
      <c r="K224" s="92"/>
      <c r="L224" s="92"/>
      <c r="M224" s="92"/>
      <c r="N224" s="155"/>
      <c r="O224" s="157"/>
      <c r="P224" s="92"/>
      <c r="Q224" s="145"/>
      <c r="R224" s="92"/>
      <c r="S224" s="145"/>
      <c r="T224" s="92"/>
      <c r="U224" s="145"/>
      <c r="V224" s="92"/>
      <c r="W224" s="145"/>
      <c r="X224" s="92"/>
      <c r="Y224" s="145"/>
      <c r="Z224" s="92"/>
      <c r="AA224" s="145"/>
      <c r="AB224" s="64"/>
      <c r="AC224" s="145"/>
      <c r="AD224" s="64"/>
      <c r="AE224" s="145"/>
      <c r="AF224" s="196" t="str">
        <f t="shared" si="14"/>
        <v/>
      </c>
      <c r="AG224" s="95" t="b">
        <f t="shared" si="13"/>
        <v>0</v>
      </c>
      <c r="AH224" s="9"/>
      <c r="AI224" s="150">
        <f t="shared" si="12"/>
        <v>0</v>
      </c>
      <c r="AJ224" s="153" t="s">
        <v>6</v>
      </c>
    </row>
    <row r="225" spans="1:36" ht="30" customHeight="1">
      <c r="A225" s="92"/>
      <c r="B225" s="92"/>
      <c r="C225" s="92"/>
      <c r="D225" s="92"/>
      <c r="E225" s="92"/>
      <c r="F225" s="92"/>
      <c r="G225" s="92"/>
      <c r="H225" s="92"/>
      <c r="I225" s="92"/>
      <c r="J225" s="92"/>
      <c r="K225" s="92"/>
      <c r="L225" s="92"/>
      <c r="M225" s="92"/>
      <c r="N225" s="155"/>
      <c r="O225" s="157"/>
      <c r="P225" s="92"/>
      <c r="Q225" s="145"/>
      <c r="R225" s="92"/>
      <c r="S225" s="145"/>
      <c r="T225" s="92"/>
      <c r="U225" s="145"/>
      <c r="V225" s="92"/>
      <c r="W225" s="145"/>
      <c r="X225" s="92"/>
      <c r="Y225" s="145"/>
      <c r="Z225" s="92"/>
      <c r="AA225" s="145"/>
      <c r="AB225" s="64"/>
      <c r="AC225" s="145"/>
      <c r="AD225" s="64"/>
      <c r="AE225" s="145"/>
      <c r="AF225" s="196" t="str">
        <f t="shared" si="14"/>
        <v/>
      </c>
      <c r="AG225" s="95" t="b">
        <f t="shared" si="13"/>
        <v>0</v>
      </c>
      <c r="AH225" s="9"/>
      <c r="AI225" s="150">
        <f t="shared" si="12"/>
        <v>0</v>
      </c>
      <c r="AJ225" s="153" t="s">
        <v>6</v>
      </c>
    </row>
    <row r="226" spans="1:36" ht="30" customHeight="1">
      <c r="A226" s="92"/>
      <c r="B226" s="92"/>
      <c r="C226" s="92"/>
      <c r="D226" s="92"/>
      <c r="E226" s="92"/>
      <c r="F226" s="92"/>
      <c r="G226" s="92"/>
      <c r="H226" s="92"/>
      <c r="I226" s="92"/>
      <c r="J226" s="92"/>
      <c r="K226" s="92"/>
      <c r="L226" s="92"/>
      <c r="M226" s="92"/>
      <c r="N226" s="155"/>
      <c r="O226" s="157"/>
      <c r="P226" s="92"/>
      <c r="Q226" s="145"/>
      <c r="R226" s="92"/>
      <c r="S226" s="145"/>
      <c r="T226" s="92"/>
      <c r="U226" s="145"/>
      <c r="V226" s="92"/>
      <c r="W226" s="145"/>
      <c r="X226" s="92"/>
      <c r="Y226" s="145"/>
      <c r="Z226" s="92"/>
      <c r="AA226" s="145"/>
      <c r="AB226" s="64"/>
      <c r="AC226" s="145"/>
      <c r="AD226" s="64"/>
      <c r="AE226" s="145"/>
      <c r="AF226" s="196" t="str">
        <f t="shared" si="14"/>
        <v/>
      </c>
      <c r="AG226" s="95" t="b">
        <f t="shared" si="13"/>
        <v>0</v>
      </c>
      <c r="AH226" s="9"/>
      <c r="AI226" s="150">
        <f t="shared" si="12"/>
        <v>0</v>
      </c>
      <c r="AJ226" s="153" t="s">
        <v>6</v>
      </c>
    </row>
    <row r="227" spans="1:36" ht="30" customHeight="1">
      <c r="A227" s="92"/>
      <c r="B227" s="92"/>
      <c r="C227" s="92"/>
      <c r="D227" s="92"/>
      <c r="E227" s="92"/>
      <c r="F227" s="92"/>
      <c r="G227" s="92"/>
      <c r="H227" s="92"/>
      <c r="I227" s="92"/>
      <c r="J227" s="92"/>
      <c r="K227" s="92"/>
      <c r="L227" s="92"/>
      <c r="M227" s="92"/>
      <c r="N227" s="155"/>
      <c r="O227" s="157"/>
      <c r="P227" s="92"/>
      <c r="Q227" s="145"/>
      <c r="R227" s="92"/>
      <c r="S227" s="145"/>
      <c r="T227" s="92"/>
      <c r="U227" s="145"/>
      <c r="V227" s="92"/>
      <c r="W227" s="145"/>
      <c r="X227" s="92"/>
      <c r="Y227" s="145"/>
      <c r="Z227" s="92"/>
      <c r="AA227" s="145"/>
      <c r="AB227" s="64"/>
      <c r="AC227" s="145"/>
      <c r="AD227" s="64"/>
      <c r="AE227" s="145"/>
      <c r="AF227" s="196" t="str">
        <f t="shared" si="14"/>
        <v/>
      </c>
      <c r="AG227" s="95" t="b">
        <f t="shared" si="13"/>
        <v>0</v>
      </c>
      <c r="AH227" s="9"/>
      <c r="AI227" s="150">
        <f t="shared" si="12"/>
        <v>0</v>
      </c>
      <c r="AJ227" s="153" t="s">
        <v>6</v>
      </c>
    </row>
    <row r="228" spans="1:36" ht="30" customHeight="1">
      <c r="A228" s="92"/>
      <c r="B228" s="92"/>
      <c r="C228" s="92"/>
      <c r="D228" s="92"/>
      <c r="E228" s="92"/>
      <c r="F228" s="92"/>
      <c r="G228" s="92"/>
      <c r="H228" s="92"/>
      <c r="I228" s="92"/>
      <c r="J228" s="92"/>
      <c r="K228" s="92"/>
      <c r="L228" s="92"/>
      <c r="M228" s="92"/>
      <c r="N228" s="155"/>
      <c r="O228" s="157"/>
      <c r="P228" s="92"/>
      <c r="Q228" s="145"/>
      <c r="R228" s="92"/>
      <c r="S228" s="145"/>
      <c r="T228" s="92"/>
      <c r="U228" s="145"/>
      <c r="V228" s="92"/>
      <c r="W228" s="145"/>
      <c r="X228" s="92"/>
      <c r="Y228" s="145"/>
      <c r="Z228" s="92"/>
      <c r="AA228" s="145"/>
      <c r="AB228" s="64"/>
      <c r="AC228" s="145"/>
      <c r="AD228" s="64"/>
      <c r="AE228" s="145"/>
      <c r="AF228" s="196" t="str">
        <f t="shared" si="14"/>
        <v/>
      </c>
      <c r="AG228" s="95" t="b">
        <f t="shared" si="13"/>
        <v>0</v>
      </c>
      <c r="AH228" s="9"/>
      <c r="AI228" s="150">
        <f t="shared" si="12"/>
        <v>0</v>
      </c>
      <c r="AJ228" s="153" t="s">
        <v>6</v>
      </c>
    </row>
    <row r="229" spans="1:36" ht="30" customHeight="1">
      <c r="A229" s="92"/>
      <c r="B229" s="92"/>
      <c r="C229" s="92"/>
      <c r="D229" s="92"/>
      <c r="E229" s="92"/>
      <c r="F229" s="92"/>
      <c r="G229" s="92"/>
      <c r="H229" s="92"/>
      <c r="I229" s="92"/>
      <c r="J229" s="92"/>
      <c r="K229" s="92"/>
      <c r="L229" s="92"/>
      <c r="M229" s="92"/>
      <c r="N229" s="155"/>
      <c r="O229" s="157"/>
      <c r="P229" s="92"/>
      <c r="Q229" s="145"/>
      <c r="R229" s="92"/>
      <c r="S229" s="145"/>
      <c r="T229" s="92"/>
      <c r="U229" s="145"/>
      <c r="V229" s="92"/>
      <c r="W229" s="145"/>
      <c r="X229" s="92"/>
      <c r="Y229" s="145"/>
      <c r="Z229" s="92"/>
      <c r="AA229" s="145"/>
      <c r="AB229" s="64"/>
      <c r="AC229" s="145"/>
      <c r="AD229" s="64"/>
      <c r="AE229" s="145"/>
      <c r="AF229" s="196" t="str">
        <f t="shared" si="14"/>
        <v/>
      </c>
      <c r="AG229" s="95" t="b">
        <f t="shared" si="13"/>
        <v>0</v>
      </c>
      <c r="AH229" s="9"/>
      <c r="AI229" s="150">
        <f t="shared" si="12"/>
        <v>0</v>
      </c>
      <c r="AJ229" s="153" t="s">
        <v>6</v>
      </c>
    </row>
    <row r="230" spans="1:36" ht="30" customHeight="1">
      <c r="A230" s="92"/>
      <c r="B230" s="92"/>
      <c r="C230" s="92"/>
      <c r="D230" s="92"/>
      <c r="E230" s="92"/>
      <c r="F230" s="92"/>
      <c r="G230" s="92"/>
      <c r="H230" s="92"/>
      <c r="I230" s="92"/>
      <c r="J230" s="92"/>
      <c r="K230" s="92"/>
      <c r="L230" s="92"/>
      <c r="M230" s="92"/>
      <c r="N230" s="155"/>
      <c r="O230" s="157"/>
      <c r="P230" s="92"/>
      <c r="Q230" s="145"/>
      <c r="R230" s="92"/>
      <c r="S230" s="145"/>
      <c r="T230" s="92"/>
      <c r="U230" s="145"/>
      <c r="V230" s="92"/>
      <c r="W230" s="145"/>
      <c r="X230" s="92"/>
      <c r="Y230" s="145"/>
      <c r="Z230" s="92"/>
      <c r="AA230" s="145"/>
      <c r="AB230" s="64"/>
      <c r="AC230" s="145"/>
      <c r="AD230" s="64"/>
      <c r="AE230" s="145"/>
      <c r="AF230" s="196" t="str">
        <f t="shared" si="14"/>
        <v/>
      </c>
      <c r="AG230" s="95" t="b">
        <f t="shared" si="13"/>
        <v>0</v>
      </c>
      <c r="AH230" s="9"/>
      <c r="AI230" s="150">
        <f t="shared" si="12"/>
        <v>0</v>
      </c>
      <c r="AJ230" s="153" t="s">
        <v>6</v>
      </c>
    </row>
    <row r="231" spans="1:36" ht="30" customHeight="1">
      <c r="A231" s="92"/>
      <c r="B231" s="92"/>
      <c r="C231" s="92"/>
      <c r="D231" s="92"/>
      <c r="E231" s="92"/>
      <c r="F231" s="92"/>
      <c r="G231" s="92"/>
      <c r="H231" s="92"/>
      <c r="I231" s="92"/>
      <c r="J231" s="92"/>
      <c r="K231" s="92"/>
      <c r="L231" s="92"/>
      <c r="M231" s="92"/>
      <c r="N231" s="155"/>
      <c r="O231" s="157"/>
      <c r="P231" s="92"/>
      <c r="Q231" s="145"/>
      <c r="R231" s="92"/>
      <c r="S231" s="145"/>
      <c r="T231" s="92"/>
      <c r="U231" s="145"/>
      <c r="V231" s="92"/>
      <c r="W231" s="145"/>
      <c r="X231" s="92"/>
      <c r="Y231" s="145"/>
      <c r="Z231" s="92"/>
      <c r="AA231" s="145"/>
      <c r="AB231" s="64"/>
      <c r="AC231" s="145"/>
      <c r="AD231" s="64"/>
      <c r="AE231" s="145"/>
      <c r="AF231" s="196" t="str">
        <f t="shared" si="14"/>
        <v/>
      </c>
      <c r="AG231" s="95" t="b">
        <f t="shared" si="13"/>
        <v>0</v>
      </c>
      <c r="AH231" s="9"/>
      <c r="AI231" s="150">
        <f t="shared" si="12"/>
        <v>0</v>
      </c>
      <c r="AJ231" s="153" t="s">
        <v>6</v>
      </c>
    </row>
    <row r="232" spans="1:36" ht="30" customHeight="1">
      <c r="A232" s="92"/>
      <c r="B232" s="92"/>
      <c r="C232" s="92"/>
      <c r="D232" s="92"/>
      <c r="E232" s="92"/>
      <c r="F232" s="92"/>
      <c r="G232" s="92"/>
      <c r="H232" s="92"/>
      <c r="I232" s="92"/>
      <c r="J232" s="92"/>
      <c r="K232" s="92"/>
      <c r="L232" s="92"/>
      <c r="M232" s="92"/>
      <c r="N232" s="155"/>
      <c r="O232" s="157"/>
      <c r="P232" s="92"/>
      <c r="Q232" s="145"/>
      <c r="R232" s="92"/>
      <c r="S232" s="145"/>
      <c r="T232" s="92"/>
      <c r="U232" s="145"/>
      <c r="V232" s="92"/>
      <c r="W232" s="145"/>
      <c r="X232" s="92"/>
      <c r="Y232" s="145"/>
      <c r="Z232" s="92"/>
      <c r="AA232" s="145"/>
      <c r="AB232" s="64"/>
      <c r="AC232" s="145"/>
      <c r="AD232" s="64"/>
      <c r="AE232" s="145"/>
      <c r="AF232" s="196" t="str">
        <f t="shared" si="14"/>
        <v/>
      </c>
      <c r="AG232" s="95" t="b">
        <f t="shared" si="13"/>
        <v>0</v>
      </c>
      <c r="AH232" s="9"/>
      <c r="AI232" s="150">
        <f t="shared" si="12"/>
        <v>0</v>
      </c>
      <c r="AJ232" s="153" t="s">
        <v>6</v>
      </c>
    </row>
    <row r="233" spans="1:36" ht="30" customHeight="1">
      <c r="A233" s="92"/>
      <c r="B233" s="92"/>
      <c r="C233" s="92"/>
      <c r="D233" s="92"/>
      <c r="E233" s="92"/>
      <c r="F233" s="92"/>
      <c r="G233" s="92"/>
      <c r="H233" s="92"/>
      <c r="I233" s="92"/>
      <c r="J233" s="92"/>
      <c r="K233" s="92"/>
      <c r="L233" s="92"/>
      <c r="M233" s="92"/>
      <c r="N233" s="155"/>
      <c r="O233" s="157"/>
      <c r="P233" s="92"/>
      <c r="Q233" s="145"/>
      <c r="R233" s="92"/>
      <c r="S233" s="145"/>
      <c r="T233" s="92"/>
      <c r="U233" s="145"/>
      <c r="V233" s="92"/>
      <c r="W233" s="145"/>
      <c r="X233" s="92"/>
      <c r="Y233" s="145"/>
      <c r="Z233" s="92"/>
      <c r="AA233" s="145"/>
      <c r="AB233" s="64"/>
      <c r="AC233" s="145"/>
      <c r="AD233" s="64"/>
      <c r="AE233" s="145"/>
      <c r="AF233" s="196" t="str">
        <f t="shared" si="14"/>
        <v/>
      </c>
      <c r="AG233" s="95" t="b">
        <f t="shared" si="13"/>
        <v>0</v>
      </c>
      <c r="AH233" s="9"/>
      <c r="AI233" s="150">
        <f t="shared" si="12"/>
        <v>0</v>
      </c>
      <c r="AJ233" s="153" t="s">
        <v>6</v>
      </c>
    </row>
    <row r="234" spans="1:36" ht="30" customHeight="1">
      <c r="A234" s="92"/>
      <c r="B234" s="92"/>
      <c r="C234" s="92"/>
      <c r="D234" s="92"/>
      <c r="E234" s="92"/>
      <c r="F234" s="92"/>
      <c r="G234" s="92"/>
      <c r="H234" s="92"/>
      <c r="I234" s="92"/>
      <c r="J234" s="92"/>
      <c r="K234" s="92"/>
      <c r="L234" s="92"/>
      <c r="M234" s="92"/>
      <c r="N234" s="155"/>
      <c r="O234" s="157"/>
      <c r="P234" s="92"/>
      <c r="Q234" s="145"/>
      <c r="R234" s="92"/>
      <c r="S234" s="145"/>
      <c r="T234" s="92"/>
      <c r="U234" s="145"/>
      <c r="V234" s="92"/>
      <c r="W234" s="145"/>
      <c r="X234" s="92"/>
      <c r="Y234" s="145"/>
      <c r="Z234" s="92"/>
      <c r="AA234" s="145"/>
      <c r="AB234" s="64"/>
      <c r="AC234" s="145"/>
      <c r="AD234" s="64"/>
      <c r="AE234" s="145"/>
      <c r="AF234" s="196" t="str">
        <f t="shared" si="14"/>
        <v/>
      </c>
      <c r="AG234" s="95" t="b">
        <f t="shared" si="13"/>
        <v>0</v>
      </c>
      <c r="AH234" s="9"/>
      <c r="AI234" s="150">
        <f t="shared" si="12"/>
        <v>0</v>
      </c>
      <c r="AJ234" s="153" t="s">
        <v>6</v>
      </c>
    </row>
    <row r="235" spans="1:36" ht="30" customHeight="1">
      <c r="A235" s="92"/>
      <c r="B235" s="92"/>
      <c r="C235" s="92"/>
      <c r="D235" s="92"/>
      <c r="E235" s="92"/>
      <c r="F235" s="92"/>
      <c r="G235" s="92"/>
      <c r="H235" s="92"/>
      <c r="I235" s="92"/>
      <c r="J235" s="92"/>
      <c r="K235" s="92"/>
      <c r="L235" s="92"/>
      <c r="M235" s="92"/>
      <c r="N235" s="155"/>
      <c r="O235" s="157"/>
      <c r="P235" s="92"/>
      <c r="Q235" s="145"/>
      <c r="R235" s="92"/>
      <c r="S235" s="145"/>
      <c r="T235" s="92"/>
      <c r="U235" s="145"/>
      <c r="V235" s="92"/>
      <c r="W235" s="145"/>
      <c r="X235" s="92"/>
      <c r="Y235" s="145"/>
      <c r="Z235" s="92"/>
      <c r="AA235" s="145"/>
      <c r="AB235" s="64"/>
      <c r="AC235" s="145"/>
      <c r="AD235" s="64"/>
      <c r="AE235" s="145"/>
      <c r="AF235" s="196" t="str">
        <f t="shared" si="14"/>
        <v/>
      </c>
      <c r="AG235" s="95" t="b">
        <f t="shared" si="13"/>
        <v>0</v>
      </c>
      <c r="AH235" s="9"/>
      <c r="AI235" s="150">
        <f t="shared" si="12"/>
        <v>0</v>
      </c>
      <c r="AJ235" s="153" t="s">
        <v>6</v>
      </c>
    </row>
    <row r="236" spans="1:36" ht="30" customHeight="1">
      <c r="A236" s="92"/>
      <c r="B236" s="92"/>
      <c r="C236" s="92"/>
      <c r="D236" s="92"/>
      <c r="E236" s="92"/>
      <c r="F236" s="92"/>
      <c r="G236" s="92"/>
      <c r="H236" s="92"/>
      <c r="I236" s="92"/>
      <c r="J236" s="92"/>
      <c r="K236" s="92"/>
      <c r="L236" s="92"/>
      <c r="M236" s="92"/>
      <c r="N236" s="155"/>
      <c r="O236" s="157"/>
      <c r="P236" s="92"/>
      <c r="Q236" s="145"/>
      <c r="R236" s="92"/>
      <c r="S236" s="145"/>
      <c r="T236" s="92"/>
      <c r="U236" s="145"/>
      <c r="V236" s="92"/>
      <c r="W236" s="145"/>
      <c r="X236" s="92"/>
      <c r="Y236" s="145"/>
      <c r="Z236" s="92"/>
      <c r="AA236" s="145"/>
      <c r="AB236" s="64"/>
      <c r="AC236" s="145"/>
      <c r="AD236" s="64"/>
      <c r="AE236" s="145"/>
      <c r="AF236" s="196" t="str">
        <f t="shared" si="14"/>
        <v/>
      </c>
      <c r="AG236" s="95" t="b">
        <f t="shared" si="13"/>
        <v>0</v>
      </c>
      <c r="AH236" s="9"/>
      <c r="AI236" s="150">
        <f t="shared" si="12"/>
        <v>0</v>
      </c>
      <c r="AJ236" s="153" t="s">
        <v>6</v>
      </c>
    </row>
    <row r="237" spans="1:36" ht="30" customHeight="1">
      <c r="A237" s="92"/>
      <c r="B237" s="92"/>
      <c r="C237" s="92"/>
      <c r="D237" s="92"/>
      <c r="E237" s="92"/>
      <c r="F237" s="92"/>
      <c r="G237" s="92"/>
      <c r="H237" s="92"/>
      <c r="I237" s="92"/>
      <c r="J237" s="92"/>
      <c r="K237" s="92"/>
      <c r="L237" s="92"/>
      <c r="M237" s="92"/>
      <c r="N237" s="155"/>
      <c r="O237" s="157"/>
      <c r="P237" s="92"/>
      <c r="Q237" s="145"/>
      <c r="R237" s="92"/>
      <c r="S237" s="145"/>
      <c r="T237" s="92"/>
      <c r="U237" s="145"/>
      <c r="V237" s="92"/>
      <c r="W237" s="145"/>
      <c r="X237" s="92"/>
      <c r="Y237" s="145"/>
      <c r="Z237" s="92"/>
      <c r="AA237" s="145"/>
      <c r="AB237" s="64"/>
      <c r="AC237" s="145"/>
      <c r="AD237" s="64"/>
      <c r="AE237" s="145"/>
      <c r="AF237" s="196" t="str">
        <f t="shared" si="14"/>
        <v/>
      </c>
      <c r="AG237" s="95" t="b">
        <f t="shared" si="13"/>
        <v>0</v>
      </c>
      <c r="AH237" s="9"/>
      <c r="AI237" s="150">
        <f t="shared" si="12"/>
        <v>0</v>
      </c>
      <c r="AJ237" s="153" t="s">
        <v>6</v>
      </c>
    </row>
    <row r="238" spans="1:36" ht="30" customHeight="1">
      <c r="A238" s="92"/>
      <c r="B238" s="92"/>
      <c r="C238" s="92"/>
      <c r="D238" s="92"/>
      <c r="E238" s="92"/>
      <c r="F238" s="92"/>
      <c r="G238" s="92"/>
      <c r="H238" s="92"/>
      <c r="I238" s="92"/>
      <c r="J238" s="92"/>
      <c r="K238" s="92"/>
      <c r="L238" s="92"/>
      <c r="M238" s="92"/>
      <c r="N238" s="155"/>
      <c r="O238" s="157"/>
      <c r="P238" s="92"/>
      <c r="Q238" s="145"/>
      <c r="R238" s="92"/>
      <c r="S238" s="145"/>
      <c r="T238" s="92"/>
      <c r="U238" s="145"/>
      <c r="V238" s="92"/>
      <c r="W238" s="145"/>
      <c r="X238" s="92"/>
      <c r="Y238" s="145"/>
      <c r="Z238" s="92"/>
      <c r="AA238" s="145"/>
      <c r="AB238" s="64"/>
      <c r="AC238" s="145"/>
      <c r="AD238" s="64"/>
      <c r="AE238" s="145"/>
      <c r="AF238" s="196" t="str">
        <f t="shared" si="14"/>
        <v/>
      </c>
      <c r="AG238" s="95" t="b">
        <f t="shared" si="13"/>
        <v>0</v>
      </c>
      <c r="AH238" s="9"/>
      <c r="AI238" s="150">
        <f t="shared" si="12"/>
        <v>0</v>
      </c>
      <c r="AJ238" s="153" t="s">
        <v>6</v>
      </c>
    </row>
    <row r="239" spans="1:36" ht="30" customHeight="1">
      <c r="A239" s="92"/>
      <c r="B239" s="92"/>
      <c r="C239" s="92"/>
      <c r="D239" s="92"/>
      <c r="E239" s="92"/>
      <c r="F239" s="92"/>
      <c r="G239" s="92"/>
      <c r="H239" s="92"/>
      <c r="I239" s="92"/>
      <c r="J239" s="92"/>
      <c r="K239" s="92"/>
      <c r="L239" s="92"/>
      <c r="M239" s="92"/>
      <c r="N239" s="155"/>
      <c r="O239" s="157"/>
      <c r="P239" s="92"/>
      <c r="Q239" s="145"/>
      <c r="R239" s="92"/>
      <c r="S239" s="145"/>
      <c r="T239" s="92"/>
      <c r="U239" s="145"/>
      <c r="V239" s="92"/>
      <c r="W239" s="145"/>
      <c r="X239" s="92"/>
      <c r="Y239" s="145"/>
      <c r="Z239" s="92"/>
      <c r="AA239" s="145"/>
      <c r="AB239" s="64"/>
      <c r="AC239" s="145"/>
      <c r="AD239" s="64"/>
      <c r="AE239" s="145"/>
      <c r="AF239" s="196" t="str">
        <f t="shared" si="14"/>
        <v/>
      </c>
      <c r="AG239" s="95" t="b">
        <f t="shared" si="13"/>
        <v>0</v>
      </c>
      <c r="AH239" s="9"/>
      <c r="AI239" s="150">
        <f t="shared" si="12"/>
        <v>0</v>
      </c>
      <c r="AJ239" s="153" t="s">
        <v>6</v>
      </c>
    </row>
    <row r="240" spans="1:36" ht="30" customHeight="1">
      <c r="A240" s="92"/>
      <c r="B240" s="92"/>
      <c r="C240" s="92"/>
      <c r="D240" s="92"/>
      <c r="E240" s="92"/>
      <c r="F240" s="92"/>
      <c r="G240" s="92"/>
      <c r="H240" s="92"/>
      <c r="I240" s="92"/>
      <c r="J240" s="92"/>
      <c r="K240" s="92"/>
      <c r="L240" s="92"/>
      <c r="M240" s="92"/>
      <c r="N240" s="155"/>
      <c r="O240" s="157"/>
      <c r="P240" s="92"/>
      <c r="Q240" s="145"/>
      <c r="R240" s="92"/>
      <c r="S240" s="145"/>
      <c r="T240" s="92"/>
      <c r="U240" s="145"/>
      <c r="V240" s="92"/>
      <c r="W240" s="145"/>
      <c r="X240" s="92"/>
      <c r="Y240" s="145"/>
      <c r="Z240" s="92"/>
      <c r="AA240" s="145"/>
      <c r="AB240" s="64"/>
      <c r="AC240" s="145"/>
      <c r="AD240" s="64"/>
      <c r="AE240" s="145"/>
      <c r="AF240" s="196" t="str">
        <f t="shared" si="14"/>
        <v/>
      </c>
      <c r="AG240" s="95" t="b">
        <f t="shared" si="13"/>
        <v>0</v>
      </c>
      <c r="AH240" s="9"/>
      <c r="AI240" s="150">
        <f t="shared" si="12"/>
        <v>0</v>
      </c>
      <c r="AJ240" s="153" t="s">
        <v>6</v>
      </c>
    </row>
    <row r="241" spans="1:36" ht="30" customHeight="1">
      <c r="A241" s="92"/>
      <c r="B241" s="92"/>
      <c r="C241" s="92"/>
      <c r="D241" s="92"/>
      <c r="E241" s="92"/>
      <c r="F241" s="92"/>
      <c r="G241" s="92"/>
      <c r="H241" s="92"/>
      <c r="I241" s="92"/>
      <c r="J241" s="92"/>
      <c r="K241" s="92"/>
      <c r="L241" s="92"/>
      <c r="M241" s="92"/>
      <c r="N241" s="155"/>
      <c r="O241" s="157"/>
      <c r="P241" s="92"/>
      <c r="Q241" s="145"/>
      <c r="R241" s="92"/>
      <c r="S241" s="145"/>
      <c r="T241" s="92"/>
      <c r="U241" s="145"/>
      <c r="V241" s="92"/>
      <c r="W241" s="145"/>
      <c r="X241" s="92"/>
      <c r="Y241" s="145"/>
      <c r="Z241" s="92"/>
      <c r="AA241" s="145"/>
      <c r="AB241" s="64"/>
      <c r="AC241" s="145"/>
      <c r="AD241" s="64"/>
      <c r="AE241" s="145"/>
      <c r="AF241" s="196" t="str">
        <f t="shared" si="14"/>
        <v/>
      </c>
      <c r="AG241" s="95" t="b">
        <f t="shared" si="13"/>
        <v>0</v>
      </c>
      <c r="AH241" s="9"/>
      <c r="AI241" s="150">
        <f t="shared" si="12"/>
        <v>0</v>
      </c>
      <c r="AJ241" s="153" t="s">
        <v>6</v>
      </c>
    </row>
    <row r="242" spans="1:36" ht="30" customHeight="1">
      <c r="A242" s="92"/>
      <c r="B242" s="92"/>
      <c r="C242" s="92"/>
      <c r="D242" s="92"/>
      <c r="E242" s="92"/>
      <c r="F242" s="92"/>
      <c r="G242" s="92"/>
      <c r="H242" s="92"/>
      <c r="I242" s="92"/>
      <c r="J242" s="92"/>
      <c r="K242" s="92"/>
      <c r="L242" s="92"/>
      <c r="M242" s="92"/>
      <c r="N242" s="155"/>
      <c r="O242" s="157"/>
      <c r="P242" s="92"/>
      <c r="Q242" s="145"/>
      <c r="R242" s="92"/>
      <c r="S242" s="145"/>
      <c r="T242" s="92"/>
      <c r="U242" s="145"/>
      <c r="V242" s="92"/>
      <c r="W242" s="145"/>
      <c r="X242" s="92"/>
      <c r="Y242" s="145"/>
      <c r="Z242" s="92"/>
      <c r="AA242" s="145"/>
      <c r="AB242" s="64"/>
      <c r="AC242" s="145"/>
      <c r="AD242" s="64"/>
      <c r="AE242" s="145"/>
      <c r="AF242" s="196" t="str">
        <f t="shared" si="14"/>
        <v/>
      </c>
      <c r="AG242" s="95" t="b">
        <f t="shared" si="13"/>
        <v>0</v>
      </c>
      <c r="AH242" s="9"/>
      <c r="AI242" s="150">
        <f t="shared" si="12"/>
        <v>0</v>
      </c>
      <c r="AJ242" s="153" t="s">
        <v>6</v>
      </c>
    </row>
    <row r="243" spans="1:36" ht="30" customHeight="1">
      <c r="A243" s="92"/>
      <c r="B243" s="92"/>
      <c r="C243" s="92"/>
      <c r="D243" s="92"/>
      <c r="E243" s="92"/>
      <c r="F243" s="92"/>
      <c r="G243" s="92"/>
      <c r="H243" s="92"/>
      <c r="I243" s="92"/>
      <c r="J243" s="92"/>
      <c r="K243" s="92"/>
      <c r="L243" s="92"/>
      <c r="M243" s="92"/>
      <c r="N243" s="155"/>
      <c r="O243" s="157"/>
      <c r="P243" s="92"/>
      <c r="Q243" s="145"/>
      <c r="R243" s="92"/>
      <c r="S243" s="145"/>
      <c r="T243" s="92"/>
      <c r="U243" s="145"/>
      <c r="V243" s="92"/>
      <c r="W243" s="145"/>
      <c r="X243" s="92"/>
      <c r="Y243" s="145"/>
      <c r="Z243" s="92"/>
      <c r="AA243" s="145"/>
      <c r="AB243" s="64"/>
      <c r="AC243" s="145"/>
      <c r="AD243" s="64"/>
      <c r="AE243" s="145"/>
      <c r="AF243" s="196" t="str">
        <f t="shared" si="14"/>
        <v/>
      </c>
      <c r="AG243" s="95" t="b">
        <f t="shared" si="13"/>
        <v>0</v>
      </c>
      <c r="AH243" s="9"/>
      <c r="AI243" s="150">
        <f t="shared" si="12"/>
        <v>0</v>
      </c>
      <c r="AJ243" s="153" t="s">
        <v>6</v>
      </c>
    </row>
    <row r="244" spans="1:36" ht="30" customHeight="1">
      <c r="A244" s="92"/>
      <c r="B244" s="92"/>
      <c r="C244" s="92"/>
      <c r="D244" s="92"/>
      <c r="E244" s="92"/>
      <c r="F244" s="92"/>
      <c r="G244" s="92"/>
      <c r="H244" s="92"/>
      <c r="I244" s="92"/>
      <c r="J244" s="92"/>
      <c r="K244" s="92"/>
      <c r="L244" s="92"/>
      <c r="M244" s="92"/>
      <c r="N244" s="155"/>
      <c r="O244" s="157"/>
      <c r="P244" s="92"/>
      <c r="Q244" s="145"/>
      <c r="R244" s="92"/>
      <c r="S244" s="145"/>
      <c r="T244" s="92"/>
      <c r="U244" s="145"/>
      <c r="V244" s="92"/>
      <c r="W244" s="145"/>
      <c r="X244" s="92"/>
      <c r="Y244" s="145"/>
      <c r="Z244" s="92"/>
      <c r="AA244" s="145"/>
      <c r="AB244" s="64"/>
      <c r="AC244" s="145"/>
      <c r="AD244" s="64"/>
      <c r="AE244" s="145"/>
      <c r="AF244" s="196" t="str">
        <f t="shared" si="14"/>
        <v/>
      </c>
      <c r="AG244" s="95" t="b">
        <f t="shared" si="13"/>
        <v>0</v>
      </c>
      <c r="AH244" s="9"/>
      <c r="AI244" s="150">
        <f t="shared" si="12"/>
        <v>0</v>
      </c>
      <c r="AJ244" s="153" t="s">
        <v>6</v>
      </c>
    </row>
    <row r="245" spans="1:36" ht="30" customHeight="1">
      <c r="A245" s="92"/>
      <c r="B245" s="92"/>
      <c r="C245" s="92"/>
      <c r="D245" s="92"/>
      <c r="E245" s="92"/>
      <c r="F245" s="92"/>
      <c r="G245" s="92"/>
      <c r="H245" s="92"/>
      <c r="I245" s="92"/>
      <c r="J245" s="92"/>
      <c r="K245" s="92"/>
      <c r="L245" s="92"/>
      <c r="M245" s="92"/>
      <c r="N245" s="155"/>
      <c r="O245" s="157"/>
      <c r="P245" s="92"/>
      <c r="Q245" s="145"/>
      <c r="R245" s="92"/>
      <c r="S245" s="145"/>
      <c r="T245" s="92"/>
      <c r="U245" s="145"/>
      <c r="V245" s="92"/>
      <c r="W245" s="145"/>
      <c r="X245" s="92"/>
      <c r="Y245" s="145"/>
      <c r="Z245" s="92"/>
      <c r="AA245" s="145"/>
      <c r="AB245" s="64"/>
      <c r="AC245" s="145"/>
      <c r="AD245" s="64"/>
      <c r="AE245" s="145"/>
      <c r="AF245" s="196" t="str">
        <f t="shared" si="14"/>
        <v/>
      </c>
      <c r="AG245" s="95" t="b">
        <f t="shared" si="13"/>
        <v>0</v>
      </c>
      <c r="AH245" s="9"/>
      <c r="AI245" s="150">
        <f t="shared" si="12"/>
        <v>0</v>
      </c>
      <c r="AJ245" s="153" t="s">
        <v>6</v>
      </c>
    </row>
    <row r="246" spans="1:36" ht="30" customHeight="1">
      <c r="A246" s="92"/>
      <c r="B246" s="92"/>
      <c r="C246" s="92"/>
      <c r="D246" s="92"/>
      <c r="E246" s="92"/>
      <c r="F246" s="92"/>
      <c r="G246" s="92"/>
      <c r="H246" s="92"/>
      <c r="I246" s="92"/>
      <c r="J246" s="92"/>
      <c r="K246" s="92"/>
      <c r="L246" s="92"/>
      <c r="M246" s="92"/>
      <c r="N246" s="155"/>
      <c r="O246" s="157"/>
      <c r="P246" s="92"/>
      <c r="Q246" s="145"/>
      <c r="R246" s="92"/>
      <c r="S246" s="145"/>
      <c r="T246" s="92"/>
      <c r="U246" s="145"/>
      <c r="V246" s="92"/>
      <c r="W246" s="145"/>
      <c r="X246" s="92"/>
      <c r="Y246" s="145"/>
      <c r="Z246" s="92"/>
      <c r="AA246" s="145"/>
      <c r="AB246" s="64"/>
      <c r="AC246" s="145"/>
      <c r="AD246" s="64"/>
      <c r="AE246" s="145"/>
      <c r="AF246" s="196" t="str">
        <f t="shared" si="14"/>
        <v/>
      </c>
      <c r="AG246" s="95" t="b">
        <f t="shared" si="13"/>
        <v>0</v>
      </c>
      <c r="AH246" s="9"/>
      <c r="AI246" s="150">
        <f t="shared" si="12"/>
        <v>0</v>
      </c>
      <c r="AJ246" s="153" t="s">
        <v>6</v>
      </c>
    </row>
    <row r="247" spans="1:36" ht="30" customHeight="1">
      <c r="A247" s="92"/>
      <c r="B247" s="92"/>
      <c r="C247" s="92"/>
      <c r="D247" s="92"/>
      <c r="E247" s="92"/>
      <c r="F247" s="92"/>
      <c r="G247" s="92"/>
      <c r="H247" s="92"/>
      <c r="I247" s="92"/>
      <c r="J247" s="92"/>
      <c r="K247" s="92"/>
      <c r="L247" s="92"/>
      <c r="M247" s="92"/>
      <c r="N247" s="155"/>
      <c r="O247" s="157"/>
      <c r="P247" s="92"/>
      <c r="Q247" s="145"/>
      <c r="R247" s="92"/>
      <c r="S247" s="145"/>
      <c r="T247" s="92"/>
      <c r="U247" s="145"/>
      <c r="V247" s="92"/>
      <c r="W247" s="145"/>
      <c r="X247" s="92"/>
      <c r="Y247" s="145"/>
      <c r="Z247" s="92"/>
      <c r="AA247" s="145"/>
      <c r="AB247" s="64"/>
      <c r="AC247" s="145"/>
      <c r="AD247" s="64"/>
      <c r="AE247" s="145"/>
      <c r="AF247" s="196" t="str">
        <f t="shared" si="14"/>
        <v/>
      </c>
      <c r="AG247" s="95" t="b">
        <f t="shared" si="13"/>
        <v>0</v>
      </c>
      <c r="AH247" s="9"/>
      <c r="AI247" s="150">
        <f t="shared" si="12"/>
        <v>0</v>
      </c>
      <c r="AJ247" s="153" t="s">
        <v>6</v>
      </c>
    </row>
    <row r="248" spans="1:36" ht="30" customHeight="1">
      <c r="A248" s="92"/>
      <c r="B248" s="92"/>
      <c r="C248" s="92"/>
      <c r="D248" s="92"/>
      <c r="E248" s="92"/>
      <c r="F248" s="92"/>
      <c r="G248" s="92"/>
      <c r="H248" s="92"/>
      <c r="I248" s="92"/>
      <c r="J248" s="92"/>
      <c r="K248" s="92"/>
      <c r="L248" s="92"/>
      <c r="M248" s="92"/>
      <c r="N248" s="155"/>
      <c r="O248" s="157"/>
      <c r="P248" s="92"/>
      <c r="Q248" s="145"/>
      <c r="R248" s="92"/>
      <c r="S248" s="145"/>
      <c r="T248" s="92"/>
      <c r="U248" s="145"/>
      <c r="V248" s="92"/>
      <c r="W248" s="145"/>
      <c r="X248" s="92"/>
      <c r="Y248" s="145"/>
      <c r="Z248" s="92"/>
      <c r="AA248" s="145"/>
      <c r="AB248" s="64"/>
      <c r="AC248" s="145"/>
      <c r="AD248" s="64"/>
      <c r="AE248" s="145"/>
      <c r="AF248" s="196" t="str">
        <f t="shared" si="14"/>
        <v/>
      </c>
      <c r="AG248" s="95" t="b">
        <f t="shared" si="13"/>
        <v>0</v>
      </c>
      <c r="AH248" s="9"/>
      <c r="AI248" s="150">
        <f t="shared" si="12"/>
        <v>0</v>
      </c>
      <c r="AJ248" s="153" t="s">
        <v>6</v>
      </c>
    </row>
    <row r="249" spans="1:36" ht="30" customHeight="1">
      <c r="A249" s="92"/>
      <c r="B249" s="92"/>
      <c r="C249" s="92"/>
      <c r="D249" s="92"/>
      <c r="E249" s="92"/>
      <c r="F249" s="92"/>
      <c r="G249" s="92"/>
      <c r="H249" s="92"/>
      <c r="I249" s="92"/>
      <c r="J249" s="92"/>
      <c r="K249" s="92"/>
      <c r="L249" s="92"/>
      <c r="M249" s="92"/>
      <c r="N249" s="155"/>
      <c r="O249" s="157"/>
      <c r="P249" s="92"/>
      <c r="Q249" s="145"/>
      <c r="R249" s="92"/>
      <c r="S249" s="145"/>
      <c r="T249" s="92"/>
      <c r="U249" s="145"/>
      <c r="V249" s="92"/>
      <c r="W249" s="145"/>
      <c r="X249" s="92"/>
      <c r="Y249" s="145"/>
      <c r="Z249" s="92"/>
      <c r="AA249" s="145"/>
      <c r="AB249" s="64"/>
      <c r="AC249" s="145"/>
      <c r="AD249" s="64"/>
      <c r="AE249" s="145"/>
      <c r="AF249" s="196" t="str">
        <f t="shared" si="14"/>
        <v/>
      </c>
      <c r="AG249" s="95" t="b">
        <f t="shared" si="13"/>
        <v>0</v>
      </c>
      <c r="AH249" s="9"/>
      <c r="AI249" s="150">
        <f t="shared" si="12"/>
        <v>0</v>
      </c>
      <c r="AJ249" s="153" t="s">
        <v>6</v>
      </c>
    </row>
    <row r="250" spans="1:36" ht="30" customHeight="1">
      <c r="A250" s="92"/>
      <c r="B250" s="92"/>
      <c r="C250" s="92"/>
      <c r="D250" s="92"/>
      <c r="E250" s="92"/>
      <c r="F250" s="92"/>
      <c r="G250" s="92"/>
      <c r="H250" s="92"/>
      <c r="I250" s="92"/>
      <c r="J250" s="92"/>
      <c r="K250" s="92"/>
      <c r="L250" s="92"/>
      <c r="M250" s="92"/>
      <c r="N250" s="155"/>
      <c r="O250" s="157"/>
      <c r="P250" s="92"/>
      <c r="Q250" s="145"/>
      <c r="R250" s="92"/>
      <c r="S250" s="145"/>
      <c r="T250" s="92"/>
      <c r="U250" s="145"/>
      <c r="V250" s="92"/>
      <c r="W250" s="145"/>
      <c r="X250" s="92"/>
      <c r="Y250" s="145"/>
      <c r="Z250" s="92"/>
      <c r="AA250" s="145"/>
      <c r="AB250" s="64"/>
      <c r="AC250" s="145"/>
      <c r="AD250" s="64"/>
      <c r="AE250" s="145"/>
      <c r="AF250" s="196" t="str">
        <f t="shared" si="14"/>
        <v/>
      </c>
      <c r="AG250" s="95" t="b">
        <f t="shared" si="13"/>
        <v>0</v>
      </c>
      <c r="AH250" s="9"/>
      <c r="AI250" s="150">
        <f t="shared" si="12"/>
        <v>0</v>
      </c>
      <c r="AJ250" s="153" t="s">
        <v>6</v>
      </c>
    </row>
    <row r="251" spans="1:36" ht="30" customHeight="1">
      <c r="A251" s="92"/>
      <c r="B251" s="92"/>
      <c r="C251" s="92"/>
      <c r="D251" s="92"/>
      <c r="E251" s="92"/>
      <c r="F251" s="92"/>
      <c r="G251" s="92"/>
      <c r="H251" s="92"/>
      <c r="I251" s="92"/>
      <c r="J251" s="92"/>
      <c r="K251" s="92"/>
      <c r="L251" s="92"/>
      <c r="M251" s="92"/>
      <c r="N251" s="155"/>
      <c r="O251" s="157"/>
      <c r="P251" s="92"/>
      <c r="Q251" s="145"/>
      <c r="R251" s="92"/>
      <c r="S251" s="145"/>
      <c r="T251" s="92"/>
      <c r="U251" s="145"/>
      <c r="V251" s="92"/>
      <c r="W251" s="145"/>
      <c r="X251" s="92"/>
      <c r="Y251" s="145"/>
      <c r="Z251" s="92"/>
      <c r="AA251" s="145"/>
      <c r="AB251" s="64"/>
      <c r="AC251" s="145"/>
      <c r="AD251" s="64"/>
      <c r="AE251" s="145"/>
      <c r="AF251" s="196" t="str">
        <f t="shared" si="14"/>
        <v/>
      </c>
      <c r="AG251" s="95" t="b">
        <f t="shared" si="13"/>
        <v>0</v>
      </c>
      <c r="AH251" s="9"/>
      <c r="AI251" s="150">
        <f t="shared" si="12"/>
        <v>0</v>
      </c>
      <c r="AJ251" s="153" t="s">
        <v>6</v>
      </c>
    </row>
    <row r="252" spans="1:36" ht="30" customHeight="1">
      <c r="A252" s="92"/>
      <c r="B252" s="92"/>
      <c r="C252" s="92"/>
      <c r="D252" s="92"/>
      <c r="E252" s="92"/>
      <c r="F252" s="92"/>
      <c r="G252" s="92"/>
      <c r="H252" s="92"/>
      <c r="I252" s="92"/>
      <c r="J252" s="92"/>
      <c r="K252" s="92"/>
      <c r="L252" s="92"/>
      <c r="M252" s="92"/>
      <c r="N252" s="155"/>
      <c r="O252" s="157"/>
      <c r="P252" s="92"/>
      <c r="Q252" s="145"/>
      <c r="R252" s="92"/>
      <c r="S252" s="145"/>
      <c r="T252" s="92"/>
      <c r="U252" s="145"/>
      <c r="V252" s="92"/>
      <c r="W252" s="145"/>
      <c r="X252" s="92"/>
      <c r="Y252" s="145"/>
      <c r="Z252" s="92"/>
      <c r="AA252" s="145"/>
      <c r="AB252" s="64"/>
      <c r="AC252" s="145"/>
      <c r="AD252" s="64"/>
      <c r="AE252" s="145"/>
      <c r="AF252" s="196" t="str">
        <f t="shared" si="14"/>
        <v/>
      </c>
      <c r="AG252" s="95" t="b">
        <f t="shared" si="13"/>
        <v>0</v>
      </c>
      <c r="AH252" s="9"/>
      <c r="AI252" s="150">
        <f t="shared" si="12"/>
        <v>0</v>
      </c>
      <c r="AJ252" s="153" t="s">
        <v>6</v>
      </c>
    </row>
    <row r="253" spans="1:36" ht="30" customHeight="1">
      <c r="A253" s="92"/>
      <c r="B253" s="92"/>
      <c r="C253" s="92"/>
      <c r="D253" s="92"/>
      <c r="E253" s="92"/>
      <c r="F253" s="92"/>
      <c r="G253" s="92"/>
      <c r="H253" s="92"/>
      <c r="I253" s="92"/>
      <c r="J253" s="92"/>
      <c r="K253" s="92"/>
      <c r="L253" s="92"/>
      <c r="M253" s="92"/>
      <c r="N253" s="155"/>
      <c r="O253" s="157"/>
      <c r="P253" s="92"/>
      <c r="Q253" s="145"/>
      <c r="R253" s="92"/>
      <c r="S253" s="145"/>
      <c r="T253" s="92"/>
      <c r="U253" s="145"/>
      <c r="V253" s="92"/>
      <c r="W253" s="145"/>
      <c r="X253" s="92"/>
      <c r="Y253" s="145"/>
      <c r="Z253" s="92"/>
      <c r="AA253" s="145"/>
      <c r="AB253" s="64"/>
      <c r="AC253" s="145"/>
      <c r="AD253" s="64"/>
      <c r="AE253" s="145"/>
      <c r="AF253" s="196" t="str">
        <f t="shared" si="14"/>
        <v/>
      </c>
      <c r="AG253" s="95" t="b">
        <f t="shared" si="13"/>
        <v>0</v>
      </c>
      <c r="AH253" s="9"/>
      <c r="AI253" s="150">
        <f t="shared" si="12"/>
        <v>0</v>
      </c>
      <c r="AJ253" s="153" t="s">
        <v>6</v>
      </c>
    </row>
    <row r="254" spans="1:36" ht="30" customHeight="1">
      <c r="A254" s="92"/>
      <c r="B254" s="92"/>
      <c r="C254" s="92"/>
      <c r="D254" s="92"/>
      <c r="E254" s="92"/>
      <c r="F254" s="92"/>
      <c r="G254" s="92"/>
      <c r="H254" s="92"/>
      <c r="I254" s="92"/>
      <c r="J254" s="92"/>
      <c r="K254" s="92"/>
      <c r="L254" s="92"/>
      <c r="M254" s="92"/>
      <c r="N254" s="155"/>
      <c r="O254" s="157"/>
      <c r="P254" s="92"/>
      <c r="Q254" s="145"/>
      <c r="R254" s="92"/>
      <c r="S254" s="145"/>
      <c r="T254" s="92"/>
      <c r="U254" s="145"/>
      <c r="V254" s="92"/>
      <c r="W254" s="145"/>
      <c r="X254" s="92"/>
      <c r="Y254" s="145"/>
      <c r="Z254" s="92"/>
      <c r="AA254" s="145"/>
      <c r="AB254" s="64"/>
      <c r="AC254" s="145"/>
      <c r="AD254" s="64"/>
      <c r="AE254" s="145"/>
      <c r="AF254" s="196" t="str">
        <f t="shared" si="14"/>
        <v/>
      </c>
      <c r="AG254" s="95" t="b">
        <f t="shared" si="13"/>
        <v>0</v>
      </c>
      <c r="AH254" s="9"/>
      <c r="AI254" s="150">
        <f t="shared" si="12"/>
        <v>0</v>
      </c>
      <c r="AJ254" s="153" t="s">
        <v>6</v>
      </c>
    </row>
    <row r="255" spans="1:36" ht="30" customHeight="1">
      <c r="A255" s="92"/>
      <c r="B255" s="92"/>
      <c r="C255" s="92"/>
      <c r="D255" s="92"/>
      <c r="E255" s="92"/>
      <c r="F255" s="92"/>
      <c r="G255" s="92"/>
      <c r="H255" s="92"/>
      <c r="I255" s="92"/>
      <c r="J255" s="92"/>
      <c r="K255" s="92"/>
      <c r="L255" s="92"/>
      <c r="M255" s="92"/>
      <c r="N255" s="155"/>
      <c r="O255" s="157"/>
      <c r="P255" s="92"/>
      <c r="Q255" s="145"/>
      <c r="R255" s="92"/>
      <c r="S255" s="145"/>
      <c r="T255" s="92"/>
      <c r="U255" s="145"/>
      <c r="V255" s="92"/>
      <c r="W255" s="145"/>
      <c r="X255" s="92"/>
      <c r="Y255" s="145"/>
      <c r="Z255" s="92"/>
      <c r="AA255" s="145"/>
      <c r="AB255" s="64"/>
      <c r="AC255" s="145"/>
      <c r="AD255" s="64"/>
      <c r="AE255" s="145"/>
      <c r="AF255" s="196" t="str">
        <f t="shared" si="14"/>
        <v/>
      </c>
      <c r="AG255" s="95" t="b">
        <f t="shared" si="13"/>
        <v>0</v>
      </c>
      <c r="AH255" s="9"/>
      <c r="AI255" s="150">
        <f t="shared" si="12"/>
        <v>0</v>
      </c>
      <c r="AJ255" s="153" t="s">
        <v>6</v>
      </c>
    </row>
    <row r="256" spans="1:36" ht="30" customHeight="1">
      <c r="A256" s="92"/>
      <c r="B256" s="92"/>
      <c r="C256" s="92"/>
      <c r="D256" s="92"/>
      <c r="E256" s="92"/>
      <c r="F256" s="92"/>
      <c r="G256" s="92"/>
      <c r="H256" s="92"/>
      <c r="I256" s="92"/>
      <c r="J256" s="92"/>
      <c r="K256" s="92"/>
      <c r="L256" s="92"/>
      <c r="M256" s="92"/>
      <c r="N256" s="155"/>
      <c r="O256" s="157"/>
      <c r="P256" s="92"/>
      <c r="Q256" s="145"/>
      <c r="R256" s="92"/>
      <c r="S256" s="145"/>
      <c r="T256" s="92"/>
      <c r="U256" s="145"/>
      <c r="V256" s="92"/>
      <c r="W256" s="145"/>
      <c r="X256" s="92"/>
      <c r="Y256" s="145"/>
      <c r="Z256" s="92"/>
      <c r="AA256" s="145"/>
      <c r="AB256" s="64"/>
      <c r="AC256" s="145"/>
      <c r="AD256" s="64"/>
      <c r="AE256" s="145"/>
      <c r="AF256" s="196" t="str">
        <f t="shared" si="14"/>
        <v/>
      </c>
      <c r="AG256" s="95" t="b">
        <f t="shared" si="13"/>
        <v>0</v>
      </c>
      <c r="AH256" s="9"/>
      <c r="AI256" s="150">
        <f t="shared" ref="AI256:AI319" si="15">E256</f>
        <v>0</v>
      </c>
      <c r="AJ256" s="153" t="s">
        <v>6</v>
      </c>
    </row>
    <row r="257" spans="1:36" ht="30" customHeight="1">
      <c r="A257" s="92"/>
      <c r="B257" s="92"/>
      <c r="C257" s="92"/>
      <c r="D257" s="92"/>
      <c r="E257" s="92"/>
      <c r="F257" s="92"/>
      <c r="G257" s="92"/>
      <c r="H257" s="92"/>
      <c r="I257" s="92"/>
      <c r="J257" s="92"/>
      <c r="K257" s="92"/>
      <c r="L257" s="92"/>
      <c r="M257" s="92"/>
      <c r="N257" s="155"/>
      <c r="O257" s="157"/>
      <c r="P257" s="92"/>
      <c r="Q257" s="145"/>
      <c r="R257" s="92"/>
      <c r="S257" s="145"/>
      <c r="T257" s="92"/>
      <c r="U257" s="145"/>
      <c r="V257" s="92"/>
      <c r="W257" s="145"/>
      <c r="X257" s="92"/>
      <c r="Y257" s="145"/>
      <c r="Z257" s="92"/>
      <c r="AA257" s="145"/>
      <c r="AB257" s="64"/>
      <c r="AC257" s="145"/>
      <c r="AD257" s="64"/>
      <c r="AE257" s="145"/>
      <c r="AF257" s="196" t="str">
        <f t="shared" si="14"/>
        <v/>
      </c>
      <c r="AG257" s="95" t="b">
        <f t="shared" si="13"/>
        <v>0</v>
      </c>
      <c r="AH257" s="9"/>
      <c r="AI257" s="150">
        <f t="shared" si="15"/>
        <v>0</v>
      </c>
      <c r="AJ257" s="153" t="s">
        <v>6</v>
      </c>
    </row>
    <row r="258" spans="1:36" ht="30" customHeight="1">
      <c r="A258" s="92"/>
      <c r="B258" s="92"/>
      <c r="C258" s="92"/>
      <c r="D258" s="92"/>
      <c r="E258" s="92"/>
      <c r="F258" s="92"/>
      <c r="G258" s="92"/>
      <c r="H258" s="92"/>
      <c r="I258" s="92"/>
      <c r="J258" s="92"/>
      <c r="K258" s="92"/>
      <c r="L258" s="92"/>
      <c r="M258" s="92"/>
      <c r="N258" s="155"/>
      <c r="O258" s="157"/>
      <c r="P258" s="92"/>
      <c r="Q258" s="145"/>
      <c r="R258" s="92"/>
      <c r="S258" s="145"/>
      <c r="T258" s="92"/>
      <c r="U258" s="145"/>
      <c r="V258" s="92"/>
      <c r="W258" s="145"/>
      <c r="X258" s="92"/>
      <c r="Y258" s="145"/>
      <c r="Z258" s="92"/>
      <c r="AA258" s="145"/>
      <c r="AB258" s="64"/>
      <c r="AC258" s="145"/>
      <c r="AD258" s="64"/>
      <c r="AE258" s="145"/>
      <c r="AF258" s="196" t="str">
        <f t="shared" si="14"/>
        <v/>
      </c>
      <c r="AG258" s="95" t="b">
        <f t="shared" si="13"/>
        <v>0</v>
      </c>
      <c r="AH258" s="9"/>
      <c r="AI258" s="150">
        <f t="shared" si="15"/>
        <v>0</v>
      </c>
      <c r="AJ258" s="153" t="s">
        <v>6</v>
      </c>
    </row>
    <row r="259" spans="1:36" ht="30" customHeight="1">
      <c r="A259" s="92"/>
      <c r="B259" s="92"/>
      <c r="C259" s="92"/>
      <c r="D259" s="92"/>
      <c r="E259" s="92"/>
      <c r="F259" s="92"/>
      <c r="G259" s="92"/>
      <c r="H259" s="92"/>
      <c r="I259" s="92"/>
      <c r="J259" s="92"/>
      <c r="K259" s="92"/>
      <c r="L259" s="92"/>
      <c r="M259" s="92"/>
      <c r="N259" s="155"/>
      <c r="O259" s="157"/>
      <c r="P259" s="92"/>
      <c r="Q259" s="145"/>
      <c r="R259" s="92"/>
      <c r="S259" s="145"/>
      <c r="T259" s="92"/>
      <c r="U259" s="145"/>
      <c r="V259" s="92"/>
      <c r="W259" s="145"/>
      <c r="X259" s="92"/>
      <c r="Y259" s="145"/>
      <c r="Z259" s="92"/>
      <c r="AA259" s="145"/>
      <c r="AB259" s="64"/>
      <c r="AC259" s="145"/>
      <c r="AD259" s="64"/>
      <c r="AE259" s="145"/>
      <c r="AF259" s="196" t="str">
        <f t="shared" si="14"/>
        <v/>
      </c>
      <c r="AG259" s="95" t="b">
        <f t="shared" si="13"/>
        <v>0</v>
      </c>
      <c r="AH259" s="9"/>
      <c r="AI259" s="150">
        <f t="shared" si="15"/>
        <v>0</v>
      </c>
      <c r="AJ259" s="153" t="s">
        <v>6</v>
      </c>
    </row>
    <row r="260" spans="1:36" ht="30" customHeight="1">
      <c r="A260" s="92"/>
      <c r="B260" s="92"/>
      <c r="C260" s="92"/>
      <c r="D260" s="92"/>
      <c r="E260" s="92"/>
      <c r="F260" s="92"/>
      <c r="G260" s="92"/>
      <c r="H260" s="92"/>
      <c r="I260" s="92"/>
      <c r="J260" s="92"/>
      <c r="K260" s="92"/>
      <c r="L260" s="92"/>
      <c r="M260" s="92"/>
      <c r="N260" s="155"/>
      <c r="O260" s="157"/>
      <c r="P260" s="92"/>
      <c r="Q260" s="145"/>
      <c r="R260" s="92"/>
      <c r="S260" s="145"/>
      <c r="T260" s="92"/>
      <c r="U260" s="145"/>
      <c r="V260" s="92"/>
      <c r="W260" s="145"/>
      <c r="X260" s="92"/>
      <c r="Y260" s="145"/>
      <c r="Z260" s="92"/>
      <c r="AA260" s="145"/>
      <c r="AB260" s="64"/>
      <c r="AC260" s="145"/>
      <c r="AD260" s="64"/>
      <c r="AE260" s="145"/>
      <c r="AF260" s="196" t="str">
        <f t="shared" si="14"/>
        <v/>
      </c>
      <c r="AG260" s="95" t="b">
        <f t="shared" si="13"/>
        <v>0</v>
      </c>
      <c r="AH260" s="9"/>
      <c r="AI260" s="150">
        <f t="shared" si="15"/>
        <v>0</v>
      </c>
      <c r="AJ260" s="153" t="s">
        <v>6</v>
      </c>
    </row>
    <row r="261" spans="1:36" ht="30" customHeight="1">
      <c r="A261" s="92"/>
      <c r="B261" s="92"/>
      <c r="C261" s="92"/>
      <c r="D261" s="92"/>
      <c r="E261" s="92"/>
      <c r="F261" s="92"/>
      <c r="G261" s="92"/>
      <c r="H261" s="92"/>
      <c r="I261" s="92"/>
      <c r="J261" s="92"/>
      <c r="K261" s="92"/>
      <c r="L261" s="92"/>
      <c r="M261" s="92"/>
      <c r="N261" s="155"/>
      <c r="O261" s="157"/>
      <c r="P261" s="92"/>
      <c r="Q261" s="145"/>
      <c r="R261" s="92"/>
      <c r="S261" s="145"/>
      <c r="T261" s="92"/>
      <c r="U261" s="145"/>
      <c r="V261" s="92"/>
      <c r="W261" s="145"/>
      <c r="X261" s="92"/>
      <c r="Y261" s="145"/>
      <c r="Z261" s="92"/>
      <c r="AA261" s="145"/>
      <c r="AB261" s="64"/>
      <c r="AC261" s="145"/>
      <c r="AD261" s="64"/>
      <c r="AE261" s="145"/>
      <c r="AF261" s="196" t="str">
        <f t="shared" si="14"/>
        <v/>
      </c>
      <c r="AG261" s="95" t="b">
        <f t="shared" si="13"/>
        <v>0</v>
      </c>
      <c r="AH261" s="9"/>
      <c r="AI261" s="150">
        <f t="shared" si="15"/>
        <v>0</v>
      </c>
      <c r="AJ261" s="153" t="s">
        <v>6</v>
      </c>
    </row>
    <row r="262" spans="1:36" ht="30" customHeight="1">
      <c r="A262" s="92"/>
      <c r="B262" s="92"/>
      <c r="C262" s="92"/>
      <c r="D262" s="92"/>
      <c r="E262" s="92"/>
      <c r="F262" s="92"/>
      <c r="G262" s="92"/>
      <c r="H262" s="92"/>
      <c r="I262" s="92"/>
      <c r="J262" s="92"/>
      <c r="K262" s="92"/>
      <c r="L262" s="92"/>
      <c r="M262" s="92"/>
      <c r="N262" s="155"/>
      <c r="O262" s="157"/>
      <c r="P262" s="92"/>
      <c r="Q262" s="145"/>
      <c r="R262" s="92"/>
      <c r="S262" s="145"/>
      <c r="T262" s="92"/>
      <c r="U262" s="145"/>
      <c r="V262" s="92"/>
      <c r="W262" s="145"/>
      <c r="X262" s="92"/>
      <c r="Y262" s="145"/>
      <c r="Z262" s="92"/>
      <c r="AA262" s="145"/>
      <c r="AB262" s="64"/>
      <c r="AC262" s="145"/>
      <c r="AD262" s="64"/>
      <c r="AE262" s="145"/>
      <c r="AF262" s="196" t="str">
        <f t="shared" si="14"/>
        <v/>
      </c>
      <c r="AG262" s="95" t="b">
        <f t="shared" si="13"/>
        <v>0</v>
      </c>
      <c r="AH262" s="9"/>
      <c r="AI262" s="150">
        <f t="shared" si="15"/>
        <v>0</v>
      </c>
      <c r="AJ262" s="153" t="s">
        <v>6</v>
      </c>
    </row>
    <row r="263" spans="1:36" ht="30" customHeight="1">
      <c r="A263" s="92"/>
      <c r="B263" s="92"/>
      <c r="C263" s="92"/>
      <c r="D263" s="92"/>
      <c r="E263" s="92"/>
      <c r="F263" s="92"/>
      <c r="G263" s="92"/>
      <c r="H263" s="92"/>
      <c r="I263" s="92"/>
      <c r="J263" s="92"/>
      <c r="K263" s="92"/>
      <c r="L263" s="92"/>
      <c r="M263" s="92"/>
      <c r="N263" s="155"/>
      <c r="O263" s="157"/>
      <c r="P263" s="92"/>
      <c r="Q263" s="145"/>
      <c r="R263" s="92"/>
      <c r="S263" s="145"/>
      <c r="T263" s="92"/>
      <c r="U263" s="145"/>
      <c r="V263" s="92"/>
      <c r="W263" s="145"/>
      <c r="X263" s="92"/>
      <c r="Y263" s="145"/>
      <c r="Z263" s="92"/>
      <c r="AA263" s="145"/>
      <c r="AB263" s="64"/>
      <c r="AC263" s="145"/>
      <c r="AD263" s="64"/>
      <c r="AE263" s="145"/>
      <c r="AF263" s="196" t="str">
        <f t="shared" si="14"/>
        <v/>
      </c>
      <c r="AG263" s="95" t="b">
        <f t="shared" si="13"/>
        <v>0</v>
      </c>
      <c r="AH263" s="9"/>
      <c r="AI263" s="150">
        <f t="shared" si="15"/>
        <v>0</v>
      </c>
      <c r="AJ263" s="153" t="s">
        <v>6</v>
      </c>
    </row>
    <row r="264" spans="1:36" ht="30" customHeight="1">
      <c r="A264" s="92"/>
      <c r="B264" s="92"/>
      <c r="C264" s="92"/>
      <c r="D264" s="92"/>
      <c r="E264" s="92"/>
      <c r="F264" s="92"/>
      <c r="G264" s="92"/>
      <c r="H264" s="92"/>
      <c r="I264" s="92"/>
      <c r="J264" s="92"/>
      <c r="K264" s="92"/>
      <c r="L264" s="92"/>
      <c r="M264" s="92"/>
      <c r="N264" s="155"/>
      <c r="O264" s="157"/>
      <c r="P264" s="92"/>
      <c r="Q264" s="145"/>
      <c r="R264" s="92"/>
      <c r="S264" s="145"/>
      <c r="T264" s="92"/>
      <c r="U264" s="145"/>
      <c r="V264" s="92"/>
      <c r="W264" s="145"/>
      <c r="X264" s="92"/>
      <c r="Y264" s="145"/>
      <c r="Z264" s="92"/>
      <c r="AA264" s="145"/>
      <c r="AB264" s="64"/>
      <c r="AC264" s="145"/>
      <c r="AD264" s="64"/>
      <c r="AE264" s="145"/>
      <c r="AF264" s="196" t="str">
        <f t="shared" si="14"/>
        <v/>
      </c>
      <c r="AG264" s="95" t="b">
        <f t="shared" si="13"/>
        <v>0</v>
      </c>
      <c r="AH264" s="9"/>
      <c r="AI264" s="150">
        <f t="shared" si="15"/>
        <v>0</v>
      </c>
      <c r="AJ264" s="153" t="s">
        <v>6</v>
      </c>
    </row>
    <row r="265" spans="1:36" ht="30" customHeight="1">
      <c r="A265" s="92"/>
      <c r="B265" s="92"/>
      <c r="C265" s="92"/>
      <c r="D265" s="92"/>
      <c r="E265" s="92"/>
      <c r="F265" s="92"/>
      <c r="G265" s="92"/>
      <c r="H265" s="92"/>
      <c r="I265" s="92"/>
      <c r="J265" s="92"/>
      <c r="K265" s="92"/>
      <c r="L265" s="92"/>
      <c r="M265" s="92"/>
      <c r="N265" s="155"/>
      <c r="O265" s="157"/>
      <c r="P265" s="92"/>
      <c r="Q265" s="145"/>
      <c r="R265" s="92"/>
      <c r="S265" s="145"/>
      <c r="T265" s="92"/>
      <c r="U265" s="145"/>
      <c r="V265" s="92"/>
      <c r="W265" s="145"/>
      <c r="X265" s="92"/>
      <c r="Y265" s="145"/>
      <c r="Z265" s="92"/>
      <c r="AA265" s="145"/>
      <c r="AB265" s="64"/>
      <c r="AC265" s="145"/>
      <c r="AD265" s="64"/>
      <c r="AE265" s="145"/>
      <c r="AF265" s="196" t="str">
        <f t="shared" si="14"/>
        <v/>
      </c>
      <c r="AG265" s="95" t="b">
        <f t="shared" si="13"/>
        <v>0</v>
      </c>
      <c r="AH265" s="9"/>
      <c r="AI265" s="150">
        <f t="shared" si="15"/>
        <v>0</v>
      </c>
      <c r="AJ265" s="153" t="s">
        <v>6</v>
      </c>
    </row>
    <row r="266" spans="1:36" ht="30" customHeight="1">
      <c r="A266" s="92"/>
      <c r="B266" s="92"/>
      <c r="C266" s="92"/>
      <c r="D266" s="92"/>
      <c r="E266" s="92"/>
      <c r="F266" s="92"/>
      <c r="G266" s="92"/>
      <c r="H266" s="92"/>
      <c r="I266" s="92"/>
      <c r="J266" s="92"/>
      <c r="K266" s="92"/>
      <c r="L266" s="92"/>
      <c r="M266" s="92"/>
      <c r="N266" s="155"/>
      <c r="O266" s="157"/>
      <c r="P266" s="92"/>
      <c r="Q266" s="145"/>
      <c r="R266" s="92"/>
      <c r="S266" s="145"/>
      <c r="T266" s="92"/>
      <c r="U266" s="145"/>
      <c r="V266" s="92"/>
      <c r="W266" s="145"/>
      <c r="X266" s="92"/>
      <c r="Y266" s="145"/>
      <c r="Z266" s="92"/>
      <c r="AA266" s="145"/>
      <c r="AB266" s="64"/>
      <c r="AC266" s="145"/>
      <c r="AD266" s="64"/>
      <c r="AE266" s="145"/>
      <c r="AF266" s="196" t="str">
        <f t="shared" si="14"/>
        <v/>
      </c>
      <c r="AG266" s="95" t="b">
        <f t="shared" ref="AG266:AG329" si="16">IF(AND(AE266="C",AF266="C"),"UTILIZOU O PDA CORRETAMENTE",IF(AND(AE266="C",AF266="NC"),"UTILIZOU O PDA CORRETAMENTE. NÃO HÁ FOTOS DE TODAS AS ETAPAS",IF(AND(AE266="NC",AF266="NC"),"NÃO UTILIZOU O PDA",IF(AND(AE266="NA",AF266="NA"),"NÃO AVALIADO POR FALHA DE SINCRONISMO"))))</f>
        <v>0</v>
      </c>
      <c r="AH266" s="9"/>
      <c r="AI266" s="150">
        <f t="shared" si="15"/>
        <v>0</v>
      </c>
      <c r="AJ266" s="153" t="s">
        <v>6</v>
      </c>
    </row>
    <row r="267" spans="1:36" ht="30" customHeight="1">
      <c r="A267" s="92"/>
      <c r="B267" s="92"/>
      <c r="C267" s="92"/>
      <c r="D267" s="92"/>
      <c r="E267" s="92"/>
      <c r="F267" s="92"/>
      <c r="G267" s="92"/>
      <c r="H267" s="92"/>
      <c r="I267" s="92"/>
      <c r="J267" s="92"/>
      <c r="K267" s="92"/>
      <c r="L267" s="92"/>
      <c r="M267" s="92"/>
      <c r="N267" s="155"/>
      <c r="O267" s="157"/>
      <c r="P267" s="92"/>
      <c r="Q267" s="145"/>
      <c r="R267" s="92"/>
      <c r="S267" s="145"/>
      <c r="T267" s="92"/>
      <c r="U267" s="145"/>
      <c r="V267" s="92"/>
      <c r="W267" s="145"/>
      <c r="X267" s="92"/>
      <c r="Y267" s="145"/>
      <c r="Z267" s="92"/>
      <c r="AA267" s="145"/>
      <c r="AB267" s="64"/>
      <c r="AC267" s="145"/>
      <c r="AD267" s="64"/>
      <c r="AE267" s="145"/>
      <c r="AF267" s="196" t="str">
        <f t="shared" ref="AF267:AF330" si="17">IF(AND(O267="",Q267="",S267="",U267="",W267="",Y267="",AA267="",AC267=""),"",
IF(OR(    AND(O267&lt;&gt;"NA",O267&lt;&gt;"C",O267&lt;&gt;"NC",O267&lt;&gt;"SF",O267&lt;&gt;""),
    AND(Q267&lt;&gt;"NA",Q267&lt;&gt;"C",Q267&lt;&gt;"NC",Q267&lt;&gt;"SF",Q267&lt;&gt;""),
    AND(S267&lt;&gt;"NA",S267&lt;&gt;"C",S267&lt;&gt;"NC",S267&lt;&gt;"SF",S267&lt;&gt;""),
    AND(U267&lt;&gt;"NA",U267&lt;&gt;"C",U267&lt;&gt;"NC",U267&lt;&gt;"SF",U267&lt;&gt;""),
    AND(W267&lt;&gt;"NA",W267&lt;&gt;"C",W267&lt;&gt;"NC",W267&lt;&gt;"SF",W267&lt;&gt;""),
    AND(Y267&lt;&gt;"NA",Y267&lt;&gt;"C",Y267&lt;&gt;"NC",Y267&lt;&gt;"SF",Y267&lt;&gt;""),
    AND(AA267&lt;&gt;"NA",AA267&lt;&gt;"C",AA267&lt;&gt;"NC",AA267&lt;&gt;"SF",AA267&lt;&gt;""),
    AND(AC267&lt;&gt;"NA",AC267&lt;&gt;"C",AC267&lt;&gt;"NC",AC267&lt;&gt;"SF",AC267&lt;&gt;"")
),"FALSO",
IF(AND(O267="NA",Q267="NA",S267="NA",U267="NA",W267="NA",Y267="NA",AA267="NA",AC267="NA"),"NA",
IF(OR(O267="NC",Q267="NC",S267="NC",U267="NC",W267="NC",Y267="NC",AA267="NC",AC267="NC",
       O267="SF",Q267="SF",S267="SF",U267="SF",W267="SF",Y267="SF",AA267="SF",AC267="SF"),"NC",
IF(SUM(IF(O267="C",1,0),IF(Q267="C",1,0),IF(S267="C",1,0),IF(U267="C",1,0),IF(W267="C",1,0),IF(Y267="C",1,0),IF(AA267="C",1,0),IF(AC267="C",1,0))=1,"C","C")))))</f>
        <v/>
      </c>
      <c r="AG267" s="95" t="b">
        <f t="shared" si="16"/>
        <v>0</v>
      </c>
      <c r="AH267" s="9"/>
      <c r="AI267" s="150">
        <f t="shared" si="15"/>
        <v>0</v>
      </c>
      <c r="AJ267" s="153" t="s">
        <v>6</v>
      </c>
    </row>
    <row r="268" spans="1:36" ht="30" customHeight="1">
      <c r="A268" s="92"/>
      <c r="B268" s="92"/>
      <c r="C268" s="92"/>
      <c r="D268" s="92"/>
      <c r="E268" s="92"/>
      <c r="F268" s="92"/>
      <c r="G268" s="92"/>
      <c r="H268" s="92"/>
      <c r="I268" s="92"/>
      <c r="J268" s="92"/>
      <c r="K268" s="92"/>
      <c r="L268" s="92"/>
      <c r="M268" s="92"/>
      <c r="N268" s="155"/>
      <c r="O268" s="157"/>
      <c r="P268" s="92"/>
      <c r="Q268" s="145"/>
      <c r="R268" s="92"/>
      <c r="S268" s="145"/>
      <c r="T268" s="92"/>
      <c r="U268" s="145"/>
      <c r="V268" s="92"/>
      <c r="W268" s="145"/>
      <c r="X268" s="92"/>
      <c r="Y268" s="145"/>
      <c r="Z268" s="92"/>
      <c r="AA268" s="145"/>
      <c r="AB268" s="64"/>
      <c r="AC268" s="145"/>
      <c r="AD268" s="64"/>
      <c r="AE268" s="145"/>
      <c r="AF268" s="196" t="str">
        <f t="shared" si="17"/>
        <v/>
      </c>
      <c r="AG268" s="95" t="b">
        <f t="shared" si="16"/>
        <v>0</v>
      </c>
      <c r="AH268" s="9"/>
      <c r="AI268" s="150">
        <f t="shared" si="15"/>
        <v>0</v>
      </c>
      <c r="AJ268" s="153" t="s">
        <v>6</v>
      </c>
    </row>
    <row r="269" spans="1:36" ht="30" customHeight="1">
      <c r="A269" s="92"/>
      <c r="B269" s="92"/>
      <c r="C269" s="92"/>
      <c r="D269" s="92"/>
      <c r="E269" s="92"/>
      <c r="F269" s="92"/>
      <c r="G269" s="92"/>
      <c r="H269" s="92"/>
      <c r="I269" s="92"/>
      <c r="J269" s="92"/>
      <c r="K269" s="92"/>
      <c r="L269" s="92"/>
      <c r="M269" s="92"/>
      <c r="N269" s="155"/>
      <c r="O269" s="157"/>
      <c r="P269" s="92"/>
      <c r="Q269" s="145"/>
      <c r="R269" s="92"/>
      <c r="S269" s="145"/>
      <c r="T269" s="92"/>
      <c r="U269" s="145"/>
      <c r="V269" s="92"/>
      <c r="W269" s="145"/>
      <c r="X269" s="92"/>
      <c r="Y269" s="145"/>
      <c r="Z269" s="92"/>
      <c r="AA269" s="145"/>
      <c r="AB269" s="64"/>
      <c r="AC269" s="145"/>
      <c r="AD269" s="64"/>
      <c r="AE269" s="145"/>
      <c r="AF269" s="196" t="str">
        <f t="shared" si="17"/>
        <v/>
      </c>
      <c r="AG269" s="95" t="b">
        <f t="shared" si="16"/>
        <v>0</v>
      </c>
      <c r="AH269" s="9"/>
      <c r="AI269" s="150">
        <f t="shared" si="15"/>
        <v>0</v>
      </c>
      <c r="AJ269" s="153" t="s">
        <v>6</v>
      </c>
    </row>
    <row r="270" spans="1:36" ht="30" customHeight="1">
      <c r="A270" s="92"/>
      <c r="B270" s="92"/>
      <c r="C270" s="92"/>
      <c r="D270" s="92"/>
      <c r="E270" s="92"/>
      <c r="F270" s="92"/>
      <c r="G270" s="92"/>
      <c r="H270" s="92"/>
      <c r="I270" s="92"/>
      <c r="J270" s="92"/>
      <c r="K270" s="92"/>
      <c r="L270" s="92"/>
      <c r="M270" s="92"/>
      <c r="N270" s="155"/>
      <c r="O270" s="157"/>
      <c r="P270" s="92"/>
      <c r="Q270" s="145"/>
      <c r="R270" s="92"/>
      <c r="S270" s="145"/>
      <c r="T270" s="92"/>
      <c r="U270" s="145"/>
      <c r="V270" s="92"/>
      <c r="W270" s="145"/>
      <c r="X270" s="92"/>
      <c r="Y270" s="145"/>
      <c r="Z270" s="92"/>
      <c r="AA270" s="145"/>
      <c r="AB270" s="64"/>
      <c r="AC270" s="145"/>
      <c r="AD270" s="64"/>
      <c r="AE270" s="145"/>
      <c r="AF270" s="196" t="str">
        <f t="shared" si="17"/>
        <v/>
      </c>
      <c r="AG270" s="95" t="b">
        <f t="shared" si="16"/>
        <v>0</v>
      </c>
      <c r="AH270" s="9"/>
      <c r="AI270" s="150">
        <f t="shared" si="15"/>
        <v>0</v>
      </c>
      <c r="AJ270" s="153" t="s">
        <v>6</v>
      </c>
    </row>
    <row r="271" spans="1:36" ht="30" customHeight="1">
      <c r="A271" s="92"/>
      <c r="B271" s="92"/>
      <c r="C271" s="92"/>
      <c r="D271" s="92"/>
      <c r="E271" s="92"/>
      <c r="F271" s="92"/>
      <c r="G271" s="92"/>
      <c r="H271" s="92"/>
      <c r="I271" s="92"/>
      <c r="J271" s="92"/>
      <c r="K271" s="92"/>
      <c r="L271" s="92"/>
      <c r="M271" s="92"/>
      <c r="N271" s="155"/>
      <c r="O271" s="157"/>
      <c r="P271" s="92"/>
      <c r="Q271" s="145"/>
      <c r="R271" s="92"/>
      <c r="S271" s="145"/>
      <c r="T271" s="92"/>
      <c r="U271" s="145"/>
      <c r="V271" s="92"/>
      <c r="W271" s="145"/>
      <c r="X271" s="92"/>
      <c r="Y271" s="145"/>
      <c r="Z271" s="92"/>
      <c r="AA271" s="145"/>
      <c r="AB271" s="64"/>
      <c r="AC271" s="145"/>
      <c r="AD271" s="64"/>
      <c r="AE271" s="145"/>
      <c r="AF271" s="196" t="str">
        <f t="shared" si="17"/>
        <v/>
      </c>
      <c r="AG271" s="95" t="b">
        <f t="shared" si="16"/>
        <v>0</v>
      </c>
      <c r="AH271" s="9"/>
      <c r="AI271" s="150">
        <f t="shared" si="15"/>
        <v>0</v>
      </c>
      <c r="AJ271" s="153" t="s">
        <v>6</v>
      </c>
    </row>
    <row r="272" spans="1:36" ht="30" customHeight="1">
      <c r="A272" s="92"/>
      <c r="B272" s="92"/>
      <c r="C272" s="92"/>
      <c r="D272" s="92"/>
      <c r="E272" s="92"/>
      <c r="F272" s="92"/>
      <c r="G272" s="92"/>
      <c r="H272" s="92"/>
      <c r="I272" s="92"/>
      <c r="J272" s="92"/>
      <c r="K272" s="92"/>
      <c r="L272" s="92"/>
      <c r="M272" s="92"/>
      <c r="N272" s="155"/>
      <c r="O272" s="157"/>
      <c r="P272" s="92"/>
      <c r="Q272" s="145"/>
      <c r="R272" s="92"/>
      <c r="S272" s="145"/>
      <c r="T272" s="92"/>
      <c r="U272" s="145"/>
      <c r="V272" s="92"/>
      <c r="W272" s="145"/>
      <c r="X272" s="92"/>
      <c r="Y272" s="145"/>
      <c r="Z272" s="92"/>
      <c r="AA272" s="145"/>
      <c r="AB272" s="64"/>
      <c r="AC272" s="145"/>
      <c r="AD272" s="64"/>
      <c r="AE272" s="145"/>
      <c r="AF272" s="196" t="str">
        <f t="shared" si="17"/>
        <v/>
      </c>
      <c r="AG272" s="95" t="b">
        <f t="shared" si="16"/>
        <v>0</v>
      </c>
      <c r="AH272" s="9"/>
      <c r="AI272" s="150">
        <f t="shared" si="15"/>
        <v>0</v>
      </c>
      <c r="AJ272" s="153" t="s">
        <v>6</v>
      </c>
    </row>
    <row r="273" spans="1:36" ht="30" customHeight="1">
      <c r="A273" s="92"/>
      <c r="B273" s="92"/>
      <c r="C273" s="92"/>
      <c r="D273" s="92"/>
      <c r="E273" s="92"/>
      <c r="F273" s="92"/>
      <c r="G273" s="92"/>
      <c r="H273" s="92"/>
      <c r="I273" s="92"/>
      <c r="J273" s="92"/>
      <c r="K273" s="92"/>
      <c r="L273" s="92"/>
      <c r="M273" s="92"/>
      <c r="N273" s="155"/>
      <c r="O273" s="157"/>
      <c r="P273" s="92"/>
      <c r="Q273" s="145"/>
      <c r="R273" s="92"/>
      <c r="S273" s="145"/>
      <c r="T273" s="92"/>
      <c r="U273" s="145"/>
      <c r="V273" s="92"/>
      <c r="W273" s="145"/>
      <c r="X273" s="92"/>
      <c r="Y273" s="145"/>
      <c r="Z273" s="92"/>
      <c r="AA273" s="145"/>
      <c r="AB273" s="64"/>
      <c r="AC273" s="145"/>
      <c r="AD273" s="64"/>
      <c r="AE273" s="145"/>
      <c r="AF273" s="196" t="str">
        <f t="shared" si="17"/>
        <v/>
      </c>
      <c r="AG273" s="95" t="b">
        <f t="shared" si="16"/>
        <v>0</v>
      </c>
      <c r="AH273" s="9"/>
      <c r="AI273" s="150">
        <f t="shared" si="15"/>
        <v>0</v>
      </c>
      <c r="AJ273" s="153" t="s">
        <v>6</v>
      </c>
    </row>
    <row r="274" spans="1:36" ht="30" customHeight="1">
      <c r="A274" s="92"/>
      <c r="B274" s="92"/>
      <c r="C274" s="92"/>
      <c r="D274" s="92"/>
      <c r="E274" s="92"/>
      <c r="F274" s="92"/>
      <c r="G274" s="92"/>
      <c r="H274" s="92"/>
      <c r="I274" s="92"/>
      <c r="J274" s="92"/>
      <c r="K274" s="92"/>
      <c r="L274" s="92"/>
      <c r="M274" s="92"/>
      <c r="N274" s="155"/>
      <c r="O274" s="157"/>
      <c r="P274" s="92"/>
      <c r="Q274" s="145"/>
      <c r="R274" s="92"/>
      <c r="S274" s="145"/>
      <c r="T274" s="92"/>
      <c r="U274" s="145"/>
      <c r="V274" s="92"/>
      <c r="W274" s="145"/>
      <c r="X274" s="92"/>
      <c r="Y274" s="145"/>
      <c r="Z274" s="92"/>
      <c r="AA274" s="145"/>
      <c r="AB274" s="64"/>
      <c r="AC274" s="145"/>
      <c r="AD274" s="64"/>
      <c r="AE274" s="145"/>
      <c r="AF274" s="196" t="str">
        <f t="shared" si="17"/>
        <v/>
      </c>
      <c r="AG274" s="95" t="b">
        <f t="shared" si="16"/>
        <v>0</v>
      </c>
      <c r="AH274" s="9"/>
      <c r="AI274" s="150">
        <f t="shared" si="15"/>
        <v>0</v>
      </c>
      <c r="AJ274" s="153" t="s">
        <v>6</v>
      </c>
    </row>
    <row r="275" spans="1:36" ht="30" customHeight="1">
      <c r="A275" s="92"/>
      <c r="B275" s="92"/>
      <c r="C275" s="92"/>
      <c r="D275" s="92"/>
      <c r="E275" s="92"/>
      <c r="F275" s="92"/>
      <c r="G275" s="92"/>
      <c r="H275" s="92"/>
      <c r="I275" s="92"/>
      <c r="J275" s="92"/>
      <c r="K275" s="92"/>
      <c r="L275" s="92"/>
      <c r="M275" s="92"/>
      <c r="N275" s="155"/>
      <c r="O275" s="157"/>
      <c r="P275" s="92"/>
      <c r="Q275" s="145"/>
      <c r="R275" s="92"/>
      <c r="S275" s="145"/>
      <c r="T275" s="92"/>
      <c r="U275" s="145"/>
      <c r="V275" s="92"/>
      <c r="W275" s="145"/>
      <c r="X275" s="92"/>
      <c r="Y275" s="145"/>
      <c r="Z275" s="92"/>
      <c r="AA275" s="145"/>
      <c r="AB275" s="64"/>
      <c r="AC275" s="145"/>
      <c r="AD275" s="64"/>
      <c r="AE275" s="145"/>
      <c r="AF275" s="196" t="str">
        <f t="shared" si="17"/>
        <v/>
      </c>
      <c r="AG275" s="95" t="b">
        <f t="shared" si="16"/>
        <v>0</v>
      </c>
      <c r="AH275" s="9"/>
      <c r="AI275" s="150">
        <f t="shared" si="15"/>
        <v>0</v>
      </c>
      <c r="AJ275" s="153" t="s">
        <v>6</v>
      </c>
    </row>
    <row r="276" spans="1:36" ht="30" customHeight="1">
      <c r="A276" s="92"/>
      <c r="B276" s="92"/>
      <c r="C276" s="92"/>
      <c r="D276" s="92"/>
      <c r="E276" s="92"/>
      <c r="F276" s="92"/>
      <c r="G276" s="92"/>
      <c r="H276" s="92"/>
      <c r="I276" s="92"/>
      <c r="J276" s="92"/>
      <c r="K276" s="92"/>
      <c r="L276" s="92"/>
      <c r="M276" s="92"/>
      <c r="N276" s="155"/>
      <c r="O276" s="157"/>
      <c r="P276" s="92"/>
      <c r="Q276" s="145"/>
      <c r="R276" s="92"/>
      <c r="S276" s="145"/>
      <c r="T276" s="92"/>
      <c r="U276" s="145"/>
      <c r="V276" s="92"/>
      <c r="W276" s="145"/>
      <c r="X276" s="92"/>
      <c r="Y276" s="145"/>
      <c r="Z276" s="92"/>
      <c r="AA276" s="145"/>
      <c r="AB276" s="64"/>
      <c r="AC276" s="145"/>
      <c r="AD276" s="64"/>
      <c r="AE276" s="145"/>
      <c r="AF276" s="196" t="str">
        <f t="shared" si="17"/>
        <v/>
      </c>
      <c r="AG276" s="95" t="b">
        <f t="shared" si="16"/>
        <v>0</v>
      </c>
      <c r="AH276" s="9"/>
      <c r="AI276" s="150">
        <f t="shared" si="15"/>
        <v>0</v>
      </c>
      <c r="AJ276" s="153" t="s">
        <v>6</v>
      </c>
    </row>
    <row r="277" spans="1:36" ht="30" customHeight="1">
      <c r="A277" s="92"/>
      <c r="B277" s="92"/>
      <c r="C277" s="92"/>
      <c r="D277" s="92"/>
      <c r="E277" s="92"/>
      <c r="F277" s="92"/>
      <c r="G277" s="92"/>
      <c r="H277" s="92"/>
      <c r="I277" s="92"/>
      <c r="J277" s="92"/>
      <c r="K277" s="92"/>
      <c r="L277" s="92"/>
      <c r="M277" s="92"/>
      <c r="N277" s="155"/>
      <c r="O277" s="157"/>
      <c r="P277" s="92"/>
      <c r="Q277" s="145"/>
      <c r="R277" s="92"/>
      <c r="S277" s="145"/>
      <c r="T277" s="92"/>
      <c r="U277" s="145"/>
      <c r="V277" s="92"/>
      <c r="W277" s="145"/>
      <c r="X277" s="92"/>
      <c r="Y277" s="145"/>
      <c r="Z277" s="92"/>
      <c r="AA277" s="145"/>
      <c r="AB277" s="64"/>
      <c r="AC277" s="145"/>
      <c r="AD277" s="64"/>
      <c r="AE277" s="145"/>
      <c r="AF277" s="196" t="str">
        <f t="shared" si="17"/>
        <v/>
      </c>
      <c r="AG277" s="95" t="b">
        <f t="shared" si="16"/>
        <v>0</v>
      </c>
      <c r="AH277" s="9"/>
      <c r="AI277" s="150">
        <f t="shared" si="15"/>
        <v>0</v>
      </c>
      <c r="AJ277" s="153" t="s">
        <v>6</v>
      </c>
    </row>
    <row r="278" spans="1:36" ht="30" customHeight="1">
      <c r="A278" s="92"/>
      <c r="B278" s="92"/>
      <c r="C278" s="92"/>
      <c r="D278" s="92"/>
      <c r="E278" s="92"/>
      <c r="F278" s="92"/>
      <c r="G278" s="92"/>
      <c r="H278" s="92"/>
      <c r="I278" s="92"/>
      <c r="J278" s="92"/>
      <c r="K278" s="92"/>
      <c r="L278" s="92"/>
      <c r="M278" s="92"/>
      <c r="N278" s="155"/>
      <c r="O278" s="157"/>
      <c r="P278" s="92"/>
      <c r="Q278" s="145"/>
      <c r="R278" s="92"/>
      <c r="S278" s="145"/>
      <c r="T278" s="92"/>
      <c r="U278" s="145"/>
      <c r="V278" s="92"/>
      <c r="W278" s="145"/>
      <c r="X278" s="92"/>
      <c r="Y278" s="145"/>
      <c r="Z278" s="92"/>
      <c r="AA278" s="145"/>
      <c r="AB278" s="64"/>
      <c r="AC278" s="145"/>
      <c r="AD278" s="64"/>
      <c r="AE278" s="145"/>
      <c r="AF278" s="196" t="str">
        <f t="shared" si="17"/>
        <v/>
      </c>
      <c r="AG278" s="95" t="b">
        <f t="shared" si="16"/>
        <v>0</v>
      </c>
      <c r="AH278" s="9"/>
      <c r="AI278" s="150">
        <f t="shared" si="15"/>
        <v>0</v>
      </c>
      <c r="AJ278" s="153" t="s">
        <v>6</v>
      </c>
    </row>
    <row r="279" spans="1:36" ht="30" customHeight="1">
      <c r="A279" s="92"/>
      <c r="B279" s="92"/>
      <c r="C279" s="92"/>
      <c r="D279" s="92"/>
      <c r="E279" s="92"/>
      <c r="F279" s="92"/>
      <c r="G279" s="92"/>
      <c r="H279" s="92"/>
      <c r="I279" s="92"/>
      <c r="J279" s="92"/>
      <c r="K279" s="92"/>
      <c r="L279" s="92"/>
      <c r="M279" s="92"/>
      <c r="N279" s="155"/>
      <c r="O279" s="157"/>
      <c r="P279" s="92"/>
      <c r="Q279" s="145"/>
      <c r="R279" s="92"/>
      <c r="S279" s="145"/>
      <c r="T279" s="92"/>
      <c r="U279" s="145"/>
      <c r="V279" s="92"/>
      <c r="W279" s="145"/>
      <c r="X279" s="92"/>
      <c r="Y279" s="145"/>
      <c r="Z279" s="92"/>
      <c r="AA279" s="145"/>
      <c r="AB279" s="64"/>
      <c r="AC279" s="145"/>
      <c r="AD279" s="64"/>
      <c r="AE279" s="145"/>
      <c r="AF279" s="196" t="str">
        <f t="shared" si="17"/>
        <v/>
      </c>
      <c r="AG279" s="95" t="b">
        <f t="shared" si="16"/>
        <v>0</v>
      </c>
      <c r="AH279" s="9"/>
      <c r="AI279" s="150">
        <f t="shared" si="15"/>
        <v>0</v>
      </c>
      <c r="AJ279" s="153" t="s">
        <v>6</v>
      </c>
    </row>
    <row r="280" spans="1:36" ht="30" customHeight="1">
      <c r="A280" s="92"/>
      <c r="B280" s="92"/>
      <c r="C280" s="92"/>
      <c r="D280" s="92"/>
      <c r="E280" s="92"/>
      <c r="F280" s="92"/>
      <c r="G280" s="92"/>
      <c r="H280" s="92"/>
      <c r="I280" s="92"/>
      <c r="J280" s="92"/>
      <c r="K280" s="92"/>
      <c r="L280" s="92"/>
      <c r="M280" s="92"/>
      <c r="N280" s="155"/>
      <c r="O280" s="157"/>
      <c r="P280" s="92"/>
      <c r="Q280" s="145"/>
      <c r="R280" s="92"/>
      <c r="S280" s="145"/>
      <c r="T280" s="92"/>
      <c r="U280" s="145"/>
      <c r="V280" s="92"/>
      <c r="W280" s="145"/>
      <c r="X280" s="92"/>
      <c r="Y280" s="145"/>
      <c r="Z280" s="92"/>
      <c r="AA280" s="145"/>
      <c r="AB280" s="64"/>
      <c r="AC280" s="145"/>
      <c r="AD280" s="64"/>
      <c r="AE280" s="145"/>
      <c r="AF280" s="196" t="str">
        <f t="shared" si="17"/>
        <v/>
      </c>
      <c r="AG280" s="95" t="b">
        <f t="shared" si="16"/>
        <v>0</v>
      </c>
      <c r="AH280" s="9"/>
      <c r="AI280" s="150">
        <f t="shared" si="15"/>
        <v>0</v>
      </c>
      <c r="AJ280" s="153" t="s">
        <v>6</v>
      </c>
    </row>
    <row r="281" spans="1:36" ht="30" customHeight="1">
      <c r="A281" s="92"/>
      <c r="B281" s="92"/>
      <c r="C281" s="92"/>
      <c r="D281" s="92"/>
      <c r="E281" s="92"/>
      <c r="F281" s="92"/>
      <c r="G281" s="92"/>
      <c r="H281" s="92"/>
      <c r="I281" s="92"/>
      <c r="J281" s="92"/>
      <c r="K281" s="92"/>
      <c r="L281" s="92"/>
      <c r="M281" s="92"/>
      <c r="N281" s="155"/>
      <c r="O281" s="157"/>
      <c r="P281" s="92"/>
      <c r="Q281" s="145"/>
      <c r="R281" s="92"/>
      <c r="S281" s="145"/>
      <c r="T281" s="92"/>
      <c r="U281" s="145"/>
      <c r="V281" s="92"/>
      <c r="W281" s="145"/>
      <c r="X281" s="92"/>
      <c r="Y281" s="145"/>
      <c r="Z281" s="92"/>
      <c r="AA281" s="145"/>
      <c r="AB281" s="64"/>
      <c r="AC281" s="145"/>
      <c r="AD281" s="64"/>
      <c r="AE281" s="145"/>
      <c r="AF281" s="196" t="str">
        <f t="shared" si="17"/>
        <v/>
      </c>
      <c r="AG281" s="95" t="b">
        <f t="shared" si="16"/>
        <v>0</v>
      </c>
      <c r="AH281" s="9"/>
      <c r="AI281" s="150">
        <f t="shared" si="15"/>
        <v>0</v>
      </c>
      <c r="AJ281" s="153" t="s">
        <v>6</v>
      </c>
    </row>
    <row r="282" spans="1:36" ht="30" customHeight="1">
      <c r="A282" s="92"/>
      <c r="B282" s="92"/>
      <c r="C282" s="92"/>
      <c r="D282" s="92"/>
      <c r="E282" s="92"/>
      <c r="F282" s="92"/>
      <c r="G282" s="92"/>
      <c r="H282" s="92"/>
      <c r="I282" s="92"/>
      <c r="J282" s="92"/>
      <c r="K282" s="92"/>
      <c r="L282" s="92"/>
      <c r="M282" s="92"/>
      <c r="N282" s="155"/>
      <c r="O282" s="157"/>
      <c r="P282" s="92"/>
      <c r="Q282" s="145"/>
      <c r="R282" s="92"/>
      <c r="S282" s="145"/>
      <c r="T282" s="92"/>
      <c r="U282" s="145"/>
      <c r="V282" s="92"/>
      <c r="W282" s="145"/>
      <c r="X282" s="92"/>
      <c r="Y282" s="145"/>
      <c r="Z282" s="92"/>
      <c r="AA282" s="145"/>
      <c r="AB282" s="64"/>
      <c r="AC282" s="145"/>
      <c r="AD282" s="64"/>
      <c r="AE282" s="145"/>
      <c r="AF282" s="196" t="str">
        <f t="shared" si="17"/>
        <v/>
      </c>
      <c r="AG282" s="95" t="b">
        <f t="shared" si="16"/>
        <v>0</v>
      </c>
      <c r="AH282" s="9"/>
      <c r="AI282" s="150">
        <f t="shared" si="15"/>
        <v>0</v>
      </c>
      <c r="AJ282" s="153" t="s">
        <v>6</v>
      </c>
    </row>
    <row r="283" spans="1:36" ht="30" customHeight="1">
      <c r="A283" s="92"/>
      <c r="B283" s="92"/>
      <c r="C283" s="92"/>
      <c r="D283" s="92"/>
      <c r="E283" s="92"/>
      <c r="F283" s="92"/>
      <c r="G283" s="92"/>
      <c r="H283" s="92"/>
      <c r="I283" s="92"/>
      <c r="J283" s="92"/>
      <c r="K283" s="92"/>
      <c r="L283" s="92"/>
      <c r="M283" s="92"/>
      <c r="N283" s="155"/>
      <c r="O283" s="157"/>
      <c r="P283" s="92"/>
      <c r="Q283" s="145"/>
      <c r="R283" s="92"/>
      <c r="S283" s="145"/>
      <c r="T283" s="92"/>
      <c r="U283" s="145"/>
      <c r="V283" s="92"/>
      <c r="W283" s="145"/>
      <c r="X283" s="92"/>
      <c r="Y283" s="145"/>
      <c r="Z283" s="92"/>
      <c r="AA283" s="145"/>
      <c r="AB283" s="64"/>
      <c r="AC283" s="145"/>
      <c r="AD283" s="64"/>
      <c r="AE283" s="145"/>
      <c r="AF283" s="196" t="str">
        <f t="shared" si="17"/>
        <v/>
      </c>
      <c r="AG283" s="95" t="b">
        <f t="shared" si="16"/>
        <v>0</v>
      </c>
      <c r="AH283" s="9"/>
      <c r="AI283" s="150">
        <f t="shared" si="15"/>
        <v>0</v>
      </c>
      <c r="AJ283" s="153" t="s">
        <v>6</v>
      </c>
    </row>
    <row r="284" spans="1:36" ht="30" customHeight="1">
      <c r="A284" s="92"/>
      <c r="B284" s="92"/>
      <c r="C284" s="92"/>
      <c r="D284" s="92"/>
      <c r="E284" s="92"/>
      <c r="F284" s="92"/>
      <c r="G284" s="92"/>
      <c r="H284" s="92"/>
      <c r="I284" s="92"/>
      <c r="J284" s="92"/>
      <c r="K284" s="92"/>
      <c r="L284" s="92"/>
      <c r="M284" s="92"/>
      <c r="N284" s="155"/>
      <c r="O284" s="157"/>
      <c r="P284" s="92"/>
      <c r="Q284" s="145"/>
      <c r="R284" s="92"/>
      <c r="S284" s="145"/>
      <c r="T284" s="92"/>
      <c r="U284" s="145"/>
      <c r="V284" s="92"/>
      <c r="W284" s="145"/>
      <c r="X284" s="92"/>
      <c r="Y284" s="145"/>
      <c r="Z284" s="92"/>
      <c r="AA284" s="145"/>
      <c r="AB284" s="64"/>
      <c r="AC284" s="145"/>
      <c r="AD284" s="64"/>
      <c r="AE284" s="145"/>
      <c r="AF284" s="196" t="str">
        <f t="shared" si="17"/>
        <v/>
      </c>
      <c r="AG284" s="95" t="b">
        <f t="shared" si="16"/>
        <v>0</v>
      </c>
      <c r="AH284" s="9"/>
      <c r="AI284" s="150">
        <f t="shared" si="15"/>
        <v>0</v>
      </c>
      <c r="AJ284" s="153" t="s">
        <v>6</v>
      </c>
    </row>
    <row r="285" spans="1:36" ht="30" customHeight="1">
      <c r="A285" s="92"/>
      <c r="B285" s="92"/>
      <c r="C285" s="92"/>
      <c r="D285" s="92"/>
      <c r="E285" s="92"/>
      <c r="F285" s="92"/>
      <c r="G285" s="92"/>
      <c r="H285" s="92"/>
      <c r="I285" s="92"/>
      <c r="J285" s="92"/>
      <c r="K285" s="92"/>
      <c r="L285" s="92"/>
      <c r="M285" s="92"/>
      <c r="N285" s="155"/>
      <c r="O285" s="157"/>
      <c r="P285" s="92"/>
      <c r="Q285" s="145"/>
      <c r="R285" s="92"/>
      <c r="S285" s="145"/>
      <c r="T285" s="92"/>
      <c r="U285" s="145"/>
      <c r="V285" s="92"/>
      <c r="W285" s="145"/>
      <c r="X285" s="92"/>
      <c r="Y285" s="145"/>
      <c r="Z285" s="92"/>
      <c r="AA285" s="145"/>
      <c r="AB285" s="64"/>
      <c r="AC285" s="145"/>
      <c r="AD285" s="64"/>
      <c r="AE285" s="145"/>
      <c r="AF285" s="196" t="str">
        <f t="shared" si="17"/>
        <v/>
      </c>
      <c r="AG285" s="95" t="b">
        <f t="shared" si="16"/>
        <v>0</v>
      </c>
      <c r="AH285" s="9"/>
      <c r="AI285" s="150">
        <f t="shared" si="15"/>
        <v>0</v>
      </c>
      <c r="AJ285" s="153" t="s">
        <v>6</v>
      </c>
    </row>
    <row r="286" spans="1:36" ht="30" customHeight="1">
      <c r="A286" s="92"/>
      <c r="B286" s="92"/>
      <c r="C286" s="92"/>
      <c r="D286" s="92"/>
      <c r="E286" s="92"/>
      <c r="F286" s="92"/>
      <c r="G286" s="92"/>
      <c r="H286" s="92"/>
      <c r="I286" s="92"/>
      <c r="J286" s="92"/>
      <c r="K286" s="92"/>
      <c r="L286" s="92"/>
      <c r="M286" s="92"/>
      <c r="N286" s="155"/>
      <c r="O286" s="157"/>
      <c r="P286" s="92"/>
      <c r="Q286" s="145"/>
      <c r="R286" s="92"/>
      <c r="S286" s="145"/>
      <c r="T286" s="92"/>
      <c r="U286" s="145"/>
      <c r="V286" s="92"/>
      <c r="W286" s="145"/>
      <c r="X286" s="92"/>
      <c r="Y286" s="145"/>
      <c r="Z286" s="92"/>
      <c r="AA286" s="145"/>
      <c r="AB286" s="64"/>
      <c r="AC286" s="145"/>
      <c r="AD286" s="64"/>
      <c r="AE286" s="145"/>
      <c r="AF286" s="196" t="str">
        <f t="shared" si="17"/>
        <v/>
      </c>
      <c r="AG286" s="95" t="b">
        <f t="shared" si="16"/>
        <v>0</v>
      </c>
      <c r="AH286" s="9"/>
      <c r="AI286" s="150">
        <f t="shared" si="15"/>
        <v>0</v>
      </c>
      <c r="AJ286" s="153" t="s">
        <v>6</v>
      </c>
    </row>
    <row r="287" spans="1:36" ht="30" customHeight="1">
      <c r="A287" s="92"/>
      <c r="B287" s="92"/>
      <c r="C287" s="92"/>
      <c r="D287" s="92"/>
      <c r="E287" s="92"/>
      <c r="F287" s="92"/>
      <c r="G287" s="92"/>
      <c r="H287" s="92"/>
      <c r="I287" s="92"/>
      <c r="J287" s="92"/>
      <c r="K287" s="92"/>
      <c r="L287" s="92"/>
      <c r="M287" s="92"/>
      <c r="N287" s="155"/>
      <c r="O287" s="157"/>
      <c r="P287" s="92"/>
      <c r="Q287" s="145"/>
      <c r="R287" s="92"/>
      <c r="S287" s="145"/>
      <c r="T287" s="92"/>
      <c r="U287" s="145"/>
      <c r="V287" s="92"/>
      <c r="W287" s="145"/>
      <c r="X287" s="92"/>
      <c r="Y287" s="145"/>
      <c r="Z287" s="92"/>
      <c r="AA287" s="145"/>
      <c r="AB287" s="64"/>
      <c r="AC287" s="145"/>
      <c r="AD287" s="64"/>
      <c r="AE287" s="145"/>
      <c r="AF287" s="196" t="str">
        <f t="shared" si="17"/>
        <v/>
      </c>
      <c r="AG287" s="95" t="b">
        <f t="shared" si="16"/>
        <v>0</v>
      </c>
      <c r="AH287" s="9"/>
      <c r="AI287" s="150">
        <f t="shared" si="15"/>
        <v>0</v>
      </c>
      <c r="AJ287" s="153" t="s">
        <v>6</v>
      </c>
    </row>
    <row r="288" spans="1:36" ht="30" customHeight="1">
      <c r="A288" s="92"/>
      <c r="B288" s="92"/>
      <c r="C288" s="92"/>
      <c r="D288" s="92"/>
      <c r="E288" s="92"/>
      <c r="F288" s="92"/>
      <c r="G288" s="92"/>
      <c r="H288" s="92"/>
      <c r="I288" s="92"/>
      <c r="J288" s="92"/>
      <c r="K288" s="92"/>
      <c r="L288" s="92"/>
      <c r="M288" s="92"/>
      <c r="N288" s="155"/>
      <c r="O288" s="157"/>
      <c r="P288" s="92"/>
      <c r="Q288" s="145"/>
      <c r="R288" s="92"/>
      <c r="S288" s="145"/>
      <c r="T288" s="92"/>
      <c r="U288" s="145"/>
      <c r="V288" s="92"/>
      <c r="W288" s="145"/>
      <c r="X288" s="92"/>
      <c r="Y288" s="145"/>
      <c r="Z288" s="92"/>
      <c r="AA288" s="145"/>
      <c r="AB288" s="64"/>
      <c r="AC288" s="145"/>
      <c r="AD288" s="64"/>
      <c r="AE288" s="145"/>
      <c r="AF288" s="196" t="str">
        <f t="shared" si="17"/>
        <v/>
      </c>
      <c r="AG288" s="95" t="b">
        <f t="shared" si="16"/>
        <v>0</v>
      </c>
      <c r="AH288" s="9"/>
      <c r="AI288" s="150">
        <f t="shared" si="15"/>
        <v>0</v>
      </c>
      <c r="AJ288" s="153" t="s">
        <v>6</v>
      </c>
    </row>
    <row r="289" spans="1:36" ht="30" customHeight="1">
      <c r="A289" s="92"/>
      <c r="B289" s="92"/>
      <c r="C289" s="92"/>
      <c r="D289" s="92"/>
      <c r="E289" s="92"/>
      <c r="F289" s="92"/>
      <c r="G289" s="92"/>
      <c r="H289" s="92"/>
      <c r="I289" s="92"/>
      <c r="J289" s="92"/>
      <c r="K289" s="92"/>
      <c r="L289" s="92"/>
      <c r="M289" s="92"/>
      <c r="N289" s="155"/>
      <c r="O289" s="157"/>
      <c r="P289" s="92"/>
      <c r="Q289" s="145"/>
      <c r="R289" s="92"/>
      <c r="S289" s="145"/>
      <c r="T289" s="92"/>
      <c r="U289" s="145"/>
      <c r="V289" s="92"/>
      <c r="W289" s="145"/>
      <c r="X289" s="92"/>
      <c r="Y289" s="145"/>
      <c r="Z289" s="92"/>
      <c r="AA289" s="145"/>
      <c r="AB289" s="64"/>
      <c r="AC289" s="145"/>
      <c r="AD289" s="64"/>
      <c r="AE289" s="145"/>
      <c r="AF289" s="196" t="str">
        <f t="shared" si="17"/>
        <v/>
      </c>
      <c r="AG289" s="95" t="b">
        <f t="shared" si="16"/>
        <v>0</v>
      </c>
      <c r="AH289" s="9"/>
      <c r="AI289" s="150">
        <f t="shared" si="15"/>
        <v>0</v>
      </c>
      <c r="AJ289" s="153" t="s">
        <v>6</v>
      </c>
    </row>
    <row r="290" spans="1:36" ht="30" customHeight="1">
      <c r="A290" s="92"/>
      <c r="B290" s="92"/>
      <c r="C290" s="92"/>
      <c r="D290" s="92"/>
      <c r="E290" s="92"/>
      <c r="F290" s="92"/>
      <c r="G290" s="92"/>
      <c r="H290" s="92"/>
      <c r="I290" s="92"/>
      <c r="J290" s="92"/>
      <c r="K290" s="92"/>
      <c r="L290" s="92"/>
      <c r="M290" s="92"/>
      <c r="N290" s="155"/>
      <c r="O290" s="157"/>
      <c r="P290" s="92"/>
      <c r="Q290" s="145"/>
      <c r="R290" s="92"/>
      <c r="S290" s="145"/>
      <c r="T290" s="92"/>
      <c r="U290" s="145"/>
      <c r="V290" s="92"/>
      <c r="W290" s="145"/>
      <c r="X290" s="92"/>
      <c r="Y290" s="145"/>
      <c r="Z290" s="92"/>
      <c r="AA290" s="145"/>
      <c r="AB290" s="64"/>
      <c r="AC290" s="145"/>
      <c r="AD290" s="64"/>
      <c r="AE290" s="145"/>
      <c r="AF290" s="196" t="str">
        <f t="shared" si="17"/>
        <v/>
      </c>
      <c r="AG290" s="95" t="b">
        <f t="shared" si="16"/>
        <v>0</v>
      </c>
      <c r="AH290" s="9"/>
      <c r="AI290" s="150">
        <f t="shared" si="15"/>
        <v>0</v>
      </c>
      <c r="AJ290" s="153" t="s">
        <v>6</v>
      </c>
    </row>
    <row r="291" spans="1:36" ht="30" customHeight="1">
      <c r="A291" s="92"/>
      <c r="B291" s="92"/>
      <c r="C291" s="92"/>
      <c r="D291" s="92"/>
      <c r="E291" s="92"/>
      <c r="F291" s="92"/>
      <c r="G291" s="92"/>
      <c r="H291" s="92"/>
      <c r="I291" s="92"/>
      <c r="J291" s="92"/>
      <c r="K291" s="92"/>
      <c r="L291" s="92"/>
      <c r="M291" s="92"/>
      <c r="N291" s="155"/>
      <c r="O291" s="157"/>
      <c r="P291" s="92"/>
      <c r="Q291" s="145"/>
      <c r="R291" s="92"/>
      <c r="S291" s="145"/>
      <c r="T291" s="92"/>
      <c r="U291" s="145"/>
      <c r="V291" s="92"/>
      <c r="W291" s="145"/>
      <c r="X291" s="92"/>
      <c r="Y291" s="145"/>
      <c r="Z291" s="92"/>
      <c r="AA291" s="145"/>
      <c r="AB291" s="64"/>
      <c r="AC291" s="145"/>
      <c r="AD291" s="64"/>
      <c r="AE291" s="145"/>
      <c r="AF291" s="196" t="str">
        <f t="shared" si="17"/>
        <v/>
      </c>
      <c r="AG291" s="95" t="b">
        <f t="shared" si="16"/>
        <v>0</v>
      </c>
      <c r="AH291" s="9"/>
      <c r="AI291" s="150">
        <f t="shared" si="15"/>
        <v>0</v>
      </c>
      <c r="AJ291" s="153" t="s">
        <v>6</v>
      </c>
    </row>
    <row r="292" spans="1:36" ht="30" customHeight="1">
      <c r="A292" s="92"/>
      <c r="B292" s="92"/>
      <c r="C292" s="92"/>
      <c r="D292" s="92"/>
      <c r="E292" s="92"/>
      <c r="F292" s="92"/>
      <c r="G292" s="92"/>
      <c r="H292" s="92"/>
      <c r="I292" s="92"/>
      <c r="J292" s="92"/>
      <c r="K292" s="92"/>
      <c r="L292" s="92"/>
      <c r="M292" s="92"/>
      <c r="N292" s="155"/>
      <c r="O292" s="157"/>
      <c r="P292" s="92"/>
      <c r="Q292" s="145"/>
      <c r="R292" s="92"/>
      <c r="S292" s="145"/>
      <c r="T292" s="92"/>
      <c r="U292" s="145"/>
      <c r="V292" s="92"/>
      <c r="W292" s="145"/>
      <c r="X292" s="92"/>
      <c r="Y292" s="145"/>
      <c r="Z292" s="92"/>
      <c r="AA292" s="145"/>
      <c r="AB292" s="64"/>
      <c r="AC292" s="145"/>
      <c r="AD292" s="64"/>
      <c r="AE292" s="145"/>
      <c r="AF292" s="196" t="str">
        <f t="shared" si="17"/>
        <v/>
      </c>
      <c r="AG292" s="95" t="b">
        <f t="shared" si="16"/>
        <v>0</v>
      </c>
      <c r="AH292" s="9"/>
      <c r="AI292" s="150">
        <f t="shared" si="15"/>
        <v>0</v>
      </c>
      <c r="AJ292" s="153" t="s">
        <v>6</v>
      </c>
    </row>
    <row r="293" spans="1:36" ht="30" customHeight="1">
      <c r="A293" s="92"/>
      <c r="B293" s="92"/>
      <c r="C293" s="92"/>
      <c r="D293" s="92"/>
      <c r="E293" s="92"/>
      <c r="F293" s="92"/>
      <c r="G293" s="92"/>
      <c r="H293" s="92"/>
      <c r="I293" s="92"/>
      <c r="J293" s="92"/>
      <c r="K293" s="92"/>
      <c r="L293" s="92"/>
      <c r="M293" s="92"/>
      <c r="N293" s="155"/>
      <c r="O293" s="157"/>
      <c r="P293" s="92"/>
      <c r="Q293" s="145"/>
      <c r="R293" s="92"/>
      <c r="S293" s="145"/>
      <c r="T293" s="92"/>
      <c r="U293" s="145"/>
      <c r="V293" s="92"/>
      <c r="W293" s="145"/>
      <c r="X293" s="92"/>
      <c r="Y293" s="145"/>
      <c r="Z293" s="92"/>
      <c r="AA293" s="145"/>
      <c r="AB293" s="64"/>
      <c r="AC293" s="145"/>
      <c r="AD293" s="64"/>
      <c r="AE293" s="145"/>
      <c r="AF293" s="196" t="str">
        <f t="shared" si="17"/>
        <v/>
      </c>
      <c r="AG293" s="95" t="b">
        <f t="shared" si="16"/>
        <v>0</v>
      </c>
      <c r="AH293" s="9"/>
      <c r="AI293" s="150">
        <f t="shared" si="15"/>
        <v>0</v>
      </c>
      <c r="AJ293" s="153" t="s">
        <v>6</v>
      </c>
    </row>
    <row r="294" spans="1:36" ht="30" customHeight="1">
      <c r="A294" s="92"/>
      <c r="B294" s="92"/>
      <c r="C294" s="92"/>
      <c r="D294" s="92"/>
      <c r="E294" s="92"/>
      <c r="F294" s="92"/>
      <c r="G294" s="92"/>
      <c r="H294" s="92"/>
      <c r="I294" s="92"/>
      <c r="J294" s="92"/>
      <c r="K294" s="92"/>
      <c r="L294" s="92"/>
      <c r="M294" s="92"/>
      <c r="N294" s="155"/>
      <c r="O294" s="157"/>
      <c r="P294" s="92"/>
      <c r="Q294" s="145"/>
      <c r="R294" s="92"/>
      <c r="S294" s="145"/>
      <c r="T294" s="92"/>
      <c r="U294" s="145"/>
      <c r="V294" s="92"/>
      <c r="W294" s="145"/>
      <c r="X294" s="92"/>
      <c r="Y294" s="145"/>
      <c r="Z294" s="92"/>
      <c r="AA294" s="145"/>
      <c r="AB294" s="64"/>
      <c r="AC294" s="145"/>
      <c r="AD294" s="64"/>
      <c r="AE294" s="145"/>
      <c r="AF294" s="196" t="str">
        <f t="shared" si="17"/>
        <v/>
      </c>
      <c r="AG294" s="95" t="b">
        <f t="shared" si="16"/>
        <v>0</v>
      </c>
      <c r="AH294" s="9"/>
      <c r="AI294" s="150">
        <f t="shared" si="15"/>
        <v>0</v>
      </c>
      <c r="AJ294" s="153" t="s">
        <v>6</v>
      </c>
    </row>
    <row r="295" spans="1:36" ht="30" customHeight="1">
      <c r="A295" s="92"/>
      <c r="B295" s="92"/>
      <c r="C295" s="92"/>
      <c r="D295" s="92"/>
      <c r="E295" s="92"/>
      <c r="F295" s="92"/>
      <c r="G295" s="92"/>
      <c r="H295" s="92"/>
      <c r="I295" s="92"/>
      <c r="J295" s="92"/>
      <c r="K295" s="92"/>
      <c r="L295" s="92"/>
      <c r="M295" s="92"/>
      <c r="N295" s="155"/>
      <c r="O295" s="157"/>
      <c r="P295" s="92"/>
      <c r="Q295" s="145"/>
      <c r="R295" s="92"/>
      <c r="S295" s="145"/>
      <c r="T295" s="92"/>
      <c r="U295" s="145"/>
      <c r="V295" s="92"/>
      <c r="W295" s="145"/>
      <c r="X295" s="92"/>
      <c r="Y295" s="145"/>
      <c r="Z295" s="92"/>
      <c r="AA295" s="145"/>
      <c r="AB295" s="64"/>
      <c r="AC295" s="145"/>
      <c r="AD295" s="64"/>
      <c r="AE295" s="145"/>
      <c r="AF295" s="196" t="str">
        <f t="shared" si="17"/>
        <v/>
      </c>
      <c r="AG295" s="95" t="b">
        <f t="shared" si="16"/>
        <v>0</v>
      </c>
      <c r="AH295" s="9"/>
      <c r="AI295" s="150">
        <f t="shared" si="15"/>
        <v>0</v>
      </c>
      <c r="AJ295" s="153" t="s">
        <v>6</v>
      </c>
    </row>
    <row r="296" spans="1:36" ht="30" customHeight="1">
      <c r="A296" s="92"/>
      <c r="B296" s="92"/>
      <c r="C296" s="92"/>
      <c r="D296" s="92"/>
      <c r="E296" s="92"/>
      <c r="F296" s="92"/>
      <c r="G296" s="92"/>
      <c r="H296" s="92"/>
      <c r="I296" s="92"/>
      <c r="J296" s="92"/>
      <c r="K296" s="92"/>
      <c r="L296" s="92"/>
      <c r="M296" s="92"/>
      <c r="N296" s="155"/>
      <c r="O296" s="157"/>
      <c r="P296" s="92"/>
      <c r="Q296" s="145"/>
      <c r="R296" s="92"/>
      <c r="S296" s="145"/>
      <c r="T296" s="92"/>
      <c r="U296" s="145"/>
      <c r="V296" s="92"/>
      <c r="W296" s="145"/>
      <c r="X296" s="92"/>
      <c r="Y296" s="145"/>
      <c r="Z296" s="92"/>
      <c r="AA296" s="145"/>
      <c r="AB296" s="64"/>
      <c r="AC296" s="145"/>
      <c r="AD296" s="64"/>
      <c r="AE296" s="145"/>
      <c r="AF296" s="196" t="str">
        <f t="shared" si="17"/>
        <v/>
      </c>
      <c r="AG296" s="95" t="b">
        <f t="shared" si="16"/>
        <v>0</v>
      </c>
      <c r="AH296" s="9"/>
      <c r="AI296" s="150">
        <f t="shared" si="15"/>
        <v>0</v>
      </c>
      <c r="AJ296" s="153" t="s">
        <v>6</v>
      </c>
    </row>
    <row r="297" spans="1:36" ht="30" customHeight="1">
      <c r="A297" s="92"/>
      <c r="B297" s="92"/>
      <c r="C297" s="92"/>
      <c r="D297" s="92"/>
      <c r="E297" s="92"/>
      <c r="F297" s="92"/>
      <c r="G297" s="92"/>
      <c r="H297" s="92"/>
      <c r="I297" s="92"/>
      <c r="J297" s="92"/>
      <c r="K297" s="92"/>
      <c r="L297" s="92"/>
      <c r="M297" s="92"/>
      <c r="N297" s="155"/>
      <c r="O297" s="157"/>
      <c r="P297" s="92"/>
      <c r="Q297" s="145"/>
      <c r="R297" s="92"/>
      <c r="S297" s="145"/>
      <c r="T297" s="92"/>
      <c r="U297" s="145"/>
      <c r="V297" s="92"/>
      <c r="W297" s="145"/>
      <c r="X297" s="92"/>
      <c r="Y297" s="145"/>
      <c r="Z297" s="92"/>
      <c r="AA297" s="145"/>
      <c r="AB297" s="64"/>
      <c r="AC297" s="145"/>
      <c r="AD297" s="64"/>
      <c r="AE297" s="145"/>
      <c r="AF297" s="196" t="str">
        <f t="shared" si="17"/>
        <v/>
      </c>
      <c r="AG297" s="95" t="b">
        <f t="shared" si="16"/>
        <v>0</v>
      </c>
      <c r="AH297" s="9"/>
      <c r="AI297" s="150">
        <f t="shared" si="15"/>
        <v>0</v>
      </c>
      <c r="AJ297" s="153" t="s">
        <v>6</v>
      </c>
    </row>
    <row r="298" spans="1:36" ht="30" customHeight="1">
      <c r="A298" s="92"/>
      <c r="B298" s="92"/>
      <c r="C298" s="92"/>
      <c r="D298" s="92"/>
      <c r="E298" s="92"/>
      <c r="F298" s="92"/>
      <c r="G298" s="92"/>
      <c r="H298" s="92"/>
      <c r="I298" s="92"/>
      <c r="J298" s="92"/>
      <c r="K298" s="92"/>
      <c r="L298" s="92"/>
      <c r="M298" s="92"/>
      <c r="N298" s="155"/>
      <c r="O298" s="157"/>
      <c r="P298" s="92"/>
      <c r="Q298" s="145"/>
      <c r="R298" s="92"/>
      <c r="S298" s="145"/>
      <c r="T298" s="92"/>
      <c r="U298" s="145"/>
      <c r="V298" s="92"/>
      <c r="W298" s="145"/>
      <c r="X298" s="92"/>
      <c r="Y298" s="145"/>
      <c r="Z298" s="92"/>
      <c r="AA298" s="145"/>
      <c r="AB298" s="64"/>
      <c r="AC298" s="145"/>
      <c r="AD298" s="64"/>
      <c r="AE298" s="145"/>
      <c r="AF298" s="196" t="str">
        <f t="shared" si="17"/>
        <v/>
      </c>
      <c r="AG298" s="95" t="b">
        <f t="shared" si="16"/>
        <v>0</v>
      </c>
      <c r="AH298" s="9"/>
      <c r="AI298" s="150">
        <f t="shared" si="15"/>
        <v>0</v>
      </c>
      <c r="AJ298" s="153" t="s">
        <v>6</v>
      </c>
    </row>
    <row r="299" spans="1:36" ht="30" customHeight="1">
      <c r="A299" s="92"/>
      <c r="B299" s="92"/>
      <c r="C299" s="92"/>
      <c r="D299" s="92"/>
      <c r="E299" s="92"/>
      <c r="F299" s="92"/>
      <c r="G299" s="92"/>
      <c r="H299" s="92"/>
      <c r="I299" s="92"/>
      <c r="J299" s="92"/>
      <c r="K299" s="92"/>
      <c r="L299" s="92"/>
      <c r="M299" s="92"/>
      <c r="N299" s="155"/>
      <c r="O299" s="157"/>
      <c r="P299" s="92"/>
      <c r="Q299" s="145"/>
      <c r="R299" s="92"/>
      <c r="S299" s="145"/>
      <c r="T299" s="92"/>
      <c r="U299" s="145"/>
      <c r="V299" s="92"/>
      <c r="W299" s="145"/>
      <c r="X299" s="92"/>
      <c r="Y299" s="145"/>
      <c r="Z299" s="92"/>
      <c r="AA299" s="145"/>
      <c r="AB299" s="64"/>
      <c r="AC299" s="145"/>
      <c r="AD299" s="64"/>
      <c r="AE299" s="145"/>
      <c r="AF299" s="196" t="str">
        <f t="shared" si="17"/>
        <v/>
      </c>
      <c r="AG299" s="95" t="b">
        <f t="shared" si="16"/>
        <v>0</v>
      </c>
      <c r="AH299" s="9"/>
      <c r="AI299" s="150">
        <f t="shared" si="15"/>
        <v>0</v>
      </c>
      <c r="AJ299" s="153" t="s">
        <v>6</v>
      </c>
    </row>
    <row r="300" spans="1:36" ht="30" customHeight="1">
      <c r="A300" s="92"/>
      <c r="B300" s="92"/>
      <c r="C300" s="92"/>
      <c r="D300" s="92"/>
      <c r="E300" s="92"/>
      <c r="F300" s="92"/>
      <c r="G300" s="92"/>
      <c r="H300" s="92"/>
      <c r="I300" s="92"/>
      <c r="J300" s="92"/>
      <c r="K300" s="92"/>
      <c r="L300" s="92"/>
      <c r="M300" s="92"/>
      <c r="N300" s="155"/>
      <c r="O300" s="157"/>
      <c r="P300" s="92"/>
      <c r="Q300" s="145"/>
      <c r="R300" s="92"/>
      <c r="S300" s="145"/>
      <c r="T300" s="92"/>
      <c r="U300" s="145"/>
      <c r="V300" s="92"/>
      <c r="W300" s="145"/>
      <c r="X300" s="92"/>
      <c r="Y300" s="145"/>
      <c r="Z300" s="92"/>
      <c r="AA300" s="145"/>
      <c r="AB300" s="64"/>
      <c r="AC300" s="145"/>
      <c r="AD300" s="64"/>
      <c r="AE300" s="145"/>
      <c r="AF300" s="196" t="str">
        <f t="shared" si="17"/>
        <v/>
      </c>
      <c r="AG300" s="95" t="b">
        <f t="shared" si="16"/>
        <v>0</v>
      </c>
      <c r="AH300" s="9"/>
      <c r="AI300" s="150">
        <f t="shared" si="15"/>
        <v>0</v>
      </c>
      <c r="AJ300" s="153" t="s">
        <v>6</v>
      </c>
    </row>
    <row r="301" spans="1:36" ht="30" customHeight="1">
      <c r="A301" s="92"/>
      <c r="B301" s="92"/>
      <c r="C301" s="92"/>
      <c r="D301" s="92"/>
      <c r="E301" s="92"/>
      <c r="F301" s="92"/>
      <c r="G301" s="92"/>
      <c r="H301" s="92"/>
      <c r="I301" s="92"/>
      <c r="J301" s="92"/>
      <c r="K301" s="92"/>
      <c r="L301" s="92"/>
      <c r="M301" s="92"/>
      <c r="N301" s="155"/>
      <c r="O301" s="157"/>
      <c r="P301" s="92"/>
      <c r="Q301" s="145"/>
      <c r="R301" s="92"/>
      <c r="S301" s="145"/>
      <c r="T301" s="92"/>
      <c r="U301" s="145"/>
      <c r="V301" s="92"/>
      <c r="W301" s="145"/>
      <c r="X301" s="92"/>
      <c r="Y301" s="145"/>
      <c r="Z301" s="92"/>
      <c r="AA301" s="145"/>
      <c r="AB301" s="64"/>
      <c r="AC301" s="145"/>
      <c r="AD301" s="64"/>
      <c r="AE301" s="145"/>
      <c r="AF301" s="196" t="str">
        <f t="shared" si="17"/>
        <v/>
      </c>
      <c r="AG301" s="95" t="b">
        <f t="shared" si="16"/>
        <v>0</v>
      </c>
      <c r="AH301" s="9"/>
      <c r="AI301" s="150">
        <f t="shared" si="15"/>
        <v>0</v>
      </c>
      <c r="AJ301" s="153" t="s">
        <v>6</v>
      </c>
    </row>
    <row r="302" spans="1:36" ht="30" customHeight="1">
      <c r="A302" s="92"/>
      <c r="B302" s="92"/>
      <c r="C302" s="92"/>
      <c r="D302" s="92"/>
      <c r="E302" s="92"/>
      <c r="F302" s="92"/>
      <c r="G302" s="92"/>
      <c r="H302" s="92"/>
      <c r="I302" s="92"/>
      <c r="J302" s="92"/>
      <c r="K302" s="92"/>
      <c r="L302" s="92"/>
      <c r="M302" s="92"/>
      <c r="N302" s="155"/>
      <c r="O302" s="157"/>
      <c r="P302" s="92"/>
      <c r="Q302" s="145"/>
      <c r="R302" s="92"/>
      <c r="S302" s="145"/>
      <c r="T302" s="92"/>
      <c r="U302" s="145"/>
      <c r="V302" s="92"/>
      <c r="W302" s="145"/>
      <c r="X302" s="92"/>
      <c r="Y302" s="145"/>
      <c r="Z302" s="92"/>
      <c r="AA302" s="145"/>
      <c r="AB302" s="64"/>
      <c r="AC302" s="145"/>
      <c r="AD302" s="64"/>
      <c r="AE302" s="145"/>
      <c r="AF302" s="196" t="str">
        <f t="shared" si="17"/>
        <v/>
      </c>
      <c r="AG302" s="95" t="b">
        <f t="shared" si="16"/>
        <v>0</v>
      </c>
      <c r="AH302" s="9"/>
      <c r="AI302" s="150">
        <f t="shared" si="15"/>
        <v>0</v>
      </c>
      <c r="AJ302" s="153" t="s">
        <v>6</v>
      </c>
    </row>
    <row r="303" spans="1:36" ht="30" customHeight="1">
      <c r="A303" s="92"/>
      <c r="B303" s="92"/>
      <c r="C303" s="92"/>
      <c r="D303" s="92"/>
      <c r="E303" s="92"/>
      <c r="F303" s="92"/>
      <c r="G303" s="92"/>
      <c r="H303" s="92"/>
      <c r="I303" s="92"/>
      <c r="J303" s="92"/>
      <c r="K303" s="92"/>
      <c r="L303" s="92"/>
      <c r="M303" s="92"/>
      <c r="N303" s="155"/>
      <c r="O303" s="157"/>
      <c r="P303" s="92"/>
      <c r="Q303" s="145"/>
      <c r="R303" s="92"/>
      <c r="S303" s="145"/>
      <c r="T303" s="92"/>
      <c r="U303" s="145"/>
      <c r="V303" s="92"/>
      <c r="W303" s="145"/>
      <c r="X303" s="92"/>
      <c r="Y303" s="145"/>
      <c r="Z303" s="92"/>
      <c r="AA303" s="145"/>
      <c r="AB303" s="64"/>
      <c r="AC303" s="145"/>
      <c r="AD303" s="64"/>
      <c r="AE303" s="145"/>
      <c r="AF303" s="196" t="str">
        <f t="shared" si="17"/>
        <v/>
      </c>
      <c r="AG303" s="95" t="b">
        <f t="shared" si="16"/>
        <v>0</v>
      </c>
      <c r="AH303" s="9"/>
      <c r="AI303" s="150">
        <f t="shared" si="15"/>
        <v>0</v>
      </c>
      <c r="AJ303" s="153" t="s">
        <v>6</v>
      </c>
    </row>
    <row r="304" spans="1:36" ht="30" customHeight="1">
      <c r="A304" s="92"/>
      <c r="B304" s="92"/>
      <c r="C304" s="92"/>
      <c r="D304" s="92"/>
      <c r="E304" s="92"/>
      <c r="F304" s="92"/>
      <c r="G304" s="92"/>
      <c r="H304" s="92"/>
      <c r="I304" s="92"/>
      <c r="J304" s="92"/>
      <c r="K304" s="92"/>
      <c r="L304" s="92"/>
      <c r="M304" s="92"/>
      <c r="N304" s="155"/>
      <c r="O304" s="157"/>
      <c r="P304" s="92"/>
      <c r="Q304" s="145"/>
      <c r="R304" s="92"/>
      <c r="S304" s="145"/>
      <c r="T304" s="92"/>
      <c r="U304" s="145"/>
      <c r="V304" s="92"/>
      <c r="W304" s="145"/>
      <c r="X304" s="92"/>
      <c r="Y304" s="145"/>
      <c r="Z304" s="92"/>
      <c r="AA304" s="145"/>
      <c r="AB304" s="64"/>
      <c r="AC304" s="145"/>
      <c r="AD304" s="64"/>
      <c r="AE304" s="145"/>
      <c r="AF304" s="196" t="str">
        <f t="shared" si="17"/>
        <v/>
      </c>
      <c r="AG304" s="95" t="b">
        <f t="shared" si="16"/>
        <v>0</v>
      </c>
      <c r="AH304" s="9"/>
      <c r="AI304" s="150">
        <f t="shared" si="15"/>
        <v>0</v>
      </c>
      <c r="AJ304" s="153" t="s">
        <v>6</v>
      </c>
    </row>
    <row r="305" spans="1:36" ht="30" customHeight="1">
      <c r="A305" s="92"/>
      <c r="B305" s="92"/>
      <c r="C305" s="92"/>
      <c r="D305" s="92"/>
      <c r="E305" s="92"/>
      <c r="F305" s="92"/>
      <c r="G305" s="92"/>
      <c r="H305" s="92"/>
      <c r="I305" s="92"/>
      <c r="J305" s="92"/>
      <c r="K305" s="92"/>
      <c r="L305" s="92"/>
      <c r="M305" s="92"/>
      <c r="N305" s="155"/>
      <c r="O305" s="157"/>
      <c r="P305" s="92"/>
      <c r="Q305" s="145"/>
      <c r="R305" s="92"/>
      <c r="S305" s="145"/>
      <c r="T305" s="92"/>
      <c r="U305" s="145"/>
      <c r="V305" s="92"/>
      <c r="W305" s="145"/>
      <c r="X305" s="92"/>
      <c r="Y305" s="145"/>
      <c r="Z305" s="92"/>
      <c r="AA305" s="145"/>
      <c r="AB305" s="64"/>
      <c r="AC305" s="145"/>
      <c r="AD305" s="64"/>
      <c r="AE305" s="145"/>
      <c r="AF305" s="196" t="str">
        <f t="shared" si="17"/>
        <v/>
      </c>
      <c r="AG305" s="95" t="b">
        <f t="shared" si="16"/>
        <v>0</v>
      </c>
      <c r="AH305" s="9"/>
      <c r="AI305" s="150">
        <f t="shared" si="15"/>
        <v>0</v>
      </c>
      <c r="AJ305" s="153" t="s">
        <v>6</v>
      </c>
    </row>
    <row r="306" spans="1:36" ht="30" customHeight="1">
      <c r="A306" s="92"/>
      <c r="B306" s="92"/>
      <c r="C306" s="92"/>
      <c r="D306" s="92"/>
      <c r="E306" s="92"/>
      <c r="F306" s="92"/>
      <c r="G306" s="92"/>
      <c r="H306" s="92"/>
      <c r="I306" s="92"/>
      <c r="J306" s="92"/>
      <c r="K306" s="92"/>
      <c r="L306" s="92"/>
      <c r="M306" s="92"/>
      <c r="N306" s="155"/>
      <c r="O306" s="157"/>
      <c r="P306" s="92"/>
      <c r="Q306" s="145"/>
      <c r="R306" s="92"/>
      <c r="S306" s="145"/>
      <c r="T306" s="92"/>
      <c r="U306" s="145"/>
      <c r="V306" s="92"/>
      <c r="W306" s="145"/>
      <c r="X306" s="92"/>
      <c r="Y306" s="145"/>
      <c r="Z306" s="92"/>
      <c r="AA306" s="145"/>
      <c r="AB306" s="64"/>
      <c r="AC306" s="145"/>
      <c r="AD306" s="64"/>
      <c r="AE306" s="145"/>
      <c r="AF306" s="196" t="str">
        <f t="shared" si="17"/>
        <v/>
      </c>
      <c r="AG306" s="95" t="b">
        <f t="shared" si="16"/>
        <v>0</v>
      </c>
      <c r="AH306" s="9"/>
      <c r="AI306" s="150">
        <f t="shared" si="15"/>
        <v>0</v>
      </c>
      <c r="AJ306" s="153" t="s">
        <v>6</v>
      </c>
    </row>
    <row r="307" spans="1:36" ht="30" customHeight="1">
      <c r="A307" s="92"/>
      <c r="B307" s="92"/>
      <c r="C307" s="92"/>
      <c r="D307" s="92"/>
      <c r="E307" s="92"/>
      <c r="F307" s="92"/>
      <c r="G307" s="92"/>
      <c r="H307" s="92"/>
      <c r="I307" s="92"/>
      <c r="J307" s="92"/>
      <c r="K307" s="92"/>
      <c r="L307" s="92"/>
      <c r="M307" s="92"/>
      <c r="N307" s="155"/>
      <c r="O307" s="157"/>
      <c r="P307" s="92"/>
      <c r="Q307" s="145"/>
      <c r="R307" s="92"/>
      <c r="S307" s="145"/>
      <c r="T307" s="92"/>
      <c r="U307" s="145"/>
      <c r="V307" s="92"/>
      <c r="W307" s="145"/>
      <c r="X307" s="92"/>
      <c r="Y307" s="145"/>
      <c r="Z307" s="92"/>
      <c r="AA307" s="145"/>
      <c r="AB307" s="64"/>
      <c r="AC307" s="145"/>
      <c r="AD307" s="64"/>
      <c r="AE307" s="145"/>
      <c r="AF307" s="196" t="str">
        <f t="shared" si="17"/>
        <v/>
      </c>
      <c r="AG307" s="95" t="b">
        <f t="shared" si="16"/>
        <v>0</v>
      </c>
      <c r="AH307" s="9"/>
      <c r="AI307" s="150">
        <f t="shared" si="15"/>
        <v>0</v>
      </c>
      <c r="AJ307" s="153" t="s">
        <v>6</v>
      </c>
    </row>
    <row r="308" spans="1:36" ht="30" customHeight="1">
      <c r="A308" s="92"/>
      <c r="B308" s="92"/>
      <c r="C308" s="92"/>
      <c r="D308" s="92"/>
      <c r="E308" s="92"/>
      <c r="F308" s="92"/>
      <c r="G308" s="92"/>
      <c r="H308" s="92"/>
      <c r="I308" s="92"/>
      <c r="J308" s="92"/>
      <c r="K308" s="92"/>
      <c r="L308" s="92"/>
      <c r="M308" s="92"/>
      <c r="N308" s="155"/>
      <c r="O308" s="157"/>
      <c r="P308" s="92"/>
      <c r="Q308" s="145"/>
      <c r="R308" s="92"/>
      <c r="S308" s="145"/>
      <c r="T308" s="92"/>
      <c r="U308" s="145"/>
      <c r="V308" s="92"/>
      <c r="W308" s="145"/>
      <c r="X308" s="92"/>
      <c r="Y308" s="145"/>
      <c r="Z308" s="92"/>
      <c r="AA308" s="145"/>
      <c r="AB308" s="64"/>
      <c r="AC308" s="145"/>
      <c r="AD308" s="64"/>
      <c r="AE308" s="145"/>
      <c r="AF308" s="196" t="str">
        <f t="shared" si="17"/>
        <v/>
      </c>
      <c r="AG308" s="95" t="b">
        <f t="shared" si="16"/>
        <v>0</v>
      </c>
      <c r="AH308" s="9"/>
      <c r="AI308" s="150">
        <f t="shared" si="15"/>
        <v>0</v>
      </c>
      <c r="AJ308" s="153" t="s">
        <v>6</v>
      </c>
    </row>
    <row r="309" spans="1:36" ht="30" customHeight="1">
      <c r="A309" s="92"/>
      <c r="B309" s="92"/>
      <c r="C309" s="92"/>
      <c r="D309" s="92"/>
      <c r="E309" s="92"/>
      <c r="F309" s="92"/>
      <c r="G309" s="92"/>
      <c r="H309" s="92"/>
      <c r="I309" s="92"/>
      <c r="J309" s="92"/>
      <c r="K309" s="92"/>
      <c r="L309" s="92"/>
      <c r="M309" s="92"/>
      <c r="N309" s="155"/>
      <c r="O309" s="157"/>
      <c r="P309" s="92"/>
      <c r="Q309" s="145"/>
      <c r="R309" s="92"/>
      <c r="S309" s="145"/>
      <c r="T309" s="92"/>
      <c r="U309" s="145"/>
      <c r="V309" s="92"/>
      <c r="W309" s="145"/>
      <c r="X309" s="92"/>
      <c r="Y309" s="145"/>
      <c r="Z309" s="92"/>
      <c r="AA309" s="145"/>
      <c r="AB309" s="64"/>
      <c r="AC309" s="145"/>
      <c r="AD309" s="64"/>
      <c r="AE309" s="145"/>
      <c r="AF309" s="196" t="str">
        <f t="shared" si="17"/>
        <v/>
      </c>
      <c r="AG309" s="95" t="b">
        <f t="shared" si="16"/>
        <v>0</v>
      </c>
      <c r="AH309" s="9"/>
      <c r="AI309" s="150">
        <f t="shared" si="15"/>
        <v>0</v>
      </c>
      <c r="AJ309" s="153" t="s">
        <v>6</v>
      </c>
    </row>
    <row r="310" spans="1:36" ht="30" customHeight="1">
      <c r="A310" s="92"/>
      <c r="B310" s="92"/>
      <c r="C310" s="92"/>
      <c r="D310" s="92"/>
      <c r="E310" s="92"/>
      <c r="F310" s="92"/>
      <c r="G310" s="92"/>
      <c r="H310" s="92"/>
      <c r="I310" s="92"/>
      <c r="J310" s="92"/>
      <c r="K310" s="92"/>
      <c r="L310" s="92"/>
      <c r="M310" s="92"/>
      <c r="N310" s="155"/>
      <c r="O310" s="157"/>
      <c r="P310" s="92"/>
      <c r="Q310" s="145"/>
      <c r="R310" s="92"/>
      <c r="S310" s="145"/>
      <c r="T310" s="92"/>
      <c r="U310" s="145"/>
      <c r="V310" s="92"/>
      <c r="W310" s="145"/>
      <c r="X310" s="92"/>
      <c r="Y310" s="145"/>
      <c r="Z310" s="92"/>
      <c r="AA310" s="145"/>
      <c r="AB310" s="64"/>
      <c r="AC310" s="145"/>
      <c r="AD310" s="64"/>
      <c r="AE310" s="145"/>
      <c r="AF310" s="196" t="str">
        <f t="shared" si="17"/>
        <v/>
      </c>
      <c r="AG310" s="95" t="b">
        <f t="shared" si="16"/>
        <v>0</v>
      </c>
      <c r="AH310" s="9"/>
      <c r="AI310" s="150">
        <f t="shared" si="15"/>
        <v>0</v>
      </c>
      <c r="AJ310" s="153" t="s">
        <v>6</v>
      </c>
    </row>
    <row r="311" spans="1:36" ht="30" customHeight="1">
      <c r="A311" s="92"/>
      <c r="B311" s="92"/>
      <c r="C311" s="92"/>
      <c r="D311" s="92"/>
      <c r="E311" s="92"/>
      <c r="F311" s="92"/>
      <c r="G311" s="92"/>
      <c r="H311" s="92"/>
      <c r="I311" s="92"/>
      <c r="J311" s="92"/>
      <c r="K311" s="92"/>
      <c r="L311" s="92"/>
      <c r="M311" s="92"/>
      <c r="N311" s="155"/>
      <c r="O311" s="157"/>
      <c r="P311" s="92"/>
      <c r="Q311" s="145"/>
      <c r="R311" s="92"/>
      <c r="S311" s="145"/>
      <c r="T311" s="92"/>
      <c r="U311" s="145"/>
      <c r="V311" s="92"/>
      <c r="W311" s="145"/>
      <c r="X311" s="92"/>
      <c r="Y311" s="145"/>
      <c r="Z311" s="92"/>
      <c r="AA311" s="145"/>
      <c r="AB311" s="64"/>
      <c r="AC311" s="145"/>
      <c r="AD311" s="64"/>
      <c r="AE311" s="145"/>
      <c r="AF311" s="196" t="str">
        <f t="shared" si="17"/>
        <v/>
      </c>
      <c r="AG311" s="95" t="b">
        <f t="shared" si="16"/>
        <v>0</v>
      </c>
      <c r="AH311" s="9"/>
      <c r="AI311" s="150">
        <f t="shared" si="15"/>
        <v>0</v>
      </c>
      <c r="AJ311" s="153" t="s">
        <v>6</v>
      </c>
    </row>
    <row r="312" spans="1:36" ht="30" customHeight="1">
      <c r="A312" s="92"/>
      <c r="B312" s="92"/>
      <c r="C312" s="92"/>
      <c r="D312" s="92"/>
      <c r="E312" s="92"/>
      <c r="F312" s="92"/>
      <c r="G312" s="92"/>
      <c r="H312" s="92"/>
      <c r="I312" s="92"/>
      <c r="J312" s="92"/>
      <c r="K312" s="92"/>
      <c r="L312" s="92"/>
      <c r="M312" s="92"/>
      <c r="N312" s="155"/>
      <c r="O312" s="157"/>
      <c r="P312" s="92"/>
      <c r="Q312" s="145"/>
      <c r="R312" s="92"/>
      <c r="S312" s="145"/>
      <c r="T312" s="92"/>
      <c r="U312" s="145"/>
      <c r="V312" s="92"/>
      <c r="W312" s="145"/>
      <c r="X312" s="92"/>
      <c r="Y312" s="145"/>
      <c r="Z312" s="92"/>
      <c r="AA312" s="145"/>
      <c r="AB312" s="64"/>
      <c r="AC312" s="145"/>
      <c r="AD312" s="64"/>
      <c r="AE312" s="145"/>
      <c r="AF312" s="196" t="str">
        <f t="shared" si="17"/>
        <v/>
      </c>
      <c r="AG312" s="95" t="b">
        <f t="shared" si="16"/>
        <v>0</v>
      </c>
      <c r="AH312" s="9"/>
      <c r="AI312" s="150">
        <f t="shared" si="15"/>
        <v>0</v>
      </c>
      <c r="AJ312" s="153" t="s">
        <v>6</v>
      </c>
    </row>
    <row r="313" spans="1:36" ht="30" customHeight="1">
      <c r="A313" s="92"/>
      <c r="B313" s="92"/>
      <c r="C313" s="92"/>
      <c r="D313" s="92"/>
      <c r="E313" s="92"/>
      <c r="F313" s="92"/>
      <c r="G313" s="92"/>
      <c r="H313" s="92"/>
      <c r="I313" s="92"/>
      <c r="J313" s="92"/>
      <c r="K313" s="92"/>
      <c r="L313" s="92"/>
      <c r="M313" s="92"/>
      <c r="N313" s="155"/>
      <c r="O313" s="157"/>
      <c r="P313" s="92"/>
      <c r="Q313" s="145"/>
      <c r="R313" s="92"/>
      <c r="S313" s="145"/>
      <c r="T313" s="92"/>
      <c r="U313" s="145"/>
      <c r="V313" s="92"/>
      <c r="W313" s="145"/>
      <c r="X313" s="92"/>
      <c r="Y313" s="145"/>
      <c r="Z313" s="92"/>
      <c r="AA313" s="145"/>
      <c r="AB313" s="64"/>
      <c r="AC313" s="145"/>
      <c r="AD313" s="64"/>
      <c r="AE313" s="145"/>
      <c r="AF313" s="196" t="str">
        <f t="shared" si="17"/>
        <v/>
      </c>
      <c r="AG313" s="95" t="b">
        <f t="shared" si="16"/>
        <v>0</v>
      </c>
      <c r="AH313" s="9"/>
      <c r="AI313" s="150">
        <f t="shared" si="15"/>
        <v>0</v>
      </c>
      <c r="AJ313" s="153" t="s">
        <v>6</v>
      </c>
    </row>
    <row r="314" spans="1:36" ht="30" customHeight="1">
      <c r="A314" s="92"/>
      <c r="B314" s="92"/>
      <c r="C314" s="92"/>
      <c r="D314" s="92"/>
      <c r="E314" s="92"/>
      <c r="F314" s="92"/>
      <c r="G314" s="92"/>
      <c r="H314" s="92"/>
      <c r="I314" s="92"/>
      <c r="J314" s="92"/>
      <c r="K314" s="92"/>
      <c r="L314" s="92"/>
      <c r="M314" s="92"/>
      <c r="N314" s="155"/>
      <c r="O314" s="157"/>
      <c r="P314" s="92"/>
      <c r="Q314" s="145"/>
      <c r="R314" s="92"/>
      <c r="S314" s="145"/>
      <c r="T314" s="92"/>
      <c r="U314" s="145"/>
      <c r="V314" s="92"/>
      <c r="W314" s="145"/>
      <c r="X314" s="92"/>
      <c r="Y314" s="145"/>
      <c r="Z314" s="92"/>
      <c r="AA314" s="145"/>
      <c r="AB314" s="64"/>
      <c r="AC314" s="145"/>
      <c r="AD314" s="64"/>
      <c r="AE314" s="145"/>
      <c r="AF314" s="196" t="str">
        <f t="shared" si="17"/>
        <v/>
      </c>
      <c r="AG314" s="95" t="b">
        <f t="shared" si="16"/>
        <v>0</v>
      </c>
      <c r="AH314" s="9"/>
      <c r="AI314" s="150">
        <f t="shared" si="15"/>
        <v>0</v>
      </c>
      <c r="AJ314" s="153" t="s">
        <v>6</v>
      </c>
    </row>
    <row r="315" spans="1:36" ht="30" customHeight="1">
      <c r="A315" s="92"/>
      <c r="B315" s="92"/>
      <c r="C315" s="92"/>
      <c r="D315" s="92"/>
      <c r="E315" s="92"/>
      <c r="F315" s="92"/>
      <c r="G315" s="92"/>
      <c r="H315" s="92"/>
      <c r="I315" s="92"/>
      <c r="J315" s="92"/>
      <c r="K315" s="92"/>
      <c r="L315" s="92"/>
      <c r="M315" s="92"/>
      <c r="N315" s="155"/>
      <c r="O315" s="157"/>
      <c r="P315" s="92"/>
      <c r="Q315" s="145"/>
      <c r="R315" s="92"/>
      <c r="S315" s="145"/>
      <c r="T315" s="92"/>
      <c r="U315" s="145"/>
      <c r="V315" s="92"/>
      <c r="W315" s="145"/>
      <c r="X315" s="92"/>
      <c r="Y315" s="145"/>
      <c r="Z315" s="92"/>
      <c r="AA315" s="145"/>
      <c r="AB315" s="64"/>
      <c r="AC315" s="145"/>
      <c r="AD315" s="64"/>
      <c r="AE315" s="145"/>
      <c r="AF315" s="196" t="str">
        <f t="shared" si="17"/>
        <v/>
      </c>
      <c r="AG315" s="95" t="b">
        <f t="shared" si="16"/>
        <v>0</v>
      </c>
      <c r="AH315" s="9"/>
      <c r="AI315" s="150">
        <f t="shared" si="15"/>
        <v>0</v>
      </c>
      <c r="AJ315" s="153" t="s">
        <v>6</v>
      </c>
    </row>
    <row r="316" spans="1:36" ht="30" customHeight="1">
      <c r="A316" s="92"/>
      <c r="B316" s="92"/>
      <c r="C316" s="92"/>
      <c r="D316" s="92"/>
      <c r="E316" s="92"/>
      <c r="F316" s="92"/>
      <c r="G316" s="92"/>
      <c r="H316" s="92"/>
      <c r="I316" s="92"/>
      <c r="J316" s="92"/>
      <c r="K316" s="92"/>
      <c r="L316" s="92"/>
      <c r="M316" s="92"/>
      <c r="N316" s="155"/>
      <c r="O316" s="157"/>
      <c r="P316" s="92"/>
      <c r="Q316" s="145"/>
      <c r="R316" s="92"/>
      <c r="S316" s="145"/>
      <c r="T316" s="92"/>
      <c r="U316" s="145"/>
      <c r="V316" s="92"/>
      <c r="W316" s="145"/>
      <c r="X316" s="92"/>
      <c r="Y316" s="145"/>
      <c r="Z316" s="92"/>
      <c r="AA316" s="145"/>
      <c r="AB316" s="64"/>
      <c r="AC316" s="145"/>
      <c r="AD316" s="64"/>
      <c r="AE316" s="145"/>
      <c r="AF316" s="196" t="str">
        <f t="shared" si="17"/>
        <v/>
      </c>
      <c r="AG316" s="95" t="b">
        <f t="shared" si="16"/>
        <v>0</v>
      </c>
      <c r="AH316" s="9"/>
      <c r="AI316" s="150">
        <f t="shared" si="15"/>
        <v>0</v>
      </c>
      <c r="AJ316" s="153" t="s">
        <v>6</v>
      </c>
    </row>
    <row r="317" spans="1:36" ht="30" customHeight="1">
      <c r="A317" s="92"/>
      <c r="B317" s="92"/>
      <c r="C317" s="92"/>
      <c r="D317" s="92"/>
      <c r="E317" s="92"/>
      <c r="F317" s="92"/>
      <c r="G317" s="92"/>
      <c r="H317" s="92"/>
      <c r="I317" s="92"/>
      <c r="J317" s="92"/>
      <c r="K317" s="92"/>
      <c r="L317" s="92"/>
      <c r="M317" s="92"/>
      <c r="N317" s="155"/>
      <c r="O317" s="157"/>
      <c r="P317" s="92"/>
      <c r="Q317" s="145"/>
      <c r="R317" s="92"/>
      <c r="S317" s="145"/>
      <c r="T317" s="92"/>
      <c r="U317" s="145"/>
      <c r="V317" s="92"/>
      <c r="W317" s="145"/>
      <c r="X317" s="92"/>
      <c r="Y317" s="145"/>
      <c r="Z317" s="92"/>
      <c r="AA317" s="145"/>
      <c r="AB317" s="64"/>
      <c r="AC317" s="145"/>
      <c r="AD317" s="64"/>
      <c r="AE317" s="145"/>
      <c r="AF317" s="196" t="str">
        <f t="shared" si="17"/>
        <v/>
      </c>
      <c r="AG317" s="95" t="b">
        <f t="shared" si="16"/>
        <v>0</v>
      </c>
      <c r="AH317" s="9"/>
      <c r="AI317" s="150">
        <f t="shared" si="15"/>
        <v>0</v>
      </c>
      <c r="AJ317" s="153" t="s">
        <v>6</v>
      </c>
    </row>
    <row r="318" spans="1:36" ht="30" customHeight="1">
      <c r="A318" s="92"/>
      <c r="B318" s="92"/>
      <c r="C318" s="92"/>
      <c r="D318" s="92"/>
      <c r="E318" s="92"/>
      <c r="F318" s="92"/>
      <c r="G318" s="92"/>
      <c r="H318" s="92"/>
      <c r="I318" s="92"/>
      <c r="J318" s="92"/>
      <c r="K318" s="92"/>
      <c r="L318" s="92"/>
      <c r="M318" s="92"/>
      <c r="N318" s="155"/>
      <c r="O318" s="157"/>
      <c r="P318" s="92"/>
      <c r="Q318" s="145"/>
      <c r="R318" s="92"/>
      <c r="S318" s="145"/>
      <c r="T318" s="92"/>
      <c r="U318" s="145"/>
      <c r="V318" s="92"/>
      <c r="W318" s="145"/>
      <c r="X318" s="92"/>
      <c r="Y318" s="145"/>
      <c r="Z318" s="92"/>
      <c r="AA318" s="145"/>
      <c r="AB318" s="64"/>
      <c r="AC318" s="145"/>
      <c r="AD318" s="64"/>
      <c r="AE318" s="145"/>
      <c r="AF318" s="196" t="str">
        <f t="shared" si="17"/>
        <v/>
      </c>
      <c r="AG318" s="95" t="b">
        <f t="shared" si="16"/>
        <v>0</v>
      </c>
      <c r="AH318" s="9"/>
      <c r="AI318" s="150">
        <f t="shared" si="15"/>
        <v>0</v>
      </c>
      <c r="AJ318" s="153" t="s">
        <v>6</v>
      </c>
    </row>
    <row r="319" spans="1:36" ht="30" customHeight="1">
      <c r="A319" s="92"/>
      <c r="B319" s="92"/>
      <c r="C319" s="92"/>
      <c r="D319" s="92"/>
      <c r="E319" s="92"/>
      <c r="F319" s="92"/>
      <c r="G319" s="92"/>
      <c r="H319" s="92"/>
      <c r="I319" s="92"/>
      <c r="J319" s="92"/>
      <c r="K319" s="92"/>
      <c r="L319" s="92"/>
      <c r="M319" s="92"/>
      <c r="N319" s="155"/>
      <c r="O319" s="157"/>
      <c r="P319" s="92"/>
      <c r="Q319" s="145"/>
      <c r="R319" s="92"/>
      <c r="S319" s="145"/>
      <c r="T319" s="92"/>
      <c r="U319" s="145"/>
      <c r="V319" s="92"/>
      <c r="W319" s="145"/>
      <c r="X319" s="92"/>
      <c r="Y319" s="145"/>
      <c r="Z319" s="92"/>
      <c r="AA319" s="145"/>
      <c r="AB319" s="64"/>
      <c r="AC319" s="145"/>
      <c r="AD319" s="64"/>
      <c r="AE319" s="145"/>
      <c r="AF319" s="196" t="str">
        <f t="shared" si="17"/>
        <v/>
      </c>
      <c r="AG319" s="95" t="b">
        <f t="shared" si="16"/>
        <v>0</v>
      </c>
      <c r="AH319" s="9"/>
      <c r="AI319" s="150">
        <f t="shared" si="15"/>
        <v>0</v>
      </c>
      <c r="AJ319" s="153" t="s">
        <v>6</v>
      </c>
    </row>
    <row r="320" spans="1:36" ht="30" customHeight="1">
      <c r="A320" s="92"/>
      <c r="B320" s="92"/>
      <c r="C320" s="92"/>
      <c r="D320" s="92"/>
      <c r="E320" s="92"/>
      <c r="F320" s="92"/>
      <c r="G320" s="92"/>
      <c r="H320" s="92"/>
      <c r="I320" s="92"/>
      <c r="J320" s="92"/>
      <c r="K320" s="92"/>
      <c r="L320" s="92"/>
      <c r="M320" s="92"/>
      <c r="N320" s="155"/>
      <c r="O320" s="157"/>
      <c r="P320" s="92"/>
      <c r="Q320" s="145"/>
      <c r="R320" s="92"/>
      <c r="S320" s="145"/>
      <c r="T320" s="92"/>
      <c r="U320" s="145"/>
      <c r="V320" s="92"/>
      <c r="W320" s="145"/>
      <c r="X320" s="92"/>
      <c r="Y320" s="145"/>
      <c r="Z320" s="92"/>
      <c r="AA320" s="145"/>
      <c r="AB320" s="64"/>
      <c r="AC320" s="145"/>
      <c r="AD320" s="64"/>
      <c r="AE320" s="145"/>
      <c r="AF320" s="196" t="str">
        <f t="shared" si="17"/>
        <v/>
      </c>
      <c r="AG320" s="95" t="b">
        <f t="shared" si="16"/>
        <v>0</v>
      </c>
      <c r="AH320" s="9"/>
      <c r="AI320" s="150">
        <f t="shared" ref="AI320:AI383" si="18">E320</f>
        <v>0</v>
      </c>
      <c r="AJ320" s="153" t="s">
        <v>6</v>
      </c>
    </row>
    <row r="321" spans="1:36" ht="30" customHeight="1">
      <c r="A321" s="92"/>
      <c r="B321" s="92"/>
      <c r="C321" s="92"/>
      <c r="D321" s="92"/>
      <c r="E321" s="92"/>
      <c r="F321" s="92"/>
      <c r="G321" s="92"/>
      <c r="H321" s="92"/>
      <c r="I321" s="92"/>
      <c r="J321" s="92"/>
      <c r="K321" s="92"/>
      <c r="L321" s="92"/>
      <c r="M321" s="92"/>
      <c r="N321" s="155"/>
      <c r="O321" s="157"/>
      <c r="P321" s="92"/>
      <c r="Q321" s="145"/>
      <c r="R321" s="92"/>
      <c r="S321" s="145"/>
      <c r="T321" s="92"/>
      <c r="U321" s="145"/>
      <c r="V321" s="92"/>
      <c r="W321" s="145"/>
      <c r="X321" s="92"/>
      <c r="Y321" s="145"/>
      <c r="Z321" s="92"/>
      <c r="AA321" s="145"/>
      <c r="AB321" s="64"/>
      <c r="AC321" s="145"/>
      <c r="AD321" s="64"/>
      <c r="AE321" s="145"/>
      <c r="AF321" s="196" t="str">
        <f t="shared" si="17"/>
        <v/>
      </c>
      <c r="AG321" s="95" t="b">
        <f t="shared" si="16"/>
        <v>0</v>
      </c>
      <c r="AH321" s="9"/>
      <c r="AI321" s="150">
        <f t="shared" si="18"/>
        <v>0</v>
      </c>
      <c r="AJ321" s="153" t="s">
        <v>6</v>
      </c>
    </row>
    <row r="322" spans="1:36" ht="30" customHeight="1">
      <c r="A322" s="92"/>
      <c r="B322" s="92"/>
      <c r="C322" s="92"/>
      <c r="D322" s="92"/>
      <c r="E322" s="92"/>
      <c r="F322" s="92"/>
      <c r="G322" s="92"/>
      <c r="H322" s="92"/>
      <c r="I322" s="92"/>
      <c r="J322" s="92"/>
      <c r="K322" s="92"/>
      <c r="L322" s="92"/>
      <c r="M322" s="92"/>
      <c r="N322" s="155"/>
      <c r="O322" s="157"/>
      <c r="P322" s="92"/>
      <c r="Q322" s="145"/>
      <c r="R322" s="92"/>
      <c r="S322" s="145"/>
      <c r="T322" s="92"/>
      <c r="U322" s="145"/>
      <c r="V322" s="92"/>
      <c r="W322" s="145"/>
      <c r="X322" s="92"/>
      <c r="Y322" s="145"/>
      <c r="Z322" s="92"/>
      <c r="AA322" s="145"/>
      <c r="AB322" s="64"/>
      <c r="AC322" s="145"/>
      <c r="AD322" s="64"/>
      <c r="AE322" s="145"/>
      <c r="AF322" s="196" t="str">
        <f t="shared" si="17"/>
        <v/>
      </c>
      <c r="AG322" s="95" t="b">
        <f t="shared" si="16"/>
        <v>0</v>
      </c>
      <c r="AH322" s="9"/>
      <c r="AI322" s="150">
        <f t="shared" si="18"/>
        <v>0</v>
      </c>
      <c r="AJ322" s="153" t="s">
        <v>6</v>
      </c>
    </row>
    <row r="323" spans="1:36" ht="30" customHeight="1">
      <c r="A323" s="92"/>
      <c r="B323" s="92"/>
      <c r="C323" s="92"/>
      <c r="D323" s="92"/>
      <c r="E323" s="92"/>
      <c r="F323" s="92"/>
      <c r="G323" s="92"/>
      <c r="H323" s="92"/>
      <c r="I323" s="92"/>
      <c r="J323" s="92"/>
      <c r="K323" s="92"/>
      <c r="L323" s="92"/>
      <c r="M323" s="92"/>
      <c r="N323" s="155"/>
      <c r="O323" s="157"/>
      <c r="P323" s="92"/>
      <c r="Q323" s="145"/>
      <c r="R323" s="92"/>
      <c r="S323" s="145"/>
      <c r="T323" s="92"/>
      <c r="U323" s="145"/>
      <c r="V323" s="92"/>
      <c r="W323" s="145"/>
      <c r="X323" s="92"/>
      <c r="Y323" s="145"/>
      <c r="Z323" s="92"/>
      <c r="AA323" s="145"/>
      <c r="AB323" s="64"/>
      <c r="AC323" s="145"/>
      <c r="AD323" s="64"/>
      <c r="AE323" s="145"/>
      <c r="AF323" s="196" t="str">
        <f t="shared" si="17"/>
        <v/>
      </c>
      <c r="AG323" s="95" t="b">
        <f t="shared" si="16"/>
        <v>0</v>
      </c>
      <c r="AH323" s="9"/>
      <c r="AI323" s="150">
        <f t="shared" si="18"/>
        <v>0</v>
      </c>
      <c r="AJ323" s="153" t="s">
        <v>6</v>
      </c>
    </row>
    <row r="324" spans="1:36" ht="30" customHeight="1">
      <c r="A324" s="92"/>
      <c r="B324" s="92"/>
      <c r="C324" s="92"/>
      <c r="D324" s="92"/>
      <c r="E324" s="92"/>
      <c r="F324" s="92"/>
      <c r="G324" s="92"/>
      <c r="H324" s="92"/>
      <c r="I324" s="92"/>
      <c r="J324" s="92"/>
      <c r="K324" s="92"/>
      <c r="L324" s="92"/>
      <c r="M324" s="92"/>
      <c r="N324" s="155"/>
      <c r="O324" s="157"/>
      <c r="P324" s="92"/>
      <c r="Q324" s="145"/>
      <c r="R324" s="92"/>
      <c r="S324" s="145"/>
      <c r="T324" s="92"/>
      <c r="U324" s="145"/>
      <c r="V324" s="92"/>
      <c r="W324" s="145"/>
      <c r="X324" s="92"/>
      <c r="Y324" s="145"/>
      <c r="Z324" s="92"/>
      <c r="AA324" s="145"/>
      <c r="AB324" s="64"/>
      <c r="AC324" s="145"/>
      <c r="AD324" s="64"/>
      <c r="AE324" s="145"/>
      <c r="AF324" s="196" t="str">
        <f t="shared" si="17"/>
        <v/>
      </c>
      <c r="AG324" s="95" t="b">
        <f t="shared" si="16"/>
        <v>0</v>
      </c>
      <c r="AH324" s="9"/>
      <c r="AI324" s="150">
        <f t="shared" si="18"/>
        <v>0</v>
      </c>
      <c r="AJ324" s="153" t="s">
        <v>6</v>
      </c>
    </row>
    <row r="325" spans="1:36" ht="30" customHeight="1">
      <c r="A325" s="92"/>
      <c r="B325" s="92"/>
      <c r="C325" s="92"/>
      <c r="D325" s="92"/>
      <c r="E325" s="92"/>
      <c r="F325" s="92"/>
      <c r="G325" s="92"/>
      <c r="H325" s="92"/>
      <c r="I325" s="92"/>
      <c r="J325" s="92"/>
      <c r="K325" s="92"/>
      <c r="L325" s="92"/>
      <c r="M325" s="92"/>
      <c r="N325" s="155"/>
      <c r="O325" s="157"/>
      <c r="P325" s="92"/>
      <c r="Q325" s="145"/>
      <c r="R325" s="92"/>
      <c r="S325" s="145"/>
      <c r="T325" s="92"/>
      <c r="U325" s="145"/>
      <c r="V325" s="92"/>
      <c r="W325" s="145"/>
      <c r="X325" s="92"/>
      <c r="Y325" s="145"/>
      <c r="Z325" s="92"/>
      <c r="AA325" s="145"/>
      <c r="AB325" s="64"/>
      <c r="AC325" s="145"/>
      <c r="AD325" s="64"/>
      <c r="AE325" s="145"/>
      <c r="AF325" s="196" t="str">
        <f t="shared" si="17"/>
        <v/>
      </c>
      <c r="AG325" s="95" t="b">
        <f t="shared" si="16"/>
        <v>0</v>
      </c>
      <c r="AH325" s="9"/>
      <c r="AI325" s="150">
        <f t="shared" si="18"/>
        <v>0</v>
      </c>
      <c r="AJ325" s="153" t="s">
        <v>6</v>
      </c>
    </row>
    <row r="326" spans="1:36" ht="30" customHeight="1">
      <c r="A326" s="92"/>
      <c r="B326" s="92"/>
      <c r="C326" s="92"/>
      <c r="D326" s="92"/>
      <c r="E326" s="92"/>
      <c r="F326" s="92"/>
      <c r="G326" s="92"/>
      <c r="H326" s="92"/>
      <c r="I326" s="92"/>
      <c r="J326" s="92"/>
      <c r="K326" s="92"/>
      <c r="L326" s="92"/>
      <c r="M326" s="92"/>
      <c r="N326" s="155"/>
      <c r="O326" s="157"/>
      <c r="P326" s="92"/>
      <c r="Q326" s="145"/>
      <c r="R326" s="92"/>
      <c r="S326" s="145"/>
      <c r="T326" s="92"/>
      <c r="U326" s="145"/>
      <c r="V326" s="92"/>
      <c r="W326" s="145"/>
      <c r="X326" s="92"/>
      <c r="Y326" s="145"/>
      <c r="Z326" s="92"/>
      <c r="AA326" s="145"/>
      <c r="AB326" s="64"/>
      <c r="AC326" s="145"/>
      <c r="AD326" s="64"/>
      <c r="AE326" s="145"/>
      <c r="AF326" s="196" t="str">
        <f t="shared" si="17"/>
        <v/>
      </c>
      <c r="AG326" s="95" t="b">
        <f t="shared" si="16"/>
        <v>0</v>
      </c>
      <c r="AH326" s="9"/>
      <c r="AI326" s="150">
        <f t="shared" si="18"/>
        <v>0</v>
      </c>
      <c r="AJ326" s="153" t="s">
        <v>6</v>
      </c>
    </row>
    <row r="327" spans="1:36" ht="30" customHeight="1">
      <c r="A327" s="92"/>
      <c r="B327" s="92"/>
      <c r="C327" s="92"/>
      <c r="D327" s="92"/>
      <c r="E327" s="92"/>
      <c r="F327" s="92"/>
      <c r="G327" s="92"/>
      <c r="H327" s="92"/>
      <c r="I327" s="92"/>
      <c r="J327" s="92"/>
      <c r="K327" s="92"/>
      <c r="L327" s="92"/>
      <c r="M327" s="92"/>
      <c r="N327" s="155"/>
      <c r="O327" s="157"/>
      <c r="P327" s="92"/>
      <c r="Q327" s="145"/>
      <c r="R327" s="92"/>
      <c r="S327" s="145"/>
      <c r="T327" s="92"/>
      <c r="U327" s="145"/>
      <c r="V327" s="92"/>
      <c r="W327" s="145"/>
      <c r="X327" s="92"/>
      <c r="Y327" s="145"/>
      <c r="Z327" s="92"/>
      <c r="AA327" s="145"/>
      <c r="AB327" s="64"/>
      <c r="AC327" s="145"/>
      <c r="AD327" s="64"/>
      <c r="AE327" s="145"/>
      <c r="AF327" s="196" t="str">
        <f t="shared" si="17"/>
        <v/>
      </c>
      <c r="AG327" s="95" t="b">
        <f t="shared" si="16"/>
        <v>0</v>
      </c>
      <c r="AH327" s="9"/>
      <c r="AI327" s="150">
        <f t="shared" si="18"/>
        <v>0</v>
      </c>
      <c r="AJ327" s="153" t="s">
        <v>6</v>
      </c>
    </row>
    <row r="328" spans="1:36" ht="30" customHeight="1">
      <c r="A328" s="92"/>
      <c r="B328" s="92"/>
      <c r="C328" s="92"/>
      <c r="D328" s="92"/>
      <c r="E328" s="92"/>
      <c r="F328" s="92"/>
      <c r="G328" s="92"/>
      <c r="H328" s="92"/>
      <c r="I328" s="92"/>
      <c r="J328" s="92"/>
      <c r="K328" s="92"/>
      <c r="L328" s="92"/>
      <c r="M328" s="92"/>
      <c r="N328" s="155"/>
      <c r="O328" s="157"/>
      <c r="P328" s="92"/>
      <c r="Q328" s="145"/>
      <c r="R328" s="92"/>
      <c r="S328" s="145"/>
      <c r="T328" s="92"/>
      <c r="U328" s="145"/>
      <c r="V328" s="92"/>
      <c r="W328" s="145"/>
      <c r="X328" s="92"/>
      <c r="Y328" s="145"/>
      <c r="Z328" s="92"/>
      <c r="AA328" s="145"/>
      <c r="AB328" s="64"/>
      <c r="AC328" s="145"/>
      <c r="AD328" s="64"/>
      <c r="AE328" s="145"/>
      <c r="AF328" s="196" t="str">
        <f t="shared" si="17"/>
        <v/>
      </c>
      <c r="AG328" s="95" t="b">
        <f t="shared" si="16"/>
        <v>0</v>
      </c>
      <c r="AH328" s="9"/>
      <c r="AI328" s="150">
        <f t="shared" si="18"/>
        <v>0</v>
      </c>
      <c r="AJ328" s="153" t="s">
        <v>6</v>
      </c>
    </row>
    <row r="329" spans="1:36" ht="30" customHeight="1">
      <c r="A329" s="92"/>
      <c r="B329" s="92"/>
      <c r="C329" s="92"/>
      <c r="D329" s="92"/>
      <c r="E329" s="92"/>
      <c r="F329" s="92"/>
      <c r="G329" s="92"/>
      <c r="H329" s="92"/>
      <c r="I329" s="92"/>
      <c r="J329" s="92"/>
      <c r="K329" s="92"/>
      <c r="L329" s="92"/>
      <c r="M329" s="92"/>
      <c r="N329" s="155"/>
      <c r="O329" s="157"/>
      <c r="P329" s="92"/>
      <c r="Q329" s="145"/>
      <c r="R329" s="92"/>
      <c r="S329" s="145"/>
      <c r="T329" s="92"/>
      <c r="U329" s="145"/>
      <c r="V329" s="92"/>
      <c r="W329" s="145"/>
      <c r="X329" s="92"/>
      <c r="Y329" s="145"/>
      <c r="Z329" s="92"/>
      <c r="AA329" s="145"/>
      <c r="AB329" s="64"/>
      <c r="AC329" s="145"/>
      <c r="AD329" s="64"/>
      <c r="AE329" s="145"/>
      <c r="AF329" s="196" t="str">
        <f t="shared" si="17"/>
        <v/>
      </c>
      <c r="AG329" s="95" t="b">
        <f t="shared" si="16"/>
        <v>0</v>
      </c>
      <c r="AH329" s="9"/>
      <c r="AI329" s="150">
        <f t="shared" si="18"/>
        <v>0</v>
      </c>
      <c r="AJ329" s="153" t="s">
        <v>6</v>
      </c>
    </row>
    <row r="330" spans="1:36" ht="30" customHeight="1">
      <c r="A330" s="92"/>
      <c r="B330" s="92"/>
      <c r="C330" s="92"/>
      <c r="D330" s="92"/>
      <c r="E330" s="92"/>
      <c r="F330" s="92"/>
      <c r="G330" s="92"/>
      <c r="H330" s="92"/>
      <c r="I330" s="92"/>
      <c r="J330" s="92"/>
      <c r="K330" s="92"/>
      <c r="L330" s="92"/>
      <c r="M330" s="92"/>
      <c r="N330" s="155"/>
      <c r="O330" s="157"/>
      <c r="P330" s="92"/>
      <c r="Q330" s="145"/>
      <c r="R330" s="92"/>
      <c r="S330" s="145"/>
      <c r="T330" s="92"/>
      <c r="U330" s="145"/>
      <c r="V330" s="92"/>
      <c r="W330" s="145"/>
      <c r="X330" s="92"/>
      <c r="Y330" s="145"/>
      <c r="Z330" s="92"/>
      <c r="AA330" s="145"/>
      <c r="AB330" s="64"/>
      <c r="AC330" s="145"/>
      <c r="AD330" s="64"/>
      <c r="AE330" s="145"/>
      <c r="AF330" s="196" t="str">
        <f t="shared" si="17"/>
        <v/>
      </c>
      <c r="AG330" s="95" t="b">
        <f t="shared" ref="AG330:AG393" si="19">IF(AND(AE330="C",AF330="C"),"UTILIZOU O PDA CORRETAMENTE",IF(AND(AE330="C",AF330="NC"),"UTILIZOU O PDA CORRETAMENTE. NÃO HÁ FOTOS DE TODAS AS ETAPAS",IF(AND(AE330="NC",AF330="NC"),"NÃO UTILIZOU O PDA",IF(AND(AE330="NA",AF330="NA"),"NÃO AVALIADO POR FALHA DE SINCRONISMO"))))</f>
        <v>0</v>
      </c>
      <c r="AH330" s="9"/>
      <c r="AI330" s="150">
        <f t="shared" si="18"/>
        <v>0</v>
      </c>
      <c r="AJ330" s="153" t="s">
        <v>6</v>
      </c>
    </row>
    <row r="331" spans="1:36" ht="30" customHeight="1">
      <c r="A331" s="92"/>
      <c r="B331" s="92"/>
      <c r="C331" s="92"/>
      <c r="D331" s="92"/>
      <c r="E331" s="92"/>
      <c r="F331" s="92"/>
      <c r="G331" s="92"/>
      <c r="H331" s="92"/>
      <c r="I331" s="92"/>
      <c r="J331" s="92"/>
      <c r="K331" s="92"/>
      <c r="L331" s="92"/>
      <c r="M331" s="92"/>
      <c r="N331" s="155"/>
      <c r="O331" s="157"/>
      <c r="P331" s="92"/>
      <c r="Q331" s="145"/>
      <c r="R331" s="92"/>
      <c r="S331" s="145"/>
      <c r="T331" s="92"/>
      <c r="U331" s="145"/>
      <c r="V331" s="92"/>
      <c r="W331" s="145"/>
      <c r="X331" s="92"/>
      <c r="Y331" s="145"/>
      <c r="Z331" s="92"/>
      <c r="AA331" s="145"/>
      <c r="AB331" s="64"/>
      <c r="AC331" s="145"/>
      <c r="AD331" s="64"/>
      <c r="AE331" s="145"/>
      <c r="AF331" s="196" t="str">
        <f t="shared" ref="AF331:AF394" si="20">IF(AND(O331="",Q331="",S331="",U331="",W331="",Y331="",AA331="",AC331=""),"",
IF(OR(    AND(O331&lt;&gt;"NA",O331&lt;&gt;"C",O331&lt;&gt;"NC",O331&lt;&gt;"SF",O331&lt;&gt;""),
    AND(Q331&lt;&gt;"NA",Q331&lt;&gt;"C",Q331&lt;&gt;"NC",Q331&lt;&gt;"SF",Q331&lt;&gt;""),
    AND(S331&lt;&gt;"NA",S331&lt;&gt;"C",S331&lt;&gt;"NC",S331&lt;&gt;"SF",S331&lt;&gt;""),
    AND(U331&lt;&gt;"NA",U331&lt;&gt;"C",U331&lt;&gt;"NC",U331&lt;&gt;"SF",U331&lt;&gt;""),
    AND(W331&lt;&gt;"NA",W331&lt;&gt;"C",W331&lt;&gt;"NC",W331&lt;&gt;"SF",W331&lt;&gt;""),
    AND(Y331&lt;&gt;"NA",Y331&lt;&gt;"C",Y331&lt;&gt;"NC",Y331&lt;&gt;"SF",Y331&lt;&gt;""),
    AND(AA331&lt;&gt;"NA",AA331&lt;&gt;"C",AA331&lt;&gt;"NC",AA331&lt;&gt;"SF",AA331&lt;&gt;""),
    AND(AC331&lt;&gt;"NA",AC331&lt;&gt;"C",AC331&lt;&gt;"NC",AC331&lt;&gt;"SF",AC331&lt;&gt;"")
),"FALSO",
IF(AND(O331="NA",Q331="NA",S331="NA",U331="NA",W331="NA",Y331="NA",AA331="NA",AC331="NA"),"NA",
IF(OR(O331="NC",Q331="NC",S331="NC",U331="NC",W331="NC",Y331="NC",AA331="NC",AC331="NC",
       O331="SF",Q331="SF",S331="SF",U331="SF",W331="SF",Y331="SF",AA331="SF",AC331="SF"),"NC",
IF(SUM(IF(O331="C",1,0),IF(Q331="C",1,0),IF(S331="C",1,0),IF(U331="C",1,0),IF(W331="C",1,0),IF(Y331="C",1,0),IF(AA331="C",1,0),IF(AC331="C",1,0))=1,"C","C")))))</f>
        <v/>
      </c>
      <c r="AG331" s="95" t="b">
        <f t="shared" si="19"/>
        <v>0</v>
      </c>
      <c r="AH331" s="9"/>
      <c r="AI331" s="150">
        <f t="shared" si="18"/>
        <v>0</v>
      </c>
      <c r="AJ331" s="153" t="s">
        <v>6</v>
      </c>
    </row>
    <row r="332" spans="1:36" ht="30" customHeight="1">
      <c r="A332" s="92"/>
      <c r="B332" s="92"/>
      <c r="C332" s="92"/>
      <c r="D332" s="92"/>
      <c r="E332" s="92"/>
      <c r="F332" s="92"/>
      <c r="G332" s="92"/>
      <c r="H332" s="92"/>
      <c r="I332" s="92"/>
      <c r="J332" s="92"/>
      <c r="K332" s="92"/>
      <c r="L332" s="92"/>
      <c r="M332" s="92"/>
      <c r="N332" s="155"/>
      <c r="O332" s="157"/>
      <c r="P332" s="92"/>
      <c r="Q332" s="145"/>
      <c r="R332" s="92"/>
      <c r="S332" s="145"/>
      <c r="T332" s="92"/>
      <c r="U332" s="145"/>
      <c r="V332" s="92"/>
      <c r="W332" s="145"/>
      <c r="X332" s="92"/>
      <c r="Y332" s="145"/>
      <c r="Z332" s="92"/>
      <c r="AA332" s="145"/>
      <c r="AB332" s="64"/>
      <c r="AC332" s="145"/>
      <c r="AD332" s="64"/>
      <c r="AE332" s="145"/>
      <c r="AF332" s="196" t="str">
        <f t="shared" si="20"/>
        <v/>
      </c>
      <c r="AG332" s="95" t="b">
        <f t="shared" si="19"/>
        <v>0</v>
      </c>
      <c r="AH332" s="9"/>
      <c r="AI332" s="150">
        <f t="shared" si="18"/>
        <v>0</v>
      </c>
      <c r="AJ332" s="153" t="s">
        <v>6</v>
      </c>
    </row>
    <row r="333" spans="1:36" ht="30" customHeight="1">
      <c r="A333" s="92"/>
      <c r="B333" s="92"/>
      <c r="C333" s="92"/>
      <c r="D333" s="92"/>
      <c r="E333" s="92"/>
      <c r="F333" s="92"/>
      <c r="G333" s="92"/>
      <c r="H333" s="92"/>
      <c r="I333" s="92"/>
      <c r="J333" s="92"/>
      <c r="K333" s="92"/>
      <c r="L333" s="92"/>
      <c r="M333" s="92"/>
      <c r="N333" s="155"/>
      <c r="O333" s="157"/>
      <c r="P333" s="92"/>
      <c r="Q333" s="145"/>
      <c r="R333" s="92"/>
      <c r="S333" s="145"/>
      <c r="T333" s="92"/>
      <c r="U333" s="145"/>
      <c r="V333" s="92"/>
      <c r="W333" s="145"/>
      <c r="X333" s="92"/>
      <c r="Y333" s="145"/>
      <c r="Z333" s="92"/>
      <c r="AA333" s="145"/>
      <c r="AB333" s="64"/>
      <c r="AC333" s="145"/>
      <c r="AD333" s="64"/>
      <c r="AE333" s="145"/>
      <c r="AF333" s="196" t="str">
        <f t="shared" si="20"/>
        <v/>
      </c>
      <c r="AG333" s="95" t="b">
        <f t="shared" si="19"/>
        <v>0</v>
      </c>
      <c r="AH333" s="9"/>
      <c r="AI333" s="150">
        <f t="shared" si="18"/>
        <v>0</v>
      </c>
      <c r="AJ333" s="153" t="s">
        <v>6</v>
      </c>
    </row>
    <row r="334" spans="1:36" ht="30" customHeight="1">
      <c r="A334" s="92"/>
      <c r="B334" s="92"/>
      <c r="C334" s="92"/>
      <c r="D334" s="92"/>
      <c r="E334" s="92"/>
      <c r="F334" s="92"/>
      <c r="G334" s="92"/>
      <c r="H334" s="92"/>
      <c r="I334" s="92"/>
      <c r="J334" s="92"/>
      <c r="K334" s="92"/>
      <c r="L334" s="92"/>
      <c r="M334" s="92"/>
      <c r="N334" s="155"/>
      <c r="O334" s="157"/>
      <c r="P334" s="92"/>
      <c r="Q334" s="145"/>
      <c r="R334" s="92"/>
      <c r="S334" s="145"/>
      <c r="T334" s="92"/>
      <c r="U334" s="145"/>
      <c r="V334" s="92"/>
      <c r="W334" s="145"/>
      <c r="X334" s="92"/>
      <c r="Y334" s="145"/>
      <c r="Z334" s="92"/>
      <c r="AA334" s="145"/>
      <c r="AB334" s="64"/>
      <c r="AC334" s="145"/>
      <c r="AD334" s="64"/>
      <c r="AE334" s="145"/>
      <c r="AF334" s="196" t="str">
        <f t="shared" si="20"/>
        <v/>
      </c>
      <c r="AG334" s="95" t="b">
        <f t="shared" si="19"/>
        <v>0</v>
      </c>
      <c r="AH334" s="9"/>
      <c r="AI334" s="150">
        <f t="shared" si="18"/>
        <v>0</v>
      </c>
      <c r="AJ334" s="153" t="s">
        <v>6</v>
      </c>
    </row>
    <row r="335" spans="1:36" ht="30" customHeight="1">
      <c r="A335" s="92"/>
      <c r="B335" s="92"/>
      <c r="C335" s="92"/>
      <c r="D335" s="92"/>
      <c r="E335" s="92"/>
      <c r="F335" s="92"/>
      <c r="G335" s="92"/>
      <c r="H335" s="92"/>
      <c r="I335" s="92"/>
      <c r="J335" s="92"/>
      <c r="K335" s="92"/>
      <c r="L335" s="92"/>
      <c r="M335" s="92"/>
      <c r="N335" s="155"/>
      <c r="O335" s="157"/>
      <c r="P335" s="92"/>
      <c r="Q335" s="145"/>
      <c r="R335" s="92"/>
      <c r="S335" s="145"/>
      <c r="T335" s="92"/>
      <c r="U335" s="145"/>
      <c r="V335" s="92"/>
      <c r="W335" s="145"/>
      <c r="X335" s="92"/>
      <c r="Y335" s="145"/>
      <c r="Z335" s="92"/>
      <c r="AA335" s="145"/>
      <c r="AB335" s="64"/>
      <c r="AC335" s="145"/>
      <c r="AD335" s="64"/>
      <c r="AE335" s="145"/>
      <c r="AF335" s="196" t="str">
        <f t="shared" si="20"/>
        <v/>
      </c>
      <c r="AG335" s="95" t="b">
        <f t="shared" si="19"/>
        <v>0</v>
      </c>
      <c r="AH335" s="9"/>
      <c r="AI335" s="150">
        <f t="shared" si="18"/>
        <v>0</v>
      </c>
      <c r="AJ335" s="153" t="s">
        <v>6</v>
      </c>
    </row>
    <row r="336" spans="1:36" ht="30" customHeight="1">
      <c r="A336" s="92"/>
      <c r="B336" s="92"/>
      <c r="C336" s="92"/>
      <c r="D336" s="92"/>
      <c r="E336" s="92"/>
      <c r="F336" s="92"/>
      <c r="G336" s="92"/>
      <c r="H336" s="92"/>
      <c r="I336" s="92"/>
      <c r="J336" s="92"/>
      <c r="K336" s="92"/>
      <c r="L336" s="92"/>
      <c r="M336" s="92"/>
      <c r="N336" s="155"/>
      <c r="O336" s="157"/>
      <c r="P336" s="92"/>
      <c r="Q336" s="145"/>
      <c r="R336" s="92"/>
      <c r="S336" s="145"/>
      <c r="T336" s="92"/>
      <c r="U336" s="145"/>
      <c r="V336" s="92"/>
      <c r="W336" s="145"/>
      <c r="X336" s="92"/>
      <c r="Y336" s="145"/>
      <c r="Z336" s="92"/>
      <c r="AA336" s="145"/>
      <c r="AB336" s="64"/>
      <c r="AC336" s="145"/>
      <c r="AD336" s="64"/>
      <c r="AE336" s="145"/>
      <c r="AF336" s="196" t="str">
        <f t="shared" si="20"/>
        <v/>
      </c>
      <c r="AG336" s="95" t="b">
        <f t="shared" si="19"/>
        <v>0</v>
      </c>
      <c r="AH336" s="9"/>
      <c r="AI336" s="150">
        <f t="shared" si="18"/>
        <v>0</v>
      </c>
      <c r="AJ336" s="153" t="s">
        <v>6</v>
      </c>
    </row>
    <row r="337" spans="1:36" ht="30" customHeight="1">
      <c r="A337" s="92"/>
      <c r="B337" s="92"/>
      <c r="C337" s="92"/>
      <c r="D337" s="92"/>
      <c r="E337" s="92"/>
      <c r="F337" s="92"/>
      <c r="G337" s="92"/>
      <c r="H337" s="92"/>
      <c r="I337" s="92"/>
      <c r="J337" s="92"/>
      <c r="K337" s="92"/>
      <c r="L337" s="92"/>
      <c r="M337" s="92"/>
      <c r="N337" s="155"/>
      <c r="O337" s="157"/>
      <c r="P337" s="92"/>
      <c r="Q337" s="145"/>
      <c r="R337" s="92"/>
      <c r="S337" s="145"/>
      <c r="T337" s="92"/>
      <c r="U337" s="145"/>
      <c r="V337" s="92"/>
      <c r="W337" s="145"/>
      <c r="X337" s="92"/>
      <c r="Y337" s="145"/>
      <c r="Z337" s="92"/>
      <c r="AA337" s="145"/>
      <c r="AB337" s="64"/>
      <c r="AC337" s="145"/>
      <c r="AD337" s="64"/>
      <c r="AE337" s="145"/>
      <c r="AF337" s="196" t="str">
        <f t="shared" si="20"/>
        <v/>
      </c>
      <c r="AG337" s="95" t="b">
        <f t="shared" si="19"/>
        <v>0</v>
      </c>
      <c r="AH337" s="9"/>
      <c r="AI337" s="150">
        <f t="shared" si="18"/>
        <v>0</v>
      </c>
      <c r="AJ337" s="153" t="s">
        <v>6</v>
      </c>
    </row>
    <row r="338" spans="1:36" ht="30" customHeight="1">
      <c r="A338" s="92"/>
      <c r="B338" s="92"/>
      <c r="C338" s="92"/>
      <c r="D338" s="92"/>
      <c r="E338" s="92"/>
      <c r="F338" s="92"/>
      <c r="G338" s="92"/>
      <c r="H338" s="92"/>
      <c r="I338" s="92"/>
      <c r="J338" s="92"/>
      <c r="K338" s="92"/>
      <c r="L338" s="92"/>
      <c r="M338" s="92"/>
      <c r="N338" s="155"/>
      <c r="O338" s="157"/>
      <c r="P338" s="92"/>
      <c r="Q338" s="145"/>
      <c r="R338" s="92"/>
      <c r="S338" s="145"/>
      <c r="T338" s="92"/>
      <c r="U338" s="145"/>
      <c r="V338" s="92"/>
      <c r="W338" s="145"/>
      <c r="X338" s="92"/>
      <c r="Y338" s="145"/>
      <c r="Z338" s="92"/>
      <c r="AA338" s="145"/>
      <c r="AB338" s="64"/>
      <c r="AC338" s="145"/>
      <c r="AD338" s="64"/>
      <c r="AE338" s="145"/>
      <c r="AF338" s="196" t="str">
        <f t="shared" si="20"/>
        <v/>
      </c>
      <c r="AG338" s="95" t="b">
        <f t="shared" si="19"/>
        <v>0</v>
      </c>
      <c r="AH338" s="9"/>
      <c r="AI338" s="150">
        <f t="shared" si="18"/>
        <v>0</v>
      </c>
      <c r="AJ338" s="153" t="s">
        <v>6</v>
      </c>
    </row>
    <row r="339" spans="1:36" ht="30" customHeight="1">
      <c r="A339" s="92"/>
      <c r="B339" s="92"/>
      <c r="C339" s="92"/>
      <c r="D339" s="92"/>
      <c r="E339" s="92"/>
      <c r="F339" s="92"/>
      <c r="G339" s="92"/>
      <c r="H339" s="92"/>
      <c r="I339" s="92"/>
      <c r="J339" s="92"/>
      <c r="K339" s="92"/>
      <c r="L339" s="92"/>
      <c r="M339" s="92"/>
      <c r="N339" s="155"/>
      <c r="O339" s="157"/>
      <c r="P339" s="92"/>
      <c r="Q339" s="145"/>
      <c r="R339" s="92"/>
      <c r="S339" s="145"/>
      <c r="T339" s="92"/>
      <c r="U339" s="145"/>
      <c r="V339" s="92"/>
      <c r="W339" s="145"/>
      <c r="X339" s="92"/>
      <c r="Y339" s="145"/>
      <c r="Z339" s="92"/>
      <c r="AA339" s="145"/>
      <c r="AB339" s="64"/>
      <c r="AC339" s="145"/>
      <c r="AD339" s="64"/>
      <c r="AE339" s="145"/>
      <c r="AF339" s="196" t="str">
        <f t="shared" si="20"/>
        <v/>
      </c>
      <c r="AG339" s="95" t="b">
        <f t="shared" si="19"/>
        <v>0</v>
      </c>
      <c r="AH339" s="9"/>
      <c r="AI339" s="150">
        <f t="shared" si="18"/>
        <v>0</v>
      </c>
      <c r="AJ339" s="153" t="s">
        <v>6</v>
      </c>
    </row>
    <row r="340" spans="1:36" ht="30" customHeight="1">
      <c r="A340" s="92"/>
      <c r="B340" s="92"/>
      <c r="C340" s="92"/>
      <c r="D340" s="92"/>
      <c r="E340" s="92"/>
      <c r="F340" s="92"/>
      <c r="G340" s="92"/>
      <c r="H340" s="92"/>
      <c r="I340" s="92"/>
      <c r="J340" s="92"/>
      <c r="K340" s="92"/>
      <c r="L340" s="92"/>
      <c r="M340" s="92"/>
      <c r="N340" s="155"/>
      <c r="O340" s="157"/>
      <c r="P340" s="92"/>
      <c r="Q340" s="145"/>
      <c r="R340" s="92"/>
      <c r="S340" s="145"/>
      <c r="T340" s="92"/>
      <c r="U340" s="145"/>
      <c r="V340" s="92"/>
      <c r="W340" s="145"/>
      <c r="X340" s="92"/>
      <c r="Y340" s="145"/>
      <c r="Z340" s="92"/>
      <c r="AA340" s="145"/>
      <c r="AB340" s="64"/>
      <c r="AC340" s="145"/>
      <c r="AD340" s="64"/>
      <c r="AE340" s="145"/>
      <c r="AF340" s="196" t="str">
        <f t="shared" si="20"/>
        <v/>
      </c>
      <c r="AG340" s="95" t="b">
        <f t="shared" si="19"/>
        <v>0</v>
      </c>
      <c r="AH340" s="9"/>
      <c r="AI340" s="150">
        <f t="shared" si="18"/>
        <v>0</v>
      </c>
      <c r="AJ340" s="153" t="s">
        <v>6</v>
      </c>
    </row>
    <row r="341" spans="1:36" ht="30" customHeight="1">
      <c r="A341" s="92"/>
      <c r="B341" s="92"/>
      <c r="C341" s="92"/>
      <c r="D341" s="92"/>
      <c r="E341" s="92"/>
      <c r="F341" s="92"/>
      <c r="G341" s="92"/>
      <c r="H341" s="92"/>
      <c r="I341" s="92"/>
      <c r="J341" s="92"/>
      <c r="K341" s="92"/>
      <c r="L341" s="92"/>
      <c r="M341" s="92"/>
      <c r="N341" s="155"/>
      <c r="O341" s="157"/>
      <c r="P341" s="92"/>
      <c r="Q341" s="145"/>
      <c r="R341" s="92"/>
      <c r="S341" s="145"/>
      <c r="T341" s="92"/>
      <c r="U341" s="145"/>
      <c r="V341" s="92"/>
      <c r="W341" s="145"/>
      <c r="X341" s="92"/>
      <c r="Y341" s="145"/>
      <c r="Z341" s="92"/>
      <c r="AA341" s="145"/>
      <c r="AB341" s="64"/>
      <c r="AC341" s="145"/>
      <c r="AD341" s="64"/>
      <c r="AE341" s="145"/>
      <c r="AF341" s="196" t="str">
        <f t="shared" si="20"/>
        <v/>
      </c>
      <c r="AG341" s="95" t="b">
        <f t="shared" si="19"/>
        <v>0</v>
      </c>
      <c r="AH341" s="9"/>
      <c r="AI341" s="150">
        <f t="shared" si="18"/>
        <v>0</v>
      </c>
      <c r="AJ341" s="153" t="s">
        <v>6</v>
      </c>
    </row>
    <row r="342" spans="1:36" ht="30" customHeight="1">
      <c r="A342" s="92"/>
      <c r="B342" s="92"/>
      <c r="C342" s="92"/>
      <c r="D342" s="92"/>
      <c r="E342" s="92"/>
      <c r="F342" s="92"/>
      <c r="G342" s="92"/>
      <c r="H342" s="92"/>
      <c r="I342" s="92"/>
      <c r="J342" s="92"/>
      <c r="K342" s="92"/>
      <c r="L342" s="92"/>
      <c r="M342" s="92"/>
      <c r="N342" s="155"/>
      <c r="O342" s="157"/>
      <c r="P342" s="92"/>
      <c r="Q342" s="145"/>
      <c r="R342" s="92"/>
      <c r="S342" s="145"/>
      <c r="T342" s="92"/>
      <c r="U342" s="145"/>
      <c r="V342" s="92"/>
      <c r="W342" s="145"/>
      <c r="X342" s="92"/>
      <c r="Y342" s="145"/>
      <c r="Z342" s="92"/>
      <c r="AA342" s="145"/>
      <c r="AB342" s="64"/>
      <c r="AC342" s="145"/>
      <c r="AD342" s="64"/>
      <c r="AE342" s="145"/>
      <c r="AF342" s="196" t="str">
        <f t="shared" si="20"/>
        <v/>
      </c>
      <c r="AG342" s="95" t="b">
        <f t="shared" si="19"/>
        <v>0</v>
      </c>
      <c r="AH342" s="9"/>
      <c r="AI342" s="150">
        <f t="shared" si="18"/>
        <v>0</v>
      </c>
      <c r="AJ342" s="153" t="s">
        <v>6</v>
      </c>
    </row>
    <row r="343" spans="1:36" ht="30" customHeight="1">
      <c r="A343" s="92"/>
      <c r="B343" s="92"/>
      <c r="C343" s="92"/>
      <c r="D343" s="92"/>
      <c r="E343" s="92"/>
      <c r="F343" s="92"/>
      <c r="G343" s="92"/>
      <c r="H343" s="92"/>
      <c r="I343" s="92"/>
      <c r="J343" s="92"/>
      <c r="K343" s="92"/>
      <c r="L343" s="92"/>
      <c r="M343" s="92"/>
      <c r="N343" s="155"/>
      <c r="O343" s="157"/>
      <c r="P343" s="92"/>
      <c r="Q343" s="145"/>
      <c r="R343" s="92"/>
      <c r="S343" s="145"/>
      <c r="T343" s="92"/>
      <c r="U343" s="145"/>
      <c r="V343" s="92"/>
      <c r="W343" s="145"/>
      <c r="X343" s="92"/>
      <c r="Y343" s="145"/>
      <c r="Z343" s="92"/>
      <c r="AA343" s="145"/>
      <c r="AB343" s="64"/>
      <c r="AC343" s="145"/>
      <c r="AD343" s="64"/>
      <c r="AE343" s="145"/>
      <c r="AF343" s="196" t="str">
        <f t="shared" si="20"/>
        <v/>
      </c>
      <c r="AG343" s="95" t="b">
        <f t="shared" si="19"/>
        <v>0</v>
      </c>
      <c r="AH343" s="9"/>
      <c r="AI343" s="150">
        <f t="shared" si="18"/>
        <v>0</v>
      </c>
      <c r="AJ343" s="153" t="s">
        <v>6</v>
      </c>
    </row>
    <row r="344" spans="1:36" ht="30" customHeight="1">
      <c r="A344" s="92"/>
      <c r="B344" s="92"/>
      <c r="C344" s="92"/>
      <c r="D344" s="92"/>
      <c r="E344" s="92"/>
      <c r="F344" s="92"/>
      <c r="G344" s="92"/>
      <c r="H344" s="92"/>
      <c r="I344" s="92"/>
      <c r="J344" s="92"/>
      <c r="K344" s="92"/>
      <c r="L344" s="92"/>
      <c r="M344" s="92"/>
      <c r="N344" s="155"/>
      <c r="O344" s="157"/>
      <c r="P344" s="92"/>
      <c r="Q344" s="145"/>
      <c r="R344" s="92"/>
      <c r="S344" s="145"/>
      <c r="T344" s="92"/>
      <c r="U344" s="145"/>
      <c r="V344" s="92"/>
      <c r="W344" s="145"/>
      <c r="X344" s="92"/>
      <c r="Y344" s="145"/>
      <c r="Z344" s="92"/>
      <c r="AA344" s="145"/>
      <c r="AB344" s="64"/>
      <c r="AC344" s="145"/>
      <c r="AD344" s="64"/>
      <c r="AE344" s="145"/>
      <c r="AF344" s="196" t="str">
        <f t="shared" si="20"/>
        <v/>
      </c>
      <c r="AG344" s="95" t="b">
        <f t="shared" si="19"/>
        <v>0</v>
      </c>
      <c r="AH344" s="9"/>
      <c r="AI344" s="150">
        <f t="shared" si="18"/>
        <v>0</v>
      </c>
      <c r="AJ344" s="153" t="s">
        <v>6</v>
      </c>
    </row>
    <row r="345" spans="1:36" ht="30" customHeight="1">
      <c r="A345" s="92"/>
      <c r="B345" s="92"/>
      <c r="C345" s="92"/>
      <c r="D345" s="92"/>
      <c r="E345" s="92"/>
      <c r="F345" s="92"/>
      <c r="G345" s="92"/>
      <c r="H345" s="92"/>
      <c r="I345" s="92"/>
      <c r="J345" s="92"/>
      <c r="K345" s="92"/>
      <c r="L345" s="92"/>
      <c r="M345" s="92"/>
      <c r="N345" s="155"/>
      <c r="O345" s="157"/>
      <c r="P345" s="92"/>
      <c r="Q345" s="145"/>
      <c r="R345" s="92"/>
      <c r="S345" s="145"/>
      <c r="T345" s="92"/>
      <c r="U345" s="145"/>
      <c r="V345" s="92"/>
      <c r="W345" s="145"/>
      <c r="X345" s="92"/>
      <c r="Y345" s="145"/>
      <c r="Z345" s="92"/>
      <c r="AA345" s="145"/>
      <c r="AB345" s="64"/>
      <c r="AC345" s="145"/>
      <c r="AD345" s="64"/>
      <c r="AE345" s="145"/>
      <c r="AF345" s="196" t="str">
        <f t="shared" si="20"/>
        <v/>
      </c>
      <c r="AG345" s="95" t="b">
        <f t="shared" si="19"/>
        <v>0</v>
      </c>
      <c r="AH345" s="9"/>
      <c r="AI345" s="150">
        <f t="shared" si="18"/>
        <v>0</v>
      </c>
      <c r="AJ345" s="153" t="s">
        <v>6</v>
      </c>
    </row>
    <row r="346" spans="1:36" ht="30" customHeight="1">
      <c r="A346" s="92"/>
      <c r="B346" s="92"/>
      <c r="C346" s="92"/>
      <c r="D346" s="92"/>
      <c r="E346" s="92"/>
      <c r="F346" s="92"/>
      <c r="G346" s="92"/>
      <c r="H346" s="92"/>
      <c r="I346" s="92"/>
      <c r="J346" s="92"/>
      <c r="K346" s="92"/>
      <c r="L346" s="92"/>
      <c r="M346" s="92"/>
      <c r="N346" s="155"/>
      <c r="O346" s="157"/>
      <c r="P346" s="92"/>
      <c r="Q346" s="145"/>
      <c r="R346" s="92"/>
      <c r="S346" s="145"/>
      <c r="T346" s="92"/>
      <c r="U346" s="145"/>
      <c r="V346" s="92"/>
      <c r="W346" s="145"/>
      <c r="X346" s="92"/>
      <c r="Y346" s="145"/>
      <c r="Z346" s="92"/>
      <c r="AA346" s="145"/>
      <c r="AB346" s="64"/>
      <c r="AC346" s="145"/>
      <c r="AD346" s="64"/>
      <c r="AE346" s="145"/>
      <c r="AF346" s="196" t="str">
        <f t="shared" si="20"/>
        <v/>
      </c>
      <c r="AG346" s="95" t="b">
        <f t="shared" si="19"/>
        <v>0</v>
      </c>
      <c r="AH346" s="9"/>
      <c r="AI346" s="150">
        <f t="shared" si="18"/>
        <v>0</v>
      </c>
      <c r="AJ346" s="153" t="s">
        <v>6</v>
      </c>
    </row>
    <row r="347" spans="1:36" ht="30" customHeight="1">
      <c r="A347" s="92"/>
      <c r="B347" s="92"/>
      <c r="C347" s="92"/>
      <c r="D347" s="92"/>
      <c r="E347" s="92"/>
      <c r="F347" s="92"/>
      <c r="G347" s="92"/>
      <c r="H347" s="92"/>
      <c r="I347" s="92"/>
      <c r="J347" s="92"/>
      <c r="K347" s="92"/>
      <c r="L347" s="92"/>
      <c r="M347" s="92"/>
      <c r="N347" s="155"/>
      <c r="O347" s="157"/>
      <c r="P347" s="92"/>
      <c r="Q347" s="145"/>
      <c r="R347" s="92"/>
      <c r="S347" s="145"/>
      <c r="T347" s="92"/>
      <c r="U347" s="145"/>
      <c r="V347" s="92"/>
      <c r="W347" s="145"/>
      <c r="X347" s="92"/>
      <c r="Y347" s="145"/>
      <c r="Z347" s="92"/>
      <c r="AA347" s="145"/>
      <c r="AB347" s="64"/>
      <c r="AC347" s="145"/>
      <c r="AD347" s="64"/>
      <c r="AE347" s="145"/>
      <c r="AF347" s="196" t="str">
        <f t="shared" si="20"/>
        <v/>
      </c>
      <c r="AG347" s="95" t="b">
        <f t="shared" si="19"/>
        <v>0</v>
      </c>
      <c r="AH347" s="9"/>
      <c r="AI347" s="150">
        <f t="shared" si="18"/>
        <v>0</v>
      </c>
      <c r="AJ347" s="153" t="s">
        <v>6</v>
      </c>
    </row>
    <row r="348" spans="1:36" ht="30" customHeight="1">
      <c r="A348" s="92"/>
      <c r="B348" s="92"/>
      <c r="C348" s="92"/>
      <c r="D348" s="92"/>
      <c r="E348" s="92"/>
      <c r="F348" s="92"/>
      <c r="G348" s="92"/>
      <c r="H348" s="92"/>
      <c r="I348" s="92"/>
      <c r="J348" s="92"/>
      <c r="K348" s="92"/>
      <c r="L348" s="92"/>
      <c r="M348" s="92"/>
      <c r="N348" s="155"/>
      <c r="O348" s="157"/>
      <c r="P348" s="92"/>
      <c r="Q348" s="145"/>
      <c r="R348" s="92"/>
      <c r="S348" s="145"/>
      <c r="T348" s="92"/>
      <c r="U348" s="145"/>
      <c r="V348" s="92"/>
      <c r="W348" s="145"/>
      <c r="X348" s="92"/>
      <c r="Y348" s="145"/>
      <c r="Z348" s="92"/>
      <c r="AA348" s="145"/>
      <c r="AB348" s="64"/>
      <c r="AC348" s="145"/>
      <c r="AD348" s="64"/>
      <c r="AE348" s="145"/>
      <c r="AF348" s="196" t="str">
        <f t="shared" si="20"/>
        <v/>
      </c>
      <c r="AG348" s="95" t="b">
        <f t="shared" si="19"/>
        <v>0</v>
      </c>
      <c r="AH348" s="9"/>
      <c r="AI348" s="150">
        <f t="shared" si="18"/>
        <v>0</v>
      </c>
      <c r="AJ348" s="153" t="s">
        <v>6</v>
      </c>
    </row>
    <row r="349" spans="1:36" ht="30" customHeight="1">
      <c r="A349" s="92"/>
      <c r="B349" s="92"/>
      <c r="C349" s="92"/>
      <c r="D349" s="92"/>
      <c r="E349" s="92"/>
      <c r="F349" s="92"/>
      <c r="G349" s="92"/>
      <c r="H349" s="92"/>
      <c r="I349" s="92"/>
      <c r="J349" s="92"/>
      <c r="K349" s="92"/>
      <c r="L349" s="92"/>
      <c r="M349" s="92"/>
      <c r="N349" s="155"/>
      <c r="O349" s="157"/>
      <c r="P349" s="92"/>
      <c r="Q349" s="145"/>
      <c r="R349" s="92"/>
      <c r="S349" s="145"/>
      <c r="T349" s="92"/>
      <c r="U349" s="145"/>
      <c r="V349" s="92"/>
      <c r="W349" s="145"/>
      <c r="X349" s="92"/>
      <c r="Y349" s="145"/>
      <c r="Z349" s="92"/>
      <c r="AA349" s="145"/>
      <c r="AB349" s="64"/>
      <c r="AC349" s="145"/>
      <c r="AD349" s="64"/>
      <c r="AE349" s="145"/>
      <c r="AF349" s="196" t="str">
        <f t="shared" si="20"/>
        <v/>
      </c>
      <c r="AG349" s="95" t="b">
        <f t="shared" si="19"/>
        <v>0</v>
      </c>
      <c r="AH349" s="9"/>
      <c r="AI349" s="150">
        <f t="shared" si="18"/>
        <v>0</v>
      </c>
      <c r="AJ349" s="153" t="s">
        <v>6</v>
      </c>
    </row>
    <row r="350" spans="1:36" ht="30" customHeight="1">
      <c r="A350" s="92"/>
      <c r="B350" s="92"/>
      <c r="C350" s="92"/>
      <c r="D350" s="92"/>
      <c r="E350" s="92"/>
      <c r="F350" s="92"/>
      <c r="G350" s="92"/>
      <c r="H350" s="92"/>
      <c r="I350" s="92"/>
      <c r="J350" s="92"/>
      <c r="K350" s="92"/>
      <c r="L350" s="92"/>
      <c r="M350" s="92"/>
      <c r="N350" s="155"/>
      <c r="O350" s="157"/>
      <c r="P350" s="92"/>
      <c r="Q350" s="145"/>
      <c r="R350" s="92"/>
      <c r="S350" s="145"/>
      <c r="T350" s="92"/>
      <c r="U350" s="145"/>
      <c r="V350" s="92"/>
      <c r="W350" s="145"/>
      <c r="X350" s="92"/>
      <c r="Y350" s="145"/>
      <c r="Z350" s="92"/>
      <c r="AA350" s="145"/>
      <c r="AB350" s="64"/>
      <c r="AC350" s="145"/>
      <c r="AD350" s="64"/>
      <c r="AE350" s="145"/>
      <c r="AF350" s="196" t="str">
        <f t="shared" si="20"/>
        <v/>
      </c>
      <c r="AG350" s="95" t="b">
        <f t="shared" si="19"/>
        <v>0</v>
      </c>
      <c r="AH350" s="9"/>
      <c r="AI350" s="150">
        <f t="shared" si="18"/>
        <v>0</v>
      </c>
      <c r="AJ350" s="153" t="s">
        <v>6</v>
      </c>
    </row>
    <row r="351" spans="1:36" ht="30" customHeight="1">
      <c r="A351" s="92"/>
      <c r="B351" s="92"/>
      <c r="C351" s="92"/>
      <c r="D351" s="92"/>
      <c r="E351" s="92"/>
      <c r="F351" s="92"/>
      <c r="G351" s="92"/>
      <c r="H351" s="92"/>
      <c r="I351" s="92"/>
      <c r="J351" s="92"/>
      <c r="K351" s="92"/>
      <c r="L351" s="92"/>
      <c r="M351" s="92"/>
      <c r="N351" s="155"/>
      <c r="O351" s="157"/>
      <c r="P351" s="92"/>
      <c r="Q351" s="145"/>
      <c r="R351" s="92"/>
      <c r="S351" s="145"/>
      <c r="T351" s="92"/>
      <c r="U351" s="145"/>
      <c r="V351" s="92"/>
      <c r="W351" s="145"/>
      <c r="X351" s="92"/>
      <c r="Y351" s="145"/>
      <c r="Z351" s="92"/>
      <c r="AA351" s="145"/>
      <c r="AB351" s="64"/>
      <c r="AC351" s="145"/>
      <c r="AD351" s="64"/>
      <c r="AE351" s="145"/>
      <c r="AF351" s="196" t="str">
        <f t="shared" si="20"/>
        <v/>
      </c>
      <c r="AG351" s="95" t="b">
        <f t="shared" si="19"/>
        <v>0</v>
      </c>
      <c r="AH351" s="9"/>
      <c r="AI351" s="150">
        <f t="shared" si="18"/>
        <v>0</v>
      </c>
      <c r="AJ351" s="153" t="s">
        <v>6</v>
      </c>
    </row>
    <row r="352" spans="1:36" ht="30" customHeight="1">
      <c r="A352" s="92"/>
      <c r="B352" s="92"/>
      <c r="C352" s="92"/>
      <c r="D352" s="92"/>
      <c r="E352" s="92"/>
      <c r="F352" s="92"/>
      <c r="G352" s="92"/>
      <c r="H352" s="92"/>
      <c r="I352" s="92"/>
      <c r="J352" s="92"/>
      <c r="K352" s="92"/>
      <c r="L352" s="92"/>
      <c r="M352" s="92"/>
      <c r="N352" s="155"/>
      <c r="O352" s="157"/>
      <c r="P352" s="92"/>
      <c r="Q352" s="145"/>
      <c r="R352" s="92"/>
      <c r="S352" s="145"/>
      <c r="T352" s="92"/>
      <c r="U352" s="145"/>
      <c r="V352" s="92"/>
      <c r="W352" s="145"/>
      <c r="X352" s="92"/>
      <c r="Y352" s="145"/>
      <c r="Z352" s="92"/>
      <c r="AA352" s="145"/>
      <c r="AB352" s="64"/>
      <c r="AC352" s="145"/>
      <c r="AD352" s="64"/>
      <c r="AE352" s="145"/>
      <c r="AF352" s="196" t="str">
        <f t="shared" si="20"/>
        <v/>
      </c>
      <c r="AG352" s="95" t="b">
        <f t="shared" si="19"/>
        <v>0</v>
      </c>
      <c r="AH352" s="9"/>
      <c r="AI352" s="150">
        <f t="shared" si="18"/>
        <v>0</v>
      </c>
      <c r="AJ352" s="153" t="s">
        <v>6</v>
      </c>
    </row>
    <row r="353" spans="1:36" ht="30" customHeight="1">
      <c r="A353" s="92"/>
      <c r="B353" s="92"/>
      <c r="C353" s="92"/>
      <c r="D353" s="92"/>
      <c r="E353" s="92"/>
      <c r="F353" s="92"/>
      <c r="G353" s="92"/>
      <c r="H353" s="92"/>
      <c r="I353" s="92"/>
      <c r="J353" s="92"/>
      <c r="K353" s="92"/>
      <c r="L353" s="92"/>
      <c r="M353" s="92"/>
      <c r="N353" s="155"/>
      <c r="O353" s="157"/>
      <c r="P353" s="92"/>
      <c r="Q353" s="145"/>
      <c r="R353" s="92"/>
      <c r="S353" s="145"/>
      <c r="T353" s="92"/>
      <c r="U353" s="145"/>
      <c r="V353" s="92"/>
      <c r="W353" s="145"/>
      <c r="X353" s="92"/>
      <c r="Y353" s="145"/>
      <c r="Z353" s="92"/>
      <c r="AA353" s="145"/>
      <c r="AB353" s="64"/>
      <c r="AC353" s="145"/>
      <c r="AD353" s="64"/>
      <c r="AE353" s="145"/>
      <c r="AF353" s="196" t="str">
        <f t="shared" si="20"/>
        <v/>
      </c>
      <c r="AG353" s="95" t="b">
        <f t="shared" si="19"/>
        <v>0</v>
      </c>
      <c r="AH353" s="9"/>
      <c r="AI353" s="150">
        <f t="shared" si="18"/>
        <v>0</v>
      </c>
      <c r="AJ353" s="153" t="s">
        <v>6</v>
      </c>
    </row>
    <row r="354" spans="1:36" ht="30" customHeight="1">
      <c r="A354" s="92"/>
      <c r="B354" s="92"/>
      <c r="C354" s="92"/>
      <c r="D354" s="92"/>
      <c r="E354" s="92"/>
      <c r="F354" s="92"/>
      <c r="G354" s="92"/>
      <c r="H354" s="92"/>
      <c r="I354" s="92"/>
      <c r="J354" s="92"/>
      <c r="K354" s="92"/>
      <c r="L354" s="92"/>
      <c r="M354" s="92"/>
      <c r="N354" s="155"/>
      <c r="O354" s="157"/>
      <c r="P354" s="92"/>
      <c r="Q354" s="145"/>
      <c r="R354" s="92"/>
      <c r="S354" s="145"/>
      <c r="T354" s="92"/>
      <c r="U354" s="145"/>
      <c r="V354" s="92"/>
      <c r="W354" s="145"/>
      <c r="X354" s="92"/>
      <c r="Y354" s="145"/>
      <c r="Z354" s="92"/>
      <c r="AA354" s="145"/>
      <c r="AB354" s="64"/>
      <c r="AC354" s="145"/>
      <c r="AD354" s="64"/>
      <c r="AE354" s="145"/>
      <c r="AF354" s="196" t="str">
        <f t="shared" si="20"/>
        <v/>
      </c>
      <c r="AG354" s="95" t="b">
        <f t="shared" si="19"/>
        <v>0</v>
      </c>
      <c r="AH354" s="9"/>
      <c r="AI354" s="150">
        <f t="shared" si="18"/>
        <v>0</v>
      </c>
      <c r="AJ354" s="153" t="s">
        <v>6</v>
      </c>
    </row>
    <row r="355" spans="1:36" ht="30" customHeight="1">
      <c r="A355" s="92"/>
      <c r="B355" s="92"/>
      <c r="C355" s="92"/>
      <c r="D355" s="92"/>
      <c r="E355" s="92"/>
      <c r="F355" s="92"/>
      <c r="G355" s="92"/>
      <c r="H355" s="92"/>
      <c r="I355" s="92"/>
      <c r="J355" s="92"/>
      <c r="K355" s="92"/>
      <c r="L355" s="92"/>
      <c r="M355" s="92"/>
      <c r="N355" s="155"/>
      <c r="O355" s="157"/>
      <c r="P355" s="92"/>
      <c r="Q355" s="145"/>
      <c r="R355" s="92"/>
      <c r="S355" s="145"/>
      <c r="T355" s="92"/>
      <c r="U355" s="145"/>
      <c r="V355" s="92"/>
      <c r="W355" s="145"/>
      <c r="X355" s="92"/>
      <c r="Y355" s="145"/>
      <c r="Z355" s="92"/>
      <c r="AA355" s="145"/>
      <c r="AB355" s="64"/>
      <c r="AC355" s="145"/>
      <c r="AD355" s="64"/>
      <c r="AE355" s="145"/>
      <c r="AF355" s="196" t="str">
        <f t="shared" si="20"/>
        <v/>
      </c>
      <c r="AG355" s="95" t="b">
        <f t="shared" si="19"/>
        <v>0</v>
      </c>
      <c r="AH355" s="9"/>
      <c r="AI355" s="150">
        <f t="shared" si="18"/>
        <v>0</v>
      </c>
      <c r="AJ355" s="153" t="s">
        <v>6</v>
      </c>
    </row>
    <row r="356" spans="1:36" ht="30" customHeight="1">
      <c r="A356" s="92"/>
      <c r="B356" s="92"/>
      <c r="C356" s="92"/>
      <c r="D356" s="92"/>
      <c r="E356" s="92"/>
      <c r="F356" s="92"/>
      <c r="G356" s="92"/>
      <c r="H356" s="92"/>
      <c r="I356" s="92"/>
      <c r="J356" s="92"/>
      <c r="K356" s="92"/>
      <c r="L356" s="92"/>
      <c r="M356" s="92"/>
      <c r="N356" s="155"/>
      <c r="O356" s="157"/>
      <c r="P356" s="92"/>
      <c r="Q356" s="145"/>
      <c r="R356" s="92"/>
      <c r="S356" s="145"/>
      <c r="T356" s="92"/>
      <c r="U356" s="145"/>
      <c r="V356" s="92"/>
      <c r="W356" s="145"/>
      <c r="X356" s="92"/>
      <c r="Y356" s="145"/>
      <c r="Z356" s="92"/>
      <c r="AA356" s="145"/>
      <c r="AB356" s="64"/>
      <c r="AC356" s="145"/>
      <c r="AD356" s="64"/>
      <c r="AE356" s="145"/>
      <c r="AF356" s="196" t="str">
        <f t="shared" si="20"/>
        <v/>
      </c>
      <c r="AG356" s="95" t="b">
        <f t="shared" si="19"/>
        <v>0</v>
      </c>
      <c r="AH356" s="9"/>
      <c r="AI356" s="150">
        <f t="shared" si="18"/>
        <v>0</v>
      </c>
      <c r="AJ356" s="153" t="s">
        <v>6</v>
      </c>
    </row>
    <row r="357" spans="1:36" ht="30" customHeight="1">
      <c r="A357" s="92"/>
      <c r="B357" s="92"/>
      <c r="C357" s="92"/>
      <c r="D357" s="92"/>
      <c r="E357" s="92"/>
      <c r="F357" s="92"/>
      <c r="G357" s="92"/>
      <c r="H357" s="92"/>
      <c r="I357" s="92"/>
      <c r="J357" s="92"/>
      <c r="K357" s="92"/>
      <c r="L357" s="92"/>
      <c r="M357" s="92"/>
      <c r="N357" s="155"/>
      <c r="O357" s="157"/>
      <c r="P357" s="92"/>
      <c r="Q357" s="145"/>
      <c r="R357" s="92"/>
      <c r="S357" s="145"/>
      <c r="T357" s="92"/>
      <c r="U357" s="145"/>
      <c r="V357" s="92"/>
      <c r="W357" s="145"/>
      <c r="X357" s="92"/>
      <c r="Y357" s="145"/>
      <c r="Z357" s="92"/>
      <c r="AA357" s="145"/>
      <c r="AB357" s="64"/>
      <c r="AC357" s="145"/>
      <c r="AD357" s="64"/>
      <c r="AE357" s="145"/>
      <c r="AF357" s="196" t="str">
        <f t="shared" si="20"/>
        <v/>
      </c>
      <c r="AG357" s="95" t="b">
        <f t="shared" si="19"/>
        <v>0</v>
      </c>
      <c r="AH357" s="9"/>
      <c r="AI357" s="150">
        <f t="shared" si="18"/>
        <v>0</v>
      </c>
      <c r="AJ357" s="153" t="s">
        <v>6</v>
      </c>
    </row>
    <row r="358" spans="1:36" ht="30" customHeight="1">
      <c r="A358" s="92"/>
      <c r="B358" s="92"/>
      <c r="C358" s="92"/>
      <c r="D358" s="92"/>
      <c r="E358" s="92"/>
      <c r="F358" s="92"/>
      <c r="G358" s="92"/>
      <c r="H358" s="92"/>
      <c r="I358" s="92"/>
      <c r="J358" s="92"/>
      <c r="K358" s="92"/>
      <c r="L358" s="92"/>
      <c r="M358" s="92"/>
      <c r="N358" s="155"/>
      <c r="O358" s="157"/>
      <c r="P358" s="92"/>
      <c r="Q358" s="145"/>
      <c r="R358" s="92"/>
      <c r="S358" s="145"/>
      <c r="T358" s="92"/>
      <c r="U358" s="145"/>
      <c r="V358" s="92"/>
      <c r="W358" s="145"/>
      <c r="X358" s="92"/>
      <c r="Y358" s="145"/>
      <c r="Z358" s="92"/>
      <c r="AA358" s="145"/>
      <c r="AB358" s="64"/>
      <c r="AC358" s="145"/>
      <c r="AD358" s="64"/>
      <c r="AE358" s="145"/>
      <c r="AF358" s="196" t="str">
        <f t="shared" si="20"/>
        <v/>
      </c>
      <c r="AG358" s="95" t="b">
        <f t="shared" si="19"/>
        <v>0</v>
      </c>
      <c r="AH358" s="9"/>
      <c r="AI358" s="150">
        <f t="shared" si="18"/>
        <v>0</v>
      </c>
      <c r="AJ358" s="153" t="s">
        <v>6</v>
      </c>
    </row>
    <row r="359" spans="1:36" ht="30" customHeight="1">
      <c r="A359" s="92"/>
      <c r="B359" s="92"/>
      <c r="C359" s="92"/>
      <c r="D359" s="92"/>
      <c r="E359" s="92"/>
      <c r="F359" s="92"/>
      <c r="G359" s="92"/>
      <c r="H359" s="92"/>
      <c r="I359" s="92"/>
      <c r="J359" s="92"/>
      <c r="K359" s="92"/>
      <c r="L359" s="92"/>
      <c r="M359" s="92"/>
      <c r="N359" s="155"/>
      <c r="O359" s="157"/>
      <c r="P359" s="92"/>
      <c r="Q359" s="145"/>
      <c r="R359" s="92"/>
      <c r="S359" s="145"/>
      <c r="T359" s="92"/>
      <c r="U359" s="145"/>
      <c r="V359" s="92"/>
      <c r="W359" s="145"/>
      <c r="X359" s="92"/>
      <c r="Y359" s="145"/>
      <c r="Z359" s="92"/>
      <c r="AA359" s="145"/>
      <c r="AB359" s="64"/>
      <c r="AC359" s="145"/>
      <c r="AD359" s="64"/>
      <c r="AE359" s="145"/>
      <c r="AF359" s="196" t="str">
        <f t="shared" si="20"/>
        <v/>
      </c>
      <c r="AG359" s="95" t="b">
        <f t="shared" si="19"/>
        <v>0</v>
      </c>
      <c r="AH359" s="9"/>
      <c r="AI359" s="150">
        <f t="shared" si="18"/>
        <v>0</v>
      </c>
      <c r="AJ359" s="153" t="s">
        <v>6</v>
      </c>
    </row>
    <row r="360" spans="1:36" ht="30" customHeight="1">
      <c r="A360" s="92"/>
      <c r="B360" s="92"/>
      <c r="C360" s="92"/>
      <c r="D360" s="92"/>
      <c r="E360" s="92"/>
      <c r="F360" s="92"/>
      <c r="G360" s="92"/>
      <c r="H360" s="92"/>
      <c r="I360" s="92"/>
      <c r="J360" s="92"/>
      <c r="K360" s="92"/>
      <c r="L360" s="92"/>
      <c r="M360" s="92"/>
      <c r="N360" s="155"/>
      <c r="O360" s="157"/>
      <c r="P360" s="92"/>
      <c r="Q360" s="145"/>
      <c r="R360" s="92"/>
      <c r="S360" s="145"/>
      <c r="T360" s="92"/>
      <c r="U360" s="145"/>
      <c r="V360" s="92"/>
      <c r="W360" s="145"/>
      <c r="X360" s="92"/>
      <c r="Y360" s="145"/>
      <c r="Z360" s="92"/>
      <c r="AA360" s="145"/>
      <c r="AB360" s="64"/>
      <c r="AC360" s="145"/>
      <c r="AD360" s="64"/>
      <c r="AE360" s="145"/>
      <c r="AF360" s="196" t="str">
        <f t="shared" si="20"/>
        <v/>
      </c>
      <c r="AG360" s="95" t="b">
        <f t="shared" si="19"/>
        <v>0</v>
      </c>
      <c r="AH360" s="9"/>
      <c r="AI360" s="150">
        <f t="shared" si="18"/>
        <v>0</v>
      </c>
      <c r="AJ360" s="153" t="s">
        <v>6</v>
      </c>
    </row>
    <row r="361" spans="1:36" ht="30" customHeight="1">
      <c r="A361" s="92"/>
      <c r="B361" s="92"/>
      <c r="C361" s="92"/>
      <c r="D361" s="92"/>
      <c r="E361" s="92"/>
      <c r="F361" s="92"/>
      <c r="G361" s="92"/>
      <c r="H361" s="92"/>
      <c r="I361" s="92"/>
      <c r="J361" s="92"/>
      <c r="K361" s="92"/>
      <c r="L361" s="92"/>
      <c r="M361" s="92"/>
      <c r="N361" s="155"/>
      <c r="O361" s="157"/>
      <c r="P361" s="92"/>
      <c r="Q361" s="145"/>
      <c r="R361" s="92"/>
      <c r="S361" s="145"/>
      <c r="T361" s="92"/>
      <c r="U361" s="145"/>
      <c r="V361" s="92"/>
      <c r="W361" s="145"/>
      <c r="X361" s="92"/>
      <c r="Y361" s="145"/>
      <c r="Z361" s="92"/>
      <c r="AA361" s="145"/>
      <c r="AB361" s="64"/>
      <c r="AC361" s="145"/>
      <c r="AD361" s="64"/>
      <c r="AE361" s="145"/>
      <c r="AF361" s="196" t="str">
        <f t="shared" si="20"/>
        <v/>
      </c>
      <c r="AG361" s="95" t="b">
        <f t="shared" si="19"/>
        <v>0</v>
      </c>
      <c r="AH361" s="9"/>
      <c r="AI361" s="150">
        <f t="shared" si="18"/>
        <v>0</v>
      </c>
      <c r="AJ361" s="153" t="s">
        <v>6</v>
      </c>
    </row>
    <row r="362" spans="1:36" ht="30" customHeight="1">
      <c r="A362" s="92"/>
      <c r="B362" s="92"/>
      <c r="C362" s="92"/>
      <c r="D362" s="92"/>
      <c r="E362" s="92"/>
      <c r="F362" s="92"/>
      <c r="G362" s="92"/>
      <c r="H362" s="92"/>
      <c r="I362" s="92"/>
      <c r="J362" s="92"/>
      <c r="K362" s="92"/>
      <c r="L362" s="92"/>
      <c r="M362" s="92"/>
      <c r="N362" s="155"/>
      <c r="O362" s="157"/>
      <c r="P362" s="92"/>
      <c r="Q362" s="145"/>
      <c r="R362" s="92"/>
      <c r="S362" s="145"/>
      <c r="T362" s="92"/>
      <c r="U362" s="145"/>
      <c r="V362" s="92"/>
      <c r="W362" s="145"/>
      <c r="X362" s="92"/>
      <c r="Y362" s="145"/>
      <c r="Z362" s="92"/>
      <c r="AA362" s="145"/>
      <c r="AB362" s="64"/>
      <c r="AC362" s="145"/>
      <c r="AD362" s="64"/>
      <c r="AE362" s="145"/>
      <c r="AF362" s="196" t="str">
        <f t="shared" si="20"/>
        <v/>
      </c>
      <c r="AG362" s="95" t="b">
        <f t="shared" si="19"/>
        <v>0</v>
      </c>
      <c r="AH362" s="9"/>
      <c r="AI362" s="150">
        <f t="shared" si="18"/>
        <v>0</v>
      </c>
      <c r="AJ362" s="153" t="s">
        <v>6</v>
      </c>
    </row>
    <row r="363" spans="1:36" ht="30" customHeight="1">
      <c r="A363" s="92"/>
      <c r="B363" s="92"/>
      <c r="C363" s="92"/>
      <c r="D363" s="92"/>
      <c r="E363" s="92"/>
      <c r="F363" s="92"/>
      <c r="G363" s="92"/>
      <c r="H363" s="92"/>
      <c r="I363" s="92"/>
      <c r="J363" s="92"/>
      <c r="K363" s="92"/>
      <c r="L363" s="92"/>
      <c r="M363" s="92"/>
      <c r="N363" s="155"/>
      <c r="O363" s="157"/>
      <c r="P363" s="92"/>
      <c r="Q363" s="145"/>
      <c r="R363" s="92"/>
      <c r="S363" s="145"/>
      <c r="T363" s="92"/>
      <c r="U363" s="145"/>
      <c r="V363" s="92"/>
      <c r="W363" s="145"/>
      <c r="X363" s="92"/>
      <c r="Y363" s="145"/>
      <c r="Z363" s="92"/>
      <c r="AA363" s="145"/>
      <c r="AB363" s="64"/>
      <c r="AC363" s="145"/>
      <c r="AD363" s="64"/>
      <c r="AE363" s="145"/>
      <c r="AF363" s="196" t="str">
        <f t="shared" si="20"/>
        <v/>
      </c>
      <c r="AG363" s="95" t="b">
        <f t="shared" si="19"/>
        <v>0</v>
      </c>
      <c r="AH363" s="9"/>
      <c r="AI363" s="150">
        <f t="shared" si="18"/>
        <v>0</v>
      </c>
      <c r="AJ363" s="153" t="s">
        <v>6</v>
      </c>
    </row>
    <row r="364" spans="1:36" ht="30" customHeight="1">
      <c r="A364" s="92"/>
      <c r="B364" s="92"/>
      <c r="C364" s="92"/>
      <c r="D364" s="92"/>
      <c r="E364" s="92"/>
      <c r="F364" s="92"/>
      <c r="G364" s="92"/>
      <c r="H364" s="92"/>
      <c r="I364" s="92"/>
      <c r="J364" s="92"/>
      <c r="K364" s="92"/>
      <c r="L364" s="92"/>
      <c r="M364" s="92"/>
      <c r="N364" s="155"/>
      <c r="O364" s="157"/>
      <c r="P364" s="92"/>
      <c r="Q364" s="145"/>
      <c r="R364" s="92"/>
      <c r="S364" s="145"/>
      <c r="T364" s="92"/>
      <c r="U364" s="145"/>
      <c r="V364" s="92"/>
      <c r="W364" s="145"/>
      <c r="X364" s="92"/>
      <c r="Y364" s="145"/>
      <c r="Z364" s="92"/>
      <c r="AA364" s="145"/>
      <c r="AB364" s="64"/>
      <c r="AC364" s="145"/>
      <c r="AD364" s="64"/>
      <c r="AE364" s="145"/>
      <c r="AF364" s="196" t="str">
        <f t="shared" si="20"/>
        <v/>
      </c>
      <c r="AG364" s="95" t="b">
        <f t="shared" si="19"/>
        <v>0</v>
      </c>
      <c r="AH364" s="9"/>
      <c r="AI364" s="150">
        <f t="shared" si="18"/>
        <v>0</v>
      </c>
      <c r="AJ364" s="153" t="s">
        <v>6</v>
      </c>
    </row>
    <row r="365" spans="1:36" ht="30" customHeight="1">
      <c r="A365" s="92"/>
      <c r="B365" s="92"/>
      <c r="C365" s="92"/>
      <c r="D365" s="92"/>
      <c r="E365" s="92"/>
      <c r="F365" s="92"/>
      <c r="G365" s="92"/>
      <c r="H365" s="92"/>
      <c r="I365" s="92"/>
      <c r="J365" s="92"/>
      <c r="K365" s="92"/>
      <c r="L365" s="92"/>
      <c r="M365" s="92"/>
      <c r="N365" s="155"/>
      <c r="O365" s="157"/>
      <c r="P365" s="92"/>
      <c r="Q365" s="145"/>
      <c r="R365" s="92"/>
      <c r="S365" s="145"/>
      <c r="T365" s="92"/>
      <c r="U365" s="145"/>
      <c r="V365" s="92"/>
      <c r="W365" s="145"/>
      <c r="X365" s="92"/>
      <c r="Y365" s="145"/>
      <c r="Z365" s="92"/>
      <c r="AA365" s="145"/>
      <c r="AB365" s="64"/>
      <c r="AC365" s="145"/>
      <c r="AD365" s="64"/>
      <c r="AE365" s="145"/>
      <c r="AF365" s="196" t="str">
        <f t="shared" si="20"/>
        <v/>
      </c>
      <c r="AG365" s="95" t="b">
        <f t="shared" si="19"/>
        <v>0</v>
      </c>
      <c r="AH365" s="9"/>
      <c r="AI365" s="150">
        <f t="shared" si="18"/>
        <v>0</v>
      </c>
      <c r="AJ365" s="153" t="s">
        <v>6</v>
      </c>
    </row>
    <row r="366" spans="1:36" ht="30" customHeight="1">
      <c r="A366" s="92"/>
      <c r="B366" s="92"/>
      <c r="C366" s="92"/>
      <c r="D366" s="92"/>
      <c r="E366" s="92"/>
      <c r="F366" s="92"/>
      <c r="G366" s="92"/>
      <c r="H366" s="92"/>
      <c r="I366" s="92"/>
      <c r="J366" s="92"/>
      <c r="K366" s="92"/>
      <c r="L366" s="92"/>
      <c r="M366" s="92"/>
      <c r="N366" s="155"/>
      <c r="O366" s="157"/>
      <c r="P366" s="92"/>
      <c r="Q366" s="145"/>
      <c r="R366" s="92"/>
      <c r="S366" s="145"/>
      <c r="T366" s="92"/>
      <c r="U366" s="145"/>
      <c r="V366" s="92"/>
      <c r="W366" s="145"/>
      <c r="X366" s="92"/>
      <c r="Y366" s="145"/>
      <c r="Z366" s="92"/>
      <c r="AA366" s="145"/>
      <c r="AB366" s="64"/>
      <c r="AC366" s="145"/>
      <c r="AD366" s="64"/>
      <c r="AE366" s="145"/>
      <c r="AF366" s="196" t="str">
        <f t="shared" si="20"/>
        <v/>
      </c>
      <c r="AG366" s="95" t="b">
        <f t="shared" si="19"/>
        <v>0</v>
      </c>
      <c r="AH366" s="9"/>
      <c r="AI366" s="150">
        <f t="shared" si="18"/>
        <v>0</v>
      </c>
      <c r="AJ366" s="153" t="s">
        <v>6</v>
      </c>
    </row>
    <row r="367" spans="1:36" ht="30" customHeight="1">
      <c r="A367" s="92"/>
      <c r="B367" s="92"/>
      <c r="C367" s="92"/>
      <c r="D367" s="92"/>
      <c r="E367" s="92"/>
      <c r="F367" s="92"/>
      <c r="G367" s="92"/>
      <c r="H367" s="92"/>
      <c r="I367" s="92"/>
      <c r="J367" s="92"/>
      <c r="K367" s="92"/>
      <c r="L367" s="92"/>
      <c r="M367" s="92"/>
      <c r="N367" s="155"/>
      <c r="O367" s="157"/>
      <c r="P367" s="92"/>
      <c r="Q367" s="145"/>
      <c r="R367" s="92"/>
      <c r="S367" s="145"/>
      <c r="T367" s="92"/>
      <c r="U367" s="145"/>
      <c r="V367" s="92"/>
      <c r="W367" s="145"/>
      <c r="X367" s="92"/>
      <c r="Y367" s="145"/>
      <c r="Z367" s="92"/>
      <c r="AA367" s="145"/>
      <c r="AB367" s="64"/>
      <c r="AC367" s="145"/>
      <c r="AD367" s="64"/>
      <c r="AE367" s="145"/>
      <c r="AF367" s="196" t="str">
        <f t="shared" si="20"/>
        <v/>
      </c>
      <c r="AG367" s="95" t="b">
        <f t="shared" si="19"/>
        <v>0</v>
      </c>
      <c r="AH367" s="9"/>
      <c r="AI367" s="150">
        <f t="shared" si="18"/>
        <v>0</v>
      </c>
      <c r="AJ367" s="153" t="s">
        <v>6</v>
      </c>
    </row>
    <row r="368" spans="1:36" ht="30" customHeight="1">
      <c r="A368" s="92"/>
      <c r="B368" s="92"/>
      <c r="C368" s="92"/>
      <c r="D368" s="92"/>
      <c r="E368" s="92"/>
      <c r="F368" s="92"/>
      <c r="G368" s="92"/>
      <c r="H368" s="92"/>
      <c r="I368" s="92"/>
      <c r="J368" s="92"/>
      <c r="K368" s="92"/>
      <c r="L368" s="92"/>
      <c r="M368" s="92"/>
      <c r="N368" s="155"/>
      <c r="O368" s="157"/>
      <c r="P368" s="92"/>
      <c r="Q368" s="145"/>
      <c r="R368" s="92"/>
      <c r="S368" s="145"/>
      <c r="T368" s="92"/>
      <c r="U368" s="145"/>
      <c r="V368" s="92"/>
      <c r="W368" s="145"/>
      <c r="X368" s="92"/>
      <c r="Y368" s="145"/>
      <c r="Z368" s="92"/>
      <c r="AA368" s="145"/>
      <c r="AB368" s="64"/>
      <c r="AC368" s="145"/>
      <c r="AD368" s="64"/>
      <c r="AE368" s="145"/>
      <c r="AF368" s="196" t="str">
        <f t="shared" si="20"/>
        <v/>
      </c>
      <c r="AG368" s="95" t="b">
        <f t="shared" si="19"/>
        <v>0</v>
      </c>
      <c r="AH368" s="9"/>
      <c r="AI368" s="150">
        <f t="shared" si="18"/>
        <v>0</v>
      </c>
      <c r="AJ368" s="153" t="s">
        <v>6</v>
      </c>
    </row>
    <row r="369" spans="1:36" ht="30" customHeight="1">
      <c r="A369" s="92"/>
      <c r="B369" s="92"/>
      <c r="C369" s="92"/>
      <c r="D369" s="92"/>
      <c r="E369" s="92"/>
      <c r="F369" s="92"/>
      <c r="G369" s="92"/>
      <c r="H369" s="92"/>
      <c r="I369" s="92"/>
      <c r="J369" s="92"/>
      <c r="K369" s="92"/>
      <c r="L369" s="92"/>
      <c r="M369" s="92"/>
      <c r="N369" s="155"/>
      <c r="O369" s="157"/>
      <c r="P369" s="92"/>
      <c r="Q369" s="145"/>
      <c r="R369" s="92"/>
      <c r="S369" s="145"/>
      <c r="T369" s="92"/>
      <c r="U369" s="145"/>
      <c r="V369" s="92"/>
      <c r="W369" s="145"/>
      <c r="X369" s="92"/>
      <c r="Y369" s="145"/>
      <c r="Z369" s="92"/>
      <c r="AA369" s="145"/>
      <c r="AB369" s="64"/>
      <c r="AC369" s="145"/>
      <c r="AD369" s="64"/>
      <c r="AE369" s="145"/>
      <c r="AF369" s="196" t="str">
        <f t="shared" si="20"/>
        <v/>
      </c>
      <c r="AG369" s="95" t="b">
        <f t="shared" si="19"/>
        <v>0</v>
      </c>
      <c r="AH369" s="9"/>
      <c r="AI369" s="150">
        <f t="shared" si="18"/>
        <v>0</v>
      </c>
      <c r="AJ369" s="153" t="s">
        <v>6</v>
      </c>
    </row>
    <row r="370" spans="1:36" ht="30" customHeight="1">
      <c r="A370" s="92"/>
      <c r="B370" s="92"/>
      <c r="C370" s="92"/>
      <c r="D370" s="92"/>
      <c r="E370" s="92"/>
      <c r="F370" s="92"/>
      <c r="G370" s="92"/>
      <c r="H370" s="92"/>
      <c r="I370" s="92"/>
      <c r="J370" s="92"/>
      <c r="K370" s="92"/>
      <c r="L370" s="92"/>
      <c r="M370" s="92"/>
      <c r="N370" s="155"/>
      <c r="O370" s="157"/>
      <c r="P370" s="92"/>
      <c r="Q370" s="145"/>
      <c r="R370" s="92"/>
      <c r="S370" s="145"/>
      <c r="T370" s="92"/>
      <c r="U370" s="145"/>
      <c r="V370" s="92"/>
      <c r="W370" s="145"/>
      <c r="X370" s="92"/>
      <c r="Y370" s="145"/>
      <c r="Z370" s="92"/>
      <c r="AA370" s="145"/>
      <c r="AB370" s="64"/>
      <c r="AC370" s="145"/>
      <c r="AD370" s="64"/>
      <c r="AE370" s="145"/>
      <c r="AF370" s="196" t="str">
        <f t="shared" si="20"/>
        <v/>
      </c>
      <c r="AG370" s="95" t="b">
        <f t="shared" si="19"/>
        <v>0</v>
      </c>
      <c r="AH370" s="9"/>
      <c r="AI370" s="150">
        <f t="shared" si="18"/>
        <v>0</v>
      </c>
      <c r="AJ370" s="153" t="s">
        <v>6</v>
      </c>
    </row>
    <row r="371" spans="1:36" ht="30" customHeight="1">
      <c r="A371" s="92"/>
      <c r="B371" s="92"/>
      <c r="C371" s="92"/>
      <c r="D371" s="92"/>
      <c r="E371" s="92"/>
      <c r="F371" s="92"/>
      <c r="G371" s="92"/>
      <c r="H371" s="92"/>
      <c r="I371" s="92"/>
      <c r="J371" s="92"/>
      <c r="K371" s="92"/>
      <c r="L371" s="92"/>
      <c r="M371" s="92"/>
      <c r="N371" s="155"/>
      <c r="O371" s="157"/>
      <c r="P371" s="92"/>
      <c r="Q371" s="145"/>
      <c r="R371" s="92"/>
      <c r="S371" s="145"/>
      <c r="T371" s="92"/>
      <c r="U371" s="145"/>
      <c r="V371" s="92"/>
      <c r="W371" s="145"/>
      <c r="X371" s="92"/>
      <c r="Y371" s="145"/>
      <c r="Z371" s="92"/>
      <c r="AA371" s="145"/>
      <c r="AB371" s="64"/>
      <c r="AC371" s="145"/>
      <c r="AD371" s="64"/>
      <c r="AE371" s="145"/>
      <c r="AF371" s="196" t="str">
        <f t="shared" si="20"/>
        <v/>
      </c>
      <c r="AG371" s="95" t="b">
        <f t="shared" si="19"/>
        <v>0</v>
      </c>
      <c r="AH371" s="9"/>
      <c r="AI371" s="150">
        <f t="shared" si="18"/>
        <v>0</v>
      </c>
      <c r="AJ371" s="153" t="s">
        <v>6</v>
      </c>
    </row>
    <row r="372" spans="1:36" ht="30" customHeight="1">
      <c r="A372" s="92"/>
      <c r="B372" s="92"/>
      <c r="C372" s="92"/>
      <c r="D372" s="92"/>
      <c r="E372" s="92"/>
      <c r="F372" s="92"/>
      <c r="G372" s="92"/>
      <c r="H372" s="92"/>
      <c r="I372" s="92"/>
      <c r="J372" s="92"/>
      <c r="K372" s="92"/>
      <c r="L372" s="92"/>
      <c r="M372" s="92"/>
      <c r="N372" s="155"/>
      <c r="O372" s="157"/>
      <c r="P372" s="92"/>
      <c r="Q372" s="145"/>
      <c r="R372" s="92"/>
      <c r="S372" s="145"/>
      <c r="T372" s="92"/>
      <c r="U372" s="145"/>
      <c r="V372" s="92"/>
      <c r="W372" s="145"/>
      <c r="X372" s="92"/>
      <c r="Y372" s="145"/>
      <c r="Z372" s="92"/>
      <c r="AA372" s="145"/>
      <c r="AB372" s="64"/>
      <c r="AC372" s="145"/>
      <c r="AD372" s="64"/>
      <c r="AE372" s="145"/>
      <c r="AF372" s="196" t="str">
        <f t="shared" si="20"/>
        <v/>
      </c>
      <c r="AG372" s="95" t="b">
        <f t="shared" si="19"/>
        <v>0</v>
      </c>
      <c r="AH372" s="9"/>
      <c r="AI372" s="150">
        <f t="shared" si="18"/>
        <v>0</v>
      </c>
      <c r="AJ372" s="153" t="s">
        <v>6</v>
      </c>
    </row>
    <row r="373" spans="1:36" ht="30" customHeight="1">
      <c r="A373" s="92"/>
      <c r="B373" s="92"/>
      <c r="C373" s="92"/>
      <c r="D373" s="92"/>
      <c r="E373" s="92"/>
      <c r="F373" s="92"/>
      <c r="G373" s="92"/>
      <c r="H373" s="92"/>
      <c r="I373" s="92"/>
      <c r="J373" s="92"/>
      <c r="K373" s="92"/>
      <c r="L373" s="92"/>
      <c r="M373" s="92"/>
      <c r="N373" s="155"/>
      <c r="O373" s="157"/>
      <c r="P373" s="92"/>
      <c r="Q373" s="145"/>
      <c r="R373" s="92"/>
      <c r="S373" s="145"/>
      <c r="T373" s="92"/>
      <c r="U373" s="145"/>
      <c r="V373" s="92"/>
      <c r="W373" s="145"/>
      <c r="X373" s="92"/>
      <c r="Y373" s="145"/>
      <c r="Z373" s="92"/>
      <c r="AA373" s="145"/>
      <c r="AB373" s="64"/>
      <c r="AC373" s="145"/>
      <c r="AD373" s="64"/>
      <c r="AE373" s="145"/>
      <c r="AF373" s="196" t="str">
        <f t="shared" si="20"/>
        <v/>
      </c>
      <c r="AG373" s="95" t="b">
        <f t="shared" si="19"/>
        <v>0</v>
      </c>
      <c r="AH373" s="9"/>
      <c r="AI373" s="150">
        <f t="shared" si="18"/>
        <v>0</v>
      </c>
      <c r="AJ373" s="153" t="s">
        <v>6</v>
      </c>
    </row>
    <row r="374" spans="1:36" ht="30" customHeight="1">
      <c r="A374" s="92"/>
      <c r="B374" s="92"/>
      <c r="C374" s="92"/>
      <c r="D374" s="92"/>
      <c r="E374" s="92"/>
      <c r="F374" s="92"/>
      <c r="G374" s="92"/>
      <c r="H374" s="92"/>
      <c r="I374" s="92"/>
      <c r="J374" s="92"/>
      <c r="K374" s="92"/>
      <c r="L374" s="92"/>
      <c r="M374" s="92"/>
      <c r="N374" s="155"/>
      <c r="O374" s="157"/>
      <c r="P374" s="92"/>
      <c r="Q374" s="145"/>
      <c r="R374" s="92"/>
      <c r="S374" s="145"/>
      <c r="T374" s="92"/>
      <c r="U374" s="145"/>
      <c r="V374" s="92"/>
      <c r="W374" s="145"/>
      <c r="X374" s="92"/>
      <c r="Y374" s="145"/>
      <c r="Z374" s="92"/>
      <c r="AA374" s="145"/>
      <c r="AB374" s="64"/>
      <c r="AC374" s="145"/>
      <c r="AD374" s="64"/>
      <c r="AE374" s="145"/>
      <c r="AF374" s="196" t="str">
        <f t="shared" si="20"/>
        <v/>
      </c>
      <c r="AG374" s="95" t="b">
        <f t="shared" si="19"/>
        <v>0</v>
      </c>
      <c r="AH374" s="9"/>
      <c r="AI374" s="150">
        <f t="shared" si="18"/>
        <v>0</v>
      </c>
      <c r="AJ374" s="153" t="s">
        <v>6</v>
      </c>
    </row>
    <row r="375" spans="1:36" ht="30" customHeight="1">
      <c r="A375" s="92"/>
      <c r="B375" s="92"/>
      <c r="C375" s="92"/>
      <c r="D375" s="92"/>
      <c r="E375" s="92"/>
      <c r="F375" s="92"/>
      <c r="G375" s="92"/>
      <c r="H375" s="92"/>
      <c r="I375" s="92"/>
      <c r="J375" s="92"/>
      <c r="K375" s="92"/>
      <c r="L375" s="92"/>
      <c r="M375" s="92"/>
      <c r="N375" s="155"/>
      <c r="O375" s="157"/>
      <c r="P375" s="92"/>
      <c r="Q375" s="145"/>
      <c r="R375" s="92"/>
      <c r="S375" s="145"/>
      <c r="T375" s="92"/>
      <c r="U375" s="145"/>
      <c r="V375" s="92"/>
      <c r="W375" s="145"/>
      <c r="X375" s="92"/>
      <c r="Y375" s="145"/>
      <c r="Z375" s="92"/>
      <c r="AA375" s="145"/>
      <c r="AB375" s="64"/>
      <c r="AC375" s="145"/>
      <c r="AD375" s="64"/>
      <c r="AE375" s="145"/>
      <c r="AF375" s="196" t="str">
        <f t="shared" si="20"/>
        <v/>
      </c>
      <c r="AG375" s="95" t="b">
        <f t="shared" si="19"/>
        <v>0</v>
      </c>
      <c r="AH375" s="9"/>
      <c r="AI375" s="150">
        <f t="shared" si="18"/>
        <v>0</v>
      </c>
      <c r="AJ375" s="153" t="s">
        <v>6</v>
      </c>
    </row>
    <row r="376" spans="1:36" ht="30" customHeight="1">
      <c r="A376" s="92"/>
      <c r="B376" s="92"/>
      <c r="C376" s="92"/>
      <c r="D376" s="92"/>
      <c r="E376" s="92"/>
      <c r="F376" s="92"/>
      <c r="G376" s="92"/>
      <c r="H376" s="92"/>
      <c r="I376" s="92"/>
      <c r="J376" s="92"/>
      <c r="K376" s="92"/>
      <c r="L376" s="92"/>
      <c r="M376" s="92"/>
      <c r="N376" s="155"/>
      <c r="O376" s="157"/>
      <c r="P376" s="92"/>
      <c r="Q376" s="145"/>
      <c r="R376" s="92"/>
      <c r="S376" s="145"/>
      <c r="T376" s="92"/>
      <c r="U376" s="145"/>
      <c r="V376" s="92"/>
      <c r="W376" s="145"/>
      <c r="X376" s="92"/>
      <c r="Y376" s="145"/>
      <c r="Z376" s="92"/>
      <c r="AA376" s="145"/>
      <c r="AB376" s="64"/>
      <c r="AC376" s="145"/>
      <c r="AD376" s="64"/>
      <c r="AE376" s="145"/>
      <c r="AF376" s="196" t="str">
        <f t="shared" si="20"/>
        <v/>
      </c>
      <c r="AG376" s="95" t="b">
        <f t="shared" si="19"/>
        <v>0</v>
      </c>
      <c r="AH376" s="9"/>
      <c r="AI376" s="150">
        <f t="shared" si="18"/>
        <v>0</v>
      </c>
      <c r="AJ376" s="153" t="s">
        <v>6</v>
      </c>
    </row>
    <row r="377" spans="1:36" ht="30" customHeight="1">
      <c r="A377" s="92"/>
      <c r="B377" s="92"/>
      <c r="C377" s="92"/>
      <c r="D377" s="92"/>
      <c r="E377" s="92"/>
      <c r="F377" s="92"/>
      <c r="G377" s="92"/>
      <c r="H377" s="92"/>
      <c r="I377" s="92"/>
      <c r="J377" s="92"/>
      <c r="K377" s="92"/>
      <c r="L377" s="92"/>
      <c r="M377" s="92"/>
      <c r="N377" s="155"/>
      <c r="O377" s="157"/>
      <c r="P377" s="92"/>
      <c r="Q377" s="145"/>
      <c r="R377" s="92"/>
      <c r="S377" s="145"/>
      <c r="T377" s="92"/>
      <c r="U377" s="145"/>
      <c r="V377" s="92"/>
      <c r="W377" s="145"/>
      <c r="X377" s="92"/>
      <c r="Y377" s="145"/>
      <c r="Z377" s="92"/>
      <c r="AA377" s="145"/>
      <c r="AB377" s="64"/>
      <c r="AC377" s="145"/>
      <c r="AD377" s="64"/>
      <c r="AE377" s="145"/>
      <c r="AF377" s="196" t="str">
        <f t="shared" si="20"/>
        <v/>
      </c>
      <c r="AG377" s="95" t="b">
        <f t="shared" si="19"/>
        <v>0</v>
      </c>
      <c r="AH377" s="9"/>
      <c r="AI377" s="150">
        <f t="shared" si="18"/>
        <v>0</v>
      </c>
      <c r="AJ377" s="153" t="s">
        <v>6</v>
      </c>
    </row>
    <row r="378" spans="1:36" ht="30" customHeight="1">
      <c r="A378" s="92"/>
      <c r="B378" s="92"/>
      <c r="C378" s="92"/>
      <c r="D378" s="92"/>
      <c r="E378" s="92"/>
      <c r="F378" s="92"/>
      <c r="G378" s="92"/>
      <c r="H378" s="92"/>
      <c r="I378" s="92"/>
      <c r="J378" s="92"/>
      <c r="K378" s="92"/>
      <c r="L378" s="92"/>
      <c r="M378" s="92"/>
      <c r="N378" s="155"/>
      <c r="O378" s="157"/>
      <c r="P378" s="92"/>
      <c r="Q378" s="145"/>
      <c r="R378" s="92"/>
      <c r="S378" s="145"/>
      <c r="T378" s="92"/>
      <c r="U378" s="145"/>
      <c r="V378" s="92"/>
      <c r="W378" s="145"/>
      <c r="X378" s="92"/>
      <c r="Y378" s="145"/>
      <c r="Z378" s="92"/>
      <c r="AA378" s="145"/>
      <c r="AB378" s="64"/>
      <c r="AC378" s="145"/>
      <c r="AD378" s="64"/>
      <c r="AE378" s="145"/>
      <c r="AF378" s="196" t="str">
        <f t="shared" si="20"/>
        <v/>
      </c>
      <c r="AG378" s="95" t="b">
        <f t="shared" si="19"/>
        <v>0</v>
      </c>
      <c r="AH378" s="9"/>
      <c r="AI378" s="150">
        <f t="shared" si="18"/>
        <v>0</v>
      </c>
      <c r="AJ378" s="153" t="s">
        <v>6</v>
      </c>
    </row>
    <row r="379" spans="1:36" ht="30" customHeight="1">
      <c r="A379" s="92"/>
      <c r="B379" s="92"/>
      <c r="C379" s="92"/>
      <c r="D379" s="92"/>
      <c r="E379" s="92"/>
      <c r="F379" s="92"/>
      <c r="G379" s="92"/>
      <c r="H379" s="92"/>
      <c r="I379" s="92"/>
      <c r="J379" s="92"/>
      <c r="K379" s="92"/>
      <c r="L379" s="92"/>
      <c r="M379" s="92"/>
      <c r="N379" s="155"/>
      <c r="O379" s="157"/>
      <c r="P379" s="92"/>
      <c r="Q379" s="145"/>
      <c r="R379" s="92"/>
      <c r="S379" s="145"/>
      <c r="T379" s="92"/>
      <c r="U379" s="145"/>
      <c r="V379" s="92"/>
      <c r="W379" s="145"/>
      <c r="X379" s="92"/>
      <c r="Y379" s="145"/>
      <c r="Z379" s="92"/>
      <c r="AA379" s="145"/>
      <c r="AB379" s="64"/>
      <c r="AC379" s="145"/>
      <c r="AD379" s="64"/>
      <c r="AE379" s="145"/>
      <c r="AF379" s="196" t="str">
        <f t="shared" si="20"/>
        <v/>
      </c>
      <c r="AG379" s="95" t="b">
        <f t="shared" si="19"/>
        <v>0</v>
      </c>
      <c r="AH379" s="9"/>
      <c r="AI379" s="150">
        <f t="shared" si="18"/>
        <v>0</v>
      </c>
      <c r="AJ379" s="153" t="s">
        <v>6</v>
      </c>
    </row>
    <row r="380" spans="1:36" ht="30" customHeight="1">
      <c r="A380" s="92"/>
      <c r="B380" s="92"/>
      <c r="C380" s="92"/>
      <c r="D380" s="92"/>
      <c r="E380" s="92"/>
      <c r="F380" s="92"/>
      <c r="G380" s="92"/>
      <c r="H380" s="92"/>
      <c r="I380" s="92"/>
      <c r="J380" s="92"/>
      <c r="K380" s="92"/>
      <c r="L380" s="92"/>
      <c r="M380" s="92"/>
      <c r="N380" s="155"/>
      <c r="O380" s="157"/>
      <c r="P380" s="92"/>
      <c r="Q380" s="145"/>
      <c r="R380" s="92"/>
      <c r="S380" s="145"/>
      <c r="T380" s="92"/>
      <c r="U380" s="145"/>
      <c r="V380" s="92"/>
      <c r="W380" s="145"/>
      <c r="X380" s="92"/>
      <c r="Y380" s="145"/>
      <c r="Z380" s="92"/>
      <c r="AA380" s="145"/>
      <c r="AB380" s="64"/>
      <c r="AC380" s="145"/>
      <c r="AD380" s="64"/>
      <c r="AE380" s="145"/>
      <c r="AF380" s="196" t="str">
        <f t="shared" si="20"/>
        <v/>
      </c>
      <c r="AG380" s="95" t="b">
        <f t="shared" si="19"/>
        <v>0</v>
      </c>
      <c r="AH380" s="9"/>
      <c r="AI380" s="150">
        <f t="shared" si="18"/>
        <v>0</v>
      </c>
      <c r="AJ380" s="153" t="s">
        <v>6</v>
      </c>
    </row>
    <row r="381" spans="1:36" ht="30" customHeight="1">
      <c r="A381" s="92"/>
      <c r="B381" s="92"/>
      <c r="C381" s="92"/>
      <c r="D381" s="92"/>
      <c r="E381" s="92"/>
      <c r="F381" s="92"/>
      <c r="G381" s="92"/>
      <c r="H381" s="92"/>
      <c r="I381" s="92"/>
      <c r="J381" s="92"/>
      <c r="K381" s="92"/>
      <c r="L381" s="92"/>
      <c r="M381" s="92"/>
      <c r="N381" s="155"/>
      <c r="O381" s="157"/>
      <c r="P381" s="92"/>
      <c r="Q381" s="145"/>
      <c r="R381" s="92"/>
      <c r="S381" s="145"/>
      <c r="T381" s="92"/>
      <c r="U381" s="145"/>
      <c r="V381" s="92"/>
      <c r="W381" s="145"/>
      <c r="X381" s="92"/>
      <c r="Y381" s="145"/>
      <c r="Z381" s="92"/>
      <c r="AA381" s="145"/>
      <c r="AB381" s="64"/>
      <c r="AC381" s="145"/>
      <c r="AD381" s="64"/>
      <c r="AE381" s="145"/>
      <c r="AF381" s="196" t="str">
        <f t="shared" si="20"/>
        <v/>
      </c>
      <c r="AG381" s="95" t="b">
        <f t="shared" si="19"/>
        <v>0</v>
      </c>
      <c r="AH381" s="9"/>
      <c r="AI381" s="150">
        <f t="shared" si="18"/>
        <v>0</v>
      </c>
      <c r="AJ381" s="153" t="s">
        <v>6</v>
      </c>
    </row>
    <row r="382" spans="1:36" ht="30" customHeight="1">
      <c r="A382" s="92"/>
      <c r="B382" s="92"/>
      <c r="C382" s="92"/>
      <c r="D382" s="92"/>
      <c r="E382" s="92"/>
      <c r="F382" s="92"/>
      <c r="G382" s="92"/>
      <c r="H382" s="92"/>
      <c r="I382" s="92"/>
      <c r="J382" s="92"/>
      <c r="K382" s="92"/>
      <c r="L382" s="92"/>
      <c r="M382" s="92"/>
      <c r="N382" s="155"/>
      <c r="O382" s="157"/>
      <c r="P382" s="92"/>
      <c r="Q382" s="145"/>
      <c r="R382" s="92"/>
      <c r="S382" s="145"/>
      <c r="T382" s="92"/>
      <c r="U382" s="145"/>
      <c r="V382" s="92"/>
      <c r="W382" s="145"/>
      <c r="X382" s="92"/>
      <c r="Y382" s="145"/>
      <c r="Z382" s="92"/>
      <c r="AA382" s="145"/>
      <c r="AB382" s="64"/>
      <c r="AC382" s="145"/>
      <c r="AD382" s="64"/>
      <c r="AE382" s="145"/>
      <c r="AF382" s="196" t="str">
        <f t="shared" si="20"/>
        <v/>
      </c>
      <c r="AG382" s="95" t="b">
        <f t="shared" si="19"/>
        <v>0</v>
      </c>
      <c r="AH382" s="9"/>
      <c r="AI382" s="150">
        <f t="shared" si="18"/>
        <v>0</v>
      </c>
      <c r="AJ382" s="153" t="s">
        <v>6</v>
      </c>
    </row>
    <row r="383" spans="1:36" ht="30" customHeight="1">
      <c r="A383" s="92"/>
      <c r="B383" s="92"/>
      <c r="C383" s="92"/>
      <c r="D383" s="92"/>
      <c r="E383" s="92"/>
      <c r="F383" s="92"/>
      <c r="G383" s="92"/>
      <c r="H383" s="92"/>
      <c r="I383" s="92"/>
      <c r="J383" s="92"/>
      <c r="K383" s="92"/>
      <c r="L383" s="92"/>
      <c r="M383" s="92"/>
      <c r="N383" s="155"/>
      <c r="O383" s="157"/>
      <c r="P383" s="92"/>
      <c r="Q383" s="145"/>
      <c r="R383" s="92"/>
      <c r="S383" s="145"/>
      <c r="T383" s="92"/>
      <c r="U383" s="145"/>
      <c r="V383" s="92"/>
      <c r="W383" s="145"/>
      <c r="X383" s="92"/>
      <c r="Y383" s="145"/>
      <c r="Z383" s="92"/>
      <c r="AA383" s="145"/>
      <c r="AB383" s="64"/>
      <c r="AC383" s="145"/>
      <c r="AD383" s="64"/>
      <c r="AE383" s="145"/>
      <c r="AF383" s="196" t="str">
        <f t="shared" si="20"/>
        <v/>
      </c>
      <c r="AG383" s="95" t="b">
        <f t="shared" si="19"/>
        <v>0</v>
      </c>
      <c r="AH383" s="9"/>
      <c r="AI383" s="150">
        <f t="shared" si="18"/>
        <v>0</v>
      </c>
      <c r="AJ383" s="153" t="s">
        <v>6</v>
      </c>
    </row>
    <row r="384" spans="1:36" ht="30" customHeight="1">
      <c r="A384" s="92"/>
      <c r="B384" s="92"/>
      <c r="C384" s="92"/>
      <c r="D384" s="92"/>
      <c r="E384" s="92"/>
      <c r="F384" s="92"/>
      <c r="G384" s="92"/>
      <c r="H384" s="92"/>
      <c r="I384" s="92"/>
      <c r="J384" s="92"/>
      <c r="K384" s="92"/>
      <c r="L384" s="92"/>
      <c r="M384" s="92"/>
      <c r="N384" s="155"/>
      <c r="O384" s="157"/>
      <c r="P384" s="92"/>
      <c r="Q384" s="145"/>
      <c r="R384" s="92"/>
      <c r="S384" s="145"/>
      <c r="T384" s="92"/>
      <c r="U384" s="145"/>
      <c r="V384" s="92"/>
      <c r="W384" s="145"/>
      <c r="X384" s="92"/>
      <c r="Y384" s="145"/>
      <c r="Z384" s="92"/>
      <c r="AA384" s="145"/>
      <c r="AB384" s="64"/>
      <c r="AC384" s="145"/>
      <c r="AD384" s="64"/>
      <c r="AE384" s="145"/>
      <c r="AF384" s="196" t="str">
        <f t="shared" si="20"/>
        <v/>
      </c>
      <c r="AG384" s="95" t="b">
        <f t="shared" si="19"/>
        <v>0</v>
      </c>
      <c r="AH384" s="9"/>
      <c r="AI384" s="150">
        <f t="shared" ref="AI384:AI447" si="21">E384</f>
        <v>0</v>
      </c>
      <c r="AJ384" s="153" t="s">
        <v>6</v>
      </c>
    </row>
    <row r="385" spans="1:36" ht="30" customHeight="1">
      <c r="A385" s="92"/>
      <c r="B385" s="92"/>
      <c r="C385" s="92"/>
      <c r="D385" s="92"/>
      <c r="E385" s="92"/>
      <c r="F385" s="92"/>
      <c r="G385" s="92"/>
      <c r="H385" s="92"/>
      <c r="I385" s="92"/>
      <c r="J385" s="92"/>
      <c r="K385" s="92"/>
      <c r="L385" s="92"/>
      <c r="M385" s="92"/>
      <c r="N385" s="155"/>
      <c r="O385" s="157"/>
      <c r="P385" s="92"/>
      <c r="Q385" s="145"/>
      <c r="R385" s="92"/>
      <c r="S385" s="145"/>
      <c r="T385" s="92"/>
      <c r="U385" s="145"/>
      <c r="V385" s="92"/>
      <c r="W385" s="145"/>
      <c r="X385" s="92"/>
      <c r="Y385" s="145"/>
      <c r="Z385" s="92"/>
      <c r="AA385" s="145"/>
      <c r="AB385" s="64"/>
      <c r="AC385" s="145"/>
      <c r="AD385" s="64"/>
      <c r="AE385" s="145"/>
      <c r="AF385" s="196" t="str">
        <f t="shared" si="20"/>
        <v/>
      </c>
      <c r="AG385" s="95" t="b">
        <f t="shared" si="19"/>
        <v>0</v>
      </c>
      <c r="AH385" s="9"/>
      <c r="AI385" s="150">
        <f t="shared" si="21"/>
        <v>0</v>
      </c>
      <c r="AJ385" s="153" t="s">
        <v>6</v>
      </c>
    </row>
    <row r="386" spans="1:36" ht="30" customHeight="1">
      <c r="A386" s="92"/>
      <c r="B386" s="92"/>
      <c r="C386" s="92"/>
      <c r="D386" s="92"/>
      <c r="E386" s="92"/>
      <c r="F386" s="92"/>
      <c r="G386" s="92"/>
      <c r="H386" s="92"/>
      <c r="I386" s="92"/>
      <c r="J386" s="92"/>
      <c r="K386" s="92"/>
      <c r="L386" s="92"/>
      <c r="M386" s="92"/>
      <c r="N386" s="155"/>
      <c r="O386" s="157"/>
      <c r="P386" s="92"/>
      <c r="Q386" s="145"/>
      <c r="R386" s="92"/>
      <c r="S386" s="145"/>
      <c r="T386" s="92"/>
      <c r="U386" s="145"/>
      <c r="V386" s="92"/>
      <c r="W386" s="145"/>
      <c r="X386" s="92"/>
      <c r="Y386" s="145"/>
      <c r="Z386" s="92"/>
      <c r="AA386" s="145"/>
      <c r="AB386" s="64"/>
      <c r="AC386" s="145"/>
      <c r="AD386" s="64"/>
      <c r="AE386" s="145"/>
      <c r="AF386" s="196" t="str">
        <f t="shared" si="20"/>
        <v/>
      </c>
      <c r="AG386" s="95" t="b">
        <f t="shared" si="19"/>
        <v>0</v>
      </c>
      <c r="AH386" s="9"/>
      <c r="AI386" s="150">
        <f t="shared" si="21"/>
        <v>0</v>
      </c>
      <c r="AJ386" s="153" t="s">
        <v>6</v>
      </c>
    </row>
    <row r="387" spans="1:36" ht="30" customHeight="1">
      <c r="A387" s="92"/>
      <c r="B387" s="92"/>
      <c r="C387" s="92"/>
      <c r="D387" s="92"/>
      <c r="E387" s="92"/>
      <c r="F387" s="92"/>
      <c r="G387" s="92"/>
      <c r="H387" s="92"/>
      <c r="I387" s="92"/>
      <c r="J387" s="92"/>
      <c r="K387" s="92"/>
      <c r="L387" s="92"/>
      <c r="M387" s="92"/>
      <c r="N387" s="155"/>
      <c r="O387" s="157"/>
      <c r="P387" s="92"/>
      <c r="Q387" s="145"/>
      <c r="R387" s="92"/>
      <c r="S387" s="145"/>
      <c r="T387" s="92"/>
      <c r="U387" s="145"/>
      <c r="V387" s="92"/>
      <c r="W387" s="145"/>
      <c r="X387" s="92"/>
      <c r="Y387" s="145"/>
      <c r="Z387" s="92"/>
      <c r="AA387" s="145"/>
      <c r="AB387" s="64"/>
      <c r="AC387" s="145"/>
      <c r="AD387" s="64"/>
      <c r="AE387" s="145"/>
      <c r="AF387" s="196" t="str">
        <f t="shared" si="20"/>
        <v/>
      </c>
      <c r="AG387" s="95" t="b">
        <f t="shared" si="19"/>
        <v>0</v>
      </c>
      <c r="AH387" s="9"/>
      <c r="AI387" s="150">
        <f t="shared" si="21"/>
        <v>0</v>
      </c>
      <c r="AJ387" s="153" t="s">
        <v>6</v>
      </c>
    </row>
    <row r="388" spans="1:36" ht="30" customHeight="1">
      <c r="A388" s="92"/>
      <c r="B388" s="92"/>
      <c r="C388" s="92"/>
      <c r="D388" s="92"/>
      <c r="E388" s="92"/>
      <c r="F388" s="92"/>
      <c r="G388" s="92"/>
      <c r="H388" s="92"/>
      <c r="I388" s="92"/>
      <c r="J388" s="92"/>
      <c r="K388" s="92"/>
      <c r="L388" s="92"/>
      <c r="M388" s="92"/>
      <c r="N388" s="155"/>
      <c r="O388" s="157"/>
      <c r="P388" s="92"/>
      <c r="Q388" s="145"/>
      <c r="R388" s="92"/>
      <c r="S388" s="145"/>
      <c r="T388" s="92"/>
      <c r="U388" s="145"/>
      <c r="V388" s="92"/>
      <c r="W388" s="145"/>
      <c r="X388" s="92"/>
      <c r="Y388" s="145"/>
      <c r="Z388" s="92"/>
      <c r="AA388" s="145"/>
      <c r="AB388" s="64"/>
      <c r="AC388" s="145"/>
      <c r="AD388" s="64"/>
      <c r="AE388" s="145"/>
      <c r="AF388" s="196" t="str">
        <f t="shared" si="20"/>
        <v/>
      </c>
      <c r="AG388" s="95" t="b">
        <f t="shared" si="19"/>
        <v>0</v>
      </c>
      <c r="AH388" s="9"/>
      <c r="AI388" s="150">
        <f t="shared" si="21"/>
        <v>0</v>
      </c>
      <c r="AJ388" s="153" t="s">
        <v>6</v>
      </c>
    </row>
    <row r="389" spans="1:36" ht="30" customHeight="1">
      <c r="A389" s="92"/>
      <c r="B389" s="92"/>
      <c r="C389" s="92"/>
      <c r="D389" s="92"/>
      <c r="E389" s="92"/>
      <c r="F389" s="92"/>
      <c r="G389" s="92"/>
      <c r="H389" s="92"/>
      <c r="I389" s="92"/>
      <c r="J389" s="92"/>
      <c r="K389" s="92"/>
      <c r="L389" s="92"/>
      <c r="M389" s="92"/>
      <c r="N389" s="155"/>
      <c r="O389" s="157"/>
      <c r="P389" s="92"/>
      <c r="Q389" s="145"/>
      <c r="R389" s="92"/>
      <c r="S389" s="145"/>
      <c r="T389" s="92"/>
      <c r="U389" s="145"/>
      <c r="V389" s="92"/>
      <c r="W389" s="145"/>
      <c r="X389" s="92"/>
      <c r="Y389" s="145"/>
      <c r="Z389" s="92"/>
      <c r="AA389" s="145"/>
      <c r="AB389" s="64"/>
      <c r="AC389" s="145"/>
      <c r="AD389" s="64"/>
      <c r="AE389" s="145"/>
      <c r="AF389" s="196" t="str">
        <f t="shared" si="20"/>
        <v/>
      </c>
      <c r="AG389" s="95" t="b">
        <f t="shared" si="19"/>
        <v>0</v>
      </c>
      <c r="AH389" s="9"/>
      <c r="AI389" s="150">
        <f t="shared" si="21"/>
        <v>0</v>
      </c>
      <c r="AJ389" s="153" t="s">
        <v>6</v>
      </c>
    </row>
    <row r="390" spans="1:36" ht="30" customHeight="1">
      <c r="A390" s="92"/>
      <c r="B390" s="92"/>
      <c r="C390" s="92"/>
      <c r="D390" s="92"/>
      <c r="E390" s="92"/>
      <c r="F390" s="92"/>
      <c r="G390" s="92"/>
      <c r="H390" s="92"/>
      <c r="I390" s="92"/>
      <c r="J390" s="92"/>
      <c r="K390" s="92"/>
      <c r="L390" s="92"/>
      <c r="M390" s="92"/>
      <c r="N390" s="155"/>
      <c r="O390" s="157"/>
      <c r="P390" s="92"/>
      <c r="Q390" s="145"/>
      <c r="R390" s="92"/>
      <c r="S390" s="145"/>
      <c r="T390" s="92"/>
      <c r="U390" s="145"/>
      <c r="V390" s="92"/>
      <c r="W390" s="145"/>
      <c r="X390" s="92"/>
      <c r="Y390" s="145"/>
      <c r="Z390" s="92"/>
      <c r="AA390" s="145"/>
      <c r="AB390" s="64"/>
      <c r="AC390" s="145"/>
      <c r="AD390" s="64"/>
      <c r="AE390" s="145"/>
      <c r="AF390" s="196" t="str">
        <f t="shared" si="20"/>
        <v/>
      </c>
      <c r="AG390" s="95" t="b">
        <f t="shared" si="19"/>
        <v>0</v>
      </c>
      <c r="AH390" s="9"/>
      <c r="AI390" s="150">
        <f t="shared" si="21"/>
        <v>0</v>
      </c>
      <c r="AJ390" s="153" t="s">
        <v>6</v>
      </c>
    </row>
    <row r="391" spans="1:36" ht="30" customHeight="1">
      <c r="A391" s="92"/>
      <c r="B391" s="92"/>
      <c r="C391" s="92"/>
      <c r="D391" s="92"/>
      <c r="E391" s="92"/>
      <c r="F391" s="92"/>
      <c r="G391" s="92"/>
      <c r="H391" s="92"/>
      <c r="I391" s="92"/>
      <c r="J391" s="92"/>
      <c r="K391" s="92"/>
      <c r="L391" s="92"/>
      <c r="M391" s="92"/>
      <c r="N391" s="155"/>
      <c r="O391" s="157"/>
      <c r="P391" s="92"/>
      <c r="Q391" s="145"/>
      <c r="R391" s="92"/>
      <c r="S391" s="145"/>
      <c r="T391" s="92"/>
      <c r="U391" s="145"/>
      <c r="V391" s="92"/>
      <c r="W391" s="145"/>
      <c r="X391" s="92"/>
      <c r="Y391" s="145"/>
      <c r="Z391" s="92"/>
      <c r="AA391" s="145"/>
      <c r="AB391" s="64"/>
      <c r="AC391" s="145"/>
      <c r="AD391" s="64"/>
      <c r="AE391" s="145"/>
      <c r="AF391" s="196" t="str">
        <f t="shared" si="20"/>
        <v/>
      </c>
      <c r="AG391" s="95" t="b">
        <f t="shared" si="19"/>
        <v>0</v>
      </c>
      <c r="AH391" s="9"/>
      <c r="AI391" s="150">
        <f t="shared" si="21"/>
        <v>0</v>
      </c>
      <c r="AJ391" s="153" t="s">
        <v>6</v>
      </c>
    </row>
    <row r="392" spans="1:36" ht="30" customHeight="1">
      <c r="A392" s="92"/>
      <c r="B392" s="92"/>
      <c r="C392" s="92"/>
      <c r="D392" s="92"/>
      <c r="E392" s="92"/>
      <c r="F392" s="92"/>
      <c r="G392" s="92"/>
      <c r="H392" s="92"/>
      <c r="I392" s="92"/>
      <c r="J392" s="92"/>
      <c r="K392" s="92"/>
      <c r="L392" s="92"/>
      <c r="M392" s="92"/>
      <c r="N392" s="155"/>
      <c r="O392" s="157"/>
      <c r="P392" s="92"/>
      <c r="Q392" s="145"/>
      <c r="R392" s="92"/>
      <c r="S392" s="145"/>
      <c r="T392" s="92"/>
      <c r="U392" s="145"/>
      <c r="V392" s="92"/>
      <c r="W392" s="145"/>
      <c r="X392" s="92"/>
      <c r="Y392" s="145"/>
      <c r="Z392" s="92"/>
      <c r="AA392" s="145"/>
      <c r="AB392" s="64"/>
      <c r="AC392" s="145"/>
      <c r="AD392" s="64"/>
      <c r="AE392" s="145"/>
      <c r="AF392" s="196" t="str">
        <f t="shared" si="20"/>
        <v/>
      </c>
      <c r="AG392" s="95" t="b">
        <f t="shared" si="19"/>
        <v>0</v>
      </c>
      <c r="AH392" s="9"/>
      <c r="AI392" s="150">
        <f t="shared" si="21"/>
        <v>0</v>
      </c>
      <c r="AJ392" s="153" t="s">
        <v>6</v>
      </c>
    </row>
    <row r="393" spans="1:36" ht="30" customHeight="1">
      <c r="A393" s="92"/>
      <c r="B393" s="92"/>
      <c r="C393" s="92"/>
      <c r="D393" s="92"/>
      <c r="E393" s="92"/>
      <c r="F393" s="92"/>
      <c r="G393" s="92"/>
      <c r="H393" s="92"/>
      <c r="I393" s="92"/>
      <c r="J393" s="92"/>
      <c r="K393" s="92"/>
      <c r="L393" s="92"/>
      <c r="M393" s="92"/>
      <c r="N393" s="155"/>
      <c r="O393" s="157"/>
      <c r="P393" s="92"/>
      <c r="Q393" s="145"/>
      <c r="R393" s="92"/>
      <c r="S393" s="145"/>
      <c r="T393" s="92"/>
      <c r="U393" s="145"/>
      <c r="V393" s="92"/>
      <c r="W393" s="145"/>
      <c r="X393" s="92"/>
      <c r="Y393" s="145"/>
      <c r="Z393" s="92"/>
      <c r="AA393" s="145"/>
      <c r="AB393" s="64"/>
      <c r="AC393" s="145"/>
      <c r="AD393" s="64"/>
      <c r="AE393" s="145"/>
      <c r="AF393" s="196" t="str">
        <f t="shared" si="20"/>
        <v/>
      </c>
      <c r="AG393" s="95" t="b">
        <f t="shared" si="19"/>
        <v>0</v>
      </c>
      <c r="AH393" s="9"/>
      <c r="AI393" s="150">
        <f t="shared" si="21"/>
        <v>0</v>
      </c>
      <c r="AJ393" s="153" t="s">
        <v>6</v>
      </c>
    </row>
    <row r="394" spans="1:36" ht="30" customHeight="1">
      <c r="A394" s="92"/>
      <c r="B394" s="92"/>
      <c r="C394" s="92"/>
      <c r="D394" s="92"/>
      <c r="E394" s="92"/>
      <c r="F394" s="92"/>
      <c r="G394" s="92"/>
      <c r="H394" s="92"/>
      <c r="I394" s="92"/>
      <c r="J394" s="92"/>
      <c r="K394" s="92"/>
      <c r="L394" s="92"/>
      <c r="M394" s="92"/>
      <c r="N394" s="155"/>
      <c r="O394" s="157"/>
      <c r="P394" s="92"/>
      <c r="Q394" s="145"/>
      <c r="R394" s="92"/>
      <c r="S394" s="145"/>
      <c r="T394" s="92"/>
      <c r="U394" s="145"/>
      <c r="V394" s="92"/>
      <c r="W394" s="145"/>
      <c r="X394" s="92"/>
      <c r="Y394" s="145"/>
      <c r="Z394" s="92"/>
      <c r="AA394" s="145"/>
      <c r="AB394" s="64"/>
      <c r="AC394" s="145"/>
      <c r="AD394" s="64"/>
      <c r="AE394" s="145"/>
      <c r="AF394" s="196" t="str">
        <f t="shared" si="20"/>
        <v/>
      </c>
      <c r="AG394" s="95" t="b">
        <f t="shared" ref="AG394:AG457" si="22">IF(AND(AE394="C",AF394="C"),"UTILIZOU O PDA CORRETAMENTE",IF(AND(AE394="C",AF394="NC"),"UTILIZOU O PDA CORRETAMENTE. NÃO HÁ FOTOS DE TODAS AS ETAPAS",IF(AND(AE394="NC",AF394="NC"),"NÃO UTILIZOU O PDA",IF(AND(AE394="NA",AF394="NA"),"NÃO AVALIADO POR FALHA DE SINCRONISMO"))))</f>
        <v>0</v>
      </c>
      <c r="AH394" s="9"/>
      <c r="AI394" s="150">
        <f t="shared" si="21"/>
        <v>0</v>
      </c>
      <c r="AJ394" s="153" t="s">
        <v>6</v>
      </c>
    </row>
    <row r="395" spans="1:36" ht="30" customHeight="1">
      <c r="A395" s="92"/>
      <c r="B395" s="92"/>
      <c r="C395" s="92"/>
      <c r="D395" s="92"/>
      <c r="E395" s="92"/>
      <c r="F395" s="92"/>
      <c r="G395" s="92"/>
      <c r="H395" s="92"/>
      <c r="I395" s="92"/>
      <c r="J395" s="92"/>
      <c r="K395" s="92"/>
      <c r="L395" s="92"/>
      <c r="M395" s="92"/>
      <c r="N395" s="155"/>
      <c r="O395" s="157"/>
      <c r="P395" s="92"/>
      <c r="Q395" s="145"/>
      <c r="R395" s="92"/>
      <c r="S395" s="145"/>
      <c r="T395" s="92"/>
      <c r="U395" s="145"/>
      <c r="V395" s="92"/>
      <c r="W395" s="145"/>
      <c r="X395" s="92"/>
      <c r="Y395" s="145"/>
      <c r="Z395" s="92"/>
      <c r="AA395" s="145"/>
      <c r="AB395" s="64"/>
      <c r="AC395" s="145"/>
      <c r="AD395" s="64"/>
      <c r="AE395" s="145"/>
      <c r="AF395" s="196" t="str">
        <f t="shared" ref="AF395:AF458" si="23">IF(AND(O395="",Q395="",S395="",U395="",W395="",Y395="",AA395="",AC395=""),"",
IF(OR(    AND(O395&lt;&gt;"NA",O395&lt;&gt;"C",O395&lt;&gt;"NC",O395&lt;&gt;"SF",O395&lt;&gt;""),
    AND(Q395&lt;&gt;"NA",Q395&lt;&gt;"C",Q395&lt;&gt;"NC",Q395&lt;&gt;"SF",Q395&lt;&gt;""),
    AND(S395&lt;&gt;"NA",S395&lt;&gt;"C",S395&lt;&gt;"NC",S395&lt;&gt;"SF",S395&lt;&gt;""),
    AND(U395&lt;&gt;"NA",U395&lt;&gt;"C",U395&lt;&gt;"NC",U395&lt;&gt;"SF",U395&lt;&gt;""),
    AND(W395&lt;&gt;"NA",W395&lt;&gt;"C",W395&lt;&gt;"NC",W395&lt;&gt;"SF",W395&lt;&gt;""),
    AND(Y395&lt;&gt;"NA",Y395&lt;&gt;"C",Y395&lt;&gt;"NC",Y395&lt;&gt;"SF",Y395&lt;&gt;""),
    AND(AA395&lt;&gt;"NA",AA395&lt;&gt;"C",AA395&lt;&gt;"NC",AA395&lt;&gt;"SF",AA395&lt;&gt;""),
    AND(AC395&lt;&gt;"NA",AC395&lt;&gt;"C",AC395&lt;&gt;"NC",AC395&lt;&gt;"SF",AC395&lt;&gt;"")
),"FALSO",
IF(AND(O395="NA",Q395="NA",S395="NA",U395="NA",W395="NA",Y395="NA",AA395="NA",AC395="NA"),"NA",
IF(OR(O395="NC",Q395="NC",S395="NC",U395="NC",W395="NC",Y395="NC",AA395="NC",AC395="NC",
       O395="SF",Q395="SF",S395="SF",U395="SF",W395="SF",Y395="SF",AA395="SF",AC395="SF"),"NC",
IF(SUM(IF(O395="C",1,0),IF(Q395="C",1,0),IF(S395="C",1,0),IF(U395="C",1,0),IF(W395="C",1,0),IF(Y395="C",1,0),IF(AA395="C",1,0),IF(AC395="C",1,0))=1,"C","C")))))</f>
        <v/>
      </c>
      <c r="AG395" s="95" t="b">
        <f t="shared" si="22"/>
        <v>0</v>
      </c>
      <c r="AH395" s="9"/>
      <c r="AI395" s="150">
        <f t="shared" si="21"/>
        <v>0</v>
      </c>
      <c r="AJ395" s="153" t="s">
        <v>6</v>
      </c>
    </row>
    <row r="396" spans="1:36" ht="30" customHeight="1">
      <c r="A396" s="92"/>
      <c r="B396" s="92"/>
      <c r="C396" s="92"/>
      <c r="D396" s="92"/>
      <c r="E396" s="92"/>
      <c r="F396" s="92"/>
      <c r="G396" s="92"/>
      <c r="H396" s="92"/>
      <c r="I396" s="92"/>
      <c r="J396" s="92"/>
      <c r="K396" s="92"/>
      <c r="L396" s="92"/>
      <c r="M396" s="92"/>
      <c r="N396" s="155"/>
      <c r="O396" s="157"/>
      <c r="P396" s="92"/>
      <c r="Q396" s="145"/>
      <c r="R396" s="92"/>
      <c r="S396" s="145"/>
      <c r="T396" s="92"/>
      <c r="U396" s="145"/>
      <c r="V396" s="92"/>
      <c r="W396" s="145"/>
      <c r="X396" s="92"/>
      <c r="Y396" s="145"/>
      <c r="Z396" s="92"/>
      <c r="AA396" s="145"/>
      <c r="AB396" s="64"/>
      <c r="AC396" s="145"/>
      <c r="AD396" s="64"/>
      <c r="AE396" s="145"/>
      <c r="AF396" s="196" t="str">
        <f t="shared" si="23"/>
        <v/>
      </c>
      <c r="AG396" s="95" t="b">
        <f t="shared" si="22"/>
        <v>0</v>
      </c>
      <c r="AH396" s="9"/>
      <c r="AI396" s="150">
        <f t="shared" si="21"/>
        <v>0</v>
      </c>
      <c r="AJ396" s="153" t="s">
        <v>6</v>
      </c>
    </row>
    <row r="397" spans="1:36" ht="30" customHeight="1">
      <c r="A397" s="92"/>
      <c r="B397" s="92"/>
      <c r="C397" s="92"/>
      <c r="D397" s="92"/>
      <c r="E397" s="92"/>
      <c r="F397" s="92"/>
      <c r="G397" s="92"/>
      <c r="H397" s="92"/>
      <c r="I397" s="92"/>
      <c r="J397" s="92"/>
      <c r="K397" s="92"/>
      <c r="L397" s="92"/>
      <c r="M397" s="92"/>
      <c r="N397" s="155"/>
      <c r="O397" s="157"/>
      <c r="P397" s="92"/>
      <c r="Q397" s="145"/>
      <c r="R397" s="92"/>
      <c r="S397" s="145"/>
      <c r="T397" s="92"/>
      <c r="U397" s="145"/>
      <c r="V397" s="92"/>
      <c r="W397" s="145"/>
      <c r="X397" s="92"/>
      <c r="Y397" s="145"/>
      <c r="Z397" s="92"/>
      <c r="AA397" s="145"/>
      <c r="AB397" s="64"/>
      <c r="AC397" s="145"/>
      <c r="AD397" s="64"/>
      <c r="AE397" s="145"/>
      <c r="AF397" s="196" t="str">
        <f t="shared" si="23"/>
        <v/>
      </c>
      <c r="AG397" s="95" t="b">
        <f t="shared" si="22"/>
        <v>0</v>
      </c>
      <c r="AH397" s="9"/>
      <c r="AI397" s="150">
        <f t="shared" si="21"/>
        <v>0</v>
      </c>
      <c r="AJ397" s="153" t="s">
        <v>6</v>
      </c>
    </row>
    <row r="398" spans="1:36" ht="30" customHeight="1">
      <c r="A398" s="92"/>
      <c r="B398" s="92"/>
      <c r="C398" s="92"/>
      <c r="D398" s="92"/>
      <c r="E398" s="92"/>
      <c r="F398" s="92"/>
      <c r="G398" s="92"/>
      <c r="H398" s="92"/>
      <c r="I398" s="92"/>
      <c r="J398" s="92"/>
      <c r="K398" s="92"/>
      <c r="L398" s="92"/>
      <c r="M398" s="92"/>
      <c r="N398" s="155"/>
      <c r="O398" s="157"/>
      <c r="P398" s="92"/>
      <c r="Q398" s="145"/>
      <c r="R398" s="92"/>
      <c r="S398" s="145"/>
      <c r="T398" s="92"/>
      <c r="U398" s="145"/>
      <c r="V398" s="92"/>
      <c r="W398" s="145"/>
      <c r="X398" s="92"/>
      <c r="Y398" s="145"/>
      <c r="Z398" s="92"/>
      <c r="AA398" s="145"/>
      <c r="AB398" s="64"/>
      <c r="AC398" s="145"/>
      <c r="AD398" s="64"/>
      <c r="AE398" s="145"/>
      <c r="AF398" s="196" t="str">
        <f t="shared" si="23"/>
        <v/>
      </c>
      <c r="AG398" s="95" t="b">
        <f t="shared" si="22"/>
        <v>0</v>
      </c>
      <c r="AH398" s="9"/>
      <c r="AI398" s="150">
        <f t="shared" si="21"/>
        <v>0</v>
      </c>
      <c r="AJ398" s="153" t="s">
        <v>6</v>
      </c>
    </row>
    <row r="399" spans="1:36" ht="30" customHeight="1">
      <c r="A399" s="92"/>
      <c r="B399" s="92"/>
      <c r="C399" s="92"/>
      <c r="D399" s="92"/>
      <c r="E399" s="92"/>
      <c r="F399" s="92"/>
      <c r="G399" s="92"/>
      <c r="H399" s="92"/>
      <c r="I399" s="92"/>
      <c r="J399" s="92"/>
      <c r="K399" s="92"/>
      <c r="L399" s="92"/>
      <c r="M399" s="92"/>
      <c r="N399" s="155"/>
      <c r="O399" s="157"/>
      <c r="P399" s="92"/>
      <c r="Q399" s="145"/>
      <c r="R399" s="92"/>
      <c r="S399" s="145"/>
      <c r="T399" s="92"/>
      <c r="U399" s="145"/>
      <c r="V399" s="92"/>
      <c r="W399" s="145"/>
      <c r="X399" s="92"/>
      <c r="Y399" s="145"/>
      <c r="Z399" s="92"/>
      <c r="AA399" s="145"/>
      <c r="AB399" s="64"/>
      <c r="AC399" s="145"/>
      <c r="AD399" s="64"/>
      <c r="AE399" s="145"/>
      <c r="AF399" s="196" t="str">
        <f t="shared" si="23"/>
        <v/>
      </c>
      <c r="AG399" s="95" t="b">
        <f t="shared" si="22"/>
        <v>0</v>
      </c>
      <c r="AH399" s="9"/>
      <c r="AI399" s="150">
        <f t="shared" si="21"/>
        <v>0</v>
      </c>
      <c r="AJ399" s="153" t="s">
        <v>6</v>
      </c>
    </row>
    <row r="400" spans="1:36" ht="30" customHeight="1">
      <c r="A400" s="92"/>
      <c r="B400" s="92"/>
      <c r="C400" s="92"/>
      <c r="D400" s="92"/>
      <c r="E400" s="92"/>
      <c r="F400" s="92"/>
      <c r="G400" s="92"/>
      <c r="H400" s="92"/>
      <c r="I400" s="92"/>
      <c r="J400" s="92"/>
      <c r="K400" s="92"/>
      <c r="L400" s="92"/>
      <c r="M400" s="92"/>
      <c r="N400" s="155"/>
      <c r="O400" s="157"/>
      <c r="P400" s="92"/>
      <c r="Q400" s="145"/>
      <c r="R400" s="92"/>
      <c r="S400" s="145"/>
      <c r="T400" s="92"/>
      <c r="U400" s="145"/>
      <c r="V400" s="92"/>
      <c r="W400" s="145"/>
      <c r="X400" s="92"/>
      <c r="Y400" s="145"/>
      <c r="Z400" s="92"/>
      <c r="AA400" s="145"/>
      <c r="AB400" s="64"/>
      <c r="AC400" s="145"/>
      <c r="AD400" s="64"/>
      <c r="AE400" s="145"/>
      <c r="AF400" s="196" t="str">
        <f t="shared" si="23"/>
        <v/>
      </c>
      <c r="AG400" s="95" t="b">
        <f t="shared" si="22"/>
        <v>0</v>
      </c>
      <c r="AH400" s="9"/>
      <c r="AI400" s="150">
        <f t="shared" si="21"/>
        <v>0</v>
      </c>
      <c r="AJ400" s="153" t="s">
        <v>6</v>
      </c>
    </row>
    <row r="401" spans="1:36" ht="30" customHeight="1">
      <c r="A401" s="92"/>
      <c r="B401" s="92"/>
      <c r="C401" s="92"/>
      <c r="D401" s="92"/>
      <c r="E401" s="92"/>
      <c r="F401" s="92"/>
      <c r="G401" s="92"/>
      <c r="H401" s="92"/>
      <c r="I401" s="92"/>
      <c r="J401" s="92"/>
      <c r="K401" s="92"/>
      <c r="L401" s="92"/>
      <c r="M401" s="92"/>
      <c r="N401" s="155"/>
      <c r="O401" s="157"/>
      <c r="P401" s="92"/>
      <c r="Q401" s="145"/>
      <c r="R401" s="92"/>
      <c r="S401" s="145"/>
      <c r="T401" s="92"/>
      <c r="U401" s="145"/>
      <c r="V401" s="92"/>
      <c r="W401" s="145"/>
      <c r="X401" s="92"/>
      <c r="Y401" s="145"/>
      <c r="Z401" s="92"/>
      <c r="AA401" s="145"/>
      <c r="AB401" s="64"/>
      <c r="AC401" s="145"/>
      <c r="AD401" s="64"/>
      <c r="AE401" s="145"/>
      <c r="AF401" s="196" t="str">
        <f t="shared" si="23"/>
        <v/>
      </c>
      <c r="AG401" s="95" t="b">
        <f t="shared" si="22"/>
        <v>0</v>
      </c>
      <c r="AH401" s="9"/>
      <c r="AI401" s="150">
        <f t="shared" si="21"/>
        <v>0</v>
      </c>
      <c r="AJ401" s="153" t="s">
        <v>6</v>
      </c>
    </row>
    <row r="402" spans="1:36" ht="30" customHeight="1">
      <c r="A402" s="92"/>
      <c r="B402" s="92"/>
      <c r="C402" s="92"/>
      <c r="D402" s="92"/>
      <c r="E402" s="92"/>
      <c r="F402" s="92"/>
      <c r="G402" s="92"/>
      <c r="H402" s="92"/>
      <c r="I402" s="92"/>
      <c r="J402" s="92"/>
      <c r="K402" s="92"/>
      <c r="L402" s="92"/>
      <c r="M402" s="92"/>
      <c r="N402" s="155"/>
      <c r="O402" s="157"/>
      <c r="P402" s="92"/>
      <c r="Q402" s="145"/>
      <c r="R402" s="92"/>
      <c r="S402" s="145"/>
      <c r="T402" s="92"/>
      <c r="U402" s="145"/>
      <c r="V402" s="92"/>
      <c r="W402" s="145"/>
      <c r="X402" s="92"/>
      <c r="Y402" s="145"/>
      <c r="Z402" s="92"/>
      <c r="AA402" s="145"/>
      <c r="AB402" s="64"/>
      <c r="AC402" s="145"/>
      <c r="AD402" s="64"/>
      <c r="AE402" s="145"/>
      <c r="AF402" s="196" t="str">
        <f t="shared" si="23"/>
        <v/>
      </c>
      <c r="AG402" s="95" t="b">
        <f t="shared" si="22"/>
        <v>0</v>
      </c>
      <c r="AH402" s="9"/>
      <c r="AI402" s="150">
        <f t="shared" si="21"/>
        <v>0</v>
      </c>
      <c r="AJ402" s="153" t="s">
        <v>6</v>
      </c>
    </row>
    <row r="403" spans="1:36" ht="30" customHeight="1">
      <c r="A403" s="92"/>
      <c r="B403" s="92"/>
      <c r="C403" s="92"/>
      <c r="D403" s="92"/>
      <c r="E403" s="92"/>
      <c r="F403" s="92"/>
      <c r="G403" s="92"/>
      <c r="H403" s="92"/>
      <c r="I403" s="92"/>
      <c r="J403" s="92"/>
      <c r="K403" s="92"/>
      <c r="L403" s="92"/>
      <c r="M403" s="92"/>
      <c r="N403" s="155"/>
      <c r="O403" s="157"/>
      <c r="P403" s="92"/>
      <c r="Q403" s="145"/>
      <c r="R403" s="92"/>
      <c r="S403" s="145"/>
      <c r="T403" s="92"/>
      <c r="U403" s="145"/>
      <c r="V403" s="92"/>
      <c r="W403" s="145"/>
      <c r="X403" s="92"/>
      <c r="Y403" s="145"/>
      <c r="Z403" s="92"/>
      <c r="AA403" s="145"/>
      <c r="AB403" s="64"/>
      <c r="AC403" s="145"/>
      <c r="AD403" s="64"/>
      <c r="AE403" s="145"/>
      <c r="AF403" s="196" t="str">
        <f t="shared" si="23"/>
        <v/>
      </c>
      <c r="AG403" s="95" t="b">
        <f t="shared" si="22"/>
        <v>0</v>
      </c>
      <c r="AH403" s="9"/>
      <c r="AI403" s="150">
        <f t="shared" si="21"/>
        <v>0</v>
      </c>
      <c r="AJ403" s="153" t="s">
        <v>6</v>
      </c>
    </row>
    <row r="404" spans="1:36" ht="30" customHeight="1">
      <c r="A404" s="92"/>
      <c r="B404" s="92"/>
      <c r="C404" s="92"/>
      <c r="D404" s="92"/>
      <c r="E404" s="92"/>
      <c r="F404" s="92"/>
      <c r="G404" s="92"/>
      <c r="H404" s="92"/>
      <c r="I404" s="92"/>
      <c r="J404" s="92"/>
      <c r="K404" s="92"/>
      <c r="L404" s="92"/>
      <c r="M404" s="92"/>
      <c r="N404" s="155"/>
      <c r="O404" s="157"/>
      <c r="P404" s="92"/>
      <c r="Q404" s="145"/>
      <c r="R404" s="92"/>
      <c r="S404" s="145"/>
      <c r="T404" s="92"/>
      <c r="U404" s="145"/>
      <c r="V404" s="92"/>
      <c r="W404" s="145"/>
      <c r="X404" s="92"/>
      <c r="Y404" s="145"/>
      <c r="Z404" s="92"/>
      <c r="AA404" s="145"/>
      <c r="AB404" s="64"/>
      <c r="AC404" s="145"/>
      <c r="AD404" s="64"/>
      <c r="AE404" s="145"/>
      <c r="AF404" s="196" t="str">
        <f t="shared" si="23"/>
        <v/>
      </c>
      <c r="AG404" s="95" t="b">
        <f t="shared" si="22"/>
        <v>0</v>
      </c>
      <c r="AH404" s="9"/>
      <c r="AI404" s="150">
        <f t="shared" si="21"/>
        <v>0</v>
      </c>
      <c r="AJ404" s="153" t="s">
        <v>6</v>
      </c>
    </row>
    <row r="405" spans="1:36" ht="30" customHeight="1">
      <c r="A405" s="92"/>
      <c r="B405" s="92"/>
      <c r="C405" s="92"/>
      <c r="D405" s="92"/>
      <c r="E405" s="92"/>
      <c r="F405" s="92"/>
      <c r="G405" s="92"/>
      <c r="H405" s="92"/>
      <c r="I405" s="92"/>
      <c r="J405" s="92"/>
      <c r="K405" s="92"/>
      <c r="L405" s="92"/>
      <c r="M405" s="92"/>
      <c r="N405" s="155"/>
      <c r="O405" s="157"/>
      <c r="P405" s="92"/>
      <c r="Q405" s="145"/>
      <c r="R405" s="92"/>
      <c r="S405" s="145"/>
      <c r="T405" s="92"/>
      <c r="U405" s="145"/>
      <c r="V405" s="92"/>
      <c r="W405" s="145"/>
      <c r="X405" s="92"/>
      <c r="Y405" s="145"/>
      <c r="Z405" s="92"/>
      <c r="AA405" s="145"/>
      <c r="AB405" s="64"/>
      <c r="AC405" s="145"/>
      <c r="AD405" s="64"/>
      <c r="AE405" s="145"/>
      <c r="AF405" s="196" t="str">
        <f t="shared" si="23"/>
        <v/>
      </c>
      <c r="AG405" s="95" t="b">
        <f t="shared" si="22"/>
        <v>0</v>
      </c>
      <c r="AH405" s="9"/>
      <c r="AI405" s="150">
        <f t="shared" si="21"/>
        <v>0</v>
      </c>
      <c r="AJ405" s="153" t="s">
        <v>6</v>
      </c>
    </row>
    <row r="406" spans="1:36" ht="30" customHeight="1">
      <c r="A406" s="92"/>
      <c r="B406" s="92"/>
      <c r="C406" s="92"/>
      <c r="D406" s="92"/>
      <c r="E406" s="92"/>
      <c r="F406" s="92"/>
      <c r="G406" s="92"/>
      <c r="H406" s="92"/>
      <c r="I406" s="92"/>
      <c r="J406" s="92"/>
      <c r="K406" s="92"/>
      <c r="L406" s="92"/>
      <c r="M406" s="92"/>
      <c r="N406" s="155"/>
      <c r="O406" s="157"/>
      <c r="P406" s="92"/>
      <c r="Q406" s="145"/>
      <c r="R406" s="92"/>
      <c r="S406" s="145"/>
      <c r="T406" s="92"/>
      <c r="U406" s="145"/>
      <c r="V406" s="92"/>
      <c r="W406" s="145"/>
      <c r="X406" s="92"/>
      <c r="Y406" s="145"/>
      <c r="Z406" s="92"/>
      <c r="AA406" s="145"/>
      <c r="AB406" s="64"/>
      <c r="AC406" s="145"/>
      <c r="AD406" s="64"/>
      <c r="AE406" s="145"/>
      <c r="AF406" s="196" t="str">
        <f t="shared" si="23"/>
        <v/>
      </c>
      <c r="AG406" s="95" t="b">
        <f t="shared" si="22"/>
        <v>0</v>
      </c>
      <c r="AH406" s="9"/>
      <c r="AI406" s="150">
        <f t="shared" si="21"/>
        <v>0</v>
      </c>
      <c r="AJ406" s="153" t="s">
        <v>6</v>
      </c>
    </row>
    <row r="407" spans="1:36" ht="30" customHeight="1">
      <c r="A407" s="92"/>
      <c r="B407" s="92"/>
      <c r="C407" s="92"/>
      <c r="D407" s="92"/>
      <c r="E407" s="92"/>
      <c r="F407" s="92"/>
      <c r="G407" s="92"/>
      <c r="H407" s="92"/>
      <c r="I407" s="92"/>
      <c r="J407" s="92"/>
      <c r="K407" s="92"/>
      <c r="L407" s="92"/>
      <c r="M407" s="92"/>
      <c r="N407" s="155"/>
      <c r="O407" s="157"/>
      <c r="P407" s="92"/>
      <c r="Q407" s="145"/>
      <c r="R407" s="92"/>
      <c r="S407" s="145"/>
      <c r="T407" s="92"/>
      <c r="U407" s="145"/>
      <c r="V407" s="92"/>
      <c r="W407" s="145"/>
      <c r="X407" s="92"/>
      <c r="Y407" s="145"/>
      <c r="Z407" s="92"/>
      <c r="AA407" s="145"/>
      <c r="AB407" s="64"/>
      <c r="AC407" s="145"/>
      <c r="AD407" s="64"/>
      <c r="AE407" s="145"/>
      <c r="AF407" s="196" t="str">
        <f t="shared" si="23"/>
        <v/>
      </c>
      <c r="AG407" s="95" t="b">
        <f t="shared" si="22"/>
        <v>0</v>
      </c>
      <c r="AH407" s="9"/>
      <c r="AI407" s="150">
        <f t="shared" si="21"/>
        <v>0</v>
      </c>
      <c r="AJ407" s="153" t="s">
        <v>6</v>
      </c>
    </row>
    <row r="408" spans="1:36" ht="30" customHeight="1">
      <c r="A408" s="92"/>
      <c r="B408" s="92"/>
      <c r="C408" s="92"/>
      <c r="D408" s="92"/>
      <c r="E408" s="92"/>
      <c r="F408" s="92"/>
      <c r="G408" s="92"/>
      <c r="H408" s="92"/>
      <c r="I408" s="92"/>
      <c r="J408" s="92"/>
      <c r="K408" s="92"/>
      <c r="L408" s="92"/>
      <c r="M408" s="92"/>
      <c r="N408" s="155"/>
      <c r="O408" s="157"/>
      <c r="P408" s="92"/>
      <c r="Q408" s="145"/>
      <c r="R408" s="92"/>
      <c r="S408" s="145"/>
      <c r="T408" s="92"/>
      <c r="U408" s="145"/>
      <c r="V408" s="92"/>
      <c r="W408" s="145"/>
      <c r="X408" s="92"/>
      <c r="Y408" s="145"/>
      <c r="Z408" s="92"/>
      <c r="AA408" s="145"/>
      <c r="AB408" s="64"/>
      <c r="AC408" s="145"/>
      <c r="AD408" s="64"/>
      <c r="AE408" s="145"/>
      <c r="AF408" s="196" t="str">
        <f t="shared" si="23"/>
        <v/>
      </c>
      <c r="AG408" s="95" t="b">
        <f t="shared" si="22"/>
        <v>0</v>
      </c>
      <c r="AH408" s="9"/>
      <c r="AI408" s="150">
        <f t="shared" si="21"/>
        <v>0</v>
      </c>
      <c r="AJ408" s="153" t="s">
        <v>6</v>
      </c>
    </row>
    <row r="409" spans="1:36" ht="30" customHeight="1">
      <c r="A409" s="92"/>
      <c r="B409" s="92"/>
      <c r="C409" s="92"/>
      <c r="D409" s="92"/>
      <c r="E409" s="92"/>
      <c r="F409" s="92"/>
      <c r="G409" s="92"/>
      <c r="H409" s="92"/>
      <c r="I409" s="92"/>
      <c r="J409" s="92"/>
      <c r="K409" s="92"/>
      <c r="L409" s="92"/>
      <c r="M409" s="92"/>
      <c r="N409" s="155"/>
      <c r="O409" s="157"/>
      <c r="P409" s="92"/>
      <c r="Q409" s="145"/>
      <c r="R409" s="92"/>
      <c r="S409" s="145"/>
      <c r="T409" s="92"/>
      <c r="U409" s="145"/>
      <c r="V409" s="92"/>
      <c r="W409" s="145"/>
      <c r="X409" s="92"/>
      <c r="Y409" s="145"/>
      <c r="Z409" s="92"/>
      <c r="AA409" s="145"/>
      <c r="AB409" s="64"/>
      <c r="AC409" s="145"/>
      <c r="AD409" s="64"/>
      <c r="AE409" s="145"/>
      <c r="AF409" s="196" t="str">
        <f t="shared" si="23"/>
        <v/>
      </c>
      <c r="AG409" s="95" t="b">
        <f t="shared" si="22"/>
        <v>0</v>
      </c>
      <c r="AH409" s="9"/>
      <c r="AI409" s="150">
        <f t="shared" si="21"/>
        <v>0</v>
      </c>
      <c r="AJ409" s="153" t="s">
        <v>6</v>
      </c>
    </row>
    <row r="410" spans="1:36" ht="30" customHeight="1">
      <c r="A410" s="92"/>
      <c r="B410" s="92"/>
      <c r="C410" s="92"/>
      <c r="D410" s="92"/>
      <c r="E410" s="92"/>
      <c r="F410" s="92"/>
      <c r="G410" s="92"/>
      <c r="H410" s="92"/>
      <c r="I410" s="92"/>
      <c r="J410" s="92"/>
      <c r="K410" s="92"/>
      <c r="L410" s="92"/>
      <c r="M410" s="92"/>
      <c r="N410" s="155"/>
      <c r="O410" s="157"/>
      <c r="P410" s="92"/>
      <c r="Q410" s="145"/>
      <c r="R410" s="92"/>
      <c r="S410" s="145"/>
      <c r="T410" s="92"/>
      <c r="U410" s="145"/>
      <c r="V410" s="92"/>
      <c r="W410" s="145"/>
      <c r="X410" s="92"/>
      <c r="Y410" s="145"/>
      <c r="Z410" s="92"/>
      <c r="AA410" s="145"/>
      <c r="AB410" s="64"/>
      <c r="AC410" s="145"/>
      <c r="AD410" s="64"/>
      <c r="AE410" s="145"/>
      <c r="AF410" s="196" t="str">
        <f t="shared" si="23"/>
        <v/>
      </c>
      <c r="AG410" s="95" t="b">
        <f t="shared" si="22"/>
        <v>0</v>
      </c>
      <c r="AH410" s="9"/>
      <c r="AI410" s="150">
        <f t="shared" si="21"/>
        <v>0</v>
      </c>
      <c r="AJ410" s="153" t="s">
        <v>6</v>
      </c>
    </row>
    <row r="411" spans="1:36" ht="30" customHeight="1">
      <c r="A411" s="92"/>
      <c r="B411" s="92"/>
      <c r="C411" s="92"/>
      <c r="D411" s="92"/>
      <c r="E411" s="92"/>
      <c r="F411" s="92"/>
      <c r="G411" s="92"/>
      <c r="H411" s="92"/>
      <c r="I411" s="92"/>
      <c r="J411" s="92"/>
      <c r="K411" s="92"/>
      <c r="L411" s="92"/>
      <c r="M411" s="92"/>
      <c r="N411" s="155"/>
      <c r="O411" s="157"/>
      <c r="P411" s="92"/>
      <c r="Q411" s="145"/>
      <c r="R411" s="92"/>
      <c r="S411" s="145"/>
      <c r="T411" s="92"/>
      <c r="U411" s="145"/>
      <c r="V411" s="92"/>
      <c r="W411" s="145"/>
      <c r="X411" s="92"/>
      <c r="Y411" s="145"/>
      <c r="Z411" s="92"/>
      <c r="AA411" s="145"/>
      <c r="AB411" s="64"/>
      <c r="AC411" s="145"/>
      <c r="AD411" s="64"/>
      <c r="AE411" s="145"/>
      <c r="AF411" s="196" t="str">
        <f t="shared" si="23"/>
        <v/>
      </c>
      <c r="AG411" s="95" t="b">
        <f t="shared" si="22"/>
        <v>0</v>
      </c>
      <c r="AH411" s="9"/>
      <c r="AI411" s="150">
        <f t="shared" si="21"/>
        <v>0</v>
      </c>
      <c r="AJ411" s="153" t="s">
        <v>6</v>
      </c>
    </row>
    <row r="412" spans="1:36" ht="30" customHeight="1">
      <c r="A412" s="92"/>
      <c r="B412" s="92"/>
      <c r="C412" s="92"/>
      <c r="D412" s="92"/>
      <c r="E412" s="92"/>
      <c r="F412" s="92"/>
      <c r="G412" s="92"/>
      <c r="H412" s="92"/>
      <c r="I412" s="92"/>
      <c r="J412" s="92"/>
      <c r="K412" s="92"/>
      <c r="L412" s="92"/>
      <c r="M412" s="92"/>
      <c r="N412" s="155"/>
      <c r="O412" s="157"/>
      <c r="P412" s="92"/>
      <c r="Q412" s="145"/>
      <c r="R412" s="92"/>
      <c r="S412" s="145"/>
      <c r="T412" s="92"/>
      <c r="U412" s="145"/>
      <c r="V412" s="92"/>
      <c r="W412" s="145"/>
      <c r="X412" s="92"/>
      <c r="Y412" s="145"/>
      <c r="Z412" s="92"/>
      <c r="AA412" s="145"/>
      <c r="AB412" s="64"/>
      <c r="AC412" s="145"/>
      <c r="AD412" s="64"/>
      <c r="AE412" s="145"/>
      <c r="AF412" s="196" t="str">
        <f t="shared" si="23"/>
        <v/>
      </c>
      <c r="AG412" s="95" t="b">
        <f t="shared" si="22"/>
        <v>0</v>
      </c>
      <c r="AH412" s="9"/>
      <c r="AI412" s="150">
        <f t="shared" si="21"/>
        <v>0</v>
      </c>
      <c r="AJ412" s="153" t="s">
        <v>6</v>
      </c>
    </row>
    <row r="413" spans="1:36" ht="30" customHeight="1">
      <c r="A413" s="92"/>
      <c r="B413" s="92"/>
      <c r="C413" s="92"/>
      <c r="D413" s="92"/>
      <c r="E413" s="92"/>
      <c r="F413" s="92"/>
      <c r="G413" s="92"/>
      <c r="H413" s="92"/>
      <c r="I413" s="92"/>
      <c r="J413" s="92"/>
      <c r="K413" s="92"/>
      <c r="L413" s="92"/>
      <c r="M413" s="92"/>
      <c r="N413" s="155"/>
      <c r="O413" s="157"/>
      <c r="P413" s="92"/>
      <c r="Q413" s="145"/>
      <c r="R413" s="92"/>
      <c r="S413" s="145"/>
      <c r="T413" s="92"/>
      <c r="U413" s="145"/>
      <c r="V413" s="92"/>
      <c r="W413" s="145"/>
      <c r="X413" s="92"/>
      <c r="Y413" s="145"/>
      <c r="Z413" s="92"/>
      <c r="AA413" s="145"/>
      <c r="AB413" s="64"/>
      <c r="AC413" s="145"/>
      <c r="AD413" s="64"/>
      <c r="AE413" s="145"/>
      <c r="AF413" s="196" t="str">
        <f t="shared" si="23"/>
        <v/>
      </c>
      <c r="AG413" s="95" t="b">
        <f t="shared" si="22"/>
        <v>0</v>
      </c>
      <c r="AH413" s="9"/>
      <c r="AI413" s="150">
        <f t="shared" si="21"/>
        <v>0</v>
      </c>
      <c r="AJ413" s="153" t="s">
        <v>6</v>
      </c>
    </row>
    <row r="414" spans="1:36" ht="30" customHeight="1">
      <c r="A414" s="92"/>
      <c r="B414" s="92"/>
      <c r="C414" s="92"/>
      <c r="D414" s="92"/>
      <c r="E414" s="92"/>
      <c r="F414" s="92"/>
      <c r="G414" s="92"/>
      <c r="H414" s="92"/>
      <c r="I414" s="92"/>
      <c r="J414" s="92"/>
      <c r="K414" s="92"/>
      <c r="L414" s="92"/>
      <c r="M414" s="92"/>
      <c r="N414" s="155"/>
      <c r="O414" s="157"/>
      <c r="P414" s="92"/>
      <c r="Q414" s="145"/>
      <c r="R414" s="92"/>
      <c r="S414" s="145"/>
      <c r="T414" s="92"/>
      <c r="U414" s="145"/>
      <c r="V414" s="92"/>
      <c r="W414" s="145"/>
      <c r="X414" s="92"/>
      <c r="Y414" s="145"/>
      <c r="Z414" s="92"/>
      <c r="AA414" s="145"/>
      <c r="AB414" s="64"/>
      <c r="AC414" s="145"/>
      <c r="AD414" s="64"/>
      <c r="AE414" s="145"/>
      <c r="AF414" s="196" t="str">
        <f t="shared" si="23"/>
        <v/>
      </c>
      <c r="AG414" s="95" t="b">
        <f t="shared" si="22"/>
        <v>0</v>
      </c>
      <c r="AH414" s="9"/>
      <c r="AI414" s="150">
        <f t="shared" si="21"/>
        <v>0</v>
      </c>
      <c r="AJ414" s="153" t="s">
        <v>6</v>
      </c>
    </row>
    <row r="415" spans="1:36" ht="30" customHeight="1">
      <c r="A415" s="92"/>
      <c r="B415" s="92"/>
      <c r="C415" s="92"/>
      <c r="D415" s="92"/>
      <c r="E415" s="92"/>
      <c r="F415" s="92"/>
      <c r="G415" s="92"/>
      <c r="H415" s="92"/>
      <c r="I415" s="92"/>
      <c r="J415" s="92"/>
      <c r="K415" s="92"/>
      <c r="L415" s="92"/>
      <c r="M415" s="92"/>
      <c r="N415" s="155"/>
      <c r="O415" s="157"/>
      <c r="P415" s="92"/>
      <c r="Q415" s="145"/>
      <c r="R415" s="92"/>
      <c r="S415" s="145"/>
      <c r="T415" s="92"/>
      <c r="U415" s="145"/>
      <c r="V415" s="92"/>
      <c r="W415" s="145"/>
      <c r="X415" s="92"/>
      <c r="Y415" s="145"/>
      <c r="Z415" s="92"/>
      <c r="AA415" s="145"/>
      <c r="AB415" s="64"/>
      <c r="AC415" s="145"/>
      <c r="AD415" s="64"/>
      <c r="AE415" s="145"/>
      <c r="AF415" s="196" t="str">
        <f t="shared" si="23"/>
        <v/>
      </c>
      <c r="AG415" s="95" t="b">
        <f t="shared" si="22"/>
        <v>0</v>
      </c>
      <c r="AH415" s="9"/>
      <c r="AI415" s="150">
        <f t="shared" si="21"/>
        <v>0</v>
      </c>
      <c r="AJ415" s="153" t="s">
        <v>6</v>
      </c>
    </row>
    <row r="416" spans="1:36" ht="30" customHeight="1">
      <c r="A416" s="92"/>
      <c r="B416" s="92"/>
      <c r="C416" s="92"/>
      <c r="D416" s="92"/>
      <c r="E416" s="92"/>
      <c r="F416" s="92"/>
      <c r="G416" s="92"/>
      <c r="H416" s="92"/>
      <c r="I416" s="92"/>
      <c r="J416" s="92"/>
      <c r="K416" s="92"/>
      <c r="L416" s="92"/>
      <c r="M416" s="92"/>
      <c r="N416" s="155"/>
      <c r="O416" s="157"/>
      <c r="P416" s="92"/>
      <c r="Q416" s="145"/>
      <c r="R416" s="92"/>
      <c r="S416" s="145"/>
      <c r="T416" s="92"/>
      <c r="U416" s="145"/>
      <c r="V416" s="92"/>
      <c r="W416" s="145"/>
      <c r="X416" s="92"/>
      <c r="Y416" s="145"/>
      <c r="Z416" s="92"/>
      <c r="AA416" s="145"/>
      <c r="AB416" s="64"/>
      <c r="AC416" s="145"/>
      <c r="AD416" s="64"/>
      <c r="AE416" s="145"/>
      <c r="AF416" s="196" t="str">
        <f t="shared" si="23"/>
        <v/>
      </c>
      <c r="AG416" s="95" t="b">
        <f t="shared" si="22"/>
        <v>0</v>
      </c>
      <c r="AH416" s="9"/>
      <c r="AI416" s="150">
        <f t="shared" si="21"/>
        <v>0</v>
      </c>
      <c r="AJ416" s="153" t="s">
        <v>6</v>
      </c>
    </row>
    <row r="417" spans="1:36" ht="30" customHeight="1">
      <c r="A417" s="92"/>
      <c r="B417" s="92"/>
      <c r="C417" s="92"/>
      <c r="D417" s="92"/>
      <c r="E417" s="92"/>
      <c r="F417" s="92"/>
      <c r="G417" s="92"/>
      <c r="H417" s="92"/>
      <c r="I417" s="92"/>
      <c r="J417" s="92"/>
      <c r="K417" s="92"/>
      <c r="L417" s="92"/>
      <c r="M417" s="92"/>
      <c r="N417" s="155"/>
      <c r="O417" s="157"/>
      <c r="P417" s="92"/>
      <c r="Q417" s="145"/>
      <c r="R417" s="92"/>
      <c r="S417" s="145"/>
      <c r="T417" s="92"/>
      <c r="U417" s="145"/>
      <c r="V417" s="92"/>
      <c r="W417" s="145"/>
      <c r="X417" s="92"/>
      <c r="Y417" s="145"/>
      <c r="Z417" s="92"/>
      <c r="AA417" s="145"/>
      <c r="AB417" s="64"/>
      <c r="AC417" s="145"/>
      <c r="AD417" s="64"/>
      <c r="AE417" s="145"/>
      <c r="AF417" s="196" t="str">
        <f t="shared" si="23"/>
        <v/>
      </c>
      <c r="AG417" s="95" t="b">
        <f t="shared" si="22"/>
        <v>0</v>
      </c>
      <c r="AH417" s="9"/>
      <c r="AI417" s="150">
        <f t="shared" si="21"/>
        <v>0</v>
      </c>
      <c r="AJ417" s="153" t="s">
        <v>6</v>
      </c>
    </row>
    <row r="418" spans="1:36" ht="30" customHeight="1">
      <c r="A418" s="92"/>
      <c r="B418" s="92"/>
      <c r="C418" s="92"/>
      <c r="D418" s="92"/>
      <c r="E418" s="92"/>
      <c r="F418" s="92"/>
      <c r="G418" s="92"/>
      <c r="H418" s="92"/>
      <c r="I418" s="92"/>
      <c r="J418" s="92"/>
      <c r="K418" s="92"/>
      <c r="L418" s="92"/>
      <c r="M418" s="92"/>
      <c r="N418" s="155"/>
      <c r="O418" s="157"/>
      <c r="P418" s="92"/>
      <c r="Q418" s="145"/>
      <c r="R418" s="92"/>
      <c r="S418" s="145"/>
      <c r="T418" s="92"/>
      <c r="U418" s="145"/>
      <c r="V418" s="92"/>
      <c r="W418" s="145"/>
      <c r="X418" s="92"/>
      <c r="Y418" s="145"/>
      <c r="Z418" s="92"/>
      <c r="AA418" s="145"/>
      <c r="AB418" s="64"/>
      <c r="AC418" s="145"/>
      <c r="AD418" s="64"/>
      <c r="AE418" s="145"/>
      <c r="AF418" s="196" t="str">
        <f t="shared" si="23"/>
        <v/>
      </c>
      <c r="AG418" s="95" t="b">
        <f t="shared" si="22"/>
        <v>0</v>
      </c>
      <c r="AH418" s="9"/>
      <c r="AI418" s="150">
        <f t="shared" si="21"/>
        <v>0</v>
      </c>
      <c r="AJ418" s="153" t="s">
        <v>6</v>
      </c>
    </row>
    <row r="419" spans="1:36" ht="30" customHeight="1">
      <c r="A419" s="92"/>
      <c r="B419" s="92"/>
      <c r="C419" s="92"/>
      <c r="D419" s="92"/>
      <c r="E419" s="92"/>
      <c r="F419" s="92"/>
      <c r="G419" s="92"/>
      <c r="H419" s="92"/>
      <c r="I419" s="92"/>
      <c r="J419" s="92"/>
      <c r="K419" s="92"/>
      <c r="L419" s="92"/>
      <c r="M419" s="92"/>
      <c r="N419" s="155"/>
      <c r="O419" s="157"/>
      <c r="P419" s="92"/>
      <c r="Q419" s="145"/>
      <c r="R419" s="92"/>
      <c r="S419" s="145"/>
      <c r="T419" s="92"/>
      <c r="U419" s="145"/>
      <c r="V419" s="92"/>
      <c r="W419" s="145"/>
      <c r="X419" s="92"/>
      <c r="Y419" s="145"/>
      <c r="Z419" s="92"/>
      <c r="AA419" s="145"/>
      <c r="AB419" s="64"/>
      <c r="AC419" s="145"/>
      <c r="AD419" s="64"/>
      <c r="AE419" s="145"/>
      <c r="AF419" s="196" t="str">
        <f t="shared" si="23"/>
        <v/>
      </c>
      <c r="AG419" s="95" t="b">
        <f t="shared" si="22"/>
        <v>0</v>
      </c>
      <c r="AH419" s="9"/>
      <c r="AI419" s="150">
        <f t="shared" si="21"/>
        <v>0</v>
      </c>
      <c r="AJ419" s="153" t="s">
        <v>6</v>
      </c>
    </row>
    <row r="420" spans="1:36" ht="30" customHeight="1">
      <c r="A420" s="92"/>
      <c r="B420" s="92"/>
      <c r="C420" s="92"/>
      <c r="D420" s="92"/>
      <c r="E420" s="92"/>
      <c r="F420" s="92"/>
      <c r="G420" s="92"/>
      <c r="H420" s="92"/>
      <c r="I420" s="92"/>
      <c r="J420" s="92"/>
      <c r="K420" s="92"/>
      <c r="L420" s="92"/>
      <c r="M420" s="92"/>
      <c r="N420" s="155"/>
      <c r="O420" s="157"/>
      <c r="P420" s="92"/>
      <c r="Q420" s="145"/>
      <c r="R420" s="92"/>
      <c r="S420" s="145"/>
      <c r="T420" s="92"/>
      <c r="U420" s="145"/>
      <c r="V420" s="92"/>
      <c r="W420" s="145"/>
      <c r="X420" s="92"/>
      <c r="Y420" s="145"/>
      <c r="Z420" s="92"/>
      <c r="AA420" s="145"/>
      <c r="AB420" s="64"/>
      <c r="AC420" s="145"/>
      <c r="AD420" s="64"/>
      <c r="AE420" s="145"/>
      <c r="AF420" s="196" t="str">
        <f t="shared" si="23"/>
        <v/>
      </c>
      <c r="AG420" s="95" t="b">
        <f t="shared" si="22"/>
        <v>0</v>
      </c>
      <c r="AH420" s="9"/>
      <c r="AI420" s="150">
        <f t="shared" si="21"/>
        <v>0</v>
      </c>
      <c r="AJ420" s="153" t="s">
        <v>6</v>
      </c>
    </row>
    <row r="421" spans="1:36" ht="30" customHeight="1">
      <c r="A421" s="92"/>
      <c r="B421" s="92"/>
      <c r="C421" s="92"/>
      <c r="D421" s="92"/>
      <c r="E421" s="92"/>
      <c r="F421" s="92"/>
      <c r="G421" s="92"/>
      <c r="H421" s="92"/>
      <c r="I421" s="92"/>
      <c r="J421" s="92"/>
      <c r="K421" s="92"/>
      <c r="L421" s="92"/>
      <c r="M421" s="92"/>
      <c r="N421" s="155"/>
      <c r="O421" s="157"/>
      <c r="P421" s="92"/>
      <c r="Q421" s="145"/>
      <c r="R421" s="92"/>
      <c r="S421" s="145"/>
      <c r="T421" s="92"/>
      <c r="U421" s="145"/>
      <c r="V421" s="92"/>
      <c r="W421" s="145"/>
      <c r="X421" s="92"/>
      <c r="Y421" s="145"/>
      <c r="Z421" s="92"/>
      <c r="AA421" s="145"/>
      <c r="AB421" s="64"/>
      <c r="AC421" s="145"/>
      <c r="AD421" s="64"/>
      <c r="AE421" s="145"/>
      <c r="AF421" s="196" t="str">
        <f t="shared" si="23"/>
        <v/>
      </c>
      <c r="AG421" s="95" t="b">
        <f t="shared" si="22"/>
        <v>0</v>
      </c>
      <c r="AH421" s="9"/>
      <c r="AI421" s="150">
        <f t="shared" si="21"/>
        <v>0</v>
      </c>
      <c r="AJ421" s="153" t="s">
        <v>6</v>
      </c>
    </row>
    <row r="422" spans="1:36" ht="30" customHeight="1">
      <c r="A422" s="92"/>
      <c r="B422" s="92"/>
      <c r="C422" s="92"/>
      <c r="D422" s="92"/>
      <c r="E422" s="92"/>
      <c r="F422" s="92"/>
      <c r="G422" s="92"/>
      <c r="H422" s="92"/>
      <c r="I422" s="92"/>
      <c r="J422" s="92"/>
      <c r="K422" s="92"/>
      <c r="L422" s="92"/>
      <c r="M422" s="92"/>
      <c r="N422" s="155"/>
      <c r="O422" s="157"/>
      <c r="P422" s="92"/>
      <c r="Q422" s="145"/>
      <c r="R422" s="92"/>
      <c r="S422" s="145"/>
      <c r="T422" s="92"/>
      <c r="U422" s="145"/>
      <c r="V422" s="92"/>
      <c r="W422" s="145"/>
      <c r="X422" s="92"/>
      <c r="Y422" s="145"/>
      <c r="Z422" s="92"/>
      <c r="AA422" s="145"/>
      <c r="AB422" s="64"/>
      <c r="AC422" s="145"/>
      <c r="AD422" s="64"/>
      <c r="AE422" s="145"/>
      <c r="AF422" s="196" t="str">
        <f t="shared" si="23"/>
        <v/>
      </c>
      <c r="AG422" s="95" t="b">
        <f t="shared" si="22"/>
        <v>0</v>
      </c>
      <c r="AH422" s="9"/>
      <c r="AI422" s="150">
        <f t="shared" si="21"/>
        <v>0</v>
      </c>
      <c r="AJ422" s="153" t="s">
        <v>6</v>
      </c>
    </row>
    <row r="423" spans="1:36" ht="30" customHeight="1">
      <c r="A423" s="92"/>
      <c r="B423" s="92"/>
      <c r="C423" s="92"/>
      <c r="D423" s="92"/>
      <c r="E423" s="92"/>
      <c r="F423" s="92"/>
      <c r="G423" s="92"/>
      <c r="H423" s="92"/>
      <c r="I423" s="92"/>
      <c r="J423" s="92"/>
      <c r="K423" s="92"/>
      <c r="L423" s="92"/>
      <c r="M423" s="92"/>
      <c r="N423" s="155"/>
      <c r="O423" s="157"/>
      <c r="P423" s="92"/>
      <c r="Q423" s="145"/>
      <c r="R423" s="92"/>
      <c r="S423" s="145"/>
      <c r="T423" s="92"/>
      <c r="U423" s="145"/>
      <c r="V423" s="92"/>
      <c r="W423" s="145"/>
      <c r="X423" s="92"/>
      <c r="Y423" s="145"/>
      <c r="Z423" s="92"/>
      <c r="AA423" s="145"/>
      <c r="AB423" s="64"/>
      <c r="AC423" s="145"/>
      <c r="AD423" s="64"/>
      <c r="AE423" s="145"/>
      <c r="AF423" s="196" t="str">
        <f t="shared" si="23"/>
        <v/>
      </c>
      <c r="AG423" s="95" t="b">
        <f t="shared" si="22"/>
        <v>0</v>
      </c>
      <c r="AH423" s="9"/>
      <c r="AI423" s="150">
        <f t="shared" si="21"/>
        <v>0</v>
      </c>
      <c r="AJ423" s="153" t="s">
        <v>6</v>
      </c>
    </row>
    <row r="424" spans="1:36" ht="30" customHeight="1">
      <c r="A424" s="92"/>
      <c r="B424" s="92"/>
      <c r="C424" s="92"/>
      <c r="D424" s="92"/>
      <c r="E424" s="92"/>
      <c r="F424" s="92"/>
      <c r="G424" s="92"/>
      <c r="H424" s="92"/>
      <c r="I424" s="92"/>
      <c r="J424" s="92"/>
      <c r="K424" s="92"/>
      <c r="L424" s="92"/>
      <c r="M424" s="92"/>
      <c r="N424" s="155"/>
      <c r="O424" s="157"/>
      <c r="P424" s="92"/>
      <c r="Q424" s="145"/>
      <c r="R424" s="92"/>
      <c r="S424" s="145"/>
      <c r="T424" s="92"/>
      <c r="U424" s="145"/>
      <c r="V424" s="92"/>
      <c r="W424" s="145"/>
      <c r="X424" s="92"/>
      <c r="Y424" s="145"/>
      <c r="Z424" s="92"/>
      <c r="AA424" s="145"/>
      <c r="AB424" s="64"/>
      <c r="AC424" s="145"/>
      <c r="AD424" s="64"/>
      <c r="AE424" s="145"/>
      <c r="AF424" s="196" t="str">
        <f t="shared" si="23"/>
        <v/>
      </c>
      <c r="AG424" s="95" t="b">
        <f t="shared" si="22"/>
        <v>0</v>
      </c>
      <c r="AH424" s="9"/>
      <c r="AI424" s="150">
        <f t="shared" si="21"/>
        <v>0</v>
      </c>
      <c r="AJ424" s="153" t="s">
        <v>6</v>
      </c>
    </row>
    <row r="425" spans="1:36" ht="30" customHeight="1">
      <c r="A425" s="92"/>
      <c r="B425" s="92"/>
      <c r="C425" s="92"/>
      <c r="D425" s="92"/>
      <c r="E425" s="92"/>
      <c r="F425" s="92"/>
      <c r="G425" s="92"/>
      <c r="H425" s="92"/>
      <c r="I425" s="92"/>
      <c r="J425" s="92"/>
      <c r="K425" s="92"/>
      <c r="L425" s="92"/>
      <c r="M425" s="92"/>
      <c r="N425" s="155"/>
      <c r="O425" s="157"/>
      <c r="P425" s="92"/>
      <c r="Q425" s="145"/>
      <c r="R425" s="92"/>
      <c r="S425" s="145"/>
      <c r="T425" s="92"/>
      <c r="U425" s="145"/>
      <c r="V425" s="92"/>
      <c r="W425" s="145"/>
      <c r="X425" s="92"/>
      <c r="Y425" s="145"/>
      <c r="Z425" s="92"/>
      <c r="AA425" s="145"/>
      <c r="AB425" s="64"/>
      <c r="AC425" s="145"/>
      <c r="AD425" s="64"/>
      <c r="AE425" s="145"/>
      <c r="AF425" s="196" t="str">
        <f t="shared" si="23"/>
        <v/>
      </c>
      <c r="AG425" s="95" t="b">
        <f t="shared" si="22"/>
        <v>0</v>
      </c>
      <c r="AH425" s="9"/>
      <c r="AI425" s="150">
        <f t="shared" si="21"/>
        <v>0</v>
      </c>
      <c r="AJ425" s="153" t="s">
        <v>6</v>
      </c>
    </row>
    <row r="426" spans="1:36" ht="30" customHeight="1">
      <c r="A426" s="92"/>
      <c r="B426" s="92"/>
      <c r="C426" s="92"/>
      <c r="D426" s="92"/>
      <c r="E426" s="92"/>
      <c r="F426" s="92"/>
      <c r="G426" s="92"/>
      <c r="H426" s="92"/>
      <c r="I426" s="92"/>
      <c r="J426" s="92"/>
      <c r="K426" s="92"/>
      <c r="L426" s="92"/>
      <c r="M426" s="92"/>
      <c r="N426" s="155"/>
      <c r="O426" s="157"/>
      <c r="P426" s="92"/>
      <c r="Q426" s="145"/>
      <c r="R426" s="92"/>
      <c r="S426" s="145"/>
      <c r="T426" s="92"/>
      <c r="U426" s="145"/>
      <c r="V426" s="92"/>
      <c r="W426" s="145"/>
      <c r="X426" s="92"/>
      <c r="Y426" s="145"/>
      <c r="Z426" s="92"/>
      <c r="AA426" s="145"/>
      <c r="AB426" s="64"/>
      <c r="AC426" s="145"/>
      <c r="AD426" s="64"/>
      <c r="AE426" s="145"/>
      <c r="AF426" s="196" t="str">
        <f t="shared" si="23"/>
        <v/>
      </c>
      <c r="AG426" s="95" t="b">
        <f t="shared" si="22"/>
        <v>0</v>
      </c>
      <c r="AH426" s="9"/>
      <c r="AI426" s="150">
        <f t="shared" si="21"/>
        <v>0</v>
      </c>
      <c r="AJ426" s="153" t="s">
        <v>6</v>
      </c>
    </row>
    <row r="427" spans="1:36" ht="30" customHeight="1">
      <c r="A427" s="92"/>
      <c r="B427" s="92"/>
      <c r="C427" s="92"/>
      <c r="D427" s="92"/>
      <c r="E427" s="92"/>
      <c r="F427" s="92"/>
      <c r="G427" s="92"/>
      <c r="H427" s="92"/>
      <c r="I427" s="92"/>
      <c r="J427" s="92"/>
      <c r="K427" s="92"/>
      <c r="L427" s="92"/>
      <c r="M427" s="92"/>
      <c r="N427" s="155"/>
      <c r="O427" s="157"/>
      <c r="P427" s="92"/>
      <c r="Q427" s="145"/>
      <c r="R427" s="92"/>
      <c r="S427" s="145"/>
      <c r="T427" s="92"/>
      <c r="U427" s="145"/>
      <c r="V427" s="92"/>
      <c r="W427" s="145"/>
      <c r="X427" s="92"/>
      <c r="Y427" s="145"/>
      <c r="Z427" s="92"/>
      <c r="AA427" s="145"/>
      <c r="AB427" s="64"/>
      <c r="AC427" s="145"/>
      <c r="AD427" s="64"/>
      <c r="AE427" s="145"/>
      <c r="AF427" s="196" t="str">
        <f t="shared" si="23"/>
        <v/>
      </c>
      <c r="AG427" s="95" t="b">
        <f t="shared" si="22"/>
        <v>0</v>
      </c>
      <c r="AH427" s="9"/>
      <c r="AI427" s="150">
        <f t="shared" si="21"/>
        <v>0</v>
      </c>
      <c r="AJ427" s="153" t="s">
        <v>6</v>
      </c>
    </row>
    <row r="428" spans="1:36" ht="30" customHeight="1">
      <c r="A428" s="92"/>
      <c r="B428" s="92"/>
      <c r="C428" s="92"/>
      <c r="D428" s="92"/>
      <c r="E428" s="92"/>
      <c r="F428" s="92"/>
      <c r="G428" s="92"/>
      <c r="H428" s="92"/>
      <c r="I428" s="92"/>
      <c r="J428" s="92"/>
      <c r="K428" s="92"/>
      <c r="L428" s="92"/>
      <c r="M428" s="92"/>
      <c r="N428" s="155"/>
      <c r="O428" s="157"/>
      <c r="P428" s="92"/>
      <c r="Q428" s="145"/>
      <c r="R428" s="92"/>
      <c r="S428" s="145"/>
      <c r="T428" s="92"/>
      <c r="U428" s="145"/>
      <c r="V428" s="92"/>
      <c r="W428" s="145"/>
      <c r="X428" s="92"/>
      <c r="Y428" s="145"/>
      <c r="Z428" s="92"/>
      <c r="AA428" s="145"/>
      <c r="AB428" s="64"/>
      <c r="AC428" s="145"/>
      <c r="AD428" s="64"/>
      <c r="AE428" s="145"/>
      <c r="AF428" s="196" t="str">
        <f t="shared" si="23"/>
        <v/>
      </c>
      <c r="AG428" s="95" t="b">
        <f t="shared" si="22"/>
        <v>0</v>
      </c>
      <c r="AH428" s="9"/>
      <c r="AI428" s="150">
        <f t="shared" si="21"/>
        <v>0</v>
      </c>
      <c r="AJ428" s="153" t="s">
        <v>6</v>
      </c>
    </row>
    <row r="429" spans="1:36" ht="30" customHeight="1">
      <c r="A429" s="92"/>
      <c r="B429" s="92"/>
      <c r="C429" s="92"/>
      <c r="D429" s="92"/>
      <c r="E429" s="92"/>
      <c r="F429" s="92"/>
      <c r="G429" s="92"/>
      <c r="H429" s="92"/>
      <c r="I429" s="92"/>
      <c r="J429" s="92"/>
      <c r="K429" s="92"/>
      <c r="L429" s="92"/>
      <c r="M429" s="92"/>
      <c r="N429" s="155"/>
      <c r="O429" s="157"/>
      <c r="P429" s="92"/>
      <c r="Q429" s="145"/>
      <c r="R429" s="92"/>
      <c r="S429" s="145"/>
      <c r="T429" s="92"/>
      <c r="U429" s="145"/>
      <c r="V429" s="92"/>
      <c r="W429" s="145"/>
      <c r="X429" s="92"/>
      <c r="Y429" s="145"/>
      <c r="Z429" s="92"/>
      <c r="AA429" s="145"/>
      <c r="AB429" s="64"/>
      <c r="AC429" s="145"/>
      <c r="AD429" s="64"/>
      <c r="AE429" s="145"/>
      <c r="AF429" s="196" t="str">
        <f t="shared" si="23"/>
        <v/>
      </c>
      <c r="AG429" s="95" t="b">
        <f t="shared" si="22"/>
        <v>0</v>
      </c>
      <c r="AH429" s="9"/>
      <c r="AI429" s="150">
        <f t="shared" si="21"/>
        <v>0</v>
      </c>
      <c r="AJ429" s="153" t="s">
        <v>6</v>
      </c>
    </row>
    <row r="430" spans="1:36" ht="30" customHeight="1">
      <c r="A430" s="92"/>
      <c r="B430" s="92"/>
      <c r="C430" s="92"/>
      <c r="D430" s="92"/>
      <c r="E430" s="92"/>
      <c r="F430" s="92"/>
      <c r="G430" s="92"/>
      <c r="H430" s="92"/>
      <c r="I430" s="92"/>
      <c r="J430" s="92"/>
      <c r="K430" s="92"/>
      <c r="L430" s="92"/>
      <c r="M430" s="92"/>
      <c r="N430" s="155"/>
      <c r="O430" s="157"/>
      <c r="P430" s="92"/>
      <c r="Q430" s="145"/>
      <c r="R430" s="92"/>
      <c r="S430" s="145"/>
      <c r="T430" s="92"/>
      <c r="U430" s="145"/>
      <c r="V430" s="92"/>
      <c r="W430" s="145"/>
      <c r="X430" s="92"/>
      <c r="Y430" s="145"/>
      <c r="Z430" s="92"/>
      <c r="AA430" s="145"/>
      <c r="AB430" s="64"/>
      <c r="AC430" s="145"/>
      <c r="AD430" s="64"/>
      <c r="AE430" s="145"/>
      <c r="AF430" s="196" t="str">
        <f t="shared" si="23"/>
        <v/>
      </c>
      <c r="AG430" s="95" t="b">
        <f t="shared" si="22"/>
        <v>0</v>
      </c>
      <c r="AH430" s="9"/>
      <c r="AI430" s="150">
        <f t="shared" si="21"/>
        <v>0</v>
      </c>
      <c r="AJ430" s="153" t="s">
        <v>6</v>
      </c>
    </row>
    <row r="431" spans="1:36" ht="30" customHeight="1">
      <c r="A431" s="92"/>
      <c r="B431" s="92"/>
      <c r="C431" s="92"/>
      <c r="D431" s="92"/>
      <c r="E431" s="92"/>
      <c r="F431" s="92"/>
      <c r="G431" s="92"/>
      <c r="H431" s="92"/>
      <c r="I431" s="92"/>
      <c r="J431" s="92"/>
      <c r="K431" s="92"/>
      <c r="L431" s="92"/>
      <c r="M431" s="92"/>
      <c r="N431" s="155"/>
      <c r="O431" s="157"/>
      <c r="P431" s="92"/>
      <c r="Q431" s="145"/>
      <c r="R431" s="92"/>
      <c r="S431" s="145"/>
      <c r="T431" s="92"/>
      <c r="U431" s="145"/>
      <c r="V431" s="92"/>
      <c r="W431" s="145"/>
      <c r="X431" s="92"/>
      <c r="Y431" s="145"/>
      <c r="Z431" s="92"/>
      <c r="AA431" s="145"/>
      <c r="AB431" s="64"/>
      <c r="AC431" s="145"/>
      <c r="AD431" s="64"/>
      <c r="AE431" s="145"/>
      <c r="AF431" s="196" t="str">
        <f t="shared" si="23"/>
        <v/>
      </c>
      <c r="AG431" s="95" t="b">
        <f t="shared" si="22"/>
        <v>0</v>
      </c>
      <c r="AH431" s="9"/>
      <c r="AI431" s="150">
        <f t="shared" si="21"/>
        <v>0</v>
      </c>
      <c r="AJ431" s="153" t="s">
        <v>6</v>
      </c>
    </row>
    <row r="432" spans="1:36" ht="30" customHeight="1">
      <c r="A432" s="92"/>
      <c r="B432" s="92"/>
      <c r="C432" s="92"/>
      <c r="D432" s="92"/>
      <c r="E432" s="92"/>
      <c r="F432" s="92"/>
      <c r="G432" s="92"/>
      <c r="H432" s="92"/>
      <c r="I432" s="92"/>
      <c r="J432" s="92"/>
      <c r="K432" s="92"/>
      <c r="L432" s="92"/>
      <c r="M432" s="92"/>
      <c r="N432" s="155"/>
      <c r="O432" s="157"/>
      <c r="P432" s="92"/>
      <c r="Q432" s="145"/>
      <c r="R432" s="92"/>
      <c r="S432" s="145"/>
      <c r="T432" s="92"/>
      <c r="U432" s="145"/>
      <c r="V432" s="92"/>
      <c r="W432" s="145"/>
      <c r="X432" s="92"/>
      <c r="Y432" s="145"/>
      <c r="Z432" s="92"/>
      <c r="AA432" s="145"/>
      <c r="AB432" s="64"/>
      <c r="AC432" s="145"/>
      <c r="AD432" s="64"/>
      <c r="AE432" s="145"/>
      <c r="AF432" s="196" t="str">
        <f t="shared" si="23"/>
        <v/>
      </c>
      <c r="AG432" s="95" t="b">
        <f t="shared" si="22"/>
        <v>0</v>
      </c>
      <c r="AH432" s="9"/>
      <c r="AI432" s="150">
        <f t="shared" si="21"/>
        <v>0</v>
      </c>
      <c r="AJ432" s="153" t="s">
        <v>6</v>
      </c>
    </row>
    <row r="433" spans="1:36" ht="30" customHeight="1">
      <c r="A433" s="92"/>
      <c r="B433" s="92"/>
      <c r="C433" s="92"/>
      <c r="D433" s="92"/>
      <c r="E433" s="92"/>
      <c r="F433" s="92"/>
      <c r="G433" s="92"/>
      <c r="H433" s="92"/>
      <c r="I433" s="92"/>
      <c r="J433" s="92"/>
      <c r="K433" s="92"/>
      <c r="L433" s="92"/>
      <c r="M433" s="92"/>
      <c r="N433" s="155"/>
      <c r="O433" s="157"/>
      <c r="P433" s="92"/>
      <c r="Q433" s="145"/>
      <c r="R433" s="92"/>
      <c r="S433" s="145"/>
      <c r="T433" s="92"/>
      <c r="U433" s="145"/>
      <c r="V433" s="92"/>
      <c r="W433" s="145"/>
      <c r="X433" s="92"/>
      <c r="Y433" s="145"/>
      <c r="Z433" s="92"/>
      <c r="AA433" s="145"/>
      <c r="AB433" s="64"/>
      <c r="AC433" s="145"/>
      <c r="AD433" s="64"/>
      <c r="AE433" s="145"/>
      <c r="AF433" s="196" t="str">
        <f t="shared" si="23"/>
        <v/>
      </c>
      <c r="AG433" s="95" t="b">
        <f t="shared" si="22"/>
        <v>0</v>
      </c>
      <c r="AH433" s="9"/>
      <c r="AI433" s="150">
        <f t="shared" si="21"/>
        <v>0</v>
      </c>
      <c r="AJ433" s="153" t="s">
        <v>6</v>
      </c>
    </row>
    <row r="434" spans="1:36" ht="30" customHeight="1">
      <c r="A434" s="92"/>
      <c r="B434" s="92"/>
      <c r="C434" s="92"/>
      <c r="D434" s="92"/>
      <c r="E434" s="92"/>
      <c r="F434" s="92"/>
      <c r="G434" s="92"/>
      <c r="H434" s="92"/>
      <c r="I434" s="92"/>
      <c r="J434" s="92"/>
      <c r="K434" s="92"/>
      <c r="L434" s="92"/>
      <c r="M434" s="92"/>
      <c r="N434" s="155"/>
      <c r="O434" s="157"/>
      <c r="P434" s="92"/>
      <c r="Q434" s="145"/>
      <c r="R434" s="92"/>
      <c r="S434" s="145"/>
      <c r="T434" s="92"/>
      <c r="U434" s="145"/>
      <c r="V434" s="92"/>
      <c r="W434" s="145"/>
      <c r="X434" s="92"/>
      <c r="Y434" s="145"/>
      <c r="Z434" s="92"/>
      <c r="AA434" s="145"/>
      <c r="AB434" s="64"/>
      <c r="AC434" s="145"/>
      <c r="AD434" s="64"/>
      <c r="AE434" s="145"/>
      <c r="AF434" s="196" t="str">
        <f t="shared" si="23"/>
        <v/>
      </c>
      <c r="AG434" s="95" t="b">
        <f t="shared" si="22"/>
        <v>0</v>
      </c>
      <c r="AH434" s="9"/>
      <c r="AI434" s="150">
        <f t="shared" si="21"/>
        <v>0</v>
      </c>
      <c r="AJ434" s="153" t="s">
        <v>6</v>
      </c>
    </row>
    <row r="435" spans="1:36" ht="30" customHeight="1">
      <c r="A435" s="92"/>
      <c r="B435" s="92"/>
      <c r="C435" s="92"/>
      <c r="D435" s="92"/>
      <c r="E435" s="92"/>
      <c r="F435" s="92"/>
      <c r="G435" s="92"/>
      <c r="H435" s="92"/>
      <c r="I435" s="92"/>
      <c r="J435" s="92"/>
      <c r="K435" s="92"/>
      <c r="L435" s="92"/>
      <c r="M435" s="92"/>
      <c r="N435" s="155"/>
      <c r="O435" s="157"/>
      <c r="P435" s="92"/>
      <c r="Q435" s="145"/>
      <c r="R435" s="92"/>
      <c r="S435" s="145"/>
      <c r="T435" s="92"/>
      <c r="U435" s="145"/>
      <c r="V435" s="92"/>
      <c r="W435" s="145"/>
      <c r="X435" s="92"/>
      <c r="Y435" s="145"/>
      <c r="Z435" s="92"/>
      <c r="AA435" s="145"/>
      <c r="AB435" s="64"/>
      <c r="AC435" s="145"/>
      <c r="AD435" s="64"/>
      <c r="AE435" s="145"/>
      <c r="AF435" s="196" t="str">
        <f t="shared" si="23"/>
        <v/>
      </c>
      <c r="AG435" s="95" t="b">
        <f t="shared" si="22"/>
        <v>0</v>
      </c>
      <c r="AH435" s="9"/>
      <c r="AI435" s="150">
        <f t="shared" si="21"/>
        <v>0</v>
      </c>
      <c r="AJ435" s="153" t="s">
        <v>6</v>
      </c>
    </row>
    <row r="436" spans="1:36" ht="30" customHeight="1">
      <c r="A436" s="92"/>
      <c r="B436" s="92"/>
      <c r="C436" s="92"/>
      <c r="D436" s="92"/>
      <c r="E436" s="92"/>
      <c r="F436" s="92"/>
      <c r="G436" s="92"/>
      <c r="H436" s="92"/>
      <c r="I436" s="92"/>
      <c r="J436" s="92"/>
      <c r="K436" s="92"/>
      <c r="L436" s="92"/>
      <c r="M436" s="92"/>
      <c r="N436" s="155"/>
      <c r="O436" s="157"/>
      <c r="P436" s="92"/>
      <c r="Q436" s="145"/>
      <c r="R436" s="92"/>
      <c r="S436" s="145"/>
      <c r="T436" s="92"/>
      <c r="U436" s="145"/>
      <c r="V436" s="92"/>
      <c r="W436" s="145"/>
      <c r="X436" s="92"/>
      <c r="Y436" s="145"/>
      <c r="Z436" s="92"/>
      <c r="AA436" s="145"/>
      <c r="AB436" s="64"/>
      <c r="AC436" s="145"/>
      <c r="AD436" s="64"/>
      <c r="AE436" s="145"/>
      <c r="AF436" s="196" t="str">
        <f t="shared" si="23"/>
        <v/>
      </c>
      <c r="AG436" s="95" t="b">
        <f t="shared" si="22"/>
        <v>0</v>
      </c>
      <c r="AH436" s="9"/>
      <c r="AI436" s="150">
        <f t="shared" si="21"/>
        <v>0</v>
      </c>
      <c r="AJ436" s="153" t="s">
        <v>6</v>
      </c>
    </row>
    <row r="437" spans="1:36" ht="30" customHeight="1">
      <c r="A437" s="92"/>
      <c r="B437" s="92"/>
      <c r="C437" s="92"/>
      <c r="D437" s="92"/>
      <c r="E437" s="92"/>
      <c r="F437" s="92"/>
      <c r="G437" s="92"/>
      <c r="H437" s="92"/>
      <c r="I437" s="92"/>
      <c r="J437" s="92"/>
      <c r="K437" s="92"/>
      <c r="L437" s="92"/>
      <c r="M437" s="92"/>
      <c r="N437" s="155"/>
      <c r="O437" s="157"/>
      <c r="P437" s="92"/>
      <c r="Q437" s="145"/>
      <c r="R437" s="92"/>
      <c r="S437" s="145"/>
      <c r="T437" s="92"/>
      <c r="U437" s="145"/>
      <c r="V437" s="92"/>
      <c r="W437" s="145"/>
      <c r="X437" s="92"/>
      <c r="Y437" s="145"/>
      <c r="Z437" s="92"/>
      <c r="AA437" s="145"/>
      <c r="AB437" s="64"/>
      <c r="AC437" s="145"/>
      <c r="AD437" s="64"/>
      <c r="AE437" s="145"/>
      <c r="AF437" s="196" t="str">
        <f t="shared" si="23"/>
        <v/>
      </c>
      <c r="AG437" s="95" t="b">
        <f t="shared" si="22"/>
        <v>0</v>
      </c>
      <c r="AH437" s="9"/>
      <c r="AI437" s="150">
        <f t="shared" si="21"/>
        <v>0</v>
      </c>
      <c r="AJ437" s="153" t="s">
        <v>6</v>
      </c>
    </row>
    <row r="438" spans="1:36" ht="30" customHeight="1">
      <c r="A438" s="92"/>
      <c r="B438" s="92"/>
      <c r="C438" s="92"/>
      <c r="D438" s="92"/>
      <c r="E438" s="92"/>
      <c r="F438" s="92"/>
      <c r="G438" s="92"/>
      <c r="H438" s="92"/>
      <c r="I438" s="92"/>
      <c r="J438" s="92"/>
      <c r="K438" s="92"/>
      <c r="L438" s="92"/>
      <c r="M438" s="92"/>
      <c r="N438" s="155"/>
      <c r="O438" s="157"/>
      <c r="P438" s="92"/>
      <c r="Q438" s="145"/>
      <c r="R438" s="92"/>
      <c r="S438" s="145"/>
      <c r="T438" s="92"/>
      <c r="U438" s="145"/>
      <c r="V438" s="92"/>
      <c r="W438" s="145"/>
      <c r="X438" s="92"/>
      <c r="Y438" s="145"/>
      <c r="Z438" s="92"/>
      <c r="AA438" s="145"/>
      <c r="AB438" s="64"/>
      <c r="AC438" s="145"/>
      <c r="AD438" s="64"/>
      <c r="AE438" s="145"/>
      <c r="AF438" s="196" t="str">
        <f t="shared" si="23"/>
        <v/>
      </c>
      <c r="AG438" s="95" t="b">
        <f t="shared" si="22"/>
        <v>0</v>
      </c>
      <c r="AH438" s="9"/>
      <c r="AI438" s="150">
        <f t="shared" si="21"/>
        <v>0</v>
      </c>
      <c r="AJ438" s="153" t="s">
        <v>6</v>
      </c>
    </row>
    <row r="439" spans="1:36" ht="30" customHeight="1">
      <c r="A439" s="92"/>
      <c r="B439" s="92"/>
      <c r="C439" s="92"/>
      <c r="D439" s="92"/>
      <c r="E439" s="92"/>
      <c r="F439" s="92"/>
      <c r="G439" s="92"/>
      <c r="H439" s="92"/>
      <c r="I439" s="92"/>
      <c r="J439" s="92"/>
      <c r="K439" s="92"/>
      <c r="L439" s="92"/>
      <c r="M439" s="92"/>
      <c r="N439" s="155"/>
      <c r="O439" s="157"/>
      <c r="P439" s="92"/>
      <c r="Q439" s="145"/>
      <c r="R439" s="92"/>
      <c r="S439" s="145"/>
      <c r="T439" s="92"/>
      <c r="U439" s="145"/>
      <c r="V439" s="92"/>
      <c r="W439" s="145"/>
      <c r="X439" s="92"/>
      <c r="Y439" s="145"/>
      <c r="Z439" s="92"/>
      <c r="AA439" s="145"/>
      <c r="AB439" s="64"/>
      <c r="AC439" s="145"/>
      <c r="AD439" s="64"/>
      <c r="AE439" s="145"/>
      <c r="AF439" s="196" t="str">
        <f t="shared" si="23"/>
        <v/>
      </c>
      <c r="AG439" s="95" t="b">
        <f t="shared" si="22"/>
        <v>0</v>
      </c>
      <c r="AH439" s="9"/>
      <c r="AI439" s="150">
        <f t="shared" si="21"/>
        <v>0</v>
      </c>
      <c r="AJ439" s="153" t="s">
        <v>6</v>
      </c>
    </row>
    <row r="440" spans="1:36" ht="30" customHeight="1">
      <c r="A440" s="92"/>
      <c r="B440" s="92"/>
      <c r="C440" s="92"/>
      <c r="D440" s="92"/>
      <c r="E440" s="92"/>
      <c r="F440" s="92"/>
      <c r="G440" s="92"/>
      <c r="H440" s="92"/>
      <c r="I440" s="92"/>
      <c r="J440" s="92"/>
      <c r="K440" s="92"/>
      <c r="L440" s="92"/>
      <c r="M440" s="92"/>
      <c r="N440" s="155"/>
      <c r="O440" s="157"/>
      <c r="P440" s="92"/>
      <c r="Q440" s="145"/>
      <c r="R440" s="92"/>
      <c r="S440" s="145"/>
      <c r="T440" s="92"/>
      <c r="U440" s="145"/>
      <c r="V440" s="92"/>
      <c r="W440" s="145"/>
      <c r="X440" s="92"/>
      <c r="Y440" s="145"/>
      <c r="Z440" s="92"/>
      <c r="AA440" s="145"/>
      <c r="AB440" s="64"/>
      <c r="AC440" s="145"/>
      <c r="AD440" s="64"/>
      <c r="AE440" s="145"/>
      <c r="AF440" s="196" t="str">
        <f t="shared" si="23"/>
        <v/>
      </c>
      <c r="AG440" s="95" t="b">
        <f t="shared" si="22"/>
        <v>0</v>
      </c>
      <c r="AH440" s="9"/>
      <c r="AI440" s="150">
        <f t="shared" si="21"/>
        <v>0</v>
      </c>
      <c r="AJ440" s="153" t="s">
        <v>6</v>
      </c>
    </row>
    <row r="441" spans="1:36" ht="30" customHeight="1">
      <c r="A441" s="92"/>
      <c r="B441" s="92"/>
      <c r="C441" s="92"/>
      <c r="D441" s="92"/>
      <c r="E441" s="92"/>
      <c r="F441" s="92"/>
      <c r="G441" s="92"/>
      <c r="H441" s="92"/>
      <c r="I441" s="92"/>
      <c r="J441" s="92"/>
      <c r="K441" s="92"/>
      <c r="L441" s="92"/>
      <c r="M441" s="92"/>
      <c r="N441" s="155"/>
      <c r="O441" s="157"/>
      <c r="P441" s="92"/>
      <c r="Q441" s="145"/>
      <c r="R441" s="92"/>
      <c r="S441" s="145"/>
      <c r="T441" s="92"/>
      <c r="U441" s="145"/>
      <c r="V441" s="92"/>
      <c r="W441" s="145"/>
      <c r="X441" s="92"/>
      <c r="Y441" s="145"/>
      <c r="Z441" s="92"/>
      <c r="AA441" s="145"/>
      <c r="AB441" s="64"/>
      <c r="AC441" s="145"/>
      <c r="AD441" s="64"/>
      <c r="AE441" s="145"/>
      <c r="AF441" s="196" t="str">
        <f t="shared" si="23"/>
        <v/>
      </c>
      <c r="AG441" s="95" t="b">
        <f t="shared" si="22"/>
        <v>0</v>
      </c>
      <c r="AH441" s="9"/>
      <c r="AI441" s="150">
        <f t="shared" si="21"/>
        <v>0</v>
      </c>
      <c r="AJ441" s="153" t="s">
        <v>6</v>
      </c>
    </row>
    <row r="442" spans="1:36" ht="30" customHeight="1">
      <c r="A442" s="92"/>
      <c r="B442" s="92"/>
      <c r="C442" s="92"/>
      <c r="D442" s="92"/>
      <c r="E442" s="92"/>
      <c r="F442" s="92"/>
      <c r="G442" s="92"/>
      <c r="H442" s="92"/>
      <c r="I442" s="92"/>
      <c r="J442" s="92"/>
      <c r="K442" s="92"/>
      <c r="L442" s="92"/>
      <c r="M442" s="92"/>
      <c r="N442" s="155"/>
      <c r="O442" s="157"/>
      <c r="P442" s="92"/>
      <c r="Q442" s="145"/>
      <c r="R442" s="92"/>
      <c r="S442" s="145"/>
      <c r="T442" s="92"/>
      <c r="U442" s="145"/>
      <c r="V442" s="92"/>
      <c r="W442" s="145"/>
      <c r="X442" s="92"/>
      <c r="Y442" s="145"/>
      <c r="Z442" s="92"/>
      <c r="AA442" s="145"/>
      <c r="AB442" s="64"/>
      <c r="AC442" s="145"/>
      <c r="AD442" s="64"/>
      <c r="AE442" s="145"/>
      <c r="AF442" s="196" t="str">
        <f t="shared" si="23"/>
        <v/>
      </c>
      <c r="AG442" s="95" t="b">
        <f t="shared" si="22"/>
        <v>0</v>
      </c>
      <c r="AH442" s="9"/>
      <c r="AI442" s="150">
        <f t="shared" si="21"/>
        <v>0</v>
      </c>
      <c r="AJ442" s="153" t="s">
        <v>6</v>
      </c>
    </row>
    <row r="443" spans="1:36" ht="30" customHeight="1">
      <c r="A443" s="92"/>
      <c r="B443" s="92"/>
      <c r="C443" s="92"/>
      <c r="D443" s="92"/>
      <c r="E443" s="92"/>
      <c r="F443" s="92"/>
      <c r="G443" s="92"/>
      <c r="H443" s="92"/>
      <c r="I443" s="92"/>
      <c r="J443" s="92"/>
      <c r="K443" s="92"/>
      <c r="L443" s="92"/>
      <c r="M443" s="92"/>
      <c r="N443" s="155"/>
      <c r="O443" s="157"/>
      <c r="P443" s="92"/>
      <c r="Q443" s="145"/>
      <c r="R443" s="92"/>
      <c r="S443" s="145"/>
      <c r="T443" s="92"/>
      <c r="U443" s="145"/>
      <c r="V443" s="92"/>
      <c r="W443" s="145"/>
      <c r="X443" s="92"/>
      <c r="Y443" s="145"/>
      <c r="Z443" s="92"/>
      <c r="AA443" s="145"/>
      <c r="AB443" s="64"/>
      <c r="AC443" s="145"/>
      <c r="AD443" s="64"/>
      <c r="AE443" s="145"/>
      <c r="AF443" s="196" t="str">
        <f t="shared" si="23"/>
        <v/>
      </c>
      <c r="AG443" s="95" t="b">
        <f t="shared" si="22"/>
        <v>0</v>
      </c>
      <c r="AH443" s="9"/>
      <c r="AI443" s="150">
        <f t="shared" si="21"/>
        <v>0</v>
      </c>
      <c r="AJ443" s="153" t="s">
        <v>6</v>
      </c>
    </row>
    <row r="444" spans="1:36" ht="30" customHeight="1">
      <c r="A444" s="92"/>
      <c r="B444" s="92"/>
      <c r="C444" s="92"/>
      <c r="D444" s="92"/>
      <c r="E444" s="92"/>
      <c r="F444" s="92"/>
      <c r="G444" s="92"/>
      <c r="H444" s="92"/>
      <c r="I444" s="92"/>
      <c r="J444" s="92"/>
      <c r="K444" s="92"/>
      <c r="L444" s="92"/>
      <c r="M444" s="92"/>
      <c r="N444" s="155"/>
      <c r="O444" s="157"/>
      <c r="P444" s="92"/>
      <c r="Q444" s="145"/>
      <c r="R444" s="92"/>
      <c r="S444" s="145"/>
      <c r="T444" s="92"/>
      <c r="U444" s="145"/>
      <c r="V444" s="92"/>
      <c r="W444" s="145"/>
      <c r="X444" s="92"/>
      <c r="Y444" s="145"/>
      <c r="Z444" s="92"/>
      <c r="AA444" s="145"/>
      <c r="AB444" s="64"/>
      <c r="AC444" s="145"/>
      <c r="AD444" s="64"/>
      <c r="AE444" s="145"/>
      <c r="AF444" s="196" t="str">
        <f t="shared" si="23"/>
        <v/>
      </c>
      <c r="AG444" s="95" t="b">
        <f t="shared" si="22"/>
        <v>0</v>
      </c>
      <c r="AH444" s="9"/>
      <c r="AI444" s="150">
        <f t="shared" si="21"/>
        <v>0</v>
      </c>
      <c r="AJ444" s="153" t="s">
        <v>6</v>
      </c>
    </row>
    <row r="445" spans="1:36" ht="30" customHeight="1">
      <c r="A445" s="92"/>
      <c r="B445" s="92"/>
      <c r="C445" s="92"/>
      <c r="D445" s="92"/>
      <c r="E445" s="92"/>
      <c r="F445" s="92"/>
      <c r="G445" s="92"/>
      <c r="H445" s="92"/>
      <c r="I445" s="92"/>
      <c r="J445" s="92"/>
      <c r="K445" s="92"/>
      <c r="L445" s="92"/>
      <c r="M445" s="92"/>
      <c r="N445" s="155"/>
      <c r="O445" s="157"/>
      <c r="P445" s="92"/>
      <c r="Q445" s="145"/>
      <c r="R445" s="92"/>
      <c r="S445" s="145"/>
      <c r="T445" s="92"/>
      <c r="U445" s="145"/>
      <c r="V445" s="92"/>
      <c r="W445" s="145"/>
      <c r="X445" s="92"/>
      <c r="Y445" s="145"/>
      <c r="Z445" s="92"/>
      <c r="AA445" s="145"/>
      <c r="AB445" s="64"/>
      <c r="AC445" s="145"/>
      <c r="AD445" s="64"/>
      <c r="AE445" s="145"/>
      <c r="AF445" s="196" t="str">
        <f t="shared" si="23"/>
        <v/>
      </c>
      <c r="AG445" s="95" t="b">
        <f t="shared" si="22"/>
        <v>0</v>
      </c>
      <c r="AH445" s="9"/>
      <c r="AI445" s="150">
        <f t="shared" si="21"/>
        <v>0</v>
      </c>
      <c r="AJ445" s="153" t="s">
        <v>6</v>
      </c>
    </row>
    <row r="446" spans="1:36" ht="30" customHeight="1">
      <c r="A446" s="92"/>
      <c r="B446" s="92"/>
      <c r="C446" s="92"/>
      <c r="D446" s="92"/>
      <c r="E446" s="92"/>
      <c r="F446" s="92"/>
      <c r="G446" s="92"/>
      <c r="H446" s="92"/>
      <c r="I446" s="92"/>
      <c r="J446" s="92"/>
      <c r="K446" s="92"/>
      <c r="L446" s="92"/>
      <c r="M446" s="92"/>
      <c r="N446" s="155"/>
      <c r="O446" s="157"/>
      <c r="P446" s="92"/>
      <c r="Q446" s="145"/>
      <c r="R446" s="92"/>
      <c r="S446" s="145"/>
      <c r="T446" s="92"/>
      <c r="U446" s="145"/>
      <c r="V446" s="92"/>
      <c r="W446" s="145"/>
      <c r="X446" s="92"/>
      <c r="Y446" s="145"/>
      <c r="Z446" s="92"/>
      <c r="AA446" s="145"/>
      <c r="AB446" s="64"/>
      <c r="AC446" s="145"/>
      <c r="AD446" s="64"/>
      <c r="AE446" s="145"/>
      <c r="AF446" s="196" t="str">
        <f t="shared" si="23"/>
        <v/>
      </c>
      <c r="AG446" s="95" t="b">
        <f t="shared" si="22"/>
        <v>0</v>
      </c>
      <c r="AH446" s="9"/>
      <c r="AI446" s="150">
        <f t="shared" si="21"/>
        <v>0</v>
      </c>
      <c r="AJ446" s="153" t="s">
        <v>6</v>
      </c>
    </row>
    <row r="447" spans="1:36" ht="30" customHeight="1">
      <c r="A447" s="92"/>
      <c r="B447" s="92"/>
      <c r="C447" s="92"/>
      <c r="D447" s="92"/>
      <c r="E447" s="92"/>
      <c r="F447" s="92"/>
      <c r="G447" s="92"/>
      <c r="H447" s="92"/>
      <c r="I447" s="92"/>
      <c r="J447" s="92"/>
      <c r="K447" s="92"/>
      <c r="L447" s="92"/>
      <c r="M447" s="92"/>
      <c r="N447" s="155"/>
      <c r="O447" s="157"/>
      <c r="P447" s="92"/>
      <c r="Q447" s="145"/>
      <c r="R447" s="92"/>
      <c r="S447" s="145"/>
      <c r="T447" s="92"/>
      <c r="U447" s="145"/>
      <c r="V447" s="92"/>
      <c r="W447" s="145"/>
      <c r="X447" s="92"/>
      <c r="Y447" s="145"/>
      <c r="Z447" s="92"/>
      <c r="AA447" s="145"/>
      <c r="AB447" s="64"/>
      <c r="AC447" s="145"/>
      <c r="AD447" s="64"/>
      <c r="AE447" s="145"/>
      <c r="AF447" s="196" t="str">
        <f t="shared" si="23"/>
        <v/>
      </c>
      <c r="AG447" s="95" t="b">
        <f t="shared" si="22"/>
        <v>0</v>
      </c>
      <c r="AH447" s="9"/>
      <c r="AI447" s="150">
        <f t="shared" si="21"/>
        <v>0</v>
      </c>
      <c r="AJ447" s="153" t="s">
        <v>6</v>
      </c>
    </row>
    <row r="448" spans="1:36" ht="30" customHeight="1">
      <c r="A448" s="92"/>
      <c r="B448" s="92"/>
      <c r="C448" s="92"/>
      <c r="D448" s="92"/>
      <c r="E448" s="92"/>
      <c r="F448" s="92"/>
      <c r="G448" s="92"/>
      <c r="H448" s="92"/>
      <c r="I448" s="92"/>
      <c r="J448" s="92"/>
      <c r="K448" s="92"/>
      <c r="L448" s="92"/>
      <c r="M448" s="92"/>
      <c r="N448" s="155"/>
      <c r="O448" s="157"/>
      <c r="P448" s="92"/>
      <c r="Q448" s="145"/>
      <c r="R448" s="92"/>
      <c r="S448" s="145"/>
      <c r="T448" s="92"/>
      <c r="U448" s="145"/>
      <c r="V448" s="92"/>
      <c r="W448" s="145"/>
      <c r="X448" s="92"/>
      <c r="Y448" s="145"/>
      <c r="Z448" s="92"/>
      <c r="AA448" s="145"/>
      <c r="AB448" s="64"/>
      <c r="AC448" s="145"/>
      <c r="AD448" s="64"/>
      <c r="AE448" s="145"/>
      <c r="AF448" s="196" t="str">
        <f t="shared" si="23"/>
        <v/>
      </c>
      <c r="AG448" s="95" t="b">
        <f t="shared" si="22"/>
        <v>0</v>
      </c>
      <c r="AH448" s="9"/>
      <c r="AI448" s="150">
        <f t="shared" ref="AI448:AI511" si="24">E448</f>
        <v>0</v>
      </c>
      <c r="AJ448" s="153" t="s">
        <v>6</v>
      </c>
    </row>
    <row r="449" spans="1:36" ht="30" customHeight="1">
      <c r="A449" s="92"/>
      <c r="B449" s="92"/>
      <c r="C449" s="92"/>
      <c r="D449" s="92"/>
      <c r="E449" s="92"/>
      <c r="F449" s="92"/>
      <c r="G449" s="92"/>
      <c r="H449" s="92"/>
      <c r="I449" s="92"/>
      <c r="J449" s="92"/>
      <c r="K449" s="92"/>
      <c r="L449" s="92"/>
      <c r="M449" s="92"/>
      <c r="N449" s="155"/>
      <c r="O449" s="157"/>
      <c r="P449" s="92"/>
      <c r="Q449" s="145"/>
      <c r="R449" s="92"/>
      <c r="S449" s="145"/>
      <c r="T449" s="92"/>
      <c r="U449" s="145"/>
      <c r="V449" s="92"/>
      <c r="W449" s="145"/>
      <c r="X449" s="92"/>
      <c r="Y449" s="145"/>
      <c r="Z449" s="92"/>
      <c r="AA449" s="145"/>
      <c r="AB449" s="64"/>
      <c r="AC449" s="145"/>
      <c r="AD449" s="64"/>
      <c r="AE449" s="145"/>
      <c r="AF449" s="196" t="str">
        <f t="shared" si="23"/>
        <v/>
      </c>
      <c r="AG449" s="95" t="b">
        <f t="shared" si="22"/>
        <v>0</v>
      </c>
      <c r="AH449" s="9"/>
      <c r="AI449" s="150">
        <f t="shared" si="24"/>
        <v>0</v>
      </c>
      <c r="AJ449" s="153" t="s">
        <v>6</v>
      </c>
    </row>
    <row r="450" spans="1:36" ht="30" customHeight="1">
      <c r="A450" s="92"/>
      <c r="B450" s="92"/>
      <c r="C450" s="92"/>
      <c r="D450" s="92"/>
      <c r="E450" s="92"/>
      <c r="F450" s="92"/>
      <c r="G450" s="92"/>
      <c r="H450" s="92"/>
      <c r="I450" s="92"/>
      <c r="J450" s="92"/>
      <c r="K450" s="92"/>
      <c r="L450" s="92"/>
      <c r="M450" s="92"/>
      <c r="N450" s="155"/>
      <c r="O450" s="157"/>
      <c r="P450" s="92"/>
      <c r="Q450" s="145"/>
      <c r="R450" s="92"/>
      <c r="S450" s="145"/>
      <c r="T450" s="92"/>
      <c r="U450" s="145"/>
      <c r="V450" s="92"/>
      <c r="W450" s="145"/>
      <c r="X450" s="92"/>
      <c r="Y450" s="145"/>
      <c r="Z450" s="92"/>
      <c r="AA450" s="145"/>
      <c r="AB450" s="64"/>
      <c r="AC450" s="145"/>
      <c r="AD450" s="64"/>
      <c r="AE450" s="145"/>
      <c r="AF450" s="196" t="str">
        <f t="shared" si="23"/>
        <v/>
      </c>
      <c r="AG450" s="95" t="b">
        <f t="shared" si="22"/>
        <v>0</v>
      </c>
      <c r="AH450" s="9"/>
      <c r="AI450" s="150">
        <f t="shared" si="24"/>
        <v>0</v>
      </c>
      <c r="AJ450" s="153" t="s">
        <v>6</v>
      </c>
    </row>
    <row r="451" spans="1:36" ht="30" customHeight="1">
      <c r="A451" s="92"/>
      <c r="B451" s="92"/>
      <c r="C451" s="92"/>
      <c r="D451" s="92"/>
      <c r="E451" s="92"/>
      <c r="F451" s="92"/>
      <c r="G451" s="92"/>
      <c r="H451" s="92"/>
      <c r="I451" s="92"/>
      <c r="J451" s="92"/>
      <c r="K451" s="92"/>
      <c r="L451" s="92"/>
      <c r="M451" s="92"/>
      <c r="N451" s="155"/>
      <c r="O451" s="157"/>
      <c r="P451" s="92"/>
      <c r="Q451" s="145"/>
      <c r="R451" s="92"/>
      <c r="S451" s="145"/>
      <c r="T451" s="92"/>
      <c r="U451" s="145"/>
      <c r="V451" s="92"/>
      <c r="W451" s="145"/>
      <c r="X451" s="92"/>
      <c r="Y451" s="145"/>
      <c r="Z451" s="92"/>
      <c r="AA451" s="145"/>
      <c r="AB451" s="64"/>
      <c r="AC451" s="145"/>
      <c r="AD451" s="64"/>
      <c r="AE451" s="145"/>
      <c r="AF451" s="196" t="str">
        <f t="shared" si="23"/>
        <v/>
      </c>
      <c r="AG451" s="95" t="b">
        <f t="shared" si="22"/>
        <v>0</v>
      </c>
      <c r="AH451" s="9"/>
      <c r="AI451" s="150">
        <f t="shared" si="24"/>
        <v>0</v>
      </c>
      <c r="AJ451" s="153" t="s">
        <v>6</v>
      </c>
    </row>
    <row r="452" spans="1:36" ht="30" customHeight="1">
      <c r="A452" s="92"/>
      <c r="B452" s="92"/>
      <c r="C452" s="92"/>
      <c r="D452" s="92"/>
      <c r="E452" s="92"/>
      <c r="F452" s="92"/>
      <c r="G452" s="92"/>
      <c r="H452" s="92"/>
      <c r="I452" s="92"/>
      <c r="J452" s="92"/>
      <c r="K452" s="92"/>
      <c r="L452" s="92"/>
      <c r="M452" s="92"/>
      <c r="N452" s="155"/>
      <c r="O452" s="157"/>
      <c r="P452" s="92"/>
      <c r="Q452" s="145"/>
      <c r="R452" s="92"/>
      <c r="S452" s="145"/>
      <c r="T452" s="92"/>
      <c r="U452" s="145"/>
      <c r="V452" s="92"/>
      <c r="W452" s="145"/>
      <c r="X452" s="92"/>
      <c r="Y452" s="145"/>
      <c r="Z452" s="92"/>
      <c r="AA452" s="145"/>
      <c r="AB452" s="64"/>
      <c r="AC452" s="145"/>
      <c r="AD452" s="64"/>
      <c r="AE452" s="145"/>
      <c r="AF452" s="196" t="str">
        <f t="shared" si="23"/>
        <v/>
      </c>
      <c r="AG452" s="95" t="b">
        <f t="shared" si="22"/>
        <v>0</v>
      </c>
      <c r="AH452" s="9"/>
      <c r="AI452" s="150">
        <f t="shared" si="24"/>
        <v>0</v>
      </c>
      <c r="AJ452" s="153" t="s">
        <v>6</v>
      </c>
    </row>
    <row r="453" spans="1:36" ht="30" customHeight="1">
      <c r="A453" s="92"/>
      <c r="B453" s="92"/>
      <c r="C453" s="92"/>
      <c r="D453" s="92"/>
      <c r="E453" s="92"/>
      <c r="F453" s="92"/>
      <c r="G453" s="92"/>
      <c r="H453" s="92"/>
      <c r="I453" s="92"/>
      <c r="J453" s="92"/>
      <c r="K453" s="92"/>
      <c r="L453" s="92"/>
      <c r="M453" s="92"/>
      <c r="N453" s="155"/>
      <c r="O453" s="157"/>
      <c r="P453" s="92"/>
      <c r="Q453" s="145"/>
      <c r="R453" s="92"/>
      <c r="S453" s="145"/>
      <c r="T453" s="92"/>
      <c r="U453" s="145"/>
      <c r="V453" s="92"/>
      <c r="W453" s="145"/>
      <c r="X453" s="92"/>
      <c r="Y453" s="145"/>
      <c r="Z453" s="92"/>
      <c r="AA453" s="145"/>
      <c r="AB453" s="64"/>
      <c r="AC453" s="145"/>
      <c r="AD453" s="64"/>
      <c r="AE453" s="145"/>
      <c r="AF453" s="196" t="str">
        <f t="shared" si="23"/>
        <v/>
      </c>
      <c r="AG453" s="95" t="b">
        <f t="shared" si="22"/>
        <v>0</v>
      </c>
      <c r="AH453" s="9"/>
      <c r="AI453" s="150">
        <f t="shared" si="24"/>
        <v>0</v>
      </c>
      <c r="AJ453" s="153" t="s">
        <v>6</v>
      </c>
    </row>
    <row r="454" spans="1:36" ht="30" customHeight="1">
      <c r="A454" s="92"/>
      <c r="B454" s="92"/>
      <c r="C454" s="92"/>
      <c r="D454" s="92"/>
      <c r="E454" s="92"/>
      <c r="F454" s="92"/>
      <c r="G454" s="92"/>
      <c r="H454" s="92"/>
      <c r="I454" s="92"/>
      <c r="J454" s="92"/>
      <c r="K454" s="92"/>
      <c r="L454" s="92"/>
      <c r="M454" s="92"/>
      <c r="N454" s="155"/>
      <c r="O454" s="157"/>
      <c r="P454" s="92"/>
      <c r="Q454" s="145"/>
      <c r="R454" s="92"/>
      <c r="S454" s="145"/>
      <c r="T454" s="92"/>
      <c r="U454" s="145"/>
      <c r="V454" s="92"/>
      <c r="W454" s="145"/>
      <c r="X454" s="92"/>
      <c r="Y454" s="145"/>
      <c r="Z454" s="92"/>
      <c r="AA454" s="145"/>
      <c r="AB454" s="64"/>
      <c r="AC454" s="145"/>
      <c r="AD454" s="64"/>
      <c r="AE454" s="145"/>
      <c r="AF454" s="196" t="str">
        <f t="shared" si="23"/>
        <v/>
      </c>
      <c r="AG454" s="95" t="b">
        <f t="shared" si="22"/>
        <v>0</v>
      </c>
      <c r="AH454" s="9"/>
      <c r="AI454" s="150">
        <f t="shared" si="24"/>
        <v>0</v>
      </c>
      <c r="AJ454" s="153" t="s">
        <v>6</v>
      </c>
    </row>
    <row r="455" spans="1:36" ht="30" customHeight="1">
      <c r="A455" s="92"/>
      <c r="B455" s="92"/>
      <c r="C455" s="92"/>
      <c r="D455" s="92"/>
      <c r="E455" s="92"/>
      <c r="F455" s="92"/>
      <c r="G455" s="92"/>
      <c r="H455" s="92"/>
      <c r="I455" s="92"/>
      <c r="J455" s="92"/>
      <c r="K455" s="92"/>
      <c r="L455" s="92"/>
      <c r="M455" s="92"/>
      <c r="N455" s="155"/>
      <c r="O455" s="157"/>
      <c r="P455" s="92"/>
      <c r="Q455" s="145"/>
      <c r="R455" s="92"/>
      <c r="S455" s="145"/>
      <c r="T455" s="92"/>
      <c r="U455" s="145"/>
      <c r="V455" s="92"/>
      <c r="W455" s="145"/>
      <c r="X455" s="92"/>
      <c r="Y455" s="145"/>
      <c r="Z455" s="92"/>
      <c r="AA455" s="145"/>
      <c r="AB455" s="64"/>
      <c r="AC455" s="145"/>
      <c r="AD455" s="64"/>
      <c r="AE455" s="145"/>
      <c r="AF455" s="196" t="str">
        <f t="shared" si="23"/>
        <v/>
      </c>
      <c r="AG455" s="95" t="b">
        <f t="shared" si="22"/>
        <v>0</v>
      </c>
      <c r="AH455" s="9"/>
      <c r="AI455" s="150">
        <f t="shared" si="24"/>
        <v>0</v>
      </c>
      <c r="AJ455" s="153" t="s">
        <v>6</v>
      </c>
    </row>
    <row r="456" spans="1:36" ht="30" customHeight="1">
      <c r="A456" s="92"/>
      <c r="B456" s="92"/>
      <c r="C456" s="92"/>
      <c r="D456" s="92"/>
      <c r="E456" s="92"/>
      <c r="F456" s="92"/>
      <c r="G456" s="92"/>
      <c r="H456" s="92"/>
      <c r="I456" s="92"/>
      <c r="J456" s="92"/>
      <c r="K456" s="92"/>
      <c r="L456" s="92"/>
      <c r="M456" s="92"/>
      <c r="N456" s="155"/>
      <c r="O456" s="157"/>
      <c r="P456" s="92"/>
      <c r="Q456" s="145"/>
      <c r="R456" s="92"/>
      <c r="S456" s="145"/>
      <c r="T456" s="92"/>
      <c r="U456" s="145"/>
      <c r="V456" s="92"/>
      <c r="W456" s="145"/>
      <c r="X456" s="92"/>
      <c r="Y456" s="145"/>
      <c r="Z456" s="92"/>
      <c r="AA456" s="145"/>
      <c r="AB456" s="64"/>
      <c r="AC456" s="145"/>
      <c r="AD456" s="64"/>
      <c r="AE456" s="145"/>
      <c r="AF456" s="196" t="str">
        <f t="shared" si="23"/>
        <v/>
      </c>
      <c r="AG456" s="95" t="b">
        <f t="shared" si="22"/>
        <v>0</v>
      </c>
      <c r="AH456" s="9"/>
      <c r="AI456" s="150">
        <f t="shared" si="24"/>
        <v>0</v>
      </c>
      <c r="AJ456" s="153" t="s">
        <v>6</v>
      </c>
    </row>
    <row r="457" spans="1:36" ht="30" customHeight="1">
      <c r="A457" s="92"/>
      <c r="B457" s="92"/>
      <c r="C457" s="92"/>
      <c r="D457" s="92"/>
      <c r="E457" s="92"/>
      <c r="F457" s="92"/>
      <c r="G457" s="92"/>
      <c r="H457" s="92"/>
      <c r="I457" s="92"/>
      <c r="J457" s="92"/>
      <c r="K457" s="92"/>
      <c r="L457" s="92"/>
      <c r="M457" s="92"/>
      <c r="N457" s="155"/>
      <c r="O457" s="157"/>
      <c r="P457" s="92"/>
      <c r="Q457" s="145"/>
      <c r="R457" s="92"/>
      <c r="S457" s="145"/>
      <c r="T457" s="92"/>
      <c r="U457" s="145"/>
      <c r="V457" s="92"/>
      <c r="W457" s="145"/>
      <c r="X457" s="92"/>
      <c r="Y457" s="145"/>
      <c r="Z457" s="92"/>
      <c r="AA457" s="145"/>
      <c r="AB457" s="64"/>
      <c r="AC457" s="145"/>
      <c r="AD457" s="64"/>
      <c r="AE457" s="145"/>
      <c r="AF457" s="196" t="str">
        <f t="shared" si="23"/>
        <v/>
      </c>
      <c r="AG457" s="95" t="b">
        <f t="shared" si="22"/>
        <v>0</v>
      </c>
      <c r="AH457" s="9"/>
      <c r="AI457" s="150">
        <f t="shared" si="24"/>
        <v>0</v>
      </c>
      <c r="AJ457" s="153" t="s">
        <v>6</v>
      </c>
    </row>
    <row r="458" spans="1:36" ht="30" customHeight="1">
      <c r="A458" s="92"/>
      <c r="B458" s="92"/>
      <c r="C458" s="92"/>
      <c r="D458" s="92"/>
      <c r="E458" s="92"/>
      <c r="F458" s="92"/>
      <c r="G458" s="92"/>
      <c r="H458" s="92"/>
      <c r="I458" s="92"/>
      <c r="J458" s="92"/>
      <c r="K458" s="92"/>
      <c r="L458" s="92"/>
      <c r="M458" s="92"/>
      <c r="N458" s="155"/>
      <c r="O458" s="157"/>
      <c r="P458" s="92"/>
      <c r="Q458" s="145"/>
      <c r="R458" s="92"/>
      <c r="S458" s="145"/>
      <c r="T458" s="92"/>
      <c r="U458" s="145"/>
      <c r="V458" s="92"/>
      <c r="W458" s="145"/>
      <c r="X458" s="92"/>
      <c r="Y458" s="145"/>
      <c r="Z458" s="92"/>
      <c r="AA458" s="145"/>
      <c r="AB458" s="64"/>
      <c r="AC458" s="145"/>
      <c r="AD458" s="64"/>
      <c r="AE458" s="145"/>
      <c r="AF458" s="196" t="str">
        <f t="shared" si="23"/>
        <v/>
      </c>
      <c r="AG458" s="95" t="b">
        <f t="shared" ref="AG458:AG521" si="25">IF(AND(AE458="C",AF458="C"),"UTILIZOU O PDA CORRETAMENTE",IF(AND(AE458="C",AF458="NC"),"UTILIZOU O PDA CORRETAMENTE. NÃO HÁ FOTOS DE TODAS AS ETAPAS",IF(AND(AE458="NC",AF458="NC"),"NÃO UTILIZOU O PDA",IF(AND(AE458="NA",AF458="NA"),"NÃO AVALIADO POR FALHA DE SINCRONISMO"))))</f>
        <v>0</v>
      </c>
      <c r="AH458" s="9"/>
      <c r="AI458" s="150">
        <f t="shared" si="24"/>
        <v>0</v>
      </c>
      <c r="AJ458" s="153" t="s">
        <v>6</v>
      </c>
    </row>
    <row r="459" spans="1:36" ht="30" customHeight="1">
      <c r="A459" s="92"/>
      <c r="B459" s="92"/>
      <c r="C459" s="92"/>
      <c r="D459" s="92"/>
      <c r="E459" s="92"/>
      <c r="F459" s="92"/>
      <c r="G459" s="92"/>
      <c r="H459" s="92"/>
      <c r="I459" s="92"/>
      <c r="J459" s="92"/>
      <c r="K459" s="92"/>
      <c r="L459" s="92"/>
      <c r="M459" s="92"/>
      <c r="N459" s="155"/>
      <c r="O459" s="157"/>
      <c r="P459" s="92"/>
      <c r="Q459" s="145"/>
      <c r="R459" s="92"/>
      <c r="S459" s="145"/>
      <c r="T459" s="92"/>
      <c r="U459" s="145"/>
      <c r="V459" s="92"/>
      <c r="W459" s="145"/>
      <c r="X459" s="92"/>
      <c r="Y459" s="145"/>
      <c r="Z459" s="92"/>
      <c r="AA459" s="145"/>
      <c r="AB459" s="64"/>
      <c r="AC459" s="145"/>
      <c r="AD459" s="64"/>
      <c r="AE459" s="145"/>
      <c r="AF459" s="196" t="str">
        <f t="shared" ref="AF459:AF522" si="26">IF(AND(O459="",Q459="",S459="",U459="",W459="",Y459="",AA459="",AC459=""),"",
IF(OR(    AND(O459&lt;&gt;"NA",O459&lt;&gt;"C",O459&lt;&gt;"NC",O459&lt;&gt;"SF",O459&lt;&gt;""),
    AND(Q459&lt;&gt;"NA",Q459&lt;&gt;"C",Q459&lt;&gt;"NC",Q459&lt;&gt;"SF",Q459&lt;&gt;""),
    AND(S459&lt;&gt;"NA",S459&lt;&gt;"C",S459&lt;&gt;"NC",S459&lt;&gt;"SF",S459&lt;&gt;""),
    AND(U459&lt;&gt;"NA",U459&lt;&gt;"C",U459&lt;&gt;"NC",U459&lt;&gt;"SF",U459&lt;&gt;""),
    AND(W459&lt;&gt;"NA",W459&lt;&gt;"C",W459&lt;&gt;"NC",W459&lt;&gt;"SF",W459&lt;&gt;""),
    AND(Y459&lt;&gt;"NA",Y459&lt;&gt;"C",Y459&lt;&gt;"NC",Y459&lt;&gt;"SF",Y459&lt;&gt;""),
    AND(AA459&lt;&gt;"NA",AA459&lt;&gt;"C",AA459&lt;&gt;"NC",AA459&lt;&gt;"SF",AA459&lt;&gt;""),
    AND(AC459&lt;&gt;"NA",AC459&lt;&gt;"C",AC459&lt;&gt;"NC",AC459&lt;&gt;"SF",AC459&lt;&gt;"")
),"FALSO",
IF(AND(O459="NA",Q459="NA",S459="NA",U459="NA",W459="NA",Y459="NA",AA459="NA",AC459="NA"),"NA",
IF(OR(O459="NC",Q459="NC",S459="NC",U459="NC",W459="NC",Y459="NC",AA459="NC",AC459="NC",
       O459="SF",Q459="SF",S459="SF",U459="SF",W459="SF",Y459="SF",AA459="SF",AC459="SF"),"NC",
IF(SUM(IF(O459="C",1,0),IF(Q459="C",1,0),IF(S459="C",1,0),IF(U459="C",1,0),IF(W459="C",1,0),IF(Y459="C",1,0),IF(AA459="C",1,0),IF(AC459="C",1,0))=1,"C","C")))))</f>
        <v/>
      </c>
      <c r="AG459" s="95" t="b">
        <f t="shared" si="25"/>
        <v>0</v>
      </c>
      <c r="AH459" s="9"/>
      <c r="AI459" s="150">
        <f t="shared" si="24"/>
        <v>0</v>
      </c>
      <c r="AJ459" s="153" t="s">
        <v>6</v>
      </c>
    </row>
    <row r="460" spans="1:36" ht="30" customHeight="1">
      <c r="A460" s="92"/>
      <c r="B460" s="92"/>
      <c r="C460" s="92"/>
      <c r="D460" s="92"/>
      <c r="E460" s="92"/>
      <c r="F460" s="92"/>
      <c r="G460" s="92"/>
      <c r="H460" s="92"/>
      <c r="I460" s="92"/>
      <c r="J460" s="92"/>
      <c r="K460" s="92"/>
      <c r="L460" s="92"/>
      <c r="M460" s="92"/>
      <c r="N460" s="155"/>
      <c r="O460" s="157"/>
      <c r="P460" s="92"/>
      <c r="Q460" s="145"/>
      <c r="R460" s="92"/>
      <c r="S460" s="145"/>
      <c r="T460" s="92"/>
      <c r="U460" s="145"/>
      <c r="V460" s="92"/>
      <c r="W460" s="145"/>
      <c r="X460" s="92"/>
      <c r="Y460" s="145"/>
      <c r="Z460" s="92"/>
      <c r="AA460" s="145"/>
      <c r="AB460" s="64"/>
      <c r="AC460" s="145"/>
      <c r="AD460" s="64"/>
      <c r="AE460" s="145"/>
      <c r="AF460" s="196" t="str">
        <f t="shared" si="26"/>
        <v/>
      </c>
      <c r="AG460" s="95" t="b">
        <f t="shared" si="25"/>
        <v>0</v>
      </c>
      <c r="AH460" s="9"/>
      <c r="AI460" s="150">
        <f t="shared" si="24"/>
        <v>0</v>
      </c>
      <c r="AJ460" s="153" t="s">
        <v>6</v>
      </c>
    </row>
    <row r="461" spans="1:36" ht="30" customHeight="1">
      <c r="A461" s="92"/>
      <c r="B461" s="92"/>
      <c r="C461" s="92"/>
      <c r="D461" s="92"/>
      <c r="E461" s="92"/>
      <c r="F461" s="92"/>
      <c r="G461" s="92"/>
      <c r="H461" s="92"/>
      <c r="I461" s="92"/>
      <c r="J461" s="92"/>
      <c r="K461" s="92"/>
      <c r="L461" s="92"/>
      <c r="M461" s="92"/>
      <c r="N461" s="155"/>
      <c r="O461" s="157"/>
      <c r="P461" s="92"/>
      <c r="Q461" s="145"/>
      <c r="R461" s="92"/>
      <c r="S461" s="145"/>
      <c r="T461" s="92"/>
      <c r="U461" s="145"/>
      <c r="V461" s="92"/>
      <c r="W461" s="145"/>
      <c r="X461" s="92"/>
      <c r="Y461" s="145"/>
      <c r="Z461" s="92"/>
      <c r="AA461" s="145"/>
      <c r="AB461" s="64"/>
      <c r="AC461" s="145"/>
      <c r="AD461" s="64"/>
      <c r="AE461" s="145"/>
      <c r="AF461" s="196" t="str">
        <f t="shared" si="26"/>
        <v/>
      </c>
      <c r="AG461" s="95" t="b">
        <f t="shared" si="25"/>
        <v>0</v>
      </c>
      <c r="AH461" s="9"/>
      <c r="AI461" s="150">
        <f t="shared" si="24"/>
        <v>0</v>
      </c>
      <c r="AJ461" s="153" t="s">
        <v>6</v>
      </c>
    </row>
    <row r="462" spans="1:36" ht="30" customHeight="1">
      <c r="A462" s="92"/>
      <c r="B462" s="92"/>
      <c r="C462" s="92"/>
      <c r="D462" s="92"/>
      <c r="E462" s="92"/>
      <c r="F462" s="92"/>
      <c r="G462" s="92"/>
      <c r="H462" s="92"/>
      <c r="I462" s="92"/>
      <c r="J462" s="92"/>
      <c r="K462" s="92"/>
      <c r="L462" s="92"/>
      <c r="M462" s="92"/>
      <c r="N462" s="155"/>
      <c r="O462" s="157"/>
      <c r="P462" s="92"/>
      <c r="Q462" s="145"/>
      <c r="R462" s="92"/>
      <c r="S462" s="145"/>
      <c r="T462" s="92"/>
      <c r="U462" s="145"/>
      <c r="V462" s="92"/>
      <c r="W462" s="145"/>
      <c r="X462" s="92"/>
      <c r="Y462" s="145"/>
      <c r="Z462" s="92"/>
      <c r="AA462" s="145"/>
      <c r="AB462" s="64"/>
      <c r="AC462" s="145"/>
      <c r="AD462" s="64"/>
      <c r="AE462" s="145"/>
      <c r="AF462" s="196" t="str">
        <f t="shared" si="26"/>
        <v/>
      </c>
      <c r="AG462" s="95" t="b">
        <f t="shared" si="25"/>
        <v>0</v>
      </c>
      <c r="AH462" s="9"/>
      <c r="AI462" s="150">
        <f t="shared" si="24"/>
        <v>0</v>
      </c>
      <c r="AJ462" s="153" t="s">
        <v>6</v>
      </c>
    </row>
    <row r="463" spans="1:36" ht="30" customHeight="1">
      <c r="A463" s="92"/>
      <c r="B463" s="92"/>
      <c r="C463" s="92"/>
      <c r="D463" s="92"/>
      <c r="E463" s="92"/>
      <c r="F463" s="92"/>
      <c r="G463" s="92"/>
      <c r="H463" s="92"/>
      <c r="I463" s="92"/>
      <c r="J463" s="92"/>
      <c r="K463" s="92"/>
      <c r="L463" s="92"/>
      <c r="M463" s="92"/>
      <c r="N463" s="155"/>
      <c r="O463" s="157"/>
      <c r="P463" s="92"/>
      <c r="Q463" s="145"/>
      <c r="R463" s="92"/>
      <c r="S463" s="145"/>
      <c r="T463" s="92"/>
      <c r="U463" s="145"/>
      <c r="V463" s="92"/>
      <c r="W463" s="145"/>
      <c r="X463" s="92"/>
      <c r="Y463" s="145"/>
      <c r="Z463" s="92"/>
      <c r="AA463" s="145"/>
      <c r="AB463" s="64"/>
      <c r="AC463" s="145"/>
      <c r="AD463" s="64"/>
      <c r="AE463" s="145"/>
      <c r="AF463" s="196" t="str">
        <f t="shared" si="26"/>
        <v/>
      </c>
      <c r="AG463" s="95" t="b">
        <f t="shared" si="25"/>
        <v>0</v>
      </c>
      <c r="AH463" s="9"/>
      <c r="AI463" s="150">
        <f t="shared" si="24"/>
        <v>0</v>
      </c>
      <c r="AJ463" s="153" t="s">
        <v>6</v>
      </c>
    </row>
    <row r="464" spans="1:36" ht="30" customHeight="1">
      <c r="A464" s="92"/>
      <c r="B464" s="92"/>
      <c r="C464" s="92"/>
      <c r="D464" s="92"/>
      <c r="E464" s="92"/>
      <c r="F464" s="92"/>
      <c r="G464" s="92"/>
      <c r="H464" s="92"/>
      <c r="I464" s="92"/>
      <c r="J464" s="92"/>
      <c r="K464" s="92"/>
      <c r="L464" s="92"/>
      <c r="M464" s="92"/>
      <c r="N464" s="155"/>
      <c r="O464" s="157"/>
      <c r="P464" s="92"/>
      <c r="Q464" s="145"/>
      <c r="R464" s="92"/>
      <c r="S464" s="145"/>
      <c r="T464" s="92"/>
      <c r="U464" s="145"/>
      <c r="V464" s="92"/>
      <c r="W464" s="145"/>
      <c r="X464" s="92"/>
      <c r="Y464" s="145"/>
      <c r="Z464" s="92"/>
      <c r="AA464" s="145"/>
      <c r="AB464" s="64"/>
      <c r="AC464" s="145"/>
      <c r="AD464" s="64"/>
      <c r="AE464" s="145"/>
      <c r="AF464" s="196" t="str">
        <f t="shared" si="26"/>
        <v/>
      </c>
      <c r="AG464" s="95" t="b">
        <f t="shared" si="25"/>
        <v>0</v>
      </c>
      <c r="AH464" s="9"/>
      <c r="AI464" s="150">
        <f t="shared" si="24"/>
        <v>0</v>
      </c>
      <c r="AJ464" s="153" t="s">
        <v>6</v>
      </c>
    </row>
    <row r="465" spans="1:36" ht="30" customHeight="1">
      <c r="A465" s="92"/>
      <c r="B465" s="92"/>
      <c r="C465" s="92"/>
      <c r="D465" s="92"/>
      <c r="E465" s="92"/>
      <c r="F465" s="92"/>
      <c r="G465" s="92"/>
      <c r="H465" s="92"/>
      <c r="I465" s="92"/>
      <c r="J465" s="92"/>
      <c r="K465" s="92"/>
      <c r="L465" s="92"/>
      <c r="M465" s="92"/>
      <c r="N465" s="155"/>
      <c r="O465" s="157"/>
      <c r="P465" s="92"/>
      <c r="Q465" s="145"/>
      <c r="R465" s="92"/>
      <c r="S465" s="145"/>
      <c r="T465" s="92"/>
      <c r="U465" s="145"/>
      <c r="V465" s="92"/>
      <c r="W465" s="145"/>
      <c r="X465" s="92"/>
      <c r="Y465" s="145"/>
      <c r="Z465" s="92"/>
      <c r="AA465" s="145"/>
      <c r="AB465" s="64"/>
      <c r="AC465" s="145"/>
      <c r="AD465" s="64"/>
      <c r="AE465" s="145"/>
      <c r="AF465" s="196" t="str">
        <f t="shared" si="26"/>
        <v/>
      </c>
      <c r="AG465" s="95" t="b">
        <f t="shared" si="25"/>
        <v>0</v>
      </c>
      <c r="AH465" s="9"/>
      <c r="AI465" s="150">
        <f t="shared" si="24"/>
        <v>0</v>
      </c>
      <c r="AJ465" s="153" t="s">
        <v>6</v>
      </c>
    </row>
    <row r="466" spans="1:36" ht="30" customHeight="1">
      <c r="A466" s="92"/>
      <c r="B466" s="92"/>
      <c r="C466" s="92"/>
      <c r="D466" s="92"/>
      <c r="E466" s="92"/>
      <c r="F466" s="92"/>
      <c r="G466" s="92"/>
      <c r="H466" s="92"/>
      <c r="I466" s="92"/>
      <c r="J466" s="92"/>
      <c r="K466" s="92"/>
      <c r="L466" s="92"/>
      <c r="M466" s="92"/>
      <c r="N466" s="155"/>
      <c r="O466" s="157"/>
      <c r="P466" s="92"/>
      <c r="Q466" s="145"/>
      <c r="R466" s="92"/>
      <c r="S466" s="145"/>
      <c r="T466" s="92"/>
      <c r="U466" s="145"/>
      <c r="V466" s="92"/>
      <c r="W466" s="145"/>
      <c r="X466" s="92"/>
      <c r="Y466" s="145"/>
      <c r="Z466" s="92"/>
      <c r="AA466" s="145"/>
      <c r="AB466" s="64"/>
      <c r="AC466" s="145"/>
      <c r="AD466" s="64"/>
      <c r="AE466" s="145"/>
      <c r="AF466" s="196" t="str">
        <f t="shared" si="26"/>
        <v/>
      </c>
      <c r="AG466" s="95" t="b">
        <f t="shared" si="25"/>
        <v>0</v>
      </c>
      <c r="AH466" s="9"/>
      <c r="AI466" s="150">
        <f t="shared" si="24"/>
        <v>0</v>
      </c>
      <c r="AJ466" s="153" t="s">
        <v>6</v>
      </c>
    </row>
    <row r="467" spans="1:36" ht="30" customHeight="1">
      <c r="A467" s="92"/>
      <c r="B467" s="92"/>
      <c r="C467" s="92"/>
      <c r="D467" s="92"/>
      <c r="E467" s="92"/>
      <c r="F467" s="92"/>
      <c r="G467" s="92"/>
      <c r="H467" s="92"/>
      <c r="I467" s="92"/>
      <c r="J467" s="92"/>
      <c r="K467" s="92"/>
      <c r="L467" s="92"/>
      <c r="M467" s="92"/>
      <c r="N467" s="155"/>
      <c r="O467" s="157"/>
      <c r="P467" s="92"/>
      <c r="Q467" s="145"/>
      <c r="R467" s="92"/>
      <c r="S467" s="145"/>
      <c r="T467" s="92"/>
      <c r="U467" s="145"/>
      <c r="V467" s="92"/>
      <c r="W467" s="145"/>
      <c r="X467" s="92"/>
      <c r="Y467" s="145"/>
      <c r="Z467" s="92"/>
      <c r="AA467" s="145"/>
      <c r="AB467" s="64"/>
      <c r="AC467" s="145"/>
      <c r="AD467" s="64"/>
      <c r="AE467" s="145"/>
      <c r="AF467" s="196" t="str">
        <f t="shared" si="26"/>
        <v/>
      </c>
      <c r="AG467" s="95" t="b">
        <f t="shared" si="25"/>
        <v>0</v>
      </c>
      <c r="AH467" s="9"/>
      <c r="AI467" s="150">
        <f t="shared" si="24"/>
        <v>0</v>
      </c>
      <c r="AJ467" s="153" t="s">
        <v>6</v>
      </c>
    </row>
    <row r="468" spans="1:36" ht="30" customHeight="1">
      <c r="A468" s="92"/>
      <c r="B468" s="92"/>
      <c r="C468" s="92"/>
      <c r="D468" s="92"/>
      <c r="E468" s="92"/>
      <c r="F468" s="92"/>
      <c r="G468" s="92"/>
      <c r="H468" s="92"/>
      <c r="I468" s="92"/>
      <c r="J468" s="92"/>
      <c r="K468" s="92"/>
      <c r="L468" s="92"/>
      <c r="M468" s="92"/>
      <c r="N468" s="155"/>
      <c r="O468" s="157"/>
      <c r="P468" s="92"/>
      <c r="Q468" s="145"/>
      <c r="R468" s="92"/>
      <c r="S468" s="145"/>
      <c r="T468" s="92"/>
      <c r="U468" s="145"/>
      <c r="V468" s="92"/>
      <c r="W468" s="145"/>
      <c r="X468" s="92"/>
      <c r="Y468" s="145"/>
      <c r="Z468" s="92"/>
      <c r="AA468" s="145"/>
      <c r="AB468" s="64"/>
      <c r="AC468" s="145"/>
      <c r="AD468" s="64"/>
      <c r="AE468" s="145"/>
      <c r="AF468" s="196" t="str">
        <f t="shared" si="26"/>
        <v/>
      </c>
      <c r="AG468" s="95" t="b">
        <f t="shared" si="25"/>
        <v>0</v>
      </c>
      <c r="AH468" s="9"/>
      <c r="AI468" s="150">
        <f t="shared" si="24"/>
        <v>0</v>
      </c>
      <c r="AJ468" s="153" t="s">
        <v>6</v>
      </c>
    </row>
    <row r="469" spans="1:36" ht="30" customHeight="1">
      <c r="A469" s="92"/>
      <c r="B469" s="92"/>
      <c r="C469" s="92"/>
      <c r="D469" s="92"/>
      <c r="E469" s="92"/>
      <c r="F469" s="92"/>
      <c r="G469" s="92"/>
      <c r="H469" s="92"/>
      <c r="I469" s="92"/>
      <c r="J469" s="92"/>
      <c r="K469" s="92"/>
      <c r="L469" s="92"/>
      <c r="M469" s="92"/>
      <c r="N469" s="155"/>
      <c r="O469" s="157"/>
      <c r="P469" s="92"/>
      <c r="Q469" s="145"/>
      <c r="R469" s="92"/>
      <c r="S469" s="145"/>
      <c r="T469" s="92"/>
      <c r="U469" s="145"/>
      <c r="V469" s="92"/>
      <c r="W469" s="145"/>
      <c r="X469" s="92"/>
      <c r="Y469" s="145"/>
      <c r="Z469" s="92"/>
      <c r="AA469" s="145"/>
      <c r="AB469" s="64"/>
      <c r="AC469" s="145"/>
      <c r="AD469" s="64"/>
      <c r="AE469" s="145"/>
      <c r="AF469" s="196" t="str">
        <f t="shared" si="26"/>
        <v/>
      </c>
      <c r="AG469" s="95" t="b">
        <f t="shared" si="25"/>
        <v>0</v>
      </c>
      <c r="AH469" s="9"/>
      <c r="AI469" s="150">
        <f t="shared" si="24"/>
        <v>0</v>
      </c>
      <c r="AJ469" s="153" t="s">
        <v>6</v>
      </c>
    </row>
    <row r="470" spans="1:36" ht="30" customHeight="1">
      <c r="A470" s="92"/>
      <c r="B470" s="92"/>
      <c r="C470" s="92"/>
      <c r="D470" s="92"/>
      <c r="E470" s="92"/>
      <c r="F470" s="92"/>
      <c r="G470" s="92"/>
      <c r="H470" s="92"/>
      <c r="I470" s="92"/>
      <c r="J470" s="92"/>
      <c r="K470" s="92"/>
      <c r="L470" s="92"/>
      <c r="M470" s="92"/>
      <c r="N470" s="155"/>
      <c r="O470" s="157"/>
      <c r="P470" s="92"/>
      <c r="Q470" s="145"/>
      <c r="R470" s="92"/>
      <c r="S470" s="145"/>
      <c r="T470" s="92"/>
      <c r="U470" s="145"/>
      <c r="V470" s="92"/>
      <c r="W470" s="145"/>
      <c r="X470" s="92"/>
      <c r="Y470" s="145"/>
      <c r="Z470" s="92"/>
      <c r="AA470" s="145"/>
      <c r="AB470" s="64"/>
      <c r="AC470" s="145"/>
      <c r="AD470" s="64"/>
      <c r="AE470" s="145"/>
      <c r="AF470" s="196" t="str">
        <f t="shared" si="26"/>
        <v/>
      </c>
      <c r="AG470" s="95" t="b">
        <f t="shared" si="25"/>
        <v>0</v>
      </c>
      <c r="AH470" s="9"/>
      <c r="AI470" s="150">
        <f t="shared" si="24"/>
        <v>0</v>
      </c>
      <c r="AJ470" s="153" t="s">
        <v>6</v>
      </c>
    </row>
    <row r="471" spans="1:36" ht="30" customHeight="1">
      <c r="A471" s="92"/>
      <c r="B471" s="92"/>
      <c r="C471" s="92"/>
      <c r="D471" s="92"/>
      <c r="E471" s="92"/>
      <c r="F471" s="92"/>
      <c r="G471" s="92"/>
      <c r="H471" s="92"/>
      <c r="I471" s="92"/>
      <c r="J471" s="92"/>
      <c r="K471" s="92"/>
      <c r="L471" s="92"/>
      <c r="M471" s="92"/>
      <c r="N471" s="155"/>
      <c r="O471" s="157"/>
      <c r="P471" s="92"/>
      <c r="Q471" s="145"/>
      <c r="R471" s="92"/>
      <c r="S471" s="145"/>
      <c r="T471" s="92"/>
      <c r="U471" s="145"/>
      <c r="V471" s="92"/>
      <c r="W471" s="145"/>
      <c r="X471" s="92"/>
      <c r="Y471" s="145"/>
      <c r="Z471" s="92"/>
      <c r="AA471" s="145"/>
      <c r="AB471" s="64"/>
      <c r="AC471" s="145"/>
      <c r="AD471" s="64"/>
      <c r="AE471" s="145"/>
      <c r="AF471" s="196" t="str">
        <f t="shared" si="26"/>
        <v/>
      </c>
      <c r="AG471" s="95" t="b">
        <f t="shared" si="25"/>
        <v>0</v>
      </c>
      <c r="AH471" s="9"/>
      <c r="AI471" s="150">
        <f t="shared" si="24"/>
        <v>0</v>
      </c>
      <c r="AJ471" s="153" t="s">
        <v>6</v>
      </c>
    </row>
    <row r="472" spans="1:36" ht="30" customHeight="1">
      <c r="A472" s="92"/>
      <c r="B472" s="92"/>
      <c r="C472" s="92"/>
      <c r="D472" s="92"/>
      <c r="E472" s="92"/>
      <c r="F472" s="92"/>
      <c r="G472" s="92"/>
      <c r="H472" s="92"/>
      <c r="I472" s="92"/>
      <c r="J472" s="92"/>
      <c r="K472" s="92"/>
      <c r="L472" s="92"/>
      <c r="M472" s="92"/>
      <c r="N472" s="155"/>
      <c r="O472" s="157"/>
      <c r="P472" s="92"/>
      <c r="Q472" s="145"/>
      <c r="R472" s="92"/>
      <c r="S472" s="145"/>
      <c r="T472" s="92"/>
      <c r="U472" s="145"/>
      <c r="V472" s="92"/>
      <c r="W472" s="145"/>
      <c r="X472" s="92"/>
      <c r="Y472" s="145"/>
      <c r="Z472" s="92"/>
      <c r="AA472" s="145"/>
      <c r="AB472" s="64"/>
      <c r="AC472" s="145"/>
      <c r="AD472" s="64"/>
      <c r="AE472" s="145"/>
      <c r="AF472" s="196" t="str">
        <f t="shared" si="26"/>
        <v/>
      </c>
      <c r="AG472" s="95" t="b">
        <f t="shared" si="25"/>
        <v>0</v>
      </c>
      <c r="AH472" s="9"/>
      <c r="AI472" s="150">
        <f t="shared" si="24"/>
        <v>0</v>
      </c>
      <c r="AJ472" s="153" t="s">
        <v>6</v>
      </c>
    </row>
    <row r="473" spans="1:36" ht="30" customHeight="1">
      <c r="A473" s="92"/>
      <c r="B473" s="92"/>
      <c r="C473" s="92"/>
      <c r="D473" s="92"/>
      <c r="E473" s="92"/>
      <c r="F473" s="92"/>
      <c r="G473" s="92"/>
      <c r="H473" s="92"/>
      <c r="I473" s="92"/>
      <c r="J473" s="92"/>
      <c r="K473" s="92"/>
      <c r="L473" s="92"/>
      <c r="M473" s="92"/>
      <c r="N473" s="155"/>
      <c r="O473" s="157"/>
      <c r="P473" s="92"/>
      <c r="Q473" s="145"/>
      <c r="R473" s="92"/>
      <c r="S473" s="145"/>
      <c r="T473" s="92"/>
      <c r="U473" s="145"/>
      <c r="V473" s="92"/>
      <c r="W473" s="145"/>
      <c r="X473" s="92"/>
      <c r="Y473" s="145"/>
      <c r="Z473" s="92"/>
      <c r="AA473" s="145"/>
      <c r="AB473" s="64"/>
      <c r="AC473" s="145"/>
      <c r="AD473" s="64"/>
      <c r="AE473" s="145"/>
      <c r="AF473" s="196" t="str">
        <f t="shared" si="26"/>
        <v/>
      </c>
      <c r="AG473" s="95" t="b">
        <f t="shared" si="25"/>
        <v>0</v>
      </c>
      <c r="AH473" s="9"/>
      <c r="AI473" s="150">
        <f t="shared" si="24"/>
        <v>0</v>
      </c>
      <c r="AJ473" s="153" t="s">
        <v>6</v>
      </c>
    </row>
    <row r="474" spans="1:36" ht="30" customHeight="1">
      <c r="A474" s="92"/>
      <c r="B474" s="92"/>
      <c r="C474" s="92"/>
      <c r="D474" s="92"/>
      <c r="E474" s="92"/>
      <c r="F474" s="92"/>
      <c r="G474" s="92"/>
      <c r="H474" s="92"/>
      <c r="I474" s="92"/>
      <c r="J474" s="92"/>
      <c r="K474" s="92"/>
      <c r="L474" s="92"/>
      <c r="M474" s="92"/>
      <c r="N474" s="155"/>
      <c r="O474" s="157"/>
      <c r="P474" s="92"/>
      <c r="Q474" s="145"/>
      <c r="R474" s="92"/>
      <c r="S474" s="145"/>
      <c r="T474" s="92"/>
      <c r="U474" s="145"/>
      <c r="V474" s="92"/>
      <c r="W474" s="145"/>
      <c r="X474" s="92"/>
      <c r="Y474" s="145"/>
      <c r="Z474" s="92"/>
      <c r="AA474" s="145"/>
      <c r="AB474" s="64"/>
      <c r="AC474" s="145"/>
      <c r="AD474" s="64"/>
      <c r="AE474" s="145"/>
      <c r="AF474" s="196" t="str">
        <f t="shared" si="26"/>
        <v/>
      </c>
      <c r="AG474" s="95" t="b">
        <f t="shared" si="25"/>
        <v>0</v>
      </c>
      <c r="AH474" s="9"/>
      <c r="AI474" s="150">
        <f t="shared" si="24"/>
        <v>0</v>
      </c>
      <c r="AJ474" s="153" t="s">
        <v>6</v>
      </c>
    </row>
    <row r="475" spans="1:36" ht="30" customHeight="1">
      <c r="A475" s="92"/>
      <c r="B475" s="92"/>
      <c r="C475" s="92"/>
      <c r="D475" s="92"/>
      <c r="E475" s="92"/>
      <c r="F475" s="92"/>
      <c r="G475" s="92"/>
      <c r="H475" s="92"/>
      <c r="I475" s="92"/>
      <c r="J475" s="92"/>
      <c r="K475" s="92"/>
      <c r="L475" s="92"/>
      <c r="M475" s="92"/>
      <c r="N475" s="155"/>
      <c r="O475" s="157"/>
      <c r="P475" s="92"/>
      <c r="Q475" s="145"/>
      <c r="R475" s="92"/>
      <c r="S475" s="145"/>
      <c r="T475" s="92"/>
      <c r="U475" s="145"/>
      <c r="V475" s="92"/>
      <c r="W475" s="145"/>
      <c r="X475" s="92"/>
      <c r="Y475" s="145"/>
      <c r="Z475" s="92"/>
      <c r="AA475" s="145"/>
      <c r="AB475" s="64"/>
      <c r="AC475" s="145"/>
      <c r="AD475" s="64"/>
      <c r="AE475" s="145"/>
      <c r="AF475" s="196" t="str">
        <f t="shared" si="26"/>
        <v/>
      </c>
      <c r="AG475" s="95" t="b">
        <f t="shared" si="25"/>
        <v>0</v>
      </c>
      <c r="AH475" s="9"/>
      <c r="AI475" s="150">
        <f t="shared" si="24"/>
        <v>0</v>
      </c>
      <c r="AJ475" s="153" t="s">
        <v>6</v>
      </c>
    </row>
    <row r="476" spans="1:36" ht="30" customHeight="1">
      <c r="A476" s="92"/>
      <c r="B476" s="92"/>
      <c r="C476" s="92"/>
      <c r="D476" s="92"/>
      <c r="E476" s="92"/>
      <c r="F476" s="92"/>
      <c r="G476" s="92"/>
      <c r="H476" s="92"/>
      <c r="I476" s="92"/>
      <c r="J476" s="92"/>
      <c r="K476" s="92"/>
      <c r="L476" s="92"/>
      <c r="M476" s="92"/>
      <c r="N476" s="155"/>
      <c r="O476" s="157"/>
      <c r="P476" s="92"/>
      <c r="Q476" s="145"/>
      <c r="R476" s="92"/>
      <c r="S476" s="145"/>
      <c r="T476" s="92"/>
      <c r="U476" s="145"/>
      <c r="V476" s="92"/>
      <c r="W476" s="145"/>
      <c r="X476" s="92"/>
      <c r="Y476" s="145"/>
      <c r="Z476" s="92"/>
      <c r="AA476" s="145"/>
      <c r="AB476" s="64"/>
      <c r="AC476" s="145"/>
      <c r="AD476" s="64"/>
      <c r="AE476" s="145"/>
      <c r="AF476" s="196" t="str">
        <f t="shared" si="26"/>
        <v/>
      </c>
      <c r="AG476" s="95" t="b">
        <f t="shared" si="25"/>
        <v>0</v>
      </c>
      <c r="AH476" s="9"/>
      <c r="AI476" s="150">
        <f t="shared" si="24"/>
        <v>0</v>
      </c>
      <c r="AJ476" s="153" t="s">
        <v>6</v>
      </c>
    </row>
    <row r="477" spans="1:36" ht="30" customHeight="1">
      <c r="A477" s="92"/>
      <c r="B477" s="92"/>
      <c r="C477" s="92"/>
      <c r="D477" s="92"/>
      <c r="E477" s="92"/>
      <c r="F477" s="92"/>
      <c r="G477" s="92"/>
      <c r="H477" s="92"/>
      <c r="I477" s="92"/>
      <c r="J477" s="92"/>
      <c r="K477" s="92"/>
      <c r="L477" s="92"/>
      <c r="M477" s="92"/>
      <c r="N477" s="155"/>
      <c r="O477" s="157"/>
      <c r="P477" s="92"/>
      <c r="Q477" s="145"/>
      <c r="R477" s="92"/>
      <c r="S477" s="145"/>
      <c r="T477" s="92"/>
      <c r="U477" s="145"/>
      <c r="V477" s="92"/>
      <c r="W477" s="145"/>
      <c r="X477" s="92"/>
      <c r="Y477" s="145"/>
      <c r="Z477" s="92"/>
      <c r="AA477" s="145"/>
      <c r="AB477" s="64"/>
      <c r="AC477" s="145"/>
      <c r="AD477" s="64"/>
      <c r="AE477" s="145"/>
      <c r="AF477" s="196" t="str">
        <f t="shared" si="26"/>
        <v/>
      </c>
      <c r="AG477" s="95" t="b">
        <f t="shared" si="25"/>
        <v>0</v>
      </c>
      <c r="AH477" s="9"/>
      <c r="AI477" s="150">
        <f t="shared" si="24"/>
        <v>0</v>
      </c>
      <c r="AJ477" s="153" t="s">
        <v>6</v>
      </c>
    </row>
    <row r="478" spans="1:36" ht="30" customHeight="1">
      <c r="A478" s="92"/>
      <c r="B478" s="92"/>
      <c r="C478" s="92"/>
      <c r="D478" s="92"/>
      <c r="E478" s="92"/>
      <c r="F478" s="92"/>
      <c r="G478" s="92"/>
      <c r="H478" s="92"/>
      <c r="I478" s="92"/>
      <c r="J478" s="92"/>
      <c r="K478" s="92"/>
      <c r="L478" s="92"/>
      <c r="M478" s="92"/>
      <c r="N478" s="155"/>
      <c r="O478" s="157"/>
      <c r="P478" s="92"/>
      <c r="Q478" s="145"/>
      <c r="R478" s="92"/>
      <c r="S478" s="145"/>
      <c r="T478" s="92"/>
      <c r="U478" s="145"/>
      <c r="V478" s="92"/>
      <c r="W478" s="145"/>
      <c r="X478" s="92"/>
      <c r="Y478" s="145"/>
      <c r="Z478" s="92"/>
      <c r="AA478" s="145"/>
      <c r="AB478" s="64"/>
      <c r="AC478" s="145"/>
      <c r="AD478" s="64"/>
      <c r="AE478" s="145"/>
      <c r="AF478" s="196" t="str">
        <f t="shared" si="26"/>
        <v/>
      </c>
      <c r="AG478" s="95" t="b">
        <f t="shared" si="25"/>
        <v>0</v>
      </c>
      <c r="AH478" s="9"/>
      <c r="AI478" s="150">
        <f t="shared" si="24"/>
        <v>0</v>
      </c>
      <c r="AJ478" s="153" t="s">
        <v>6</v>
      </c>
    </row>
    <row r="479" spans="1:36" ht="30" customHeight="1">
      <c r="A479" s="92"/>
      <c r="B479" s="92"/>
      <c r="C479" s="92"/>
      <c r="D479" s="92"/>
      <c r="E479" s="92"/>
      <c r="F479" s="92"/>
      <c r="G479" s="92"/>
      <c r="H479" s="92"/>
      <c r="I479" s="92"/>
      <c r="J479" s="92"/>
      <c r="K479" s="92"/>
      <c r="L479" s="92"/>
      <c r="M479" s="92"/>
      <c r="N479" s="155"/>
      <c r="O479" s="157"/>
      <c r="P479" s="92"/>
      <c r="Q479" s="145"/>
      <c r="R479" s="92"/>
      <c r="S479" s="145"/>
      <c r="T479" s="92"/>
      <c r="U479" s="145"/>
      <c r="V479" s="92"/>
      <c r="W479" s="145"/>
      <c r="X479" s="92"/>
      <c r="Y479" s="145"/>
      <c r="Z479" s="92"/>
      <c r="AA479" s="145"/>
      <c r="AB479" s="64"/>
      <c r="AC479" s="145"/>
      <c r="AD479" s="64"/>
      <c r="AE479" s="145"/>
      <c r="AF479" s="196" t="str">
        <f t="shared" si="26"/>
        <v/>
      </c>
      <c r="AG479" s="95" t="b">
        <f t="shared" si="25"/>
        <v>0</v>
      </c>
      <c r="AH479" s="9"/>
      <c r="AI479" s="150">
        <f t="shared" si="24"/>
        <v>0</v>
      </c>
      <c r="AJ479" s="153" t="s">
        <v>6</v>
      </c>
    </row>
    <row r="480" spans="1:36" ht="30" customHeight="1">
      <c r="A480" s="92"/>
      <c r="B480" s="92"/>
      <c r="C480" s="92"/>
      <c r="D480" s="92"/>
      <c r="E480" s="92"/>
      <c r="F480" s="92"/>
      <c r="G480" s="92"/>
      <c r="H480" s="92"/>
      <c r="I480" s="92"/>
      <c r="J480" s="92"/>
      <c r="K480" s="92"/>
      <c r="L480" s="92"/>
      <c r="M480" s="92"/>
      <c r="N480" s="155"/>
      <c r="O480" s="157"/>
      <c r="P480" s="92"/>
      <c r="Q480" s="145"/>
      <c r="R480" s="92"/>
      <c r="S480" s="145"/>
      <c r="T480" s="92"/>
      <c r="U480" s="145"/>
      <c r="V480" s="92"/>
      <c r="W480" s="145"/>
      <c r="X480" s="92"/>
      <c r="Y480" s="145"/>
      <c r="Z480" s="92"/>
      <c r="AA480" s="145"/>
      <c r="AB480" s="64"/>
      <c r="AC480" s="145"/>
      <c r="AD480" s="64"/>
      <c r="AE480" s="145"/>
      <c r="AF480" s="196" t="str">
        <f t="shared" si="26"/>
        <v/>
      </c>
      <c r="AG480" s="95" t="b">
        <f t="shared" si="25"/>
        <v>0</v>
      </c>
      <c r="AH480" s="9"/>
      <c r="AI480" s="150">
        <f t="shared" si="24"/>
        <v>0</v>
      </c>
      <c r="AJ480" s="153" t="s">
        <v>6</v>
      </c>
    </row>
    <row r="481" spans="1:36" ht="30" customHeight="1">
      <c r="A481" s="92"/>
      <c r="B481" s="92"/>
      <c r="C481" s="92"/>
      <c r="D481" s="92"/>
      <c r="E481" s="92"/>
      <c r="F481" s="92"/>
      <c r="G481" s="92"/>
      <c r="H481" s="92"/>
      <c r="I481" s="92"/>
      <c r="J481" s="92"/>
      <c r="K481" s="92"/>
      <c r="L481" s="92"/>
      <c r="M481" s="92"/>
      <c r="N481" s="155"/>
      <c r="O481" s="157"/>
      <c r="P481" s="92"/>
      <c r="Q481" s="145"/>
      <c r="R481" s="92"/>
      <c r="S481" s="145"/>
      <c r="T481" s="92"/>
      <c r="U481" s="145"/>
      <c r="V481" s="92"/>
      <c r="W481" s="145"/>
      <c r="X481" s="92"/>
      <c r="Y481" s="145"/>
      <c r="Z481" s="92"/>
      <c r="AA481" s="145"/>
      <c r="AB481" s="64"/>
      <c r="AC481" s="145"/>
      <c r="AD481" s="64"/>
      <c r="AE481" s="145"/>
      <c r="AF481" s="196" t="str">
        <f t="shared" si="26"/>
        <v/>
      </c>
      <c r="AG481" s="95" t="b">
        <f t="shared" si="25"/>
        <v>0</v>
      </c>
      <c r="AH481" s="9"/>
      <c r="AI481" s="150">
        <f t="shared" si="24"/>
        <v>0</v>
      </c>
      <c r="AJ481" s="153" t="s">
        <v>6</v>
      </c>
    </row>
    <row r="482" spans="1:36" ht="30" customHeight="1">
      <c r="A482" s="92"/>
      <c r="B482" s="92"/>
      <c r="C482" s="92"/>
      <c r="D482" s="92"/>
      <c r="E482" s="92"/>
      <c r="F482" s="92"/>
      <c r="G482" s="92"/>
      <c r="H482" s="92"/>
      <c r="I482" s="92"/>
      <c r="J482" s="92"/>
      <c r="K482" s="92"/>
      <c r="L482" s="92"/>
      <c r="M482" s="92"/>
      <c r="N482" s="155"/>
      <c r="O482" s="157"/>
      <c r="P482" s="92"/>
      <c r="Q482" s="145"/>
      <c r="R482" s="92"/>
      <c r="S482" s="145"/>
      <c r="T482" s="92"/>
      <c r="U482" s="145"/>
      <c r="V482" s="92"/>
      <c r="W482" s="145"/>
      <c r="X482" s="92"/>
      <c r="Y482" s="145"/>
      <c r="Z482" s="92"/>
      <c r="AA482" s="145"/>
      <c r="AB482" s="64"/>
      <c r="AC482" s="145"/>
      <c r="AD482" s="64"/>
      <c r="AE482" s="145"/>
      <c r="AF482" s="196" t="str">
        <f t="shared" si="26"/>
        <v/>
      </c>
      <c r="AG482" s="95" t="b">
        <f t="shared" si="25"/>
        <v>0</v>
      </c>
      <c r="AH482" s="9"/>
      <c r="AI482" s="150">
        <f t="shared" si="24"/>
        <v>0</v>
      </c>
      <c r="AJ482" s="153" t="s">
        <v>6</v>
      </c>
    </row>
    <row r="483" spans="1:36" ht="30" customHeight="1">
      <c r="A483" s="92"/>
      <c r="B483" s="92"/>
      <c r="C483" s="92"/>
      <c r="D483" s="92"/>
      <c r="E483" s="92"/>
      <c r="F483" s="92"/>
      <c r="G483" s="92"/>
      <c r="H483" s="92"/>
      <c r="I483" s="92"/>
      <c r="J483" s="92"/>
      <c r="K483" s="92"/>
      <c r="L483" s="92"/>
      <c r="M483" s="92"/>
      <c r="N483" s="155"/>
      <c r="O483" s="157"/>
      <c r="P483" s="92"/>
      <c r="Q483" s="145"/>
      <c r="R483" s="92"/>
      <c r="S483" s="145"/>
      <c r="T483" s="92"/>
      <c r="U483" s="145"/>
      <c r="V483" s="92"/>
      <c r="W483" s="145"/>
      <c r="X483" s="92"/>
      <c r="Y483" s="145"/>
      <c r="Z483" s="92"/>
      <c r="AA483" s="145"/>
      <c r="AB483" s="64"/>
      <c r="AC483" s="145"/>
      <c r="AD483" s="64"/>
      <c r="AE483" s="145"/>
      <c r="AF483" s="196" t="str">
        <f t="shared" si="26"/>
        <v/>
      </c>
      <c r="AG483" s="95" t="b">
        <f t="shared" si="25"/>
        <v>0</v>
      </c>
      <c r="AH483" s="9"/>
      <c r="AI483" s="150">
        <f t="shared" si="24"/>
        <v>0</v>
      </c>
      <c r="AJ483" s="153" t="s">
        <v>6</v>
      </c>
    </row>
    <row r="484" spans="1:36" ht="30" customHeight="1">
      <c r="A484" s="92"/>
      <c r="B484" s="92"/>
      <c r="C484" s="92"/>
      <c r="D484" s="92"/>
      <c r="E484" s="92"/>
      <c r="F484" s="92"/>
      <c r="G484" s="92"/>
      <c r="H484" s="92"/>
      <c r="I484" s="92"/>
      <c r="J484" s="92"/>
      <c r="K484" s="92"/>
      <c r="L484" s="92"/>
      <c r="M484" s="92"/>
      <c r="N484" s="155"/>
      <c r="O484" s="157"/>
      <c r="P484" s="92"/>
      <c r="Q484" s="145"/>
      <c r="R484" s="92"/>
      <c r="S484" s="145"/>
      <c r="T484" s="92"/>
      <c r="U484" s="145"/>
      <c r="V484" s="92"/>
      <c r="W484" s="145"/>
      <c r="X484" s="92"/>
      <c r="Y484" s="145"/>
      <c r="Z484" s="92"/>
      <c r="AA484" s="145"/>
      <c r="AB484" s="64"/>
      <c r="AC484" s="145"/>
      <c r="AD484" s="64"/>
      <c r="AE484" s="145"/>
      <c r="AF484" s="196" t="str">
        <f t="shared" si="26"/>
        <v/>
      </c>
      <c r="AG484" s="95" t="b">
        <f t="shared" si="25"/>
        <v>0</v>
      </c>
      <c r="AH484" s="9"/>
      <c r="AI484" s="150">
        <f t="shared" si="24"/>
        <v>0</v>
      </c>
      <c r="AJ484" s="153" t="s">
        <v>6</v>
      </c>
    </row>
    <row r="485" spans="1:36" ht="30" customHeight="1">
      <c r="A485" s="92"/>
      <c r="B485" s="92"/>
      <c r="C485" s="92"/>
      <c r="D485" s="92"/>
      <c r="E485" s="92"/>
      <c r="F485" s="92"/>
      <c r="G485" s="92"/>
      <c r="H485" s="92"/>
      <c r="I485" s="92"/>
      <c r="J485" s="92"/>
      <c r="K485" s="92"/>
      <c r="L485" s="92"/>
      <c r="M485" s="92"/>
      <c r="N485" s="155"/>
      <c r="O485" s="157"/>
      <c r="P485" s="92"/>
      <c r="Q485" s="145"/>
      <c r="R485" s="92"/>
      <c r="S485" s="145"/>
      <c r="T485" s="92"/>
      <c r="U485" s="145"/>
      <c r="V485" s="92"/>
      <c r="W485" s="145"/>
      <c r="X485" s="92"/>
      <c r="Y485" s="145"/>
      <c r="Z485" s="92"/>
      <c r="AA485" s="145"/>
      <c r="AB485" s="64"/>
      <c r="AC485" s="145"/>
      <c r="AD485" s="64"/>
      <c r="AE485" s="145"/>
      <c r="AF485" s="196" t="str">
        <f t="shared" si="26"/>
        <v/>
      </c>
      <c r="AG485" s="95" t="b">
        <f t="shared" si="25"/>
        <v>0</v>
      </c>
      <c r="AH485" s="9"/>
      <c r="AI485" s="150">
        <f t="shared" si="24"/>
        <v>0</v>
      </c>
      <c r="AJ485" s="153" t="s">
        <v>6</v>
      </c>
    </row>
    <row r="486" spans="1:36" ht="30" customHeight="1">
      <c r="A486" s="92"/>
      <c r="B486" s="92"/>
      <c r="C486" s="92"/>
      <c r="D486" s="92"/>
      <c r="E486" s="92"/>
      <c r="F486" s="92"/>
      <c r="G486" s="92"/>
      <c r="H486" s="92"/>
      <c r="I486" s="92"/>
      <c r="J486" s="92"/>
      <c r="K486" s="92"/>
      <c r="L486" s="92"/>
      <c r="M486" s="92"/>
      <c r="N486" s="155"/>
      <c r="O486" s="157"/>
      <c r="P486" s="92"/>
      <c r="Q486" s="145"/>
      <c r="R486" s="92"/>
      <c r="S486" s="145"/>
      <c r="T486" s="92"/>
      <c r="U486" s="145"/>
      <c r="V486" s="92"/>
      <c r="W486" s="145"/>
      <c r="X486" s="92"/>
      <c r="Y486" s="145"/>
      <c r="Z486" s="92"/>
      <c r="AA486" s="145"/>
      <c r="AB486" s="64"/>
      <c r="AC486" s="145"/>
      <c r="AD486" s="64"/>
      <c r="AE486" s="145"/>
      <c r="AF486" s="196" t="str">
        <f t="shared" si="26"/>
        <v/>
      </c>
      <c r="AG486" s="95" t="b">
        <f t="shared" si="25"/>
        <v>0</v>
      </c>
      <c r="AH486" s="9"/>
      <c r="AI486" s="150">
        <f t="shared" si="24"/>
        <v>0</v>
      </c>
      <c r="AJ486" s="153" t="s">
        <v>6</v>
      </c>
    </row>
    <row r="487" spans="1:36" ht="30" customHeight="1">
      <c r="A487" s="92"/>
      <c r="B487" s="92"/>
      <c r="C487" s="92"/>
      <c r="D487" s="92"/>
      <c r="E487" s="92"/>
      <c r="F487" s="92"/>
      <c r="G487" s="92"/>
      <c r="H487" s="92"/>
      <c r="I487" s="92"/>
      <c r="J487" s="92"/>
      <c r="K487" s="92"/>
      <c r="L487" s="92"/>
      <c r="M487" s="92"/>
      <c r="N487" s="155"/>
      <c r="O487" s="157"/>
      <c r="P487" s="92"/>
      <c r="Q487" s="145"/>
      <c r="R487" s="92"/>
      <c r="S487" s="145"/>
      <c r="T487" s="92"/>
      <c r="U487" s="145"/>
      <c r="V487" s="92"/>
      <c r="W487" s="145"/>
      <c r="X487" s="92"/>
      <c r="Y487" s="145"/>
      <c r="Z487" s="92"/>
      <c r="AA487" s="145"/>
      <c r="AB487" s="64"/>
      <c r="AC487" s="145"/>
      <c r="AD487" s="64"/>
      <c r="AE487" s="145"/>
      <c r="AF487" s="196" t="str">
        <f t="shared" si="26"/>
        <v/>
      </c>
      <c r="AG487" s="95" t="b">
        <f t="shared" si="25"/>
        <v>0</v>
      </c>
      <c r="AH487" s="9"/>
      <c r="AI487" s="150">
        <f t="shared" si="24"/>
        <v>0</v>
      </c>
      <c r="AJ487" s="153" t="s">
        <v>6</v>
      </c>
    </row>
    <row r="488" spans="1:36" ht="30" customHeight="1">
      <c r="A488" s="92"/>
      <c r="B488" s="92"/>
      <c r="C488" s="92"/>
      <c r="D488" s="92"/>
      <c r="E488" s="92"/>
      <c r="F488" s="92"/>
      <c r="G488" s="92"/>
      <c r="H488" s="92"/>
      <c r="I488" s="92"/>
      <c r="J488" s="92"/>
      <c r="K488" s="92"/>
      <c r="L488" s="92"/>
      <c r="M488" s="92"/>
      <c r="N488" s="155"/>
      <c r="O488" s="157"/>
      <c r="P488" s="92"/>
      <c r="Q488" s="145"/>
      <c r="R488" s="92"/>
      <c r="S488" s="145"/>
      <c r="T488" s="92"/>
      <c r="U488" s="145"/>
      <c r="V488" s="92"/>
      <c r="W488" s="145"/>
      <c r="X488" s="92"/>
      <c r="Y488" s="145"/>
      <c r="Z488" s="92"/>
      <c r="AA488" s="145"/>
      <c r="AB488" s="64"/>
      <c r="AC488" s="145"/>
      <c r="AD488" s="64"/>
      <c r="AE488" s="145"/>
      <c r="AF488" s="196" t="str">
        <f t="shared" si="26"/>
        <v/>
      </c>
      <c r="AG488" s="95" t="b">
        <f t="shared" si="25"/>
        <v>0</v>
      </c>
      <c r="AH488" s="9"/>
      <c r="AI488" s="150">
        <f t="shared" si="24"/>
        <v>0</v>
      </c>
      <c r="AJ488" s="153" t="s">
        <v>6</v>
      </c>
    </row>
    <row r="489" spans="1:36" ht="30" customHeight="1">
      <c r="A489" s="92"/>
      <c r="B489" s="92"/>
      <c r="C489" s="92"/>
      <c r="D489" s="92"/>
      <c r="E489" s="92"/>
      <c r="F489" s="92"/>
      <c r="G489" s="92"/>
      <c r="H489" s="92"/>
      <c r="I489" s="92"/>
      <c r="J489" s="92"/>
      <c r="K489" s="92"/>
      <c r="L489" s="92"/>
      <c r="M489" s="92"/>
      <c r="N489" s="155"/>
      <c r="O489" s="157"/>
      <c r="P489" s="92"/>
      <c r="Q489" s="145"/>
      <c r="R489" s="92"/>
      <c r="S489" s="145"/>
      <c r="T489" s="92"/>
      <c r="U489" s="145"/>
      <c r="V489" s="92"/>
      <c r="W489" s="145"/>
      <c r="X489" s="92"/>
      <c r="Y489" s="145"/>
      <c r="Z489" s="92"/>
      <c r="AA489" s="145"/>
      <c r="AB489" s="64"/>
      <c r="AC489" s="145"/>
      <c r="AD489" s="64"/>
      <c r="AE489" s="145"/>
      <c r="AF489" s="196" t="str">
        <f t="shared" si="26"/>
        <v/>
      </c>
      <c r="AG489" s="95" t="b">
        <f t="shared" si="25"/>
        <v>0</v>
      </c>
      <c r="AH489" s="9"/>
      <c r="AI489" s="150">
        <f t="shared" si="24"/>
        <v>0</v>
      </c>
      <c r="AJ489" s="153" t="s">
        <v>6</v>
      </c>
    </row>
    <row r="490" spans="1:36" ht="30" customHeight="1">
      <c r="A490" s="92"/>
      <c r="B490" s="92"/>
      <c r="C490" s="92"/>
      <c r="D490" s="92"/>
      <c r="E490" s="92"/>
      <c r="F490" s="92"/>
      <c r="G490" s="92"/>
      <c r="H490" s="92"/>
      <c r="I490" s="92"/>
      <c r="J490" s="92"/>
      <c r="K490" s="92"/>
      <c r="L490" s="92"/>
      <c r="M490" s="92"/>
      <c r="N490" s="155"/>
      <c r="O490" s="157"/>
      <c r="P490" s="92"/>
      <c r="Q490" s="145"/>
      <c r="R490" s="92"/>
      <c r="S490" s="145"/>
      <c r="T490" s="92"/>
      <c r="U490" s="145"/>
      <c r="V490" s="92"/>
      <c r="W490" s="145"/>
      <c r="X490" s="92"/>
      <c r="Y490" s="145"/>
      <c r="Z490" s="92"/>
      <c r="AA490" s="145"/>
      <c r="AB490" s="64"/>
      <c r="AC490" s="145"/>
      <c r="AD490" s="64"/>
      <c r="AE490" s="145"/>
      <c r="AF490" s="196" t="str">
        <f t="shared" si="26"/>
        <v/>
      </c>
      <c r="AG490" s="95" t="b">
        <f t="shared" si="25"/>
        <v>0</v>
      </c>
      <c r="AH490" s="9"/>
      <c r="AI490" s="150">
        <f t="shared" si="24"/>
        <v>0</v>
      </c>
      <c r="AJ490" s="153" t="s">
        <v>6</v>
      </c>
    </row>
    <row r="491" spans="1:36" ht="30" customHeight="1">
      <c r="A491" s="92"/>
      <c r="B491" s="92"/>
      <c r="C491" s="92"/>
      <c r="D491" s="92"/>
      <c r="E491" s="92"/>
      <c r="F491" s="92"/>
      <c r="G491" s="92"/>
      <c r="H491" s="92"/>
      <c r="I491" s="92"/>
      <c r="J491" s="92"/>
      <c r="K491" s="92"/>
      <c r="L491" s="92"/>
      <c r="M491" s="92"/>
      <c r="N491" s="155"/>
      <c r="O491" s="157"/>
      <c r="P491" s="92"/>
      <c r="Q491" s="145"/>
      <c r="R491" s="92"/>
      <c r="S491" s="145"/>
      <c r="T491" s="92"/>
      <c r="U491" s="145"/>
      <c r="V491" s="92"/>
      <c r="W491" s="145"/>
      <c r="X491" s="92"/>
      <c r="Y491" s="145"/>
      <c r="Z491" s="92"/>
      <c r="AA491" s="145"/>
      <c r="AB491" s="64"/>
      <c r="AC491" s="145"/>
      <c r="AD491" s="64"/>
      <c r="AE491" s="145"/>
      <c r="AF491" s="196" t="str">
        <f t="shared" si="26"/>
        <v/>
      </c>
      <c r="AG491" s="95" t="b">
        <f t="shared" si="25"/>
        <v>0</v>
      </c>
      <c r="AH491" s="9"/>
      <c r="AI491" s="150">
        <f t="shared" si="24"/>
        <v>0</v>
      </c>
      <c r="AJ491" s="153" t="s">
        <v>6</v>
      </c>
    </row>
    <row r="492" spans="1:36" ht="30" customHeight="1">
      <c r="A492" s="92"/>
      <c r="B492" s="92"/>
      <c r="C492" s="92"/>
      <c r="D492" s="92"/>
      <c r="E492" s="92"/>
      <c r="F492" s="92"/>
      <c r="G492" s="92"/>
      <c r="H492" s="92"/>
      <c r="I492" s="92"/>
      <c r="J492" s="92"/>
      <c r="K492" s="92"/>
      <c r="L492" s="92"/>
      <c r="M492" s="92"/>
      <c r="N492" s="155"/>
      <c r="O492" s="157"/>
      <c r="P492" s="92"/>
      <c r="Q492" s="145"/>
      <c r="R492" s="92"/>
      <c r="S492" s="145"/>
      <c r="T492" s="92"/>
      <c r="U492" s="145"/>
      <c r="V492" s="92"/>
      <c r="W492" s="145"/>
      <c r="X492" s="92"/>
      <c r="Y492" s="145"/>
      <c r="Z492" s="92"/>
      <c r="AA492" s="145"/>
      <c r="AB492" s="64"/>
      <c r="AC492" s="145"/>
      <c r="AD492" s="64"/>
      <c r="AE492" s="145"/>
      <c r="AF492" s="196" t="str">
        <f t="shared" si="26"/>
        <v/>
      </c>
      <c r="AG492" s="95" t="b">
        <f t="shared" si="25"/>
        <v>0</v>
      </c>
      <c r="AH492" s="9"/>
      <c r="AI492" s="150">
        <f t="shared" si="24"/>
        <v>0</v>
      </c>
      <c r="AJ492" s="153" t="s">
        <v>6</v>
      </c>
    </row>
    <row r="493" spans="1:36" ht="30" customHeight="1">
      <c r="A493" s="92"/>
      <c r="B493" s="92"/>
      <c r="C493" s="92"/>
      <c r="D493" s="92"/>
      <c r="E493" s="92"/>
      <c r="F493" s="92"/>
      <c r="G493" s="92"/>
      <c r="H493" s="92"/>
      <c r="I493" s="92"/>
      <c r="J493" s="92"/>
      <c r="K493" s="92"/>
      <c r="L493" s="92"/>
      <c r="M493" s="92"/>
      <c r="N493" s="155"/>
      <c r="O493" s="157"/>
      <c r="P493" s="92"/>
      <c r="Q493" s="145"/>
      <c r="R493" s="92"/>
      <c r="S493" s="145"/>
      <c r="T493" s="92"/>
      <c r="U493" s="145"/>
      <c r="V493" s="92"/>
      <c r="W493" s="145"/>
      <c r="X493" s="92"/>
      <c r="Y493" s="145"/>
      <c r="Z493" s="92"/>
      <c r="AA493" s="145"/>
      <c r="AB493" s="64"/>
      <c r="AC493" s="145"/>
      <c r="AD493" s="64"/>
      <c r="AE493" s="145"/>
      <c r="AF493" s="196" t="str">
        <f t="shared" si="26"/>
        <v/>
      </c>
      <c r="AG493" s="95" t="b">
        <f t="shared" si="25"/>
        <v>0</v>
      </c>
      <c r="AH493" s="9"/>
      <c r="AI493" s="150">
        <f t="shared" si="24"/>
        <v>0</v>
      </c>
      <c r="AJ493" s="153" t="s">
        <v>6</v>
      </c>
    </row>
    <row r="494" spans="1:36" ht="30" customHeight="1">
      <c r="A494" s="92"/>
      <c r="B494" s="92"/>
      <c r="C494" s="92"/>
      <c r="D494" s="92"/>
      <c r="E494" s="92"/>
      <c r="F494" s="92"/>
      <c r="G494" s="92"/>
      <c r="H494" s="92"/>
      <c r="I494" s="92"/>
      <c r="J494" s="92"/>
      <c r="K494" s="92"/>
      <c r="L494" s="92"/>
      <c r="M494" s="92"/>
      <c r="N494" s="155"/>
      <c r="O494" s="157"/>
      <c r="P494" s="92"/>
      <c r="Q494" s="145"/>
      <c r="R494" s="92"/>
      <c r="S494" s="145"/>
      <c r="T494" s="92"/>
      <c r="U494" s="145"/>
      <c r="V494" s="92"/>
      <c r="W494" s="145"/>
      <c r="X494" s="92"/>
      <c r="Y494" s="145"/>
      <c r="Z494" s="92"/>
      <c r="AA494" s="145"/>
      <c r="AB494" s="64"/>
      <c r="AC494" s="145"/>
      <c r="AD494" s="64"/>
      <c r="AE494" s="145"/>
      <c r="AF494" s="196" t="str">
        <f t="shared" si="26"/>
        <v/>
      </c>
      <c r="AG494" s="95" t="b">
        <f t="shared" si="25"/>
        <v>0</v>
      </c>
      <c r="AH494" s="9"/>
      <c r="AI494" s="150">
        <f t="shared" si="24"/>
        <v>0</v>
      </c>
      <c r="AJ494" s="153" t="s">
        <v>6</v>
      </c>
    </row>
    <row r="495" spans="1:36" ht="30" customHeight="1">
      <c r="A495" s="92"/>
      <c r="B495" s="92"/>
      <c r="C495" s="92"/>
      <c r="D495" s="92"/>
      <c r="E495" s="92"/>
      <c r="F495" s="92"/>
      <c r="G495" s="92"/>
      <c r="H495" s="92"/>
      <c r="I495" s="92"/>
      <c r="J495" s="92"/>
      <c r="K495" s="92"/>
      <c r="L495" s="92"/>
      <c r="M495" s="92"/>
      <c r="N495" s="155"/>
      <c r="O495" s="157"/>
      <c r="P495" s="92"/>
      <c r="Q495" s="145"/>
      <c r="R495" s="92"/>
      <c r="S495" s="145"/>
      <c r="T495" s="92"/>
      <c r="U495" s="145"/>
      <c r="V495" s="92"/>
      <c r="W495" s="145"/>
      <c r="X495" s="92"/>
      <c r="Y495" s="145"/>
      <c r="Z495" s="92"/>
      <c r="AA495" s="145"/>
      <c r="AB495" s="64"/>
      <c r="AC495" s="145"/>
      <c r="AD495" s="64"/>
      <c r="AE495" s="145"/>
      <c r="AF495" s="196" t="str">
        <f t="shared" si="26"/>
        <v/>
      </c>
      <c r="AG495" s="95" t="b">
        <f t="shared" si="25"/>
        <v>0</v>
      </c>
      <c r="AH495" s="9"/>
      <c r="AI495" s="150">
        <f t="shared" si="24"/>
        <v>0</v>
      </c>
      <c r="AJ495" s="153" t="s">
        <v>6</v>
      </c>
    </row>
    <row r="496" spans="1:36" ht="30" customHeight="1">
      <c r="A496" s="92"/>
      <c r="B496" s="92"/>
      <c r="C496" s="92"/>
      <c r="D496" s="92"/>
      <c r="E496" s="92"/>
      <c r="F496" s="92"/>
      <c r="G496" s="92"/>
      <c r="H496" s="92"/>
      <c r="I496" s="92"/>
      <c r="J496" s="92"/>
      <c r="K496" s="92"/>
      <c r="L496" s="92"/>
      <c r="M496" s="92"/>
      <c r="N496" s="155"/>
      <c r="O496" s="157"/>
      <c r="P496" s="92"/>
      <c r="Q496" s="145"/>
      <c r="R496" s="92"/>
      <c r="S496" s="145"/>
      <c r="T496" s="92"/>
      <c r="U496" s="145"/>
      <c r="V496" s="92"/>
      <c r="W496" s="145"/>
      <c r="X496" s="92"/>
      <c r="Y496" s="145"/>
      <c r="Z496" s="92"/>
      <c r="AA496" s="145"/>
      <c r="AB496" s="64"/>
      <c r="AC496" s="145"/>
      <c r="AD496" s="64"/>
      <c r="AE496" s="145"/>
      <c r="AF496" s="196" t="str">
        <f t="shared" si="26"/>
        <v/>
      </c>
      <c r="AG496" s="95" t="b">
        <f t="shared" si="25"/>
        <v>0</v>
      </c>
      <c r="AH496" s="9"/>
      <c r="AI496" s="150">
        <f t="shared" si="24"/>
        <v>0</v>
      </c>
      <c r="AJ496" s="153" t="s">
        <v>6</v>
      </c>
    </row>
    <row r="497" spans="1:36" ht="30" customHeight="1">
      <c r="A497" s="92"/>
      <c r="B497" s="92"/>
      <c r="C497" s="92"/>
      <c r="D497" s="92"/>
      <c r="E497" s="92"/>
      <c r="F497" s="92"/>
      <c r="G497" s="92"/>
      <c r="H497" s="92"/>
      <c r="I497" s="92"/>
      <c r="J497" s="92"/>
      <c r="K497" s="92"/>
      <c r="L497" s="92"/>
      <c r="M497" s="92"/>
      <c r="N497" s="155"/>
      <c r="O497" s="157"/>
      <c r="P497" s="92"/>
      <c r="Q497" s="145"/>
      <c r="R497" s="92"/>
      <c r="S497" s="145"/>
      <c r="T497" s="92"/>
      <c r="U497" s="145"/>
      <c r="V497" s="92"/>
      <c r="W497" s="145"/>
      <c r="X497" s="92"/>
      <c r="Y497" s="145"/>
      <c r="Z497" s="92"/>
      <c r="AA497" s="145"/>
      <c r="AB497" s="64"/>
      <c r="AC497" s="145"/>
      <c r="AD497" s="64"/>
      <c r="AE497" s="145"/>
      <c r="AF497" s="196" t="str">
        <f t="shared" si="26"/>
        <v/>
      </c>
      <c r="AG497" s="95" t="b">
        <f t="shared" si="25"/>
        <v>0</v>
      </c>
      <c r="AH497" s="9"/>
      <c r="AI497" s="150">
        <f t="shared" si="24"/>
        <v>0</v>
      </c>
      <c r="AJ497" s="153" t="s">
        <v>6</v>
      </c>
    </row>
    <row r="498" spans="1:36" ht="30" customHeight="1">
      <c r="A498" s="92"/>
      <c r="B498" s="92"/>
      <c r="C498" s="92"/>
      <c r="D498" s="92"/>
      <c r="E498" s="92"/>
      <c r="F498" s="92"/>
      <c r="G498" s="92"/>
      <c r="H498" s="92"/>
      <c r="I498" s="92"/>
      <c r="J498" s="92"/>
      <c r="K498" s="92"/>
      <c r="L498" s="92"/>
      <c r="M498" s="92"/>
      <c r="N498" s="155"/>
      <c r="O498" s="157"/>
      <c r="P498" s="92"/>
      <c r="Q498" s="145"/>
      <c r="R498" s="92"/>
      <c r="S498" s="145"/>
      <c r="T498" s="92"/>
      <c r="U498" s="145"/>
      <c r="V498" s="92"/>
      <c r="W498" s="145"/>
      <c r="X498" s="92"/>
      <c r="Y498" s="145"/>
      <c r="Z498" s="92"/>
      <c r="AA498" s="145"/>
      <c r="AB498" s="64"/>
      <c r="AC498" s="145"/>
      <c r="AD498" s="64"/>
      <c r="AE498" s="145"/>
      <c r="AF498" s="196" t="str">
        <f t="shared" si="26"/>
        <v/>
      </c>
      <c r="AG498" s="95" t="b">
        <f t="shared" si="25"/>
        <v>0</v>
      </c>
      <c r="AH498" s="9"/>
      <c r="AI498" s="150">
        <f t="shared" si="24"/>
        <v>0</v>
      </c>
      <c r="AJ498" s="153" t="s">
        <v>6</v>
      </c>
    </row>
    <row r="499" spans="1:36" ht="30" customHeight="1">
      <c r="A499" s="92"/>
      <c r="B499" s="92"/>
      <c r="C499" s="92"/>
      <c r="D499" s="92"/>
      <c r="E499" s="92"/>
      <c r="F499" s="92"/>
      <c r="G499" s="92"/>
      <c r="H499" s="92"/>
      <c r="I499" s="92"/>
      <c r="J499" s="92"/>
      <c r="K499" s="92"/>
      <c r="L499" s="92"/>
      <c r="M499" s="92"/>
      <c r="N499" s="155"/>
      <c r="O499" s="157"/>
      <c r="P499" s="92"/>
      <c r="Q499" s="145"/>
      <c r="R499" s="92"/>
      <c r="S499" s="145"/>
      <c r="T499" s="92"/>
      <c r="U499" s="145"/>
      <c r="V499" s="92"/>
      <c r="W499" s="145"/>
      <c r="X499" s="92"/>
      <c r="Y499" s="145"/>
      <c r="Z499" s="92"/>
      <c r="AA499" s="145"/>
      <c r="AB499" s="64"/>
      <c r="AC499" s="145"/>
      <c r="AD499" s="64"/>
      <c r="AE499" s="145"/>
      <c r="AF499" s="196" t="str">
        <f t="shared" si="26"/>
        <v/>
      </c>
      <c r="AG499" s="95" t="b">
        <f t="shared" si="25"/>
        <v>0</v>
      </c>
      <c r="AH499" s="9"/>
      <c r="AI499" s="150">
        <f t="shared" si="24"/>
        <v>0</v>
      </c>
      <c r="AJ499" s="153" t="s">
        <v>6</v>
      </c>
    </row>
    <row r="500" spans="1:36" ht="30" customHeight="1">
      <c r="A500" s="92"/>
      <c r="B500" s="92"/>
      <c r="C500" s="92"/>
      <c r="D500" s="92"/>
      <c r="E500" s="92"/>
      <c r="F500" s="92"/>
      <c r="G500" s="92"/>
      <c r="H500" s="92"/>
      <c r="I500" s="92"/>
      <c r="J500" s="92"/>
      <c r="K500" s="92"/>
      <c r="L500" s="92"/>
      <c r="M500" s="92"/>
      <c r="N500" s="155"/>
      <c r="O500" s="157"/>
      <c r="P500" s="92"/>
      <c r="Q500" s="145"/>
      <c r="R500" s="92"/>
      <c r="S500" s="145"/>
      <c r="T500" s="92"/>
      <c r="U500" s="145"/>
      <c r="V500" s="92"/>
      <c r="W500" s="145"/>
      <c r="X500" s="92"/>
      <c r="Y500" s="145"/>
      <c r="Z500" s="92"/>
      <c r="AA500" s="145"/>
      <c r="AB500" s="64"/>
      <c r="AC500" s="145"/>
      <c r="AD500" s="64"/>
      <c r="AE500" s="145"/>
      <c r="AF500" s="196" t="str">
        <f t="shared" si="26"/>
        <v/>
      </c>
      <c r="AG500" s="95" t="b">
        <f t="shared" si="25"/>
        <v>0</v>
      </c>
      <c r="AH500" s="9"/>
      <c r="AI500" s="150">
        <f t="shared" si="24"/>
        <v>0</v>
      </c>
      <c r="AJ500" s="153" t="s">
        <v>6</v>
      </c>
    </row>
    <row r="501" spans="1:36" ht="30" customHeight="1">
      <c r="A501" s="92"/>
      <c r="B501" s="92"/>
      <c r="C501" s="92"/>
      <c r="D501" s="92"/>
      <c r="E501" s="92"/>
      <c r="F501" s="92"/>
      <c r="G501" s="92"/>
      <c r="H501" s="92"/>
      <c r="I501" s="92"/>
      <c r="J501" s="92"/>
      <c r="K501" s="92"/>
      <c r="L501" s="92"/>
      <c r="M501" s="92"/>
      <c r="N501" s="155"/>
      <c r="O501" s="157"/>
      <c r="P501" s="92"/>
      <c r="Q501" s="145"/>
      <c r="R501" s="92"/>
      <c r="S501" s="145"/>
      <c r="T501" s="92"/>
      <c r="U501" s="145"/>
      <c r="V501" s="92"/>
      <c r="W501" s="145"/>
      <c r="X501" s="92"/>
      <c r="Y501" s="145"/>
      <c r="Z501" s="92"/>
      <c r="AA501" s="145"/>
      <c r="AB501" s="64"/>
      <c r="AC501" s="145"/>
      <c r="AD501" s="64"/>
      <c r="AE501" s="145"/>
      <c r="AF501" s="196" t="str">
        <f t="shared" si="26"/>
        <v/>
      </c>
      <c r="AG501" s="95" t="b">
        <f t="shared" si="25"/>
        <v>0</v>
      </c>
      <c r="AH501" s="9"/>
      <c r="AI501" s="150">
        <f t="shared" si="24"/>
        <v>0</v>
      </c>
      <c r="AJ501" s="153" t="s">
        <v>6</v>
      </c>
    </row>
    <row r="502" spans="1:36" ht="30" customHeight="1">
      <c r="A502" s="92"/>
      <c r="B502" s="92"/>
      <c r="C502" s="92"/>
      <c r="D502" s="92"/>
      <c r="E502" s="92"/>
      <c r="F502" s="92"/>
      <c r="G502" s="92"/>
      <c r="H502" s="92"/>
      <c r="I502" s="92"/>
      <c r="J502" s="92"/>
      <c r="K502" s="92"/>
      <c r="L502" s="92"/>
      <c r="M502" s="92"/>
      <c r="N502" s="155"/>
      <c r="O502" s="157"/>
      <c r="P502" s="92"/>
      <c r="Q502" s="145"/>
      <c r="R502" s="92"/>
      <c r="S502" s="145"/>
      <c r="T502" s="92"/>
      <c r="U502" s="145"/>
      <c r="V502" s="92"/>
      <c r="W502" s="145"/>
      <c r="X502" s="92"/>
      <c r="Y502" s="145"/>
      <c r="Z502" s="92"/>
      <c r="AA502" s="145"/>
      <c r="AB502" s="64"/>
      <c r="AC502" s="145"/>
      <c r="AD502" s="64"/>
      <c r="AE502" s="145"/>
      <c r="AF502" s="196" t="str">
        <f t="shared" si="26"/>
        <v/>
      </c>
      <c r="AG502" s="95" t="b">
        <f t="shared" si="25"/>
        <v>0</v>
      </c>
      <c r="AH502" s="9"/>
      <c r="AI502" s="150">
        <f t="shared" si="24"/>
        <v>0</v>
      </c>
      <c r="AJ502" s="153" t="s">
        <v>6</v>
      </c>
    </row>
    <row r="503" spans="1:36" ht="30" customHeight="1">
      <c r="A503" s="92"/>
      <c r="B503" s="92"/>
      <c r="C503" s="92"/>
      <c r="D503" s="92"/>
      <c r="E503" s="92"/>
      <c r="F503" s="92"/>
      <c r="G503" s="92"/>
      <c r="H503" s="92"/>
      <c r="I503" s="92"/>
      <c r="J503" s="92"/>
      <c r="K503" s="92"/>
      <c r="L503" s="92"/>
      <c r="M503" s="92"/>
      <c r="N503" s="155"/>
      <c r="O503" s="157"/>
      <c r="P503" s="92"/>
      <c r="Q503" s="145"/>
      <c r="R503" s="92"/>
      <c r="S503" s="145"/>
      <c r="T503" s="92"/>
      <c r="U503" s="145"/>
      <c r="V503" s="92"/>
      <c r="W503" s="145"/>
      <c r="X503" s="92"/>
      <c r="Y503" s="145"/>
      <c r="Z503" s="92"/>
      <c r="AA503" s="145"/>
      <c r="AB503" s="64"/>
      <c r="AC503" s="145"/>
      <c r="AD503" s="64"/>
      <c r="AE503" s="145"/>
      <c r="AF503" s="196" t="str">
        <f t="shared" si="26"/>
        <v/>
      </c>
      <c r="AG503" s="95" t="b">
        <f t="shared" si="25"/>
        <v>0</v>
      </c>
      <c r="AH503" s="9"/>
      <c r="AI503" s="150">
        <f t="shared" si="24"/>
        <v>0</v>
      </c>
      <c r="AJ503" s="153" t="s">
        <v>6</v>
      </c>
    </row>
    <row r="504" spans="1:36" ht="30" customHeight="1">
      <c r="A504" s="92"/>
      <c r="B504" s="92"/>
      <c r="C504" s="92"/>
      <c r="D504" s="92"/>
      <c r="E504" s="92"/>
      <c r="F504" s="92"/>
      <c r="G504" s="92"/>
      <c r="H504" s="92"/>
      <c r="I504" s="92"/>
      <c r="J504" s="92"/>
      <c r="K504" s="92"/>
      <c r="L504" s="92"/>
      <c r="M504" s="92"/>
      <c r="N504" s="155"/>
      <c r="O504" s="157"/>
      <c r="P504" s="92"/>
      <c r="Q504" s="145"/>
      <c r="R504" s="92"/>
      <c r="S504" s="145"/>
      <c r="T504" s="92"/>
      <c r="U504" s="145"/>
      <c r="V504" s="92"/>
      <c r="W504" s="145"/>
      <c r="X504" s="92"/>
      <c r="Y504" s="145"/>
      <c r="Z504" s="92"/>
      <c r="AA504" s="145"/>
      <c r="AB504" s="64"/>
      <c r="AC504" s="145"/>
      <c r="AD504" s="64"/>
      <c r="AE504" s="145"/>
      <c r="AF504" s="196" t="str">
        <f t="shared" si="26"/>
        <v/>
      </c>
      <c r="AG504" s="95" t="b">
        <f t="shared" si="25"/>
        <v>0</v>
      </c>
      <c r="AH504" s="9"/>
      <c r="AI504" s="150">
        <f t="shared" si="24"/>
        <v>0</v>
      </c>
      <c r="AJ504" s="153" t="s">
        <v>6</v>
      </c>
    </row>
    <row r="505" spans="1:36" ht="30" customHeight="1">
      <c r="A505" s="92"/>
      <c r="B505" s="92"/>
      <c r="C505" s="92"/>
      <c r="D505" s="92"/>
      <c r="E505" s="92"/>
      <c r="F505" s="92"/>
      <c r="G505" s="92"/>
      <c r="H505" s="92"/>
      <c r="I505" s="92"/>
      <c r="J505" s="92"/>
      <c r="K505" s="92"/>
      <c r="L505" s="92"/>
      <c r="M505" s="92"/>
      <c r="N505" s="155"/>
      <c r="O505" s="157"/>
      <c r="P505" s="92"/>
      <c r="Q505" s="145"/>
      <c r="R505" s="92"/>
      <c r="S505" s="145"/>
      <c r="T505" s="92"/>
      <c r="U505" s="145"/>
      <c r="V505" s="92"/>
      <c r="W505" s="145"/>
      <c r="X505" s="92"/>
      <c r="Y505" s="145"/>
      <c r="Z505" s="92"/>
      <c r="AA505" s="145"/>
      <c r="AB505" s="64"/>
      <c r="AC505" s="145"/>
      <c r="AD505" s="64"/>
      <c r="AE505" s="145"/>
      <c r="AF505" s="196" t="str">
        <f t="shared" si="26"/>
        <v/>
      </c>
      <c r="AG505" s="95" t="b">
        <f t="shared" si="25"/>
        <v>0</v>
      </c>
      <c r="AH505" s="9"/>
      <c r="AI505" s="150">
        <f t="shared" si="24"/>
        <v>0</v>
      </c>
      <c r="AJ505" s="153" t="s">
        <v>6</v>
      </c>
    </row>
    <row r="506" spans="1:36" ht="30" customHeight="1">
      <c r="A506" s="92"/>
      <c r="B506" s="92"/>
      <c r="C506" s="92"/>
      <c r="D506" s="92"/>
      <c r="E506" s="92"/>
      <c r="F506" s="92"/>
      <c r="G506" s="92"/>
      <c r="H506" s="92"/>
      <c r="I506" s="92"/>
      <c r="J506" s="92"/>
      <c r="K506" s="92"/>
      <c r="L506" s="92"/>
      <c r="M506" s="92"/>
      <c r="N506" s="155"/>
      <c r="O506" s="157"/>
      <c r="P506" s="92"/>
      <c r="Q506" s="145"/>
      <c r="R506" s="92"/>
      <c r="S506" s="145"/>
      <c r="T506" s="92"/>
      <c r="U506" s="145"/>
      <c r="V506" s="92"/>
      <c r="W506" s="145"/>
      <c r="X506" s="92"/>
      <c r="Y506" s="145"/>
      <c r="Z506" s="92"/>
      <c r="AA506" s="145"/>
      <c r="AB506" s="64"/>
      <c r="AC506" s="145"/>
      <c r="AD506" s="64"/>
      <c r="AE506" s="145"/>
      <c r="AF506" s="196" t="str">
        <f t="shared" si="26"/>
        <v/>
      </c>
      <c r="AG506" s="95" t="b">
        <f t="shared" si="25"/>
        <v>0</v>
      </c>
      <c r="AH506" s="9"/>
      <c r="AI506" s="150">
        <f t="shared" si="24"/>
        <v>0</v>
      </c>
      <c r="AJ506" s="153" t="s">
        <v>6</v>
      </c>
    </row>
    <row r="507" spans="1:36" ht="30" customHeight="1">
      <c r="A507" s="92"/>
      <c r="B507" s="92"/>
      <c r="C507" s="92"/>
      <c r="D507" s="92"/>
      <c r="E507" s="92"/>
      <c r="F507" s="92"/>
      <c r="G507" s="92"/>
      <c r="H507" s="92"/>
      <c r="I507" s="92"/>
      <c r="J507" s="92"/>
      <c r="K507" s="92"/>
      <c r="L507" s="92"/>
      <c r="M507" s="92"/>
      <c r="N507" s="155"/>
      <c r="O507" s="157"/>
      <c r="P507" s="92"/>
      <c r="Q507" s="145"/>
      <c r="R507" s="92"/>
      <c r="S507" s="145"/>
      <c r="T507" s="92"/>
      <c r="U507" s="145"/>
      <c r="V507" s="92"/>
      <c r="W507" s="145"/>
      <c r="X507" s="92"/>
      <c r="Y507" s="145"/>
      <c r="Z507" s="92"/>
      <c r="AA507" s="145"/>
      <c r="AB507" s="64"/>
      <c r="AC507" s="145"/>
      <c r="AD507" s="64"/>
      <c r="AE507" s="145"/>
      <c r="AF507" s="196" t="str">
        <f t="shared" si="26"/>
        <v/>
      </c>
      <c r="AG507" s="95" t="b">
        <f t="shared" si="25"/>
        <v>0</v>
      </c>
      <c r="AH507" s="9"/>
      <c r="AI507" s="150">
        <f t="shared" si="24"/>
        <v>0</v>
      </c>
      <c r="AJ507" s="153" t="s">
        <v>6</v>
      </c>
    </row>
    <row r="508" spans="1:36" ht="30" customHeight="1">
      <c r="A508" s="92"/>
      <c r="B508" s="92"/>
      <c r="C508" s="92"/>
      <c r="D508" s="92"/>
      <c r="E508" s="92"/>
      <c r="F508" s="92"/>
      <c r="G508" s="92"/>
      <c r="H508" s="92"/>
      <c r="I508" s="92"/>
      <c r="J508" s="92"/>
      <c r="K508" s="92"/>
      <c r="L508" s="92"/>
      <c r="M508" s="92"/>
      <c r="N508" s="155"/>
      <c r="O508" s="157"/>
      <c r="P508" s="92"/>
      <c r="Q508" s="145"/>
      <c r="R508" s="92"/>
      <c r="S508" s="145"/>
      <c r="T508" s="92"/>
      <c r="U508" s="145"/>
      <c r="V508" s="92"/>
      <c r="W508" s="145"/>
      <c r="X508" s="92"/>
      <c r="Y508" s="145"/>
      <c r="Z508" s="92"/>
      <c r="AA508" s="145"/>
      <c r="AB508" s="64"/>
      <c r="AC508" s="145"/>
      <c r="AD508" s="64"/>
      <c r="AE508" s="145"/>
      <c r="AF508" s="196" t="str">
        <f t="shared" si="26"/>
        <v/>
      </c>
      <c r="AG508" s="95" t="b">
        <f t="shared" si="25"/>
        <v>0</v>
      </c>
      <c r="AH508" s="9"/>
      <c r="AI508" s="150">
        <f t="shared" si="24"/>
        <v>0</v>
      </c>
      <c r="AJ508" s="153" t="s">
        <v>6</v>
      </c>
    </row>
    <row r="509" spans="1:36" ht="30" customHeight="1">
      <c r="A509" s="92"/>
      <c r="B509" s="92"/>
      <c r="C509" s="92"/>
      <c r="D509" s="92"/>
      <c r="E509" s="92"/>
      <c r="F509" s="92"/>
      <c r="G509" s="92"/>
      <c r="H509" s="92"/>
      <c r="I509" s="92"/>
      <c r="J509" s="92"/>
      <c r="K509" s="92"/>
      <c r="L509" s="92"/>
      <c r="M509" s="92"/>
      <c r="N509" s="155"/>
      <c r="O509" s="157"/>
      <c r="P509" s="92"/>
      <c r="Q509" s="145"/>
      <c r="R509" s="92"/>
      <c r="S509" s="145"/>
      <c r="T509" s="92"/>
      <c r="U509" s="145"/>
      <c r="V509" s="92"/>
      <c r="W509" s="145"/>
      <c r="X509" s="92"/>
      <c r="Y509" s="145"/>
      <c r="Z509" s="92"/>
      <c r="AA509" s="145"/>
      <c r="AB509" s="64"/>
      <c r="AC509" s="145"/>
      <c r="AD509" s="64"/>
      <c r="AE509" s="145"/>
      <c r="AF509" s="196" t="str">
        <f t="shared" si="26"/>
        <v/>
      </c>
      <c r="AG509" s="95" t="b">
        <f t="shared" si="25"/>
        <v>0</v>
      </c>
      <c r="AH509" s="9"/>
      <c r="AI509" s="150">
        <f t="shared" si="24"/>
        <v>0</v>
      </c>
      <c r="AJ509" s="153" t="s">
        <v>6</v>
      </c>
    </row>
    <row r="510" spans="1:36" ht="30" customHeight="1">
      <c r="A510" s="92"/>
      <c r="B510" s="92"/>
      <c r="C510" s="92"/>
      <c r="D510" s="92"/>
      <c r="E510" s="92"/>
      <c r="F510" s="92"/>
      <c r="G510" s="92"/>
      <c r="H510" s="92"/>
      <c r="I510" s="92"/>
      <c r="J510" s="92"/>
      <c r="K510" s="92"/>
      <c r="L510" s="92"/>
      <c r="M510" s="92"/>
      <c r="N510" s="155"/>
      <c r="O510" s="157"/>
      <c r="P510" s="92"/>
      <c r="Q510" s="145"/>
      <c r="R510" s="92"/>
      <c r="S510" s="145"/>
      <c r="T510" s="92"/>
      <c r="U510" s="145"/>
      <c r="V510" s="92"/>
      <c r="W510" s="145"/>
      <c r="X510" s="92"/>
      <c r="Y510" s="145"/>
      <c r="Z510" s="92"/>
      <c r="AA510" s="145"/>
      <c r="AB510" s="64"/>
      <c r="AC510" s="145"/>
      <c r="AD510" s="64"/>
      <c r="AE510" s="145"/>
      <c r="AF510" s="196" t="str">
        <f t="shared" si="26"/>
        <v/>
      </c>
      <c r="AG510" s="95" t="b">
        <f t="shared" si="25"/>
        <v>0</v>
      </c>
      <c r="AH510" s="9"/>
      <c r="AI510" s="150">
        <f t="shared" si="24"/>
        <v>0</v>
      </c>
      <c r="AJ510" s="153" t="s">
        <v>6</v>
      </c>
    </row>
    <row r="511" spans="1:36" ht="30" customHeight="1">
      <c r="A511" s="92"/>
      <c r="B511" s="92"/>
      <c r="C511" s="92"/>
      <c r="D511" s="92"/>
      <c r="E511" s="92"/>
      <c r="F511" s="92"/>
      <c r="G511" s="92"/>
      <c r="H511" s="92"/>
      <c r="I511" s="92"/>
      <c r="J511" s="92"/>
      <c r="K511" s="92"/>
      <c r="L511" s="92"/>
      <c r="M511" s="92"/>
      <c r="N511" s="155"/>
      <c r="O511" s="157"/>
      <c r="P511" s="92"/>
      <c r="Q511" s="145"/>
      <c r="R511" s="92"/>
      <c r="S511" s="145"/>
      <c r="T511" s="92"/>
      <c r="U511" s="145"/>
      <c r="V511" s="92"/>
      <c r="W511" s="145"/>
      <c r="X511" s="92"/>
      <c r="Y511" s="145"/>
      <c r="Z511" s="92"/>
      <c r="AA511" s="145"/>
      <c r="AB511" s="64"/>
      <c r="AC511" s="145"/>
      <c r="AD511" s="64"/>
      <c r="AE511" s="145"/>
      <c r="AF511" s="196" t="str">
        <f t="shared" si="26"/>
        <v/>
      </c>
      <c r="AG511" s="95" t="b">
        <f t="shared" si="25"/>
        <v>0</v>
      </c>
      <c r="AH511" s="9"/>
      <c r="AI511" s="150">
        <f t="shared" si="24"/>
        <v>0</v>
      </c>
      <c r="AJ511" s="153" t="s">
        <v>6</v>
      </c>
    </row>
    <row r="512" spans="1:36" ht="30" customHeight="1">
      <c r="A512" s="92"/>
      <c r="B512" s="92"/>
      <c r="C512" s="92"/>
      <c r="D512" s="92"/>
      <c r="E512" s="92"/>
      <c r="F512" s="92"/>
      <c r="G512" s="92"/>
      <c r="H512" s="92"/>
      <c r="I512" s="92"/>
      <c r="J512" s="92"/>
      <c r="K512" s="92"/>
      <c r="L512" s="92"/>
      <c r="M512" s="92"/>
      <c r="N512" s="155"/>
      <c r="O512" s="157"/>
      <c r="P512" s="92"/>
      <c r="Q512" s="145"/>
      <c r="R512" s="92"/>
      <c r="S512" s="145"/>
      <c r="T512" s="92"/>
      <c r="U512" s="145"/>
      <c r="V512" s="92"/>
      <c r="W512" s="145"/>
      <c r="X512" s="92"/>
      <c r="Y512" s="145"/>
      <c r="Z512" s="92"/>
      <c r="AA512" s="145"/>
      <c r="AB512" s="64"/>
      <c r="AC512" s="145"/>
      <c r="AD512" s="64"/>
      <c r="AE512" s="145"/>
      <c r="AF512" s="196" t="str">
        <f t="shared" si="26"/>
        <v/>
      </c>
      <c r="AG512" s="95" t="b">
        <f t="shared" si="25"/>
        <v>0</v>
      </c>
      <c r="AH512" s="9"/>
      <c r="AI512" s="150">
        <f t="shared" ref="AI512:AI575" si="27">E512</f>
        <v>0</v>
      </c>
      <c r="AJ512" s="153" t="s">
        <v>6</v>
      </c>
    </row>
    <row r="513" spans="1:36" ht="30" customHeight="1">
      <c r="A513" s="92"/>
      <c r="B513" s="92"/>
      <c r="C513" s="92"/>
      <c r="D513" s="92"/>
      <c r="E513" s="92"/>
      <c r="F513" s="92"/>
      <c r="G513" s="92"/>
      <c r="H513" s="92"/>
      <c r="I513" s="92"/>
      <c r="J513" s="92"/>
      <c r="K513" s="92"/>
      <c r="L513" s="92"/>
      <c r="M513" s="92"/>
      <c r="N513" s="155"/>
      <c r="O513" s="157"/>
      <c r="P513" s="92"/>
      <c r="Q513" s="145"/>
      <c r="R513" s="92"/>
      <c r="S513" s="145"/>
      <c r="T513" s="92"/>
      <c r="U513" s="145"/>
      <c r="V513" s="92"/>
      <c r="W513" s="145"/>
      <c r="X513" s="92"/>
      <c r="Y513" s="145"/>
      <c r="Z513" s="92"/>
      <c r="AA513" s="145"/>
      <c r="AB513" s="64"/>
      <c r="AC513" s="145"/>
      <c r="AD513" s="64"/>
      <c r="AE513" s="145"/>
      <c r="AF513" s="196" t="str">
        <f t="shared" si="26"/>
        <v/>
      </c>
      <c r="AG513" s="95" t="b">
        <f t="shared" si="25"/>
        <v>0</v>
      </c>
      <c r="AH513" s="9"/>
      <c r="AI513" s="150">
        <f t="shared" si="27"/>
        <v>0</v>
      </c>
      <c r="AJ513" s="153" t="s">
        <v>6</v>
      </c>
    </row>
    <row r="514" spans="1:36" ht="30" customHeight="1">
      <c r="A514" s="92"/>
      <c r="B514" s="92"/>
      <c r="C514" s="92"/>
      <c r="D514" s="92"/>
      <c r="E514" s="92"/>
      <c r="F514" s="92"/>
      <c r="G514" s="92"/>
      <c r="H514" s="92"/>
      <c r="I514" s="92"/>
      <c r="J514" s="92"/>
      <c r="K514" s="92"/>
      <c r="L514" s="92"/>
      <c r="M514" s="92"/>
      <c r="N514" s="155"/>
      <c r="O514" s="157"/>
      <c r="P514" s="92"/>
      <c r="Q514" s="145"/>
      <c r="R514" s="92"/>
      <c r="S514" s="145"/>
      <c r="T514" s="92"/>
      <c r="U514" s="145"/>
      <c r="V514" s="92"/>
      <c r="W514" s="145"/>
      <c r="X514" s="92"/>
      <c r="Y514" s="145"/>
      <c r="Z514" s="92"/>
      <c r="AA514" s="145"/>
      <c r="AB514" s="64"/>
      <c r="AC514" s="145"/>
      <c r="AD514" s="64"/>
      <c r="AE514" s="145"/>
      <c r="AF514" s="196" t="str">
        <f t="shared" si="26"/>
        <v/>
      </c>
      <c r="AG514" s="95" t="b">
        <f t="shared" si="25"/>
        <v>0</v>
      </c>
      <c r="AH514" s="9"/>
      <c r="AI514" s="150">
        <f t="shared" si="27"/>
        <v>0</v>
      </c>
      <c r="AJ514" s="153" t="s">
        <v>6</v>
      </c>
    </row>
    <row r="515" spans="1:36" ht="30" customHeight="1">
      <c r="A515" s="92"/>
      <c r="B515" s="92"/>
      <c r="C515" s="92"/>
      <c r="D515" s="92"/>
      <c r="E515" s="92"/>
      <c r="F515" s="92"/>
      <c r="G515" s="92"/>
      <c r="H515" s="92"/>
      <c r="I515" s="92"/>
      <c r="J515" s="92"/>
      <c r="K515" s="92"/>
      <c r="L515" s="92"/>
      <c r="M515" s="92"/>
      <c r="N515" s="155"/>
      <c r="O515" s="157"/>
      <c r="P515" s="92"/>
      <c r="Q515" s="145"/>
      <c r="R515" s="92"/>
      <c r="S515" s="145"/>
      <c r="T515" s="92"/>
      <c r="U515" s="145"/>
      <c r="V515" s="92"/>
      <c r="W515" s="145"/>
      <c r="X515" s="92"/>
      <c r="Y515" s="145"/>
      <c r="Z515" s="92"/>
      <c r="AA515" s="145"/>
      <c r="AB515" s="64"/>
      <c r="AC515" s="145"/>
      <c r="AD515" s="64"/>
      <c r="AE515" s="145"/>
      <c r="AF515" s="196" t="str">
        <f t="shared" si="26"/>
        <v/>
      </c>
      <c r="AG515" s="95" t="b">
        <f t="shared" si="25"/>
        <v>0</v>
      </c>
      <c r="AH515" s="9"/>
      <c r="AI515" s="150">
        <f t="shared" si="27"/>
        <v>0</v>
      </c>
      <c r="AJ515" s="153" t="s">
        <v>6</v>
      </c>
    </row>
    <row r="516" spans="1:36" ht="30" customHeight="1">
      <c r="A516" s="92"/>
      <c r="B516" s="92"/>
      <c r="C516" s="92"/>
      <c r="D516" s="92"/>
      <c r="E516" s="92"/>
      <c r="F516" s="92"/>
      <c r="G516" s="92"/>
      <c r="H516" s="92"/>
      <c r="I516" s="92"/>
      <c r="J516" s="92"/>
      <c r="K516" s="92"/>
      <c r="L516" s="92"/>
      <c r="M516" s="92"/>
      <c r="N516" s="155"/>
      <c r="O516" s="157"/>
      <c r="P516" s="92"/>
      <c r="Q516" s="145"/>
      <c r="R516" s="92"/>
      <c r="S516" s="145"/>
      <c r="T516" s="92"/>
      <c r="U516" s="145"/>
      <c r="V516" s="92"/>
      <c r="W516" s="145"/>
      <c r="X516" s="92"/>
      <c r="Y516" s="145"/>
      <c r="Z516" s="92"/>
      <c r="AA516" s="145"/>
      <c r="AB516" s="64"/>
      <c r="AC516" s="145"/>
      <c r="AD516" s="64"/>
      <c r="AE516" s="145"/>
      <c r="AF516" s="196" t="str">
        <f t="shared" si="26"/>
        <v/>
      </c>
      <c r="AG516" s="95" t="b">
        <f t="shared" si="25"/>
        <v>0</v>
      </c>
      <c r="AH516" s="9"/>
      <c r="AI516" s="150">
        <f t="shared" si="27"/>
        <v>0</v>
      </c>
      <c r="AJ516" s="153" t="s">
        <v>6</v>
      </c>
    </row>
    <row r="517" spans="1:36" ht="30" customHeight="1">
      <c r="A517" s="92"/>
      <c r="B517" s="92"/>
      <c r="C517" s="92"/>
      <c r="D517" s="92"/>
      <c r="E517" s="92"/>
      <c r="F517" s="92"/>
      <c r="G517" s="92"/>
      <c r="H517" s="92"/>
      <c r="I517" s="92"/>
      <c r="J517" s="92"/>
      <c r="K517" s="92"/>
      <c r="L517" s="92"/>
      <c r="M517" s="92"/>
      <c r="N517" s="155"/>
      <c r="O517" s="157"/>
      <c r="P517" s="92"/>
      <c r="Q517" s="145"/>
      <c r="R517" s="92"/>
      <c r="S517" s="145"/>
      <c r="T517" s="92"/>
      <c r="U517" s="145"/>
      <c r="V517" s="92"/>
      <c r="W517" s="145"/>
      <c r="X517" s="92"/>
      <c r="Y517" s="145"/>
      <c r="Z517" s="92"/>
      <c r="AA517" s="145"/>
      <c r="AB517" s="64"/>
      <c r="AC517" s="145"/>
      <c r="AD517" s="64"/>
      <c r="AE517" s="145"/>
      <c r="AF517" s="196" t="str">
        <f t="shared" si="26"/>
        <v/>
      </c>
      <c r="AG517" s="95" t="b">
        <f t="shared" si="25"/>
        <v>0</v>
      </c>
      <c r="AH517" s="9"/>
      <c r="AI517" s="150">
        <f t="shared" si="27"/>
        <v>0</v>
      </c>
      <c r="AJ517" s="153" t="s">
        <v>6</v>
      </c>
    </row>
    <row r="518" spans="1:36" ht="30" customHeight="1">
      <c r="A518" s="92"/>
      <c r="B518" s="92"/>
      <c r="C518" s="92"/>
      <c r="D518" s="92"/>
      <c r="E518" s="92"/>
      <c r="F518" s="92"/>
      <c r="G518" s="92"/>
      <c r="H518" s="92"/>
      <c r="I518" s="92"/>
      <c r="J518" s="92"/>
      <c r="K518" s="92"/>
      <c r="L518" s="92"/>
      <c r="M518" s="92"/>
      <c r="N518" s="155"/>
      <c r="O518" s="157"/>
      <c r="P518" s="92"/>
      <c r="Q518" s="145"/>
      <c r="R518" s="92"/>
      <c r="S518" s="145"/>
      <c r="T518" s="92"/>
      <c r="U518" s="145"/>
      <c r="V518" s="92"/>
      <c r="W518" s="145"/>
      <c r="X518" s="92"/>
      <c r="Y518" s="145"/>
      <c r="Z518" s="92"/>
      <c r="AA518" s="145"/>
      <c r="AB518" s="64"/>
      <c r="AC518" s="145"/>
      <c r="AD518" s="64"/>
      <c r="AE518" s="145"/>
      <c r="AF518" s="196" t="str">
        <f t="shared" si="26"/>
        <v/>
      </c>
      <c r="AG518" s="95" t="b">
        <f t="shared" si="25"/>
        <v>0</v>
      </c>
      <c r="AH518" s="9"/>
      <c r="AI518" s="150">
        <f t="shared" si="27"/>
        <v>0</v>
      </c>
      <c r="AJ518" s="153" t="s">
        <v>6</v>
      </c>
    </row>
    <row r="519" spans="1:36" ht="30" customHeight="1">
      <c r="A519" s="92"/>
      <c r="B519" s="92"/>
      <c r="C519" s="92"/>
      <c r="D519" s="92"/>
      <c r="E519" s="92"/>
      <c r="F519" s="92"/>
      <c r="G519" s="92"/>
      <c r="H519" s="92"/>
      <c r="I519" s="92"/>
      <c r="J519" s="92"/>
      <c r="K519" s="92"/>
      <c r="L519" s="92"/>
      <c r="M519" s="92"/>
      <c r="N519" s="155"/>
      <c r="O519" s="157"/>
      <c r="P519" s="92"/>
      <c r="Q519" s="145"/>
      <c r="R519" s="92"/>
      <c r="S519" s="145"/>
      <c r="T519" s="92"/>
      <c r="U519" s="145"/>
      <c r="V519" s="92"/>
      <c r="W519" s="145"/>
      <c r="X519" s="92"/>
      <c r="Y519" s="145"/>
      <c r="Z519" s="92"/>
      <c r="AA519" s="145"/>
      <c r="AB519" s="64"/>
      <c r="AC519" s="145"/>
      <c r="AD519" s="64"/>
      <c r="AE519" s="145"/>
      <c r="AF519" s="196" t="str">
        <f t="shared" si="26"/>
        <v/>
      </c>
      <c r="AG519" s="95" t="b">
        <f t="shared" si="25"/>
        <v>0</v>
      </c>
      <c r="AH519" s="9"/>
      <c r="AI519" s="150">
        <f t="shared" si="27"/>
        <v>0</v>
      </c>
      <c r="AJ519" s="153" t="s">
        <v>6</v>
      </c>
    </row>
    <row r="520" spans="1:36" ht="30" customHeight="1">
      <c r="A520" s="92"/>
      <c r="B520" s="92"/>
      <c r="C520" s="92"/>
      <c r="D520" s="92"/>
      <c r="E520" s="92"/>
      <c r="F520" s="92"/>
      <c r="G520" s="92"/>
      <c r="H520" s="92"/>
      <c r="I520" s="92"/>
      <c r="J520" s="92"/>
      <c r="K520" s="92"/>
      <c r="L520" s="92"/>
      <c r="M520" s="92"/>
      <c r="N520" s="155"/>
      <c r="O520" s="157"/>
      <c r="P520" s="92"/>
      <c r="Q520" s="145"/>
      <c r="R520" s="92"/>
      <c r="S520" s="145"/>
      <c r="T520" s="92"/>
      <c r="U520" s="145"/>
      <c r="V520" s="92"/>
      <c r="W520" s="145"/>
      <c r="X520" s="92"/>
      <c r="Y520" s="145"/>
      <c r="Z520" s="92"/>
      <c r="AA520" s="145"/>
      <c r="AB520" s="64"/>
      <c r="AC520" s="145"/>
      <c r="AD520" s="64"/>
      <c r="AE520" s="145"/>
      <c r="AF520" s="196" t="str">
        <f t="shared" si="26"/>
        <v/>
      </c>
      <c r="AG520" s="95" t="b">
        <f t="shared" si="25"/>
        <v>0</v>
      </c>
      <c r="AH520" s="9"/>
      <c r="AI520" s="150">
        <f t="shared" si="27"/>
        <v>0</v>
      </c>
      <c r="AJ520" s="153" t="s">
        <v>6</v>
      </c>
    </row>
    <row r="521" spans="1:36" ht="30" customHeight="1">
      <c r="A521" s="92"/>
      <c r="B521" s="92"/>
      <c r="C521" s="92"/>
      <c r="D521" s="92"/>
      <c r="E521" s="92"/>
      <c r="F521" s="92"/>
      <c r="G521" s="92"/>
      <c r="H521" s="92"/>
      <c r="I521" s="92"/>
      <c r="J521" s="92"/>
      <c r="K521" s="92"/>
      <c r="L521" s="92"/>
      <c r="M521" s="92"/>
      <c r="N521" s="155"/>
      <c r="O521" s="157"/>
      <c r="P521" s="92"/>
      <c r="Q521" s="145"/>
      <c r="R521" s="92"/>
      <c r="S521" s="145"/>
      <c r="T521" s="92"/>
      <c r="U521" s="145"/>
      <c r="V521" s="92"/>
      <c r="W521" s="145"/>
      <c r="X521" s="92"/>
      <c r="Y521" s="145"/>
      <c r="Z521" s="92"/>
      <c r="AA521" s="145"/>
      <c r="AB521" s="64"/>
      <c r="AC521" s="145"/>
      <c r="AD521" s="64"/>
      <c r="AE521" s="145"/>
      <c r="AF521" s="196" t="str">
        <f t="shared" si="26"/>
        <v/>
      </c>
      <c r="AG521" s="95" t="b">
        <f t="shared" si="25"/>
        <v>0</v>
      </c>
      <c r="AH521" s="9"/>
      <c r="AI521" s="150">
        <f t="shared" si="27"/>
        <v>0</v>
      </c>
      <c r="AJ521" s="153" t="s">
        <v>6</v>
      </c>
    </row>
    <row r="522" spans="1:36" ht="30" customHeight="1">
      <c r="A522" s="92"/>
      <c r="B522" s="92"/>
      <c r="C522" s="92"/>
      <c r="D522" s="92"/>
      <c r="E522" s="92"/>
      <c r="F522" s="92"/>
      <c r="G522" s="92"/>
      <c r="H522" s="92"/>
      <c r="I522" s="92"/>
      <c r="J522" s="92"/>
      <c r="K522" s="92"/>
      <c r="L522" s="92"/>
      <c r="M522" s="92"/>
      <c r="N522" s="155"/>
      <c r="O522" s="157"/>
      <c r="P522" s="92"/>
      <c r="Q522" s="145"/>
      <c r="R522" s="92"/>
      <c r="S522" s="145"/>
      <c r="T522" s="92"/>
      <c r="U522" s="145"/>
      <c r="V522" s="92"/>
      <c r="W522" s="145"/>
      <c r="X522" s="92"/>
      <c r="Y522" s="145"/>
      <c r="Z522" s="92"/>
      <c r="AA522" s="145"/>
      <c r="AB522" s="64"/>
      <c r="AC522" s="145"/>
      <c r="AD522" s="64"/>
      <c r="AE522" s="145"/>
      <c r="AF522" s="196" t="str">
        <f t="shared" si="26"/>
        <v/>
      </c>
      <c r="AG522" s="95" t="b">
        <f t="shared" ref="AG522:AG585" si="28">IF(AND(AE522="C",AF522="C"),"UTILIZOU O PDA CORRETAMENTE",IF(AND(AE522="C",AF522="NC"),"UTILIZOU O PDA CORRETAMENTE. NÃO HÁ FOTOS DE TODAS AS ETAPAS",IF(AND(AE522="NC",AF522="NC"),"NÃO UTILIZOU O PDA",IF(AND(AE522="NA",AF522="NA"),"NÃO AVALIADO POR FALHA DE SINCRONISMO"))))</f>
        <v>0</v>
      </c>
      <c r="AH522" s="9"/>
      <c r="AI522" s="150">
        <f t="shared" si="27"/>
        <v>0</v>
      </c>
      <c r="AJ522" s="153" t="s">
        <v>6</v>
      </c>
    </row>
    <row r="523" spans="1:36" ht="30" customHeight="1">
      <c r="A523" s="92"/>
      <c r="B523" s="92"/>
      <c r="C523" s="92"/>
      <c r="D523" s="92"/>
      <c r="E523" s="92"/>
      <c r="F523" s="92"/>
      <c r="G523" s="92"/>
      <c r="H523" s="92"/>
      <c r="I523" s="92"/>
      <c r="J523" s="92"/>
      <c r="K523" s="92"/>
      <c r="L523" s="92"/>
      <c r="M523" s="92"/>
      <c r="N523" s="155"/>
      <c r="O523" s="157"/>
      <c r="P523" s="92"/>
      <c r="Q523" s="145"/>
      <c r="R523" s="92"/>
      <c r="S523" s="145"/>
      <c r="T523" s="92"/>
      <c r="U523" s="145"/>
      <c r="V523" s="92"/>
      <c r="W523" s="145"/>
      <c r="X523" s="92"/>
      <c r="Y523" s="145"/>
      <c r="Z523" s="92"/>
      <c r="AA523" s="145"/>
      <c r="AB523" s="64"/>
      <c r="AC523" s="145"/>
      <c r="AD523" s="64"/>
      <c r="AE523" s="145"/>
      <c r="AF523" s="196" t="str">
        <f t="shared" ref="AF523:AF586" si="29">IF(AND(O523="",Q523="",S523="",U523="",W523="",Y523="",AA523="",AC523=""),"",
IF(OR(    AND(O523&lt;&gt;"NA",O523&lt;&gt;"C",O523&lt;&gt;"NC",O523&lt;&gt;"SF",O523&lt;&gt;""),
    AND(Q523&lt;&gt;"NA",Q523&lt;&gt;"C",Q523&lt;&gt;"NC",Q523&lt;&gt;"SF",Q523&lt;&gt;""),
    AND(S523&lt;&gt;"NA",S523&lt;&gt;"C",S523&lt;&gt;"NC",S523&lt;&gt;"SF",S523&lt;&gt;""),
    AND(U523&lt;&gt;"NA",U523&lt;&gt;"C",U523&lt;&gt;"NC",U523&lt;&gt;"SF",U523&lt;&gt;""),
    AND(W523&lt;&gt;"NA",W523&lt;&gt;"C",W523&lt;&gt;"NC",W523&lt;&gt;"SF",W523&lt;&gt;""),
    AND(Y523&lt;&gt;"NA",Y523&lt;&gt;"C",Y523&lt;&gt;"NC",Y523&lt;&gt;"SF",Y523&lt;&gt;""),
    AND(AA523&lt;&gt;"NA",AA523&lt;&gt;"C",AA523&lt;&gt;"NC",AA523&lt;&gt;"SF",AA523&lt;&gt;""),
    AND(AC523&lt;&gt;"NA",AC523&lt;&gt;"C",AC523&lt;&gt;"NC",AC523&lt;&gt;"SF",AC523&lt;&gt;"")
),"FALSO",
IF(AND(O523="NA",Q523="NA",S523="NA",U523="NA",W523="NA",Y523="NA",AA523="NA",AC523="NA"),"NA",
IF(OR(O523="NC",Q523="NC",S523="NC",U523="NC",W523="NC",Y523="NC",AA523="NC",AC523="NC",
       O523="SF",Q523="SF",S523="SF",U523="SF",W523="SF",Y523="SF",AA523="SF",AC523="SF"),"NC",
IF(SUM(IF(O523="C",1,0),IF(Q523="C",1,0),IF(S523="C",1,0),IF(U523="C",1,0),IF(W523="C",1,0),IF(Y523="C",1,0),IF(AA523="C",1,0),IF(AC523="C",1,0))=1,"C","C")))))</f>
        <v/>
      </c>
      <c r="AG523" s="95" t="b">
        <f t="shared" si="28"/>
        <v>0</v>
      </c>
      <c r="AH523" s="9"/>
      <c r="AI523" s="150">
        <f t="shared" si="27"/>
        <v>0</v>
      </c>
      <c r="AJ523" s="153" t="s">
        <v>6</v>
      </c>
    </row>
    <row r="524" spans="1:36" ht="30" customHeight="1">
      <c r="A524" s="92"/>
      <c r="B524" s="92"/>
      <c r="C524" s="92"/>
      <c r="D524" s="92"/>
      <c r="E524" s="92"/>
      <c r="F524" s="92"/>
      <c r="G524" s="92"/>
      <c r="H524" s="92"/>
      <c r="I524" s="92"/>
      <c r="J524" s="92"/>
      <c r="K524" s="92"/>
      <c r="L524" s="92"/>
      <c r="M524" s="92"/>
      <c r="N524" s="155"/>
      <c r="O524" s="157"/>
      <c r="P524" s="92"/>
      <c r="Q524" s="145"/>
      <c r="R524" s="92"/>
      <c r="S524" s="145"/>
      <c r="T524" s="92"/>
      <c r="U524" s="145"/>
      <c r="V524" s="92"/>
      <c r="W524" s="145"/>
      <c r="X524" s="92"/>
      <c r="Y524" s="145"/>
      <c r="Z524" s="92"/>
      <c r="AA524" s="145"/>
      <c r="AB524" s="64"/>
      <c r="AC524" s="145"/>
      <c r="AD524" s="64"/>
      <c r="AE524" s="145"/>
      <c r="AF524" s="196" t="str">
        <f t="shared" si="29"/>
        <v/>
      </c>
      <c r="AG524" s="95" t="b">
        <f t="shared" si="28"/>
        <v>0</v>
      </c>
      <c r="AH524" s="9"/>
      <c r="AI524" s="150">
        <f t="shared" si="27"/>
        <v>0</v>
      </c>
      <c r="AJ524" s="153" t="s">
        <v>6</v>
      </c>
    </row>
    <row r="525" spans="1:36" ht="30" customHeight="1">
      <c r="A525" s="92"/>
      <c r="B525" s="92"/>
      <c r="C525" s="92"/>
      <c r="D525" s="92"/>
      <c r="E525" s="92"/>
      <c r="F525" s="92"/>
      <c r="G525" s="92"/>
      <c r="H525" s="92"/>
      <c r="I525" s="92"/>
      <c r="J525" s="92"/>
      <c r="K525" s="92"/>
      <c r="L525" s="92"/>
      <c r="M525" s="92"/>
      <c r="N525" s="155"/>
      <c r="O525" s="157"/>
      <c r="P525" s="92"/>
      <c r="Q525" s="145"/>
      <c r="R525" s="92"/>
      <c r="S525" s="145"/>
      <c r="T525" s="92"/>
      <c r="U525" s="145"/>
      <c r="V525" s="92"/>
      <c r="W525" s="145"/>
      <c r="X525" s="92"/>
      <c r="Y525" s="145"/>
      <c r="Z525" s="92"/>
      <c r="AA525" s="145"/>
      <c r="AB525" s="64"/>
      <c r="AC525" s="145"/>
      <c r="AD525" s="64"/>
      <c r="AE525" s="145"/>
      <c r="AF525" s="196" t="str">
        <f t="shared" si="29"/>
        <v/>
      </c>
      <c r="AG525" s="95" t="b">
        <f t="shared" si="28"/>
        <v>0</v>
      </c>
      <c r="AH525" s="9"/>
      <c r="AI525" s="150">
        <f t="shared" si="27"/>
        <v>0</v>
      </c>
      <c r="AJ525" s="153" t="s">
        <v>6</v>
      </c>
    </row>
    <row r="526" spans="1:36" ht="30" customHeight="1">
      <c r="A526" s="92"/>
      <c r="B526" s="92"/>
      <c r="C526" s="92"/>
      <c r="D526" s="92"/>
      <c r="E526" s="92"/>
      <c r="F526" s="92"/>
      <c r="G526" s="92"/>
      <c r="H526" s="92"/>
      <c r="I526" s="92"/>
      <c r="J526" s="92"/>
      <c r="K526" s="92"/>
      <c r="L526" s="92"/>
      <c r="M526" s="92"/>
      <c r="N526" s="155"/>
      <c r="O526" s="157"/>
      <c r="P526" s="92"/>
      <c r="Q526" s="145"/>
      <c r="R526" s="92"/>
      <c r="S526" s="145"/>
      <c r="T526" s="92"/>
      <c r="U526" s="145"/>
      <c r="V526" s="92"/>
      <c r="W526" s="145"/>
      <c r="X526" s="92"/>
      <c r="Y526" s="145"/>
      <c r="Z526" s="92"/>
      <c r="AA526" s="145"/>
      <c r="AB526" s="64"/>
      <c r="AC526" s="145"/>
      <c r="AD526" s="64"/>
      <c r="AE526" s="145"/>
      <c r="AF526" s="196" t="str">
        <f t="shared" si="29"/>
        <v/>
      </c>
      <c r="AG526" s="95" t="b">
        <f t="shared" si="28"/>
        <v>0</v>
      </c>
      <c r="AH526" s="9"/>
      <c r="AI526" s="150">
        <f t="shared" si="27"/>
        <v>0</v>
      </c>
      <c r="AJ526" s="153" t="s">
        <v>6</v>
      </c>
    </row>
    <row r="527" spans="1:36" ht="30" customHeight="1">
      <c r="A527" s="92"/>
      <c r="B527" s="92"/>
      <c r="C527" s="92"/>
      <c r="D527" s="92"/>
      <c r="E527" s="92"/>
      <c r="F527" s="92"/>
      <c r="G527" s="92"/>
      <c r="H527" s="92"/>
      <c r="I527" s="92"/>
      <c r="J527" s="92"/>
      <c r="K527" s="92"/>
      <c r="L527" s="92"/>
      <c r="M527" s="92"/>
      <c r="N527" s="155"/>
      <c r="O527" s="157"/>
      <c r="P527" s="92"/>
      <c r="Q527" s="145"/>
      <c r="R527" s="92"/>
      <c r="S527" s="145"/>
      <c r="T527" s="92"/>
      <c r="U527" s="145"/>
      <c r="V527" s="92"/>
      <c r="W527" s="145"/>
      <c r="X527" s="92"/>
      <c r="Y527" s="145"/>
      <c r="Z527" s="92"/>
      <c r="AA527" s="145"/>
      <c r="AB527" s="64"/>
      <c r="AC527" s="145"/>
      <c r="AD527" s="64"/>
      <c r="AE527" s="145"/>
      <c r="AF527" s="196" t="str">
        <f t="shared" si="29"/>
        <v/>
      </c>
      <c r="AG527" s="95" t="b">
        <f t="shared" si="28"/>
        <v>0</v>
      </c>
      <c r="AH527" s="9"/>
      <c r="AI527" s="150">
        <f t="shared" si="27"/>
        <v>0</v>
      </c>
      <c r="AJ527" s="153" t="s">
        <v>6</v>
      </c>
    </row>
    <row r="528" spans="1:36" ht="30" customHeight="1">
      <c r="A528" s="92"/>
      <c r="B528" s="92"/>
      <c r="C528" s="92"/>
      <c r="D528" s="92"/>
      <c r="E528" s="92"/>
      <c r="F528" s="92"/>
      <c r="G528" s="92"/>
      <c r="H528" s="92"/>
      <c r="I528" s="92"/>
      <c r="J528" s="92"/>
      <c r="K528" s="92"/>
      <c r="L528" s="92"/>
      <c r="M528" s="92"/>
      <c r="N528" s="155"/>
      <c r="O528" s="157"/>
      <c r="P528" s="92"/>
      <c r="Q528" s="145"/>
      <c r="R528" s="92"/>
      <c r="S528" s="145"/>
      <c r="T528" s="92"/>
      <c r="U528" s="145"/>
      <c r="V528" s="92"/>
      <c r="W528" s="145"/>
      <c r="X528" s="92"/>
      <c r="Y528" s="145"/>
      <c r="Z528" s="92"/>
      <c r="AA528" s="145"/>
      <c r="AB528" s="64"/>
      <c r="AC528" s="145"/>
      <c r="AD528" s="64"/>
      <c r="AE528" s="145"/>
      <c r="AF528" s="196" t="str">
        <f t="shared" si="29"/>
        <v/>
      </c>
      <c r="AG528" s="95" t="b">
        <f t="shared" si="28"/>
        <v>0</v>
      </c>
      <c r="AH528" s="9"/>
      <c r="AI528" s="150">
        <f t="shared" si="27"/>
        <v>0</v>
      </c>
      <c r="AJ528" s="153" t="s">
        <v>6</v>
      </c>
    </row>
    <row r="529" spans="1:36" ht="30" customHeight="1">
      <c r="A529" s="92"/>
      <c r="B529" s="92"/>
      <c r="C529" s="92"/>
      <c r="D529" s="92"/>
      <c r="E529" s="92"/>
      <c r="F529" s="92"/>
      <c r="G529" s="92"/>
      <c r="H529" s="92"/>
      <c r="I529" s="92"/>
      <c r="J529" s="92"/>
      <c r="K529" s="92"/>
      <c r="L529" s="92"/>
      <c r="M529" s="92"/>
      <c r="N529" s="155"/>
      <c r="O529" s="157"/>
      <c r="P529" s="92"/>
      <c r="Q529" s="145"/>
      <c r="R529" s="92"/>
      <c r="S529" s="145"/>
      <c r="T529" s="92"/>
      <c r="U529" s="145"/>
      <c r="V529" s="92"/>
      <c r="W529" s="145"/>
      <c r="X529" s="92"/>
      <c r="Y529" s="145"/>
      <c r="Z529" s="92"/>
      <c r="AA529" s="145"/>
      <c r="AB529" s="64"/>
      <c r="AC529" s="145"/>
      <c r="AD529" s="64"/>
      <c r="AE529" s="145"/>
      <c r="AF529" s="196" t="str">
        <f t="shared" si="29"/>
        <v/>
      </c>
      <c r="AG529" s="95" t="b">
        <f t="shared" si="28"/>
        <v>0</v>
      </c>
      <c r="AH529" s="9"/>
      <c r="AI529" s="150">
        <f t="shared" si="27"/>
        <v>0</v>
      </c>
      <c r="AJ529" s="153" t="s">
        <v>6</v>
      </c>
    </row>
    <row r="530" spans="1:36" ht="30" customHeight="1">
      <c r="A530" s="92"/>
      <c r="B530" s="92"/>
      <c r="C530" s="92"/>
      <c r="D530" s="92"/>
      <c r="E530" s="92"/>
      <c r="F530" s="92"/>
      <c r="G530" s="92"/>
      <c r="H530" s="92"/>
      <c r="I530" s="92"/>
      <c r="J530" s="92"/>
      <c r="K530" s="92"/>
      <c r="L530" s="92"/>
      <c r="M530" s="92"/>
      <c r="N530" s="155"/>
      <c r="O530" s="157"/>
      <c r="P530" s="92"/>
      <c r="Q530" s="145"/>
      <c r="R530" s="92"/>
      <c r="S530" s="145"/>
      <c r="T530" s="92"/>
      <c r="U530" s="145"/>
      <c r="V530" s="92"/>
      <c r="W530" s="145"/>
      <c r="X530" s="92"/>
      <c r="Y530" s="145"/>
      <c r="Z530" s="92"/>
      <c r="AA530" s="145"/>
      <c r="AB530" s="64"/>
      <c r="AC530" s="145"/>
      <c r="AD530" s="64"/>
      <c r="AE530" s="145"/>
      <c r="AF530" s="196" t="str">
        <f t="shared" si="29"/>
        <v/>
      </c>
      <c r="AG530" s="95" t="b">
        <f t="shared" si="28"/>
        <v>0</v>
      </c>
      <c r="AH530" s="9"/>
      <c r="AI530" s="150">
        <f t="shared" si="27"/>
        <v>0</v>
      </c>
      <c r="AJ530" s="153" t="s">
        <v>6</v>
      </c>
    </row>
    <row r="531" spans="1:36" ht="30" customHeight="1">
      <c r="A531" s="92"/>
      <c r="B531" s="92"/>
      <c r="C531" s="92"/>
      <c r="D531" s="92"/>
      <c r="E531" s="92"/>
      <c r="F531" s="92"/>
      <c r="G531" s="92"/>
      <c r="H531" s="92"/>
      <c r="I531" s="92"/>
      <c r="J531" s="92"/>
      <c r="K531" s="92"/>
      <c r="L531" s="92"/>
      <c r="M531" s="92"/>
      <c r="N531" s="155"/>
      <c r="O531" s="157"/>
      <c r="P531" s="92"/>
      <c r="Q531" s="145"/>
      <c r="R531" s="92"/>
      <c r="S531" s="145"/>
      <c r="T531" s="92"/>
      <c r="U531" s="145"/>
      <c r="V531" s="92"/>
      <c r="W531" s="145"/>
      <c r="X531" s="92"/>
      <c r="Y531" s="145"/>
      <c r="Z531" s="92"/>
      <c r="AA531" s="145"/>
      <c r="AB531" s="64"/>
      <c r="AC531" s="145"/>
      <c r="AD531" s="64"/>
      <c r="AE531" s="145"/>
      <c r="AF531" s="196" t="str">
        <f t="shared" si="29"/>
        <v/>
      </c>
      <c r="AG531" s="95" t="b">
        <f t="shared" si="28"/>
        <v>0</v>
      </c>
      <c r="AH531" s="9"/>
      <c r="AI531" s="150">
        <f t="shared" si="27"/>
        <v>0</v>
      </c>
      <c r="AJ531" s="153" t="s">
        <v>6</v>
      </c>
    </row>
    <row r="532" spans="1:36" ht="30" customHeight="1">
      <c r="A532" s="92"/>
      <c r="B532" s="92"/>
      <c r="C532" s="92"/>
      <c r="D532" s="92"/>
      <c r="E532" s="92"/>
      <c r="F532" s="92"/>
      <c r="G532" s="92"/>
      <c r="H532" s="92"/>
      <c r="I532" s="92"/>
      <c r="J532" s="92"/>
      <c r="K532" s="92"/>
      <c r="L532" s="92"/>
      <c r="M532" s="92"/>
      <c r="N532" s="155"/>
      <c r="O532" s="157"/>
      <c r="P532" s="92"/>
      <c r="Q532" s="145"/>
      <c r="R532" s="92"/>
      <c r="S532" s="145"/>
      <c r="T532" s="92"/>
      <c r="U532" s="145"/>
      <c r="V532" s="92"/>
      <c r="W532" s="145"/>
      <c r="X532" s="92"/>
      <c r="Y532" s="145"/>
      <c r="Z532" s="92"/>
      <c r="AA532" s="145"/>
      <c r="AB532" s="64"/>
      <c r="AC532" s="145"/>
      <c r="AD532" s="64"/>
      <c r="AE532" s="145"/>
      <c r="AF532" s="196" t="str">
        <f t="shared" si="29"/>
        <v/>
      </c>
      <c r="AG532" s="95" t="b">
        <f t="shared" si="28"/>
        <v>0</v>
      </c>
      <c r="AH532" s="9"/>
      <c r="AI532" s="150">
        <f t="shared" si="27"/>
        <v>0</v>
      </c>
      <c r="AJ532" s="153" t="s">
        <v>6</v>
      </c>
    </row>
    <row r="533" spans="1:36" ht="30" customHeight="1">
      <c r="A533" s="92"/>
      <c r="B533" s="92"/>
      <c r="C533" s="92"/>
      <c r="D533" s="92"/>
      <c r="E533" s="92"/>
      <c r="F533" s="92"/>
      <c r="G533" s="92"/>
      <c r="H533" s="92"/>
      <c r="I533" s="92"/>
      <c r="J533" s="92"/>
      <c r="K533" s="92"/>
      <c r="L533" s="92"/>
      <c r="M533" s="92"/>
      <c r="N533" s="155"/>
      <c r="O533" s="157"/>
      <c r="P533" s="92"/>
      <c r="Q533" s="145"/>
      <c r="R533" s="92"/>
      <c r="S533" s="145"/>
      <c r="T533" s="92"/>
      <c r="U533" s="145"/>
      <c r="V533" s="92"/>
      <c r="W533" s="145"/>
      <c r="X533" s="92"/>
      <c r="Y533" s="145"/>
      <c r="Z533" s="92"/>
      <c r="AA533" s="145"/>
      <c r="AB533" s="64"/>
      <c r="AC533" s="145"/>
      <c r="AD533" s="64"/>
      <c r="AE533" s="145"/>
      <c r="AF533" s="196" t="str">
        <f t="shared" si="29"/>
        <v/>
      </c>
      <c r="AG533" s="95" t="b">
        <f t="shared" si="28"/>
        <v>0</v>
      </c>
      <c r="AH533" s="9"/>
      <c r="AI533" s="150">
        <f t="shared" si="27"/>
        <v>0</v>
      </c>
      <c r="AJ533" s="153" t="s">
        <v>6</v>
      </c>
    </row>
    <row r="534" spans="1:36" ht="30" customHeight="1">
      <c r="A534" s="92"/>
      <c r="B534" s="92"/>
      <c r="C534" s="92"/>
      <c r="D534" s="92"/>
      <c r="E534" s="92"/>
      <c r="F534" s="92"/>
      <c r="G534" s="92"/>
      <c r="H534" s="92"/>
      <c r="I534" s="92"/>
      <c r="J534" s="92"/>
      <c r="K534" s="92"/>
      <c r="L534" s="92"/>
      <c r="M534" s="92"/>
      <c r="N534" s="155"/>
      <c r="O534" s="157"/>
      <c r="P534" s="92"/>
      <c r="Q534" s="145"/>
      <c r="R534" s="92"/>
      <c r="S534" s="145"/>
      <c r="T534" s="92"/>
      <c r="U534" s="145"/>
      <c r="V534" s="92"/>
      <c r="W534" s="145"/>
      <c r="X534" s="92"/>
      <c r="Y534" s="145"/>
      <c r="Z534" s="92"/>
      <c r="AA534" s="145"/>
      <c r="AB534" s="64"/>
      <c r="AC534" s="145"/>
      <c r="AD534" s="64"/>
      <c r="AE534" s="145"/>
      <c r="AF534" s="196" t="str">
        <f t="shared" si="29"/>
        <v/>
      </c>
      <c r="AG534" s="95" t="b">
        <f t="shared" si="28"/>
        <v>0</v>
      </c>
      <c r="AH534" s="9"/>
      <c r="AI534" s="150">
        <f t="shared" si="27"/>
        <v>0</v>
      </c>
      <c r="AJ534" s="153" t="s">
        <v>6</v>
      </c>
    </row>
    <row r="535" spans="1:36" ht="30" customHeight="1">
      <c r="A535" s="92"/>
      <c r="B535" s="92"/>
      <c r="C535" s="92"/>
      <c r="D535" s="92"/>
      <c r="E535" s="92"/>
      <c r="F535" s="92"/>
      <c r="G535" s="92"/>
      <c r="H535" s="92"/>
      <c r="I535" s="92"/>
      <c r="J535" s="92"/>
      <c r="K535" s="92"/>
      <c r="L535" s="92"/>
      <c r="M535" s="92"/>
      <c r="N535" s="155"/>
      <c r="O535" s="157"/>
      <c r="P535" s="92"/>
      <c r="Q535" s="145"/>
      <c r="R535" s="92"/>
      <c r="S535" s="145"/>
      <c r="T535" s="92"/>
      <c r="U535" s="145"/>
      <c r="V535" s="92"/>
      <c r="W535" s="145"/>
      <c r="X535" s="92"/>
      <c r="Y535" s="145"/>
      <c r="Z535" s="92"/>
      <c r="AA535" s="145"/>
      <c r="AB535" s="64"/>
      <c r="AC535" s="145"/>
      <c r="AD535" s="64"/>
      <c r="AE535" s="145"/>
      <c r="AF535" s="196" t="str">
        <f t="shared" si="29"/>
        <v/>
      </c>
      <c r="AG535" s="95" t="b">
        <f t="shared" si="28"/>
        <v>0</v>
      </c>
      <c r="AH535" s="9"/>
      <c r="AI535" s="150">
        <f t="shared" si="27"/>
        <v>0</v>
      </c>
      <c r="AJ535" s="153" t="s">
        <v>6</v>
      </c>
    </row>
    <row r="536" spans="1:36" ht="30" customHeight="1">
      <c r="A536" s="92"/>
      <c r="B536" s="92"/>
      <c r="C536" s="92"/>
      <c r="D536" s="92"/>
      <c r="E536" s="92"/>
      <c r="F536" s="92"/>
      <c r="G536" s="92"/>
      <c r="H536" s="92"/>
      <c r="I536" s="92"/>
      <c r="J536" s="92"/>
      <c r="K536" s="92"/>
      <c r="L536" s="92"/>
      <c r="M536" s="92"/>
      <c r="N536" s="155"/>
      <c r="O536" s="157"/>
      <c r="P536" s="92"/>
      <c r="Q536" s="145"/>
      <c r="R536" s="92"/>
      <c r="S536" s="145"/>
      <c r="T536" s="92"/>
      <c r="U536" s="145"/>
      <c r="V536" s="92"/>
      <c r="W536" s="145"/>
      <c r="X536" s="92"/>
      <c r="Y536" s="145"/>
      <c r="Z536" s="92"/>
      <c r="AA536" s="145"/>
      <c r="AB536" s="64"/>
      <c r="AC536" s="145"/>
      <c r="AD536" s="64"/>
      <c r="AE536" s="145"/>
      <c r="AF536" s="196" t="str">
        <f t="shared" si="29"/>
        <v/>
      </c>
      <c r="AG536" s="95" t="b">
        <f t="shared" si="28"/>
        <v>0</v>
      </c>
      <c r="AH536" s="9"/>
      <c r="AI536" s="150">
        <f t="shared" si="27"/>
        <v>0</v>
      </c>
      <c r="AJ536" s="153" t="s">
        <v>6</v>
      </c>
    </row>
    <row r="537" spans="1:36" ht="30" customHeight="1">
      <c r="A537" s="92"/>
      <c r="B537" s="92"/>
      <c r="C537" s="92"/>
      <c r="D537" s="92"/>
      <c r="E537" s="92"/>
      <c r="F537" s="92"/>
      <c r="G537" s="92"/>
      <c r="H537" s="92"/>
      <c r="I537" s="92"/>
      <c r="J537" s="92"/>
      <c r="K537" s="92"/>
      <c r="L537" s="92"/>
      <c r="M537" s="92"/>
      <c r="N537" s="155"/>
      <c r="O537" s="157"/>
      <c r="P537" s="92"/>
      <c r="Q537" s="145"/>
      <c r="R537" s="92"/>
      <c r="S537" s="145"/>
      <c r="T537" s="92"/>
      <c r="U537" s="145"/>
      <c r="V537" s="92"/>
      <c r="W537" s="145"/>
      <c r="X537" s="92"/>
      <c r="Y537" s="145"/>
      <c r="Z537" s="92"/>
      <c r="AA537" s="145"/>
      <c r="AB537" s="64"/>
      <c r="AC537" s="145"/>
      <c r="AD537" s="64"/>
      <c r="AE537" s="145"/>
      <c r="AF537" s="196" t="str">
        <f t="shared" si="29"/>
        <v/>
      </c>
      <c r="AG537" s="95" t="b">
        <f t="shared" si="28"/>
        <v>0</v>
      </c>
      <c r="AH537" s="9"/>
      <c r="AI537" s="150">
        <f t="shared" si="27"/>
        <v>0</v>
      </c>
      <c r="AJ537" s="153" t="s">
        <v>6</v>
      </c>
    </row>
    <row r="538" spans="1:36" ht="30" customHeight="1">
      <c r="A538" s="92"/>
      <c r="B538" s="92"/>
      <c r="C538" s="92"/>
      <c r="D538" s="92"/>
      <c r="E538" s="92"/>
      <c r="F538" s="92"/>
      <c r="G538" s="92"/>
      <c r="H538" s="92"/>
      <c r="I538" s="92"/>
      <c r="J538" s="92"/>
      <c r="K538" s="92"/>
      <c r="L538" s="92"/>
      <c r="M538" s="92"/>
      <c r="N538" s="155"/>
      <c r="O538" s="157"/>
      <c r="P538" s="92"/>
      <c r="Q538" s="145"/>
      <c r="R538" s="92"/>
      <c r="S538" s="145"/>
      <c r="T538" s="92"/>
      <c r="U538" s="145"/>
      <c r="V538" s="92"/>
      <c r="W538" s="145"/>
      <c r="X538" s="92"/>
      <c r="Y538" s="145"/>
      <c r="Z538" s="92"/>
      <c r="AA538" s="145"/>
      <c r="AB538" s="64"/>
      <c r="AC538" s="145"/>
      <c r="AD538" s="64"/>
      <c r="AE538" s="145"/>
      <c r="AF538" s="196" t="str">
        <f t="shared" si="29"/>
        <v/>
      </c>
      <c r="AG538" s="95" t="b">
        <f t="shared" si="28"/>
        <v>0</v>
      </c>
      <c r="AH538" s="9"/>
      <c r="AI538" s="150">
        <f t="shared" si="27"/>
        <v>0</v>
      </c>
      <c r="AJ538" s="153" t="s">
        <v>6</v>
      </c>
    </row>
    <row r="539" spans="1:36" ht="30" customHeight="1">
      <c r="A539" s="92"/>
      <c r="B539" s="92"/>
      <c r="C539" s="92"/>
      <c r="D539" s="92"/>
      <c r="E539" s="92"/>
      <c r="F539" s="92"/>
      <c r="G539" s="92"/>
      <c r="H539" s="92"/>
      <c r="I539" s="92"/>
      <c r="J539" s="92"/>
      <c r="K539" s="92"/>
      <c r="L539" s="92"/>
      <c r="M539" s="92"/>
      <c r="N539" s="155"/>
      <c r="O539" s="157"/>
      <c r="P539" s="92"/>
      <c r="Q539" s="145"/>
      <c r="R539" s="92"/>
      <c r="S539" s="145"/>
      <c r="T539" s="92"/>
      <c r="U539" s="145"/>
      <c r="V539" s="92"/>
      <c r="W539" s="145"/>
      <c r="X539" s="92"/>
      <c r="Y539" s="145"/>
      <c r="Z539" s="92"/>
      <c r="AA539" s="145"/>
      <c r="AB539" s="64"/>
      <c r="AC539" s="145"/>
      <c r="AD539" s="64"/>
      <c r="AE539" s="145"/>
      <c r="AF539" s="196" t="str">
        <f t="shared" si="29"/>
        <v/>
      </c>
      <c r="AG539" s="95" t="b">
        <f t="shared" si="28"/>
        <v>0</v>
      </c>
      <c r="AH539" s="9"/>
      <c r="AI539" s="150">
        <f t="shared" si="27"/>
        <v>0</v>
      </c>
      <c r="AJ539" s="153" t="s">
        <v>6</v>
      </c>
    </row>
    <row r="540" spans="1:36" ht="30" customHeight="1">
      <c r="A540" s="92"/>
      <c r="B540" s="92"/>
      <c r="C540" s="92"/>
      <c r="D540" s="92"/>
      <c r="E540" s="92"/>
      <c r="F540" s="92"/>
      <c r="G540" s="92"/>
      <c r="H540" s="92"/>
      <c r="I540" s="92"/>
      <c r="J540" s="92"/>
      <c r="K540" s="92"/>
      <c r="L540" s="92"/>
      <c r="M540" s="92"/>
      <c r="N540" s="155"/>
      <c r="O540" s="157"/>
      <c r="P540" s="92"/>
      <c r="Q540" s="145"/>
      <c r="R540" s="92"/>
      <c r="S540" s="145"/>
      <c r="T540" s="92"/>
      <c r="U540" s="145"/>
      <c r="V540" s="92"/>
      <c r="W540" s="145"/>
      <c r="X540" s="92"/>
      <c r="Y540" s="145"/>
      <c r="Z540" s="92"/>
      <c r="AA540" s="145"/>
      <c r="AB540" s="64"/>
      <c r="AC540" s="145"/>
      <c r="AD540" s="64"/>
      <c r="AE540" s="145"/>
      <c r="AF540" s="196" t="str">
        <f t="shared" si="29"/>
        <v/>
      </c>
      <c r="AG540" s="95" t="b">
        <f t="shared" si="28"/>
        <v>0</v>
      </c>
      <c r="AH540" s="9"/>
      <c r="AI540" s="150">
        <f t="shared" si="27"/>
        <v>0</v>
      </c>
      <c r="AJ540" s="153" t="s">
        <v>6</v>
      </c>
    </row>
    <row r="541" spans="1:36" ht="30" customHeight="1">
      <c r="A541" s="92"/>
      <c r="B541" s="92"/>
      <c r="C541" s="92"/>
      <c r="D541" s="92"/>
      <c r="E541" s="92"/>
      <c r="F541" s="92"/>
      <c r="G541" s="92"/>
      <c r="H541" s="92"/>
      <c r="I541" s="92"/>
      <c r="J541" s="92"/>
      <c r="K541" s="92"/>
      <c r="L541" s="92"/>
      <c r="M541" s="92"/>
      <c r="N541" s="155"/>
      <c r="O541" s="157"/>
      <c r="P541" s="92"/>
      <c r="Q541" s="145"/>
      <c r="R541" s="92"/>
      <c r="S541" s="145"/>
      <c r="T541" s="92"/>
      <c r="U541" s="145"/>
      <c r="V541" s="92"/>
      <c r="W541" s="145"/>
      <c r="X541" s="92"/>
      <c r="Y541" s="145"/>
      <c r="Z541" s="92"/>
      <c r="AA541" s="145"/>
      <c r="AB541" s="64"/>
      <c r="AC541" s="145"/>
      <c r="AD541" s="64"/>
      <c r="AE541" s="145"/>
      <c r="AF541" s="196" t="str">
        <f t="shared" si="29"/>
        <v/>
      </c>
      <c r="AG541" s="95" t="b">
        <f t="shared" si="28"/>
        <v>0</v>
      </c>
      <c r="AH541" s="9"/>
      <c r="AI541" s="150">
        <f t="shared" si="27"/>
        <v>0</v>
      </c>
      <c r="AJ541" s="153" t="s">
        <v>6</v>
      </c>
    </row>
    <row r="542" spans="1:36" ht="30" customHeight="1">
      <c r="A542" s="92"/>
      <c r="B542" s="92"/>
      <c r="C542" s="92"/>
      <c r="D542" s="92"/>
      <c r="E542" s="92"/>
      <c r="F542" s="92"/>
      <c r="G542" s="92"/>
      <c r="H542" s="92"/>
      <c r="I542" s="92"/>
      <c r="J542" s="92"/>
      <c r="K542" s="92"/>
      <c r="L542" s="92"/>
      <c r="M542" s="92"/>
      <c r="N542" s="155"/>
      <c r="O542" s="157"/>
      <c r="P542" s="92"/>
      <c r="Q542" s="145"/>
      <c r="R542" s="92"/>
      <c r="S542" s="145"/>
      <c r="T542" s="92"/>
      <c r="U542" s="145"/>
      <c r="V542" s="92"/>
      <c r="W542" s="145"/>
      <c r="X542" s="92"/>
      <c r="Y542" s="145"/>
      <c r="Z542" s="92"/>
      <c r="AA542" s="145"/>
      <c r="AB542" s="64"/>
      <c r="AC542" s="145"/>
      <c r="AD542" s="64"/>
      <c r="AE542" s="145"/>
      <c r="AF542" s="196" t="str">
        <f t="shared" si="29"/>
        <v/>
      </c>
      <c r="AG542" s="95" t="b">
        <f t="shared" si="28"/>
        <v>0</v>
      </c>
      <c r="AH542" s="9"/>
      <c r="AI542" s="150">
        <f t="shared" si="27"/>
        <v>0</v>
      </c>
      <c r="AJ542" s="153" t="s">
        <v>6</v>
      </c>
    </row>
    <row r="543" spans="1:36" ht="30" customHeight="1">
      <c r="A543" s="92"/>
      <c r="B543" s="92"/>
      <c r="C543" s="92"/>
      <c r="D543" s="92"/>
      <c r="E543" s="92"/>
      <c r="F543" s="92"/>
      <c r="G543" s="92"/>
      <c r="H543" s="92"/>
      <c r="I543" s="92"/>
      <c r="J543" s="92"/>
      <c r="K543" s="92"/>
      <c r="L543" s="92"/>
      <c r="M543" s="92"/>
      <c r="N543" s="155"/>
      <c r="O543" s="157"/>
      <c r="P543" s="92"/>
      <c r="Q543" s="145"/>
      <c r="R543" s="92"/>
      <c r="S543" s="145"/>
      <c r="T543" s="92"/>
      <c r="U543" s="145"/>
      <c r="V543" s="92"/>
      <c r="W543" s="145"/>
      <c r="X543" s="92"/>
      <c r="Y543" s="145"/>
      <c r="Z543" s="92"/>
      <c r="AA543" s="145"/>
      <c r="AB543" s="64"/>
      <c r="AC543" s="145"/>
      <c r="AD543" s="64"/>
      <c r="AE543" s="145"/>
      <c r="AF543" s="196" t="str">
        <f t="shared" si="29"/>
        <v/>
      </c>
      <c r="AG543" s="95" t="b">
        <f t="shared" si="28"/>
        <v>0</v>
      </c>
      <c r="AH543" s="9"/>
      <c r="AI543" s="150">
        <f t="shared" si="27"/>
        <v>0</v>
      </c>
      <c r="AJ543" s="153" t="s">
        <v>6</v>
      </c>
    </row>
    <row r="544" spans="1:36" ht="30" customHeight="1">
      <c r="A544" s="92"/>
      <c r="B544" s="92"/>
      <c r="C544" s="92"/>
      <c r="D544" s="92"/>
      <c r="E544" s="92"/>
      <c r="F544" s="92"/>
      <c r="G544" s="92"/>
      <c r="H544" s="92"/>
      <c r="I544" s="92"/>
      <c r="J544" s="92"/>
      <c r="K544" s="92"/>
      <c r="L544" s="92"/>
      <c r="M544" s="92"/>
      <c r="N544" s="155"/>
      <c r="O544" s="157"/>
      <c r="P544" s="92"/>
      <c r="Q544" s="145"/>
      <c r="R544" s="92"/>
      <c r="S544" s="145"/>
      <c r="T544" s="92"/>
      <c r="U544" s="145"/>
      <c r="V544" s="92"/>
      <c r="W544" s="145"/>
      <c r="X544" s="92"/>
      <c r="Y544" s="145"/>
      <c r="Z544" s="92"/>
      <c r="AA544" s="145"/>
      <c r="AB544" s="64"/>
      <c r="AC544" s="145"/>
      <c r="AD544" s="64"/>
      <c r="AE544" s="145"/>
      <c r="AF544" s="196" t="str">
        <f t="shared" si="29"/>
        <v/>
      </c>
      <c r="AG544" s="95" t="b">
        <f t="shared" si="28"/>
        <v>0</v>
      </c>
      <c r="AH544" s="9"/>
      <c r="AI544" s="150">
        <f t="shared" si="27"/>
        <v>0</v>
      </c>
      <c r="AJ544" s="153" t="s">
        <v>6</v>
      </c>
    </row>
    <row r="545" spans="1:36" ht="30" customHeight="1">
      <c r="A545" s="92"/>
      <c r="B545" s="92"/>
      <c r="C545" s="92"/>
      <c r="D545" s="92"/>
      <c r="E545" s="92"/>
      <c r="F545" s="92"/>
      <c r="G545" s="92"/>
      <c r="H545" s="92"/>
      <c r="I545" s="92"/>
      <c r="J545" s="92"/>
      <c r="K545" s="92"/>
      <c r="L545" s="92"/>
      <c r="M545" s="92"/>
      <c r="N545" s="155"/>
      <c r="O545" s="157"/>
      <c r="P545" s="92"/>
      <c r="Q545" s="145"/>
      <c r="R545" s="92"/>
      <c r="S545" s="145"/>
      <c r="T545" s="92"/>
      <c r="U545" s="145"/>
      <c r="V545" s="92"/>
      <c r="W545" s="145"/>
      <c r="X545" s="92"/>
      <c r="Y545" s="145"/>
      <c r="Z545" s="92"/>
      <c r="AA545" s="145"/>
      <c r="AB545" s="64"/>
      <c r="AC545" s="145"/>
      <c r="AD545" s="64"/>
      <c r="AE545" s="145"/>
      <c r="AF545" s="196" t="str">
        <f t="shared" si="29"/>
        <v/>
      </c>
      <c r="AG545" s="95" t="b">
        <f t="shared" si="28"/>
        <v>0</v>
      </c>
      <c r="AH545" s="9"/>
      <c r="AI545" s="150">
        <f t="shared" si="27"/>
        <v>0</v>
      </c>
      <c r="AJ545" s="153" t="s">
        <v>6</v>
      </c>
    </row>
    <row r="546" spans="1:36" ht="30" customHeight="1">
      <c r="A546" s="92"/>
      <c r="B546" s="92"/>
      <c r="C546" s="92"/>
      <c r="D546" s="92"/>
      <c r="E546" s="92"/>
      <c r="F546" s="92"/>
      <c r="G546" s="92"/>
      <c r="H546" s="92"/>
      <c r="I546" s="92"/>
      <c r="J546" s="92"/>
      <c r="K546" s="92"/>
      <c r="L546" s="92"/>
      <c r="M546" s="92"/>
      <c r="N546" s="155"/>
      <c r="O546" s="157"/>
      <c r="P546" s="92"/>
      <c r="Q546" s="145"/>
      <c r="R546" s="92"/>
      <c r="S546" s="145"/>
      <c r="T546" s="92"/>
      <c r="U546" s="145"/>
      <c r="V546" s="92"/>
      <c r="W546" s="145"/>
      <c r="X546" s="92"/>
      <c r="Y546" s="145"/>
      <c r="Z546" s="92"/>
      <c r="AA546" s="145"/>
      <c r="AB546" s="64"/>
      <c r="AC546" s="145"/>
      <c r="AD546" s="64"/>
      <c r="AE546" s="145"/>
      <c r="AF546" s="196" t="str">
        <f t="shared" si="29"/>
        <v/>
      </c>
      <c r="AG546" s="95" t="b">
        <f t="shared" si="28"/>
        <v>0</v>
      </c>
      <c r="AH546" s="9"/>
      <c r="AI546" s="150">
        <f t="shared" si="27"/>
        <v>0</v>
      </c>
      <c r="AJ546" s="153" t="s">
        <v>6</v>
      </c>
    </row>
    <row r="547" spans="1:36" ht="30" customHeight="1">
      <c r="A547" s="92"/>
      <c r="B547" s="92"/>
      <c r="C547" s="92"/>
      <c r="D547" s="92"/>
      <c r="E547" s="92"/>
      <c r="F547" s="92"/>
      <c r="G547" s="92"/>
      <c r="H547" s="92"/>
      <c r="I547" s="92"/>
      <c r="J547" s="92"/>
      <c r="K547" s="92"/>
      <c r="L547" s="92"/>
      <c r="M547" s="92"/>
      <c r="N547" s="155"/>
      <c r="O547" s="157"/>
      <c r="P547" s="92"/>
      <c r="Q547" s="145"/>
      <c r="R547" s="92"/>
      <c r="S547" s="145"/>
      <c r="T547" s="92"/>
      <c r="U547" s="145"/>
      <c r="V547" s="92"/>
      <c r="W547" s="145"/>
      <c r="X547" s="92"/>
      <c r="Y547" s="145"/>
      <c r="Z547" s="92"/>
      <c r="AA547" s="145"/>
      <c r="AB547" s="64"/>
      <c r="AC547" s="145"/>
      <c r="AD547" s="64"/>
      <c r="AE547" s="145"/>
      <c r="AF547" s="196" t="str">
        <f t="shared" si="29"/>
        <v/>
      </c>
      <c r="AG547" s="95" t="b">
        <f t="shared" si="28"/>
        <v>0</v>
      </c>
      <c r="AH547" s="9"/>
      <c r="AI547" s="150">
        <f t="shared" si="27"/>
        <v>0</v>
      </c>
      <c r="AJ547" s="153" t="s">
        <v>6</v>
      </c>
    </row>
    <row r="548" spans="1:36" ht="30" customHeight="1">
      <c r="A548" s="92"/>
      <c r="B548" s="92"/>
      <c r="C548" s="92"/>
      <c r="D548" s="92"/>
      <c r="E548" s="92"/>
      <c r="F548" s="92"/>
      <c r="G548" s="92"/>
      <c r="H548" s="92"/>
      <c r="I548" s="92"/>
      <c r="J548" s="92"/>
      <c r="K548" s="92"/>
      <c r="L548" s="92"/>
      <c r="M548" s="92"/>
      <c r="N548" s="155"/>
      <c r="O548" s="157"/>
      <c r="P548" s="92"/>
      <c r="Q548" s="145"/>
      <c r="R548" s="92"/>
      <c r="S548" s="145"/>
      <c r="T548" s="92"/>
      <c r="U548" s="145"/>
      <c r="V548" s="92"/>
      <c r="W548" s="145"/>
      <c r="X548" s="92"/>
      <c r="Y548" s="145"/>
      <c r="Z548" s="92"/>
      <c r="AA548" s="145"/>
      <c r="AB548" s="64"/>
      <c r="AC548" s="145"/>
      <c r="AD548" s="64"/>
      <c r="AE548" s="145"/>
      <c r="AF548" s="196" t="str">
        <f t="shared" si="29"/>
        <v/>
      </c>
      <c r="AG548" s="95" t="b">
        <f t="shared" si="28"/>
        <v>0</v>
      </c>
      <c r="AH548" s="9"/>
      <c r="AI548" s="150">
        <f t="shared" si="27"/>
        <v>0</v>
      </c>
      <c r="AJ548" s="153" t="s">
        <v>6</v>
      </c>
    </row>
    <row r="549" spans="1:36" ht="30" customHeight="1">
      <c r="A549" s="92"/>
      <c r="B549" s="92"/>
      <c r="C549" s="92"/>
      <c r="D549" s="92"/>
      <c r="E549" s="92"/>
      <c r="F549" s="92"/>
      <c r="G549" s="92"/>
      <c r="H549" s="92"/>
      <c r="I549" s="92"/>
      <c r="J549" s="92"/>
      <c r="K549" s="92"/>
      <c r="L549" s="92"/>
      <c r="M549" s="92"/>
      <c r="N549" s="155"/>
      <c r="O549" s="157"/>
      <c r="P549" s="92"/>
      <c r="Q549" s="145"/>
      <c r="R549" s="92"/>
      <c r="S549" s="145"/>
      <c r="T549" s="92"/>
      <c r="U549" s="145"/>
      <c r="V549" s="92"/>
      <c r="W549" s="145"/>
      <c r="X549" s="92"/>
      <c r="Y549" s="145"/>
      <c r="Z549" s="92"/>
      <c r="AA549" s="145"/>
      <c r="AB549" s="64"/>
      <c r="AC549" s="145"/>
      <c r="AD549" s="64"/>
      <c r="AE549" s="145"/>
      <c r="AF549" s="196" t="str">
        <f t="shared" si="29"/>
        <v/>
      </c>
      <c r="AG549" s="95" t="b">
        <f t="shared" si="28"/>
        <v>0</v>
      </c>
      <c r="AH549" s="9"/>
      <c r="AI549" s="150">
        <f t="shared" si="27"/>
        <v>0</v>
      </c>
      <c r="AJ549" s="153" t="s">
        <v>6</v>
      </c>
    </row>
    <row r="550" spans="1:36" ht="30" customHeight="1">
      <c r="A550" s="92"/>
      <c r="B550" s="92"/>
      <c r="C550" s="92"/>
      <c r="D550" s="92"/>
      <c r="E550" s="92"/>
      <c r="F550" s="92"/>
      <c r="G550" s="92"/>
      <c r="H550" s="92"/>
      <c r="I550" s="92"/>
      <c r="J550" s="92"/>
      <c r="K550" s="92"/>
      <c r="L550" s="92"/>
      <c r="M550" s="92"/>
      <c r="N550" s="155"/>
      <c r="O550" s="157"/>
      <c r="P550" s="92"/>
      <c r="Q550" s="145"/>
      <c r="R550" s="92"/>
      <c r="S550" s="145"/>
      <c r="T550" s="92"/>
      <c r="U550" s="145"/>
      <c r="V550" s="92"/>
      <c r="W550" s="145"/>
      <c r="X550" s="92"/>
      <c r="Y550" s="145"/>
      <c r="Z550" s="92"/>
      <c r="AA550" s="145"/>
      <c r="AB550" s="64"/>
      <c r="AC550" s="145"/>
      <c r="AD550" s="64"/>
      <c r="AE550" s="145"/>
      <c r="AF550" s="196" t="str">
        <f t="shared" si="29"/>
        <v/>
      </c>
      <c r="AG550" s="95" t="b">
        <f t="shared" si="28"/>
        <v>0</v>
      </c>
      <c r="AH550" s="9"/>
      <c r="AI550" s="150">
        <f t="shared" si="27"/>
        <v>0</v>
      </c>
      <c r="AJ550" s="153" t="s">
        <v>6</v>
      </c>
    </row>
    <row r="551" spans="1:36" ht="30" customHeight="1">
      <c r="A551" s="92"/>
      <c r="B551" s="92"/>
      <c r="C551" s="92"/>
      <c r="D551" s="92"/>
      <c r="E551" s="92"/>
      <c r="F551" s="92"/>
      <c r="G551" s="92"/>
      <c r="H551" s="92"/>
      <c r="I551" s="92"/>
      <c r="J551" s="92"/>
      <c r="K551" s="92"/>
      <c r="L551" s="92"/>
      <c r="M551" s="92"/>
      <c r="N551" s="155"/>
      <c r="O551" s="157"/>
      <c r="P551" s="92"/>
      <c r="Q551" s="145"/>
      <c r="R551" s="92"/>
      <c r="S551" s="145"/>
      <c r="T551" s="92"/>
      <c r="U551" s="145"/>
      <c r="V551" s="92"/>
      <c r="W551" s="145"/>
      <c r="X551" s="92"/>
      <c r="Y551" s="145"/>
      <c r="Z551" s="92"/>
      <c r="AA551" s="145"/>
      <c r="AB551" s="64"/>
      <c r="AC551" s="145"/>
      <c r="AD551" s="64"/>
      <c r="AE551" s="145"/>
      <c r="AF551" s="196" t="str">
        <f t="shared" si="29"/>
        <v/>
      </c>
      <c r="AG551" s="95" t="b">
        <f t="shared" si="28"/>
        <v>0</v>
      </c>
      <c r="AH551" s="9"/>
      <c r="AI551" s="150">
        <f t="shared" si="27"/>
        <v>0</v>
      </c>
      <c r="AJ551" s="153" t="s">
        <v>6</v>
      </c>
    </row>
    <row r="552" spans="1:36" ht="30" customHeight="1">
      <c r="A552" s="92"/>
      <c r="B552" s="92"/>
      <c r="C552" s="92"/>
      <c r="D552" s="92"/>
      <c r="E552" s="92"/>
      <c r="F552" s="92"/>
      <c r="G552" s="92"/>
      <c r="H552" s="92"/>
      <c r="I552" s="92"/>
      <c r="J552" s="92"/>
      <c r="K552" s="92"/>
      <c r="L552" s="92"/>
      <c r="M552" s="92"/>
      <c r="N552" s="155"/>
      <c r="O552" s="157"/>
      <c r="P552" s="92"/>
      <c r="Q552" s="145"/>
      <c r="R552" s="92"/>
      <c r="S552" s="145"/>
      <c r="T552" s="92"/>
      <c r="U552" s="145"/>
      <c r="V552" s="92"/>
      <c r="W552" s="145"/>
      <c r="X552" s="92"/>
      <c r="Y552" s="145"/>
      <c r="Z552" s="92"/>
      <c r="AA552" s="145"/>
      <c r="AB552" s="64"/>
      <c r="AC552" s="145"/>
      <c r="AD552" s="64"/>
      <c r="AE552" s="145"/>
      <c r="AF552" s="196" t="str">
        <f t="shared" si="29"/>
        <v/>
      </c>
      <c r="AG552" s="95" t="b">
        <f t="shared" si="28"/>
        <v>0</v>
      </c>
      <c r="AH552" s="9"/>
      <c r="AI552" s="150">
        <f t="shared" si="27"/>
        <v>0</v>
      </c>
      <c r="AJ552" s="153" t="s">
        <v>6</v>
      </c>
    </row>
    <row r="553" spans="1:36" ht="30" customHeight="1">
      <c r="A553" s="92"/>
      <c r="B553" s="92"/>
      <c r="C553" s="92"/>
      <c r="D553" s="92"/>
      <c r="E553" s="92"/>
      <c r="F553" s="92"/>
      <c r="G553" s="92"/>
      <c r="H553" s="92"/>
      <c r="I553" s="92"/>
      <c r="J553" s="92"/>
      <c r="K553" s="92"/>
      <c r="L553" s="92"/>
      <c r="M553" s="92"/>
      <c r="N553" s="155"/>
      <c r="O553" s="157"/>
      <c r="P553" s="92"/>
      <c r="Q553" s="145"/>
      <c r="R553" s="92"/>
      <c r="S553" s="145"/>
      <c r="T553" s="92"/>
      <c r="U553" s="145"/>
      <c r="V553" s="92"/>
      <c r="W553" s="145"/>
      <c r="X553" s="92"/>
      <c r="Y553" s="145"/>
      <c r="Z553" s="92"/>
      <c r="AA553" s="145"/>
      <c r="AB553" s="64"/>
      <c r="AC553" s="145"/>
      <c r="AD553" s="64"/>
      <c r="AE553" s="145"/>
      <c r="AF553" s="196" t="str">
        <f t="shared" si="29"/>
        <v/>
      </c>
      <c r="AG553" s="95" t="b">
        <f t="shared" si="28"/>
        <v>0</v>
      </c>
      <c r="AH553" s="9"/>
      <c r="AI553" s="150">
        <f t="shared" si="27"/>
        <v>0</v>
      </c>
      <c r="AJ553" s="153" t="s">
        <v>6</v>
      </c>
    </row>
    <row r="554" spans="1:36" ht="30" customHeight="1">
      <c r="A554" s="92"/>
      <c r="B554" s="92"/>
      <c r="C554" s="92"/>
      <c r="D554" s="92"/>
      <c r="E554" s="92"/>
      <c r="F554" s="92"/>
      <c r="G554" s="92"/>
      <c r="H554" s="92"/>
      <c r="I554" s="92"/>
      <c r="J554" s="92"/>
      <c r="K554" s="92"/>
      <c r="L554" s="92"/>
      <c r="M554" s="92"/>
      <c r="N554" s="155"/>
      <c r="O554" s="157"/>
      <c r="P554" s="92"/>
      <c r="Q554" s="145"/>
      <c r="R554" s="92"/>
      <c r="S554" s="145"/>
      <c r="T554" s="92"/>
      <c r="U554" s="145"/>
      <c r="V554" s="92"/>
      <c r="W554" s="145"/>
      <c r="X554" s="92"/>
      <c r="Y554" s="145"/>
      <c r="Z554" s="92"/>
      <c r="AA554" s="145"/>
      <c r="AB554" s="64"/>
      <c r="AC554" s="145"/>
      <c r="AD554" s="64"/>
      <c r="AE554" s="145"/>
      <c r="AF554" s="196" t="str">
        <f t="shared" si="29"/>
        <v/>
      </c>
      <c r="AG554" s="95" t="b">
        <f t="shared" si="28"/>
        <v>0</v>
      </c>
      <c r="AH554" s="9"/>
      <c r="AI554" s="150">
        <f t="shared" si="27"/>
        <v>0</v>
      </c>
      <c r="AJ554" s="153" t="s">
        <v>6</v>
      </c>
    </row>
    <row r="555" spans="1:36" ht="30" customHeight="1">
      <c r="A555" s="92"/>
      <c r="B555" s="92"/>
      <c r="C555" s="92"/>
      <c r="D555" s="92"/>
      <c r="E555" s="92"/>
      <c r="F555" s="92"/>
      <c r="G555" s="92"/>
      <c r="H555" s="92"/>
      <c r="I555" s="92"/>
      <c r="J555" s="92"/>
      <c r="K555" s="92"/>
      <c r="L555" s="92"/>
      <c r="M555" s="92"/>
      <c r="N555" s="155"/>
      <c r="O555" s="157"/>
      <c r="P555" s="92"/>
      <c r="Q555" s="145"/>
      <c r="R555" s="92"/>
      <c r="S555" s="145"/>
      <c r="T555" s="92"/>
      <c r="U555" s="145"/>
      <c r="V555" s="92"/>
      <c r="W555" s="145"/>
      <c r="X555" s="92"/>
      <c r="Y555" s="145"/>
      <c r="Z555" s="92"/>
      <c r="AA555" s="145"/>
      <c r="AB555" s="64"/>
      <c r="AC555" s="145"/>
      <c r="AD555" s="64"/>
      <c r="AE555" s="145"/>
      <c r="AF555" s="196" t="str">
        <f t="shared" si="29"/>
        <v/>
      </c>
      <c r="AG555" s="95" t="b">
        <f t="shared" si="28"/>
        <v>0</v>
      </c>
      <c r="AH555" s="9"/>
      <c r="AI555" s="150">
        <f t="shared" si="27"/>
        <v>0</v>
      </c>
      <c r="AJ555" s="153" t="s">
        <v>6</v>
      </c>
    </row>
    <row r="556" spans="1:36" ht="30" customHeight="1">
      <c r="A556" s="92"/>
      <c r="B556" s="92"/>
      <c r="C556" s="92"/>
      <c r="D556" s="92"/>
      <c r="E556" s="92"/>
      <c r="F556" s="92"/>
      <c r="G556" s="92"/>
      <c r="H556" s="92"/>
      <c r="I556" s="92"/>
      <c r="J556" s="92"/>
      <c r="K556" s="92"/>
      <c r="L556" s="92"/>
      <c r="M556" s="92"/>
      <c r="N556" s="155"/>
      <c r="O556" s="157"/>
      <c r="P556" s="92"/>
      <c r="Q556" s="145"/>
      <c r="R556" s="92"/>
      <c r="S556" s="145"/>
      <c r="T556" s="92"/>
      <c r="U556" s="145"/>
      <c r="V556" s="92"/>
      <c r="W556" s="145"/>
      <c r="X556" s="92"/>
      <c r="Y556" s="145"/>
      <c r="Z556" s="92"/>
      <c r="AA556" s="145"/>
      <c r="AB556" s="64"/>
      <c r="AC556" s="145"/>
      <c r="AD556" s="64"/>
      <c r="AE556" s="145"/>
      <c r="AF556" s="196" t="str">
        <f t="shared" si="29"/>
        <v/>
      </c>
      <c r="AG556" s="95" t="b">
        <f t="shared" si="28"/>
        <v>0</v>
      </c>
      <c r="AH556" s="9"/>
      <c r="AI556" s="150">
        <f t="shared" si="27"/>
        <v>0</v>
      </c>
      <c r="AJ556" s="153" t="s">
        <v>6</v>
      </c>
    </row>
    <row r="557" spans="1:36" ht="30" customHeight="1">
      <c r="A557" s="92"/>
      <c r="B557" s="92"/>
      <c r="C557" s="92"/>
      <c r="D557" s="92"/>
      <c r="E557" s="92"/>
      <c r="F557" s="92"/>
      <c r="G557" s="92"/>
      <c r="H557" s="92"/>
      <c r="I557" s="92"/>
      <c r="J557" s="92"/>
      <c r="K557" s="92"/>
      <c r="L557" s="92"/>
      <c r="M557" s="92"/>
      <c r="N557" s="155"/>
      <c r="O557" s="157"/>
      <c r="P557" s="92"/>
      <c r="Q557" s="145"/>
      <c r="R557" s="92"/>
      <c r="S557" s="145"/>
      <c r="T557" s="92"/>
      <c r="U557" s="145"/>
      <c r="V557" s="92"/>
      <c r="W557" s="145"/>
      <c r="X557" s="92"/>
      <c r="Y557" s="145"/>
      <c r="Z557" s="92"/>
      <c r="AA557" s="145"/>
      <c r="AB557" s="64"/>
      <c r="AC557" s="145"/>
      <c r="AD557" s="64"/>
      <c r="AE557" s="145"/>
      <c r="AF557" s="196" t="str">
        <f t="shared" si="29"/>
        <v/>
      </c>
      <c r="AG557" s="95" t="b">
        <f t="shared" si="28"/>
        <v>0</v>
      </c>
      <c r="AH557" s="9"/>
      <c r="AI557" s="150">
        <f t="shared" si="27"/>
        <v>0</v>
      </c>
      <c r="AJ557" s="153" t="s">
        <v>6</v>
      </c>
    </row>
    <row r="558" spans="1:36" ht="30" customHeight="1">
      <c r="A558" s="92"/>
      <c r="B558" s="92"/>
      <c r="C558" s="92"/>
      <c r="D558" s="92"/>
      <c r="E558" s="92"/>
      <c r="F558" s="92"/>
      <c r="G558" s="92"/>
      <c r="H558" s="92"/>
      <c r="I558" s="92"/>
      <c r="J558" s="92"/>
      <c r="K558" s="92"/>
      <c r="L558" s="92"/>
      <c r="M558" s="92"/>
      <c r="N558" s="155"/>
      <c r="O558" s="157"/>
      <c r="P558" s="92"/>
      <c r="Q558" s="145"/>
      <c r="R558" s="92"/>
      <c r="S558" s="145"/>
      <c r="T558" s="92"/>
      <c r="U558" s="145"/>
      <c r="V558" s="92"/>
      <c r="W558" s="145"/>
      <c r="X558" s="92"/>
      <c r="Y558" s="145"/>
      <c r="Z558" s="92"/>
      <c r="AA558" s="145"/>
      <c r="AB558" s="64"/>
      <c r="AC558" s="145"/>
      <c r="AD558" s="64"/>
      <c r="AE558" s="145"/>
      <c r="AF558" s="196" t="str">
        <f t="shared" si="29"/>
        <v/>
      </c>
      <c r="AG558" s="95" t="b">
        <f t="shared" si="28"/>
        <v>0</v>
      </c>
      <c r="AH558" s="9"/>
      <c r="AI558" s="150">
        <f t="shared" si="27"/>
        <v>0</v>
      </c>
      <c r="AJ558" s="153" t="s">
        <v>6</v>
      </c>
    </row>
    <row r="559" spans="1:36" ht="30" customHeight="1">
      <c r="A559" s="92"/>
      <c r="B559" s="92"/>
      <c r="C559" s="92"/>
      <c r="D559" s="92"/>
      <c r="E559" s="92"/>
      <c r="F559" s="92"/>
      <c r="G559" s="92"/>
      <c r="H559" s="92"/>
      <c r="I559" s="92"/>
      <c r="J559" s="92"/>
      <c r="K559" s="92"/>
      <c r="L559" s="92"/>
      <c r="M559" s="92"/>
      <c r="N559" s="155"/>
      <c r="O559" s="157"/>
      <c r="P559" s="92"/>
      <c r="Q559" s="145"/>
      <c r="R559" s="92"/>
      <c r="S559" s="145"/>
      <c r="T559" s="92"/>
      <c r="U559" s="145"/>
      <c r="V559" s="92"/>
      <c r="W559" s="145"/>
      <c r="X559" s="92"/>
      <c r="Y559" s="145"/>
      <c r="Z559" s="92"/>
      <c r="AA559" s="145"/>
      <c r="AB559" s="64"/>
      <c r="AC559" s="145"/>
      <c r="AD559" s="64"/>
      <c r="AE559" s="145"/>
      <c r="AF559" s="196" t="str">
        <f t="shared" si="29"/>
        <v/>
      </c>
      <c r="AG559" s="95" t="b">
        <f t="shared" si="28"/>
        <v>0</v>
      </c>
      <c r="AH559" s="9"/>
      <c r="AI559" s="150">
        <f t="shared" si="27"/>
        <v>0</v>
      </c>
      <c r="AJ559" s="153" t="s">
        <v>6</v>
      </c>
    </row>
    <row r="560" spans="1:36" ht="30" customHeight="1">
      <c r="A560" s="92"/>
      <c r="B560" s="92"/>
      <c r="C560" s="92"/>
      <c r="D560" s="92"/>
      <c r="E560" s="92"/>
      <c r="F560" s="92"/>
      <c r="G560" s="92"/>
      <c r="H560" s="92"/>
      <c r="I560" s="92"/>
      <c r="J560" s="92"/>
      <c r="K560" s="92"/>
      <c r="L560" s="92"/>
      <c r="M560" s="92"/>
      <c r="N560" s="155"/>
      <c r="O560" s="157"/>
      <c r="P560" s="92"/>
      <c r="Q560" s="145"/>
      <c r="R560" s="92"/>
      <c r="S560" s="145"/>
      <c r="T560" s="92"/>
      <c r="U560" s="145"/>
      <c r="V560" s="92"/>
      <c r="W560" s="145"/>
      <c r="X560" s="92"/>
      <c r="Y560" s="145"/>
      <c r="Z560" s="92"/>
      <c r="AA560" s="145"/>
      <c r="AB560" s="64"/>
      <c r="AC560" s="145"/>
      <c r="AD560" s="64"/>
      <c r="AE560" s="145"/>
      <c r="AF560" s="196" t="str">
        <f t="shared" si="29"/>
        <v/>
      </c>
      <c r="AG560" s="95" t="b">
        <f t="shared" si="28"/>
        <v>0</v>
      </c>
      <c r="AH560" s="9"/>
      <c r="AI560" s="150">
        <f t="shared" si="27"/>
        <v>0</v>
      </c>
      <c r="AJ560" s="153" t="s">
        <v>6</v>
      </c>
    </row>
    <row r="561" spans="1:36" ht="30" customHeight="1">
      <c r="A561" s="92"/>
      <c r="B561" s="92"/>
      <c r="C561" s="92"/>
      <c r="D561" s="92"/>
      <c r="E561" s="92"/>
      <c r="F561" s="92"/>
      <c r="G561" s="92"/>
      <c r="H561" s="92"/>
      <c r="I561" s="92"/>
      <c r="J561" s="92"/>
      <c r="K561" s="92"/>
      <c r="L561" s="92"/>
      <c r="M561" s="92"/>
      <c r="N561" s="155"/>
      <c r="O561" s="157"/>
      <c r="P561" s="92"/>
      <c r="Q561" s="145"/>
      <c r="R561" s="92"/>
      <c r="S561" s="145"/>
      <c r="T561" s="92"/>
      <c r="U561" s="145"/>
      <c r="V561" s="92"/>
      <c r="W561" s="145"/>
      <c r="X561" s="92"/>
      <c r="Y561" s="145"/>
      <c r="Z561" s="92"/>
      <c r="AA561" s="145"/>
      <c r="AB561" s="64"/>
      <c r="AC561" s="145"/>
      <c r="AD561" s="64"/>
      <c r="AE561" s="145"/>
      <c r="AF561" s="196" t="str">
        <f t="shared" si="29"/>
        <v/>
      </c>
      <c r="AG561" s="95" t="b">
        <f t="shared" si="28"/>
        <v>0</v>
      </c>
      <c r="AH561" s="9"/>
      <c r="AI561" s="150">
        <f t="shared" si="27"/>
        <v>0</v>
      </c>
      <c r="AJ561" s="153" t="s">
        <v>6</v>
      </c>
    </row>
    <row r="562" spans="1:36" ht="30" customHeight="1">
      <c r="A562" s="92"/>
      <c r="B562" s="92"/>
      <c r="C562" s="92"/>
      <c r="D562" s="92"/>
      <c r="E562" s="92"/>
      <c r="F562" s="92"/>
      <c r="G562" s="92"/>
      <c r="H562" s="92"/>
      <c r="I562" s="92"/>
      <c r="J562" s="92"/>
      <c r="K562" s="92"/>
      <c r="L562" s="92"/>
      <c r="M562" s="92"/>
      <c r="N562" s="155"/>
      <c r="O562" s="157"/>
      <c r="P562" s="92"/>
      <c r="Q562" s="145"/>
      <c r="R562" s="92"/>
      <c r="S562" s="145"/>
      <c r="T562" s="92"/>
      <c r="U562" s="145"/>
      <c r="V562" s="92"/>
      <c r="W562" s="145"/>
      <c r="X562" s="92"/>
      <c r="Y562" s="145"/>
      <c r="Z562" s="92"/>
      <c r="AA562" s="145"/>
      <c r="AB562" s="64"/>
      <c r="AC562" s="145"/>
      <c r="AD562" s="64"/>
      <c r="AE562" s="145"/>
      <c r="AF562" s="196" t="str">
        <f t="shared" si="29"/>
        <v/>
      </c>
      <c r="AG562" s="95" t="b">
        <f t="shared" si="28"/>
        <v>0</v>
      </c>
      <c r="AH562" s="9"/>
      <c r="AI562" s="150">
        <f t="shared" si="27"/>
        <v>0</v>
      </c>
      <c r="AJ562" s="153" t="s">
        <v>6</v>
      </c>
    </row>
    <row r="563" spans="1:36" ht="30" customHeight="1">
      <c r="A563" s="92"/>
      <c r="B563" s="92"/>
      <c r="C563" s="92"/>
      <c r="D563" s="92"/>
      <c r="E563" s="92"/>
      <c r="F563" s="92"/>
      <c r="G563" s="92"/>
      <c r="H563" s="92"/>
      <c r="I563" s="92"/>
      <c r="J563" s="92"/>
      <c r="K563" s="92"/>
      <c r="L563" s="92"/>
      <c r="M563" s="92"/>
      <c r="N563" s="155"/>
      <c r="O563" s="157"/>
      <c r="P563" s="92"/>
      <c r="Q563" s="145"/>
      <c r="R563" s="92"/>
      <c r="S563" s="145"/>
      <c r="T563" s="92"/>
      <c r="U563" s="145"/>
      <c r="V563" s="92"/>
      <c r="W563" s="145"/>
      <c r="X563" s="92"/>
      <c r="Y563" s="145"/>
      <c r="Z563" s="92"/>
      <c r="AA563" s="145"/>
      <c r="AB563" s="64"/>
      <c r="AC563" s="145"/>
      <c r="AD563" s="64"/>
      <c r="AE563" s="145"/>
      <c r="AF563" s="196" t="str">
        <f t="shared" si="29"/>
        <v/>
      </c>
      <c r="AG563" s="95" t="b">
        <f t="shared" si="28"/>
        <v>0</v>
      </c>
      <c r="AH563" s="9"/>
      <c r="AI563" s="150">
        <f t="shared" si="27"/>
        <v>0</v>
      </c>
      <c r="AJ563" s="153" t="s">
        <v>6</v>
      </c>
    </row>
    <row r="564" spans="1:36" ht="30" customHeight="1">
      <c r="A564" s="92"/>
      <c r="B564" s="92"/>
      <c r="C564" s="92"/>
      <c r="D564" s="92"/>
      <c r="E564" s="92"/>
      <c r="F564" s="92"/>
      <c r="G564" s="92"/>
      <c r="H564" s="92"/>
      <c r="I564" s="92"/>
      <c r="J564" s="92"/>
      <c r="K564" s="92"/>
      <c r="L564" s="92"/>
      <c r="M564" s="92"/>
      <c r="N564" s="155"/>
      <c r="O564" s="157"/>
      <c r="P564" s="92"/>
      <c r="Q564" s="145"/>
      <c r="R564" s="92"/>
      <c r="S564" s="145"/>
      <c r="T564" s="92"/>
      <c r="U564" s="145"/>
      <c r="V564" s="92"/>
      <c r="W564" s="145"/>
      <c r="X564" s="92"/>
      <c r="Y564" s="145"/>
      <c r="Z564" s="92"/>
      <c r="AA564" s="145"/>
      <c r="AB564" s="64"/>
      <c r="AC564" s="145"/>
      <c r="AD564" s="64"/>
      <c r="AE564" s="145"/>
      <c r="AF564" s="196" t="str">
        <f t="shared" si="29"/>
        <v/>
      </c>
      <c r="AG564" s="95" t="b">
        <f t="shared" si="28"/>
        <v>0</v>
      </c>
      <c r="AH564" s="9"/>
      <c r="AI564" s="150">
        <f t="shared" si="27"/>
        <v>0</v>
      </c>
      <c r="AJ564" s="153" t="s">
        <v>6</v>
      </c>
    </row>
    <row r="565" spans="1:36" ht="30" customHeight="1">
      <c r="A565" s="92"/>
      <c r="B565" s="92"/>
      <c r="C565" s="92"/>
      <c r="D565" s="92"/>
      <c r="E565" s="92"/>
      <c r="F565" s="92"/>
      <c r="G565" s="92"/>
      <c r="H565" s="92"/>
      <c r="I565" s="92"/>
      <c r="J565" s="92"/>
      <c r="K565" s="92"/>
      <c r="L565" s="92"/>
      <c r="M565" s="92"/>
      <c r="N565" s="155"/>
      <c r="O565" s="157"/>
      <c r="P565" s="92"/>
      <c r="Q565" s="145"/>
      <c r="R565" s="92"/>
      <c r="S565" s="145"/>
      <c r="T565" s="92"/>
      <c r="U565" s="145"/>
      <c r="V565" s="92"/>
      <c r="W565" s="145"/>
      <c r="X565" s="92"/>
      <c r="Y565" s="145"/>
      <c r="Z565" s="92"/>
      <c r="AA565" s="145"/>
      <c r="AB565" s="64"/>
      <c r="AC565" s="145"/>
      <c r="AD565" s="64"/>
      <c r="AE565" s="145"/>
      <c r="AF565" s="196" t="str">
        <f t="shared" si="29"/>
        <v/>
      </c>
      <c r="AG565" s="95" t="b">
        <f t="shared" si="28"/>
        <v>0</v>
      </c>
      <c r="AH565" s="9"/>
      <c r="AI565" s="150">
        <f t="shared" si="27"/>
        <v>0</v>
      </c>
      <c r="AJ565" s="153" t="s">
        <v>6</v>
      </c>
    </row>
    <row r="566" spans="1:36" ht="30" customHeight="1">
      <c r="A566" s="92"/>
      <c r="B566" s="92"/>
      <c r="C566" s="92"/>
      <c r="D566" s="92"/>
      <c r="E566" s="92"/>
      <c r="F566" s="92"/>
      <c r="G566" s="92"/>
      <c r="H566" s="92"/>
      <c r="I566" s="92"/>
      <c r="J566" s="92"/>
      <c r="K566" s="92"/>
      <c r="L566" s="92"/>
      <c r="M566" s="92"/>
      <c r="N566" s="155"/>
      <c r="O566" s="157"/>
      <c r="P566" s="92"/>
      <c r="Q566" s="145"/>
      <c r="R566" s="92"/>
      <c r="S566" s="145"/>
      <c r="T566" s="92"/>
      <c r="U566" s="145"/>
      <c r="V566" s="92"/>
      <c r="W566" s="145"/>
      <c r="X566" s="92"/>
      <c r="Y566" s="145"/>
      <c r="Z566" s="92"/>
      <c r="AA566" s="145"/>
      <c r="AB566" s="64"/>
      <c r="AC566" s="145"/>
      <c r="AD566" s="64"/>
      <c r="AE566" s="145"/>
      <c r="AF566" s="196" t="str">
        <f t="shared" si="29"/>
        <v/>
      </c>
      <c r="AG566" s="95" t="b">
        <f t="shared" si="28"/>
        <v>0</v>
      </c>
      <c r="AH566" s="9"/>
      <c r="AI566" s="150">
        <f t="shared" si="27"/>
        <v>0</v>
      </c>
      <c r="AJ566" s="153" t="s">
        <v>6</v>
      </c>
    </row>
    <row r="567" spans="1:36" ht="30" customHeight="1">
      <c r="A567" s="92"/>
      <c r="B567" s="92"/>
      <c r="C567" s="92"/>
      <c r="D567" s="92"/>
      <c r="E567" s="92"/>
      <c r="F567" s="92"/>
      <c r="G567" s="92"/>
      <c r="H567" s="92"/>
      <c r="I567" s="92"/>
      <c r="J567" s="92"/>
      <c r="K567" s="92"/>
      <c r="L567" s="92"/>
      <c r="M567" s="92"/>
      <c r="N567" s="155"/>
      <c r="O567" s="157"/>
      <c r="P567" s="92"/>
      <c r="Q567" s="145"/>
      <c r="R567" s="92"/>
      <c r="S567" s="145"/>
      <c r="T567" s="92"/>
      <c r="U567" s="145"/>
      <c r="V567" s="92"/>
      <c r="W567" s="145"/>
      <c r="X567" s="92"/>
      <c r="Y567" s="145"/>
      <c r="Z567" s="92"/>
      <c r="AA567" s="145"/>
      <c r="AB567" s="64"/>
      <c r="AC567" s="145"/>
      <c r="AD567" s="64"/>
      <c r="AE567" s="145"/>
      <c r="AF567" s="196" t="str">
        <f t="shared" si="29"/>
        <v/>
      </c>
      <c r="AG567" s="95" t="b">
        <f t="shared" si="28"/>
        <v>0</v>
      </c>
      <c r="AH567" s="9"/>
      <c r="AI567" s="150">
        <f t="shared" si="27"/>
        <v>0</v>
      </c>
      <c r="AJ567" s="153" t="s">
        <v>6</v>
      </c>
    </row>
    <row r="568" spans="1:36" ht="30" customHeight="1">
      <c r="A568" s="92"/>
      <c r="B568" s="92"/>
      <c r="C568" s="92"/>
      <c r="D568" s="92"/>
      <c r="E568" s="92"/>
      <c r="F568" s="92"/>
      <c r="G568" s="92"/>
      <c r="H568" s="92"/>
      <c r="I568" s="92"/>
      <c r="J568" s="92"/>
      <c r="K568" s="92"/>
      <c r="L568" s="92"/>
      <c r="M568" s="92"/>
      <c r="N568" s="155"/>
      <c r="O568" s="157"/>
      <c r="P568" s="92"/>
      <c r="Q568" s="145"/>
      <c r="R568" s="92"/>
      <c r="S568" s="145"/>
      <c r="T568" s="92"/>
      <c r="U568" s="145"/>
      <c r="V568" s="92"/>
      <c r="W568" s="145"/>
      <c r="X568" s="92"/>
      <c r="Y568" s="145"/>
      <c r="Z568" s="92"/>
      <c r="AA568" s="145"/>
      <c r="AB568" s="64"/>
      <c r="AC568" s="145"/>
      <c r="AD568" s="64"/>
      <c r="AE568" s="145"/>
      <c r="AF568" s="196" t="str">
        <f t="shared" si="29"/>
        <v/>
      </c>
      <c r="AG568" s="95" t="b">
        <f t="shared" si="28"/>
        <v>0</v>
      </c>
      <c r="AH568" s="9"/>
      <c r="AI568" s="150">
        <f t="shared" si="27"/>
        <v>0</v>
      </c>
      <c r="AJ568" s="153" t="s">
        <v>6</v>
      </c>
    </row>
    <row r="569" spans="1:36" ht="30" customHeight="1">
      <c r="A569" s="92"/>
      <c r="B569" s="92"/>
      <c r="C569" s="92"/>
      <c r="D569" s="92"/>
      <c r="E569" s="92"/>
      <c r="F569" s="92"/>
      <c r="G569" s="92"/>
      <c r="H569" s="92"/>
      <c r="I569" s="92"/>
      <c r="J569" s="92"/>
      <c r="K569" s="92"/>
      <c r="L569" s="92"/>
      <c r="M569" s="92"/>
      <c r="N569" s="155"/>
      <c r="O569" s="157"/>
      <c r="P569" s="92"/>
      <c r="Q569" s="145"/>
      <c r="R569" s="92"/>
      <c r="S569" s="145"/>
      <c r="T569" s="92"/>
      <c r="U569" s="145"/>
      <c r="V569" s="92"/>
      <c r="W569" s="145"/>
      <c r="X569" s="92"/>
      <c r="Y569" s="145"/>
      <c r="Z569" s="92"/>
      <c r="AA569" s="145"/>
      <c r="AB569" s="64"/>
      <c r="AC569" s="145"/>
      <c r="AD569" s="64"/>
      <c r="AE569" s="145"/>
      <c r="AF569" s="196" t="str">
        <f t="shared" si="29"/>
        <v/>
      </c>
      <c r="AG569" s="95" t="b">
        <f t="shared" si="28"/>
        <v>0</v>
      </c>
      <c r="AH569" s="9"/>
      <c r="AI569" s="150">
        <f t="shared" si="27"/>
        <v>0</v>
      </c>
      <c r="AJ569" s="153" t="s">
        <v>6</v>
      </c>
    </row>
    <row r="570" spans="1:36" ht="30" customHeight="1">
      <c r="A570" s="92"/>
      <c r="B570" s="92"/>
      <c r="C570" s="92"/>
      <c r="D570" s="92"/>
      <c r="E570" s="92"/>
      <c r="F570" s="92"/>
      <c r="G570" s="92"/>
      <c r="H570" s="92"/>
      <c r="I570" s="92"/>
      <c r="J570" s="92"/>
      <c r="K570" s="92"/>
      <c r="L570" s="92"/>
      <c r="M570" s="92"/>
      <c r="N570" s="155"/>
      <c r="O570" s="157"/>
      <c r="P570" s="92"/>
      <c r="Q570" s="145"/>
      <c r="R570" s="92"/>
      <c r="S570" s="145"/>
      <c r="T570" s="92"/>
      <c r="U570" s="145"/>
      <c r="V570" s="92"/>
      <c r="W570" s="145"/>
      <c r="X570" s="92"/>
      <c r="Y570" s="145"/>
      <c r="Z570" s="92"/>
      <c r="AA570" s="145"/>
      <c r="AB570" s="64"/>
      <c r="AC570" s="145"/>
      <c r="AD570" s="64"/>
      <c r="AE570" s="145"/>
      <c r="AF570" s="196" t="str">
        <f t="shared" si="29"/>
        <v/>
      </c>
      <c r="AG570" s="95" t="b">
        <f t="shared" si="28"/>
        <v>0</v>
      </c>
      <c r="AH570" s="9"/>
      <c r="AI570" s="150">
        <f t="shared" si="27"/>
        <v>0</v>
      </c>
      <c r="AJ570" s="153" t="s">
        <v>6</v>
      </c>
    </row>
    <row r="571" spans="1:36" ht="30" customHeight="1">
      <c r="A571" s="92"/>
      <c r="B571" s="92"/>
      <c r="C571" s="92"/>
      <c r="D571" s="92"/>
      <c r="E571" s="92"/>
      <c r="F571" s="92"/>
      <c r="G571" s="92"/>
      <c r="H571" s="92"/>
      <c r="I571" s="92"/>
      <c r="J571" s="92"/>
      <c r="K571" s="92"/>
      <c r="L571" s="92"/>
      <c r="M571" s="92"/>
      <c r="N571" s="155"/>
      <c r="O571" s="157"/>
      <c r="P571" s="92"/>
      <c r="Q571" s="145"/>
      <c r="R571" s="92"/>
      <c r="S571" s="145"/>
      <c r="T571" s="92"/>
      <c r="U571" s="145"/>
      <c r="V571" s="92"/>
      <c r="W571" s="145"/>
      <c r="X571" s="92"/>
      <c r="Y571" s="145"/>
      <c r="Z571" s="92"/>
      <c r="AA571" s="145"/>
      <c r="AB571" s="64"/>
      <c r="AC571" s="145"/>
      <c r="AD571" s="64"/>
      <c r="AE571" s="145"/>
      <c r="AF571" s="196" t="str">
        <f t="shared" si="29"/>
        <v/>
      </c>
      <c r="AG571" s="95" t="b">
        <f t="shared" si="28"/>
        <v>0</v>
      </c>
      <c r="AH571" s="9"/>
      <c r="AI571" s="150">
        <f t="shared" si="27"/>
        <v>0</v>
      </c>
      <c r="AJ571" s="153" t="s">
        <v>6</v>
      </c>
    </row>
    <row r="572" spans="1:36" ht="30" customHeight="1">
      <c r="A572" s="92"/>
      <c r="B572" s="92"/>
      <c r="C572" s="92"/>
      <c r="D572" s="92"/>
      <c r="E572" s="92"/>
      <c r="F572" s="92"/>
      <c r="G572" s="92"/>
      <c r="H572" s="92"/>
      <c r="I572" s="92"/>
      <c r="J572" s="92"/>
      <c r="K572" s="92"/>
      <c r="L572" s="92"/>
      <c r="M572" s="92"/>
      <c r="N572" s="155"/>
      <c r="O572" s="157"/>
      <c r="P572" s="92"/>
      <c r="Q572" s="145"/>
      <c r="R572" s="92"/>
      <c r="S572" s="145"/>
      <c r="T572" s="92"/>
      <c r="U572" s="145"/>
      <c r="V572" s="92"/>
      <c r="W572" s="145"/>
      <c r="X572" s="92"/>
      <c r="Y572" s="145"/>
      <c r="Z572" s="92"/>
      <c r="AA572" s="145"/>
      <c r="AB572" s="64"/>
      <c r="AC572" s="145"/>
      <c r="AD572" s="64"/>
      <c r="AE572" s="145"/>
      <c r="AF572" s="196" t="str">
        <f t="shared" si="29"/>
        <v/>
      </c>
      <c r="AG572" s="95" t="b">
        <f t="shared" si="28"/>
        <v>0</v>
      </c>
      <c r="AH572" s="9"/>
      <c r="AI572" s="150">
        <f t="shared" si="27"/>
        <v>0</v>
      </c>
      <c r="AJ572" s="153" t="s">
        <v>6</v>
      </c>
    </row>
    <row r="573" spans="1:36" ht="30" customHeight="1">
      <c r="A573" s="92"/>
      <c r="B573" s="92"/>
      <c r="C573" s="92"/>
      <c r="D573" s="92"/>
      <c r="E573" s="92"/>
      <c r="F573" s="92"/>
      <c r="G573" s="92"/>
      <c r="H573" s="92"/>
      <c r="I573" s="92"/>
      <c r="J573" s="92"/>
      <c r="K573" s="92"/>
      <c r="L573" s="92"/>
      <c r="M573" s="92"/>
      <c r="N573" s="155"/>
      <c r="O573" s="157"/>
      <c r="P573" s="92"/>
      <c r="Q573" s="145"/>
      <c r="R573" s="92"/>
      <c r="S573" s="145"/>
      <c r="T573" s="92"/>
      <c r="U573" s="145"/>
      <c r="V573" s="92"/>
      <c r="W573" s="145"/>
      <c r="X573" s="92"/>
      <c r="Y573" s="145"/>
      <c r="Z573" s="92"/>
      <c r="AA573" s="145"/>
      <c r="AB573" s="64"/>
      <c r="AC573" s="145"/>
      <c r="AD573" s="64"/>
      <c r="AE573" s="145"/>
      <c r="AF573" s="196" t="str">
        <f t="shared" si="29"/>
        <v/>
      </c>
      <c r="AG573" s="95" t="b">
        <f t="shared" si="28"/>
        <v>0</v>
      </c>
      <c r="AH573" s="9"/>
      <c r="AI573" s="150">
        <f t="shared" si="27"/>
        <v>0</v>
      </c>
      <c r="AJ573" s="153" t="s">
        <v>6</v>
      </c>
    </row>
    <row r="574" spans="1:36" ht="30" customHeight="1">
      <c r="A574" s="92"/>
      <c r="B574" s="92"/>
      <c r="C574" s="92"/>
      <c r="D574" s="92"/>
      <c r="E574" s="92"/>
      <c r="F574" s="92"/>
      <c r="G574" s="92"/>
      <c r="H574" s="92"/>
      <c r="I574" s="92"/>
      <c r="J574" s="92"/>
      <c r="K574" s="92"/>
      <c r="L574" s="92"/>
      <c r="M574" s="92"/>
      <c r="N574" s="155"/>
      <c r="O574" s="157"/>
      <c r="P574" s="92"/>
      <c r="Q574" s="145"/>
      <c r="R574" s="92"/>
      <c r="S574" s="145"/>
      <c r="T574" s="92"/>
      <c r="U574" s="145"/>
      <c r="V574" s="92"/>
      <c r="W574" s="145"/>
      <c r="X574" s="92"/>
      <c r="Y574" s="145"/>
      <c r="Z574" s="92"/>
      <c r="AA574" s="145"/>
      <c r="AB574" s="64"/>
      <c r="AC574" s="145"/>
      <c r="AD574" s="64"/>
      <c r="AE574" s="145"/>
      <c r="AF574" s="196" t="str">
        <f t="shared" si="29"/>
        <v/>
      </c>
      <c r="AG574" s="95" t="b">
        <f t="shared" si="28"/>
        <v>0</v>
      </c>
      <c r="AH574" s="9"/>
      <c r="AI574" s="150">
        <f t="shared" si="27"/>
        <v>0</v>
      </c>
      <c r="AJ574" s="153" t="s">
        <v>6</v>
      </c>
    </row>
    <row r="575" spans="1:36" ht="30" customHeight="1">
      <c r="A575" s="92"/>
      <c r="B575" s="92"/>
      <c r="C575" s="92"/>
      <c r="D575" s="92"/>
      <c r="E575" s="92"/>
      <c r="F575" s="92"/>
      <c r="G575" s="92"/>
      <c r="H575" s="92"/>
      <c r="I575" s="92"/>
      <c r="J575" s="92"/>
      <c r="K575" s="92"/>
      <c r="L575" s="92"/>
      <c r="M575" s="92"/>
      <c r="N575" s="155"/>
      <c r="O575" s="157"/>
      <c r="P575" s="92"/>
      <c r="Q575" s="145"/>
      <c r="R575" s="92"/>
      <c r="S575" s="145"/>
      <c r="T575" s="92"/>
      <c r="U575" s="145"/>
      <c r="V575" s="92"/>
      <c r="W575" s="145"/>
      <c r="X575" s="92"/>
      <c r="Y575" s="145"/>
      <c r="Z575" s="92"/>
      <c r="AA575" s="145"/>
      <c r="AB575" s="64"/>
      <c r="AC575" s="145"/>
      <c r="AD575" s="64"/>
      <c r="AE575" s="145"/>
      <c r="AF575" s="196" t="str">
        <f t="shared" si="29"/>
        <v/>
      </c>
      <c r="AG575" s="95" t="b">
        <f t="shared" si="28"/>
        <v>0</v>
      </c>
      <c r="AH575" s="9"/>
      <c r="AI575" s="150">
        <f t="shared" si="27"/>
        <v>0</v>
      </c>
      <c r="AJ575" s="153" t="s">
        <v>6</v>
      </c>
    </row>
    <row r="576" spans="1:36" ht="30" customHeight="1">
      <c r="A576" s="92"/>
      <c r="B576" s="92"/>
      <c r="C576" s="92"/>
      <c r="D576" s="92"/>
      <c r="E576" s="92"/>
      <c r="F576" s="92"/>
      <c r="G576" s="92"/>
      <c r="H576" s="92"/>
      <c r="I576" s="92"/>
      <c r="J576" s="92"/>
      <c r="K576" s="92"/>
      <c r="L576" s="92"/>
      <c r="M576" s="92"/>
      <c r="N576" s="155"/>
      <c r="O576" s="157"/>
      <c r="P576" s="92"/>
      <c r="Q576" s="145"/>
      <c r="R576" s="92"/>
      <c r="S576" s="145"/>
      <c r="T576" s="92"/>
      <c r="U576" s="145"/>
      <c r="V576" s="92"/>
      <c r="W576" s="145"/>
      <c r="X576" s="92"/>
      <c r="Y576" s="145"/>
      <c r="Z576" s="92"/>
      <c r="AA576" s="145"/>
      <c r="AB576" s="64"/>
      <c r="AC576" s="145"/>
      <c r="AD576" s="64"/>
      <c r="AE576" s="145"/>
      <c r="AF576" s="196" t="str">
        <f t="shared" si="29"/>
        <v/>
      </c>
      <c r="AG576" s="95" t="b">
        <f t="shared" si="28"/>
        <v>0</v>
      </c>
      <c r="AH576" s="9"/>
      <c r="AI576" s="150">
        <f t="shared" ref="AI576:AI639" si="30">E576</f>
        <v>0</v>
      </c>
      <c r="AJ576" s="153" t="s">
        <v>6</v>
      </c>
    </row>
    <row r="577" spans="1:36" ht="30" customHeight="1">
      <c r="A577" s="92"/>
      <c r="B577" s="92"/>
      <c r="C577" s="92"/>
      <c r="D577" s="92"/>
      <c r="E577" s="92"/>
      <c r="F577" s="92"/>
      <c r="G577" s="92"/>
      <c r="H577" s="92"/>
      <c r="I577" s="92"/>
      <c r="J577" s="92"/>
      <c r="K577" s="92"/>
      <c r="L577" s="92"/>
      <c r="M577" s="92"/>
      <c r="N577" s="155"/>
      <c r="O577" s="157"/>
      <c r="P577" s="92"/>
      <c r="Q577" s="145"/>
      <c r="R577" s="92"/>
      <c r="S577" s="145"/>
      <c r="T577" s="92"/>
      <c r="U577" s="145"/>
      <c r="V577" s="92"/>
      <c r="W577" s="145"/>
      <c r="X577" s="92"/>
      <c r="Y577" s="145"/>
      <c r="Z577" s="92"/>
      <c r="AA577" s="145"/>
      <c r="AB577" s="64"/>
      <c r="AC577" s="145"/>
      <c r="AD577" s="64"/>
      <c r="AE577" s="145"/>
      <c r="AF577" s="196" t="str">
        <f t="shared" si="29"/>
        <v/>
      </c>
      <c r="AG577" s="95" t="b">
        <f t="shared" si="28"/>
        <v>0</v>
      </c>
      <c r="AH577" s="9"/>
      <c r="AI577" s="150">
        <f t="shared" si="30"/>
        <v>0</v>
      </c>
      <c r="AJ577" s="153" t="s">
        <v>6</v>
      </c>
    </row>
    <row r="578" spans="1:36" ht="30" customHeight="1">
      <c r="A578" s="92"/>
      <c r="B578" s="92"/>
      <c r="C578" s="92"/>
      <c r="D578" s="92"/>
      <c r="E578" s="92"/>
      <c r="F578" s="92"/>
      <c r="G578" s="92"/>
      <c r="H578" s="92"/>
      <c r="I578" s="92"/>
      <c r="J578" s="92"/>
      <c r="K578" s="92"/>
      <c r="L578" s="92"/>
      <c r="M578" s="92"/>
      <c r="N578" s="155"/>
      <c r="O578" s="157"/>
      <c r="P578" s="92"/>
      <c r="Q578" s="145"/>
      <c r="R578" s="92"/>
      <c r="S578" s="145"/>
      <c r="T578" s="92"/>
      <c r="U578" s="145"/>
      <c r="V578" s="92"/>
      <c r="W578" s="145"/>
      <c r="X578" s="92"/>
      <c r="Y578" s="145"/>
      <c r="Z578" s="92"/>
      <c r="AA578" s="145"/>
      <c r="AB578" s="64"/>
      <c r="AC578" s="145"/>
      <c r="AD578" s="64"/>
      <c r="AE578" s="145"/>
      <c r="AF578" s="196" t="str">
        <f t="shared" si="29"/>
        <v/>
      </c>
      <c r="AG578" s="95" t="b">
        <f t="shared" si="28"/>
        <v>0</v>
      </c>
      <c r="AH578" s="9"/>
      <c r="AI578" s="150">
        <f t="shared" si="30"/>
        <v>0</v>
      </c>
      <c r="AJ578" s="153" t="s">
        <v>6</v>
      </c>
    </row>
    <row r="579" spans="1:36" ht="30" customHeight="1">
      <c r="A579" s="92"/>
      <c r="B579" s="92"/>
      <c r="C579" s="92"/>
      <c r="D579" s="92"/>
      <c r="E579" s="92"/>
      <c r="F579" s="92"/>
      <c r="G579" s="92"/>
      <c r="H579" s="92"/>
      <c r="I579" s="92"/>
      <c r="J579" s="92"/>
      <c r="K579" s="92"/>
      <c r="L579" s="92"/>
      <c r="M579" s="92"/>
      <c r="N579" s="155"/>
      <c r="O579" s="157"/>
      <c r="P579" s="92"/>
      <c r="Q579" s="145"/>
      <c r="R579" s="92"/>
      <c r="S579" s="145"/>
      <c r="T579" s="92"/>
      <c r="U579" s="145"/>
      <c r="V579" s="92"/>
      <c r="W579" s="145"/>
      <c r="X579" s="92"/>
      <c r="Y579" s="145"/>
      <c r="Z579" s="92"/>
      <c r="AA579" s="145"/>
      <c r="AB579" s="64"/>
      <c r="AC579" s="145"/>
      <c r="AD579" s="64"/>
      <c r="AE579" s="145"/>
      <c r="AF579" s="196" t="str">
        <f t="shared" si="29"/>
        <v/>
      </c>
      <c r="AG579" s="95" t="b">
        <f t="shared" si="28"/>
        <v>0</v>
      </c>
      <c r="AH579" s="9"/>
      <c r="AI579" s="150">
        <f t="shared" si="30"/>
        <v>0</v>
      </c>
      <c r="AJ579" s="153" t="s">
        <v>6</v>
      </c>
    </row>
    <row r="580" spans="1:36" ht="30" customHeight="1">
      <c r="A580" s="92"/>
      <c r="B580" s="92"/>
      <c r="C580" s="92"/>
      <c r="D580" s="92"/>
      <c r="E580" s="92"/>
      <c r="F580" s="92"/>
      <c r="G580" s="92"/>
      <c r="H580" s="92"/>
      <c r="I580" s="92"/>
      <c r="J580" s="92"/>
      <c r="K580" s="92"/>
      <c r="L580" s="92"/>
      <c r="M580" s="92"/>
      <c r="N580" s="155"/>
      <c r="O580" s="157"/>
      <c r="P580" s="92"/>
      <c r="Q580" s="145"/>
      <c r="R580" s="92"/>
      <c r="S580" s="145"/>
      <c r="T580" s="92"/>
      <c r="U580" s="145"/>
      <c r="V580" s="92"/>
      <c r="W580" s="145"/>
      <c r="X580" s="92"/>
      <c r="Y580" s="145"/>
      <c r="Z580" s="92"/>
      <c r="AA580" s="145"/>
      <c r="AB580" s="64"/>
      <c r="AC580" s="145"/>
      <c r="AD580" s="64"/>
      <c r="AE580" s="145"/>
      <c r="AF580" s="196" t="str">
        <f t="shared" si="29"/>
        <v/>
      </c>
      <c r="AG580" s="95" t="b">
        <f t="shared" si="28"/>
        <v>0</v>
      </c>
      <c r="AH580" s="9"/>
      <c r="AI580" s="150">
        <f t="shared" si="30"/>
        <v>0</v>
      </c>
      <c r="AJ580" s="153" t="s">
        <v>6</v>
      </c>
    </row>
    <row r="581" spans="1:36" ht="30" customHeight="1">
      <c r="A581" s="92"/>
      <c r="B581" s="92"/>
      <c r="C581" s="92"/>
      <c r="D581" s="92"/>
      <c r="E581" s="92"/>
      <c r="F581" s="92"/>
      <c r="G581" s="92"/>
      <c r="H581" s="92"/>
      <c r="I581" s="92"/>
      <c r="J581" s="92"/>
      <c r="K581" s="92"/>
      <c r="L581" s="92"/>
      <c r="M581" s="92"/>
      <c r="N581" s="155"/>
      <c r="O581" s="157"/>
      <c r="P581" s="92"/>
      <c r="Q581" s="145"/>
      <c r="R581" s="92"/>
      <c r="S581" s="145"/>
      <c r="T581" s="92"/>
      <c r="U581" s="145"/>
      <c r="V581" s="92"/>
      <c r="W581" s="145"/>
      <c r="X581" s="92"/>
      <c r="Y581" s="145"/>
      <c r="Z581" s="92"/>
      <c r="AA581" s="145"/>
      <c r="AB581" s="64"/>
      <c r="AC581" s="145"/>
      <c r="AD581" s="64"/>
      <c r="AE581" s="145"/>
      <c r="AF581" s="196" t="str">
        <f t="shared" si="29"/>
        <v/>
      </c>
      <c r="AG581" s="95" t="b">
        <f t="shared" si="28"/>
        <v>0</v>
      </c>
      <c r="AH581" s="9"/>
      <c r="AI581" s="150">
        <f t="shared" si="30"/>
        <v>0</v>
      </c>
      <c r="AJ581" s="153" t="s">
        <v>6</v>
      </c>
    </row>
    <row r="582" spans="1:36" ht="30" customHeight="1">
      <c r="A582" s="92"/>
      <c r="B582" s="92"/>
      <c r="C582" s="92"/>
      <c r="D582" s="92"/>
      <c r="E582" s="92"/>
      <c r="F582" s="92"/>
      <c r="G582" s="92"/>
      <c r="H582" s="92"/>
      <c r="I582" s="92"/>
      <c r="J582" s="92"/>
      <c r="K582" s="92"/>
      <c r="L582" s="92"/>
      <c r="M582" s="92"/>
      <c r="N582" s="155"/>
      <c r="O582" s="157"/>
      <c r="P582" s="92"/>
      <c r="Q582" s="145"/>
      <c r="R582" s="92"/>
      <c r="S582" s="145"/>
      <c r="T582" s="92"/>
      <c r="U582" s="145"/>
      <c r="V582" s="92"/>
      <c r="W582" s="145"/>
      <c r="X582" s="92"/>
      <c r="Y582" s="145"/>
      <c r="Z582" s="92"/>
      <c r="AA582" s="145"/>
      <c r="AB582" s="64"/>
      <c r="AC582" s="145"/>
      <c r="AD582" s="64"/>
      <c r="AE582" s="145"/>
      <c r="AF582" s="196" t="str">
        <f t="shared" si="29"/>
        <v/>
      </c>
      <c r="AG582" s="95" t="b">
        <f t="shared" si="28"/>
        <v>0</v>
      </c>
      <c r="AH582" s="9"/>
      <c r="AI582" s="150">
        <f t="shared" si="30"/>
        <v>0</v>
      </c>
      <c r="AJ582" s="153" t="s">
        <v>6</v>
      </c>
    </row>
    <row r="583" spans="1:36" ht="30" customHeight="1">
      <c r="A583" s="92"/>
      <c r="B583" s="92"/>
      <c r="C583" s="92"/>
      <c r="D583" s="92"/>
      <c r="E583" s="92"/>
      <c r="F583" s="92"/>
      <c r="G583" s="92"/>
      <c r="H583" s="92"/>
      <c r="I583" s="92"/>
      <c r="J583" s="92"/>
      <c r="K583" s="92"/>
      <c r="L583" s="92"/>
      <c r="M583" s="92"/>
      <c r="N583" s="155"/>
      <c r="O583" s="157"/>
      <c r="P583" s="92"/>
      <c r="Q583" s="145"/>
      <c r="R583" s="92"/>
      <c r="S583" s="145"/>
      <c r="T583" s="92"/>
      <c r="U583" s="145"/>
      <c r="V583" s="92"/>
      <c r="W583" s="145"/>
      <c r="X583" s="92"/>
      <c r="Y583" s="145"/>
      <c r="Z583" s="92"/>
      <c r="AA583" s="145"/>
      <c r="AB583" s="64"/>
      <c r="AC583" s="145"/>
      <c r="AD583" s="64"/>
      <c r="AE583" s="145"/>
      <c r="AF583" s="196" t="str">
        <f t="shared" si="29"/>
        <v/>
      </c>
      <c r="AG583" s="95" t="b">
        <f t="shared" si="28"/>
        <v>0</v>
      </c>
      <c r="AH583" s="9"/>
      <c r="AI583" s="150">
        <f t="shared" si="30"/>
        <v>0</v>
      </c>
      <c r="AJ583" s="153" t="s">
        <v>6</v>
      </c>
    </row>
    <row r="584" spans="1:36" ht="30" customHeight="1">
      <c r="A584" s="92"/>
      <c r="B584" s="92"/>
      <c r="C584" s="92"/>
      <c r="D584" s="92"/>
      <c r="E584" s="92"/>
      <c r="F584" s="92"/>
      <c r="G584" s="92"/>
      <c r="H584" s="92"/>
      <c r="I584" s="92"/>
      <c r="J584" s="92"/>
      <c r="K584" s="92"/>
      <c r="L584" s="92"/>
      <c r="M584" s="92"/>
      <c r="N584" s="155"/>
      <c r="O584" s="157"/>
      <c r="P584" s="92"/>
      <c r="Q584" s="145"/>
      <c r="R584" s="92"/>
      <c r="S584" s="145"/>
      <c r="T584" s="92"/>
      <c r="U584" s="145"/>
      <c r="V584" s="92"/>
      <c r="W584" s="145"/>
      <c r="X584" s="92"/>
      <c r="Y584" s="145"/>
      <c r="Z584" s="92"/>
      <c r="AA584" s="145"/>
      <c r="AB584" s="64"/>
      <c r="AC584" s="145"/>
      <c r="AD584" s="64"/>
      <c r="AE584" s="145"/>
      <c r="AF584" s="196" t="str">
        <f t="shared" si="29"/>
        <v/>
      </c>
      <c r="AG584" s="95" t="b">
        <f t="shared" si="28"/>
        <v>0</v>
      </c>
      <c r="AH584" s="9"/>
      <c r="AI584" s="150">
        <f t="shared" si="30"/>
        <v>0</v>
      </c>
      <c r="AJ584" s="153" t="s">
        <v>6</v>
      </c>
    </row>
    <row r="585" spans="1:36" ht="30" customHeight="1">
      <c r="A585" s="92"/>
      <c r="B585" s="92"/>
      <c r="C585" s="92"/>
      <c r="D585" s="92"/>
      <c r="E585" s="92"/>
      <c r="F585" s="92"/>
      <c r="G585" s="92"/>
      <c r="H585" s="92"/>
      <c r="I585" s="92"/>
      <c r="J585" s="92"/>
      <c r="K585" s="92"/>
      <c r="L585" s="92"/>
      <c r="M585" s="92"/>
      <c r="N585" s="155"/>
      <c r="O585" s="157"/>
      <c r="P585" s="92"/>
      <c r="Q585" s="145"/>
      <c r="R585" s="92"/>
      <c r="S585" s="145"/>
      <c r="T585" s="92"/>
      <c r="U585" s="145"/>
      <c r="V585" s="92"/>
      <c r="W585" s="145"/>
      <c r="X585" s="92"/>
      <c r="Y585" s="145"/>
      <c r="Z585" s="92"/>
      <c r="AA585" s="145"/>
      <c r="AB585" s="64"/>
      <c r="AC585" s="145"/>
      <c r="AD585" s="64"/>
      <c r="AE585" s="145"/>
      <c r="AF585" s="196" t="str">
        <f t="shared" si="29"/>
        <v/>
      </c>
      <c r="AG585" s="95" t="b">
        <f t="shared" si="28"/>
        <v>0</v>
      </c>
      <c r="AH585" s="9"/>
      <c r="AI585" s="150">
        <f t="shared" si="30"/>
        <v>0</v>
      </c>
      <c r="AJ585" s="153" t="s">
        <v>6</v>
      </c>
    </row>
    <row r="586" spans="1:36" ht="30" customHeight="1">
      <c r="A586" s="92"/>
      <c r="B586" s="92"/>
      <c r="C586" s="92"/>
      <c r="D586" s="92"/>
      <c r="E586" s="92"/>
      <c r="F586" s="92"/>
      <c r="G586" s="92"/>
      <c r="H586" s="92"/>
      <c r="I586" s="92"/>
      <c r="J586" s="92"/>
      <c r="K586" s="92"/>
      <c r="L586" s="92"/>
      <c r="M586" s="92"/>
      <c r="N586" s="155"/>
      <c r="O586" s="157"/>
      <c r="P586" s="92"/>
      <c r="Q586" s="145"/>
      <c r="R586" s="92"/>
      <c r="S586" s="145"/>
      <c r="T586" s="92"/>
      <c r="U586" s="145"/>
      <c r="V586" s="92"/>
      <c r="W586" s="145"/>
      <c r="X586" s="92"/>
      <c r="Y586" s="145"/>
      <c r="Z586" s="92"/>
      <c r="AA586" s="145"/>
      <c r="AB586" s="64"/>
      <c r="AC586" s="145"/>
      <c r="AD586" s="64"/>
      <c r="AE586" s="145"/>
      <c r="AF586" s="196" t="str">
        <f t="shared" si="29"/>
        <v/>
      </c>
      <c r="AG586" s="95" t="b">
        <f t="shared" ref="AG586:AG649" si="31">IF(AND(AE586="C",AF586="C"),"UTILIZOU O PDA CORRETAMENTE",IF(AND(AE586="C",AF586="NC"),"UTILIZOU O PDA CORRETAMENTE. NÃO HÁ FOTOS DE TODAS AS ETAPAS",IF(AND(AE586="NC",AF586="NC"),"NÃO UTILIZOU O PDA",IF(AND(AE586="NA",AF586="NA"),"NÃO AVALIADO POR FALHA DE SINCRONISMO"))))</f>
        <v>0</v>
      </c>
      <c r="AH586" s="9"/>
      <c r="AI586" s="150">
        <f t="shared" si="30"/>
        <v>0</v>
      </c>
      <c r="AJ586" s="153" t="s">
        <v>6</v>
      </c>
    </row>
    <row r="587" spans="1:36" ht="30" customHeight="1">
      <c r="A587" s="92"/>
      <c r="B587" s="92"/>
      <c r="C587" s="92"/>
      <c r="D587" s="92"/>
      <c r="E587" s="92"/>
      <c r="F587" s="92"/>
      <c r="G587" s="92"/>
      <c r="H587" s="92"/>
      <c r="I587" s="92"/>
      <c r="J587" s="92"/>
      <c r="K587" s="92"/>
      <c r="L587" s="92"/>
      <c r="M587" s="92"/>
      <c r="N587" s="155"/>
      <c r="O587" s="157"/>
      <c r="P587" s="92"/>
      <c r="Q587" s="145"/>
      <c r="R587" s="92"/>
      <c r="S587" s="145"/>
      <c r="T587" s="92"/>
      <c r="U587" s="145"/>
      <c r="V587" s="92"/>
      <c r="W587" s="145"/>
      <c r="X587" s="92"/>
      <c r="Y587" s="145"/>
      <c r="Z587" s="92"/>
      <c r="AA587" s="145"/>
      <c r="AB587" s="64"/>
      <c r="AC587" s="145"/>
      <c r="AD587" s="64"/>
      <c r="AE587" s="145"/>
      <c r="AF587" s="196" t="str">
        <f t="shared" ref="AF587:AF650" si="32">IF(AND(O587="",Q587="",S587="",U587="",W587="",Y587="",AA587="",AC587=""),"",
IF(OR(    AND(O587&lt;&gt;"NA",O587&lt;&gt;"C",O587&lt;&gt;"NC",O587&lt;&gt;"SF",O587&lt;&gt;""),
    AND(Q587&lt;&gt;"NA",Q587&lt;&gt;"C",Q587&lt;&gt;"NC",Q587&lt;&gt;"SF",Q587&lt;&gt;""),
    AND(S587&lt;&gt;"NA",S587&lt;&gt;"C",S587&lt;&gt;"NC",S587&lt;&gt;"SF",S587&lt;&gt;""),
    AND(U587&lt;&gt;"NA",U587&lt;&gt;"C",U587&lt;&gt;"NC",U587&lt;&gt;"SF",U587&lt;&gt;""),
    AND(W587&lt;&gt;"NA",W587&lt;&gt;"C",W587&lt;&gt;"NC",W587&lt;&gt;"SF",W587&lt;&gt;""),
    AND(Y587&lt;&gt;"NA",Y587&lt;&gt;"C",Y587&lt;&gt;"NC",Y587&lt;&gt;"SF",Y587&lt;&gt;""),
    AND(AA587&lt;&gt;"NA",AA587&lt;&gt;"C",AA587&lt;&gt;"NC",AA587&lt;&gt;"SF",AA587&lt;&gt;""),
    AND(AC587&lt;&gt;"NA",AC587&lt;&gt;"C",AC587&lt;&gt;"NC",AC587&lt;&gt;"SF",AC587&lt;&gt;"")
),"FALSO",
IF(AND(O587="NA",Q587="NA",S587="NA",U587="NA",W587="NA",Y587="NA",AA587="NA",AC587="NA"),"NA",
IF(OR(O587="NC",Q587="NC",S587="NC",U587="NC",W587="NC",Y587="NC",AA587="NC",AC587="NC",
       O587="SF",Q587="SF",S587="SF",U587="SF",W587="SF",Y587="SF",AA587="SF",AC587="SF"),"NC",
IF(SUM(IF(O587="C",1,0),IF(Q587="C",1,0),IF(S587="C",1,0),IF(U587="C",1,0),IF(W587="C",1,0),IF(Y587="C",1,0),IF(AA587="C",1,0),IF(AC587="C",1,0))=1,"C","C")))))</f>
        <v/>
      </c>
      <c r="AG587" s="95" t="b">
        <f t="shared" si="31"/>
        <v>0</v>
      </c>
      <c r="AH587" s="9"/>
      <c r="AI587" s="150">
        <f t="shared" si="30"/>
        <v>0</v>
      </c>
      <c r="AJ587" s="153" t="s">
        <v>6</v>
      </c>
    </row>
    <row r="588" spans="1:36" ht="30" customHeight="1">
      <c r="A588" s="92"/>
      <c r="B588" s="92"/>
      <c r="C588" s="92"/>
      <c r="D588" s="92"/>
      <c r="E588" s="92"/>
      <c r="F588" s="92"/>
      <c r="G588" s="92"/>
      <c r="H588" s="92"/>
      <c r="I588" s="92"/>
      <c r="J588" s="92"/>
      <c r="K588" s="92"/>
      <c r="L588" s="92"/>
      <c r="M588" s="92"/>
      <c r="N588" s="155"/>
      <c r="O588" s="157"/>
      <c r="P588" s="92"/>
      <c r="Q588" s="145"/>
      <c r="R588" s="92"/>
      <c r="S588" s="145"/>
      <c r="T588" s="92"/>
      <c r="U588" s="145"/>
      <c r="V588" s="92"/>
      <c r="W588" s="145"/>
      <c r="X588" s="92"/>
      <c r="Y588" s="145"/>
      <c r="Z588" s="92"/>
      <c r="AA588" s="145"/>
      <c r="AB588" s="64"/>
      <c r="AC588" s="145"/>
      <c r="AD588" s="64"/>
      <c r="AE588" s="145"/>
      <c r="AF588" s="196" t="str">
        <f t="shared" si="32"/>
        <v/>
      </c>
      <c r="AG588" s="95" t="b">
        <f t="shared" si="31"/>
        <v>0</v>
      </c>
      <c r="AH588" s="9"/>
      <c r="AI588" s="150">
        <f t="shared" si="30"/>
        <v>0</v>
      </c>
      <c r="AJ588" s="153" t="s">
        <v>6</v>
      </c>
    </row>
    <row r="589" spans="1:36" ht="30" customHeight="1">
      <c r="A589" s="92"/>
      <c r="B589" s="92"/>
      <c r="C589" s="92"/>
      <c r="D589" s="92"/>
      <c r="E589" s="92"/>
      <c r="F589" s="92"/>
      <c r="G589" s="92"/>
      <c r="H589" s="92"/>
      <c r="I589" s="92"/>
      <c r="J589" s="92"/>
      <c r="K589" s="92"/>
      <c r="L589" s="92"/>
      <c r="M589" s="92"/>
      <c r="N589" s="155"/>
      <c r="O589" s="157"/>
      <c r="P589" s="92"/>
      <c r="Q589" s="145"/>
      <c r="R589" s="92"/>
      <c r="S589" s="145"/>
      <c r="T589" s="92"/>
      <c r="U589" s="145"/>
      <c r="V589" s="92"/>
      <c r="W589" s="145"/>
      <c r="X589" s="92"/>
      <c r="Y589" s="145"/>
      <c r="Z589" s="92"/>
      <c r="AA589" s="145"/>
      <c r="AB589" s="64"/>
      <c r="AC589" s="145"/>
      <c r="AD589" s="64"/>
      <c r="AE589" s="145"/>
      <c r="AF589" s="196" t="str">
        <f t="shared" si="32"/>
        <v/>
      </c>
      <c r="AG589" s="95" t="b">
        <f t="shared" si="31"/>
        <v>0</v>
      </c>
      <c r="AH589" s="9"/>
      <c r="AI589" s="150">
        <f t="shared" si="30"/>
        <v>0</v>
      </c>
      <c r="AJ589" s="153" t="s">
        <v>6</v>
      </c>
    </row>
    <row r="590" spans="1:36" ht="30" customHeight="1">
      <c r="A590" s="92"/>
      <c r="B590" s="92"/>
      <c r="C590" s="92"/>
      <c r="D590" s="92"/>
      <c r="E590" s="92"/>
      <c r="F590" s="92"/>
      <c r="G590" s="92"/>
      <c r="H590" s="92"/>
      <c r="I590" s="92"/>
      <c r="J590" s="92"/>
      <c r="K590" s="92"/>
      <c r="L590" s="92"/>
      <c r="M590" s="92"/>
      <c r="N590" s="155"/>
      <c r="O590" s="157"/>
      <c r="P590" s="92"/>
      <c r="Q590" s="145"/>
      <c r="R590" s="92"/>
      <c r="S590" s="145"/>
      <c r="T590" s="92"/>
      <c r="U590" s="145"/>
      <c r="V590" s="92"/>
      <c r="W590" s="145"/>
      <c r="X590" s="92"/>
      <c r="Y590" s="145"/>
      <c r="Z590" s="92"/>
      <c r="AA590" s="145"/>
      <c r="AB590" s="64"/>
      <c r="AC590" s="145"/>
      <c r="AD590" s="64"/>
      <c r="AE590" s="145"/>
      <c r="AF590" s="196" t="str">
        <f t="shared" si="32"/>
        <v/>
      </c>
      <c r="AG590" s="95" t="b">
        <f t="shared" si="31"/>
        <v>0</v>
      </c>
      <c r="AH590" s="9"/>
      <c r="AI590" s="150">
        <f t="shared" si="30"/>
        <v>0</v>
      </c>
      <c r="AJ590" s="153" t="s">
        <v>6</v>
      </c>
    </row>
    <row r="591" spans="1:36" ht="30" customHeight="1">
      <c r="A591" s="92"/>
      <c r="B591" s="92"/>
      <c r="C591" s="92"/>
      <c r="D591" s="92"/>
      <c r="E591" s="92"/>
      <c r="F591" s="92"/>
      <c r="G591" s="92"/>
      <c r="H591" s="92"/>
      <c r="I591" s="92"/>
      <c r="J591" s="92"/>
      <c r="K591" s="92"/>
      <c r="L591" s="92"/>
      <c r="M591" s="92"/>
      <c r="N591" s="155"/>
      <c r="O591" s="157"/>
      <c r="P591" s="92"/>
      <c r="Q591" s="145"/>
      <c r="R591" s="92"/>
      <c r="S591" s="145"/>
      <c r="T591" s="92"/>
      <c r="U591" s="145"/>
      <c r="V591" s="92"/>
      <c r="W591" s="145"/>
      <c r="X591" s="92"/>
      <c r="Y591" s="145"/>
      <c r="Z591" s="92"/>
      <c r="AA591" s="145"/>
      <c r="AB591" s="64"/>
      <c r="AC591" s="145"/>
      <c r="AD591" s="64"/>
      <c r="AE591" s="145"/>
      <c r="AF591" s="196" t="str">
        <f t="shared" si="32"/>
        <v/>
      </c>
      <c r="AG591" s="95" t="b">
        <f t="shared" si="31"/>
        <v>0</v>
      </c>
      <c r="AH591" s="9"/>
      <c r="AI591" s="150">
        <f t="shared" si="30"/>
        <v>0</v>
      </c>
      <c r="AJ591" s="153" t="s">
        <v>6</v>
      </c>
    </row>
    <row r="592" spans="1:36" ht="30" customHeight="1">
      <c r="A592" s="92"/>
      <c r="B592" s="92"/>
      <c r="C592" s="92"/>
      <c r="D592" s="92"/>
      <c r="E592" s="92"/>
      <c r="F592" s="92"/>
      <c r="G592" s="92"/>
      <c r="H592" s="92"/>
      <c r="I592" s="92"/>
      <c r="J592" s="92"/>
      <c r="K592" s="92"/>
      <c r="L592" s="92"/>
      <c r="M592" s="92"/>
      <c r="N592" s="155"/>
      <c r="O592" s="157"/>
      <c r="P592" s="92"/>
      <c r="Q592" s="145"/>
      <c r="R592" s="92"/>
      <c r="S592" s="145"/>
      <c r="T592" s="92"/>
      <c r="U592" s="145"/>
      <c r="V592" s="92"/>
      <c r="W592" s="145"/>
      <c r="X592" s="92"/>
      <c r="Y592" s="145"/>
      <c r="Z592" s="92"/>
      <c r="AA592" s="145"/>
      <c r="AB592" s="64"/>
      <c r="AC592" s="145"/>
      <c r="AD592" s="64"/>
      <c r="AE592" s="145"/>
      <c r="AF592" s="196" t="str">
        <f t="shared" si="32"/>
        <v/>
      </c>
      <c r="AG592" s="95" t="b">
        <f t="shared" si="31"/>
        <v>0</v>
      </c>
      <c r="AH592" s="9"/>
      <c r="AI592" s="150">
        <f t="shared" si="30"/>
        <v>0</v>
      </c>
      <c r="AJ592" s="153" t="s">
        <v>6</v>
      </c>
    </row>
    <row r="593" spans="1:36" ht="30" customHeight="1">
      <c r="A593" s="92"/>
      <c r="B593" s="92"/>
      <c r="C593" s="92"/>
      <c r="D593" s="92"/>
      <c r="E593" s="92"/>
      <c r="F593" s="92"/>
      <c r="G593" s="92"/>
      <c r="H593" s="92"/>
      <c r="I593" s="92"/>
      <c r="J593" s="92"/>
      <c r="K593" s="92"/>
      <c r="L593" s="92"/>
      <c r="M593" s="92"/>
      <c r="N593" s="155"/>
      <c r="O593" s="157"/>
      <c r="P593" s="92"/>
      <c r="Q593" s="145"/>
      <c r="R593" s="92"/>
      <c r="S593" s="145"/>
      <c r="T593" s="92"/>
      <c r="U593" s="145"/>
      <c r="V593" s="92"/>
      <c r="W593" s="145"/>
      <c r="X593" s="92"/>
      <c r="Y593" s="145"/>
      <c r="Z593" s="92"/>
      <c r="AA593" s="145"/>
      <c r="AB593" s="64"/>
      <c r="AC593" s="145"/>
      <c r="AD593" s="64"/>
      <c r="AE593" s="145"/>
      <c r="AF593" s="196" t="str">
        <f t="shared" si="32"/>
        <v/>
      </c>
      <c r="AG593" s="95" t="b">
        <f t="shared" si="31"/>
        <v>0</v>
      </c>
      <c r="AH593" s="9"/>
      <c r="AI593" s="150">
        <f t="shared" si="30"/>
        <v>0</v>
      </c>
      <c r="AJ593" s="153" t="s">
        <v>6</v>
      </c>
    </row>
    <row r="594" spans="1:36" ht="30" customHeight="1">
      <c r="A594" s="92"/>
      <c r="B594" s="92"/>
      <c r="C594" s="92"/>
      <c r="D594" s="92"/>
      <c r="E594" s="92"/>
      <c r="F594" s="92"/>
      <c r="G594" s="92"/>
      <c r="H594" s="92"/>
      <c r="I594" s="92"/>
      <c r="J594" s="92"/>
      <c r="K594" s="92"/>
      <c r="L594" s="92"/>
      <c r="M594" s="92"/>
      <c r="N594" s="155"/>
      <c r="O594" s="157"/>
      <c r="P594" s="92"/>
      <c r="Q594" s="145"/>
      <c r="R594" s="92"/>
      <c r="S594" s="145"/>
      <c r="T594" s="92"/>
      <c r="U594" s="145"/>
      <c r="V594" s="92"/>
      <c r="W594" s="145"/>
      <c r="X594" s="92"/>
      <c r="Y594" s="145"/>
      <c r="Z594" s="92"/>
      <c r="AA594" s="145"/>
      <c r="AB594" s="64"/>
      <c r="AC594" s="145"/>
      <c r="AD594" s="64"/>
      <c r="AE594" s="145"/>
      <c r="AF594" s="196" t="str">
        <f t="shared" si="32"/>
        <v/>
      </c>
      <c r="AG594" s="95" t="b">
        <f t="shared" si="31"/>
        <v>0</v>
      </c>
      <c r="AH594" s="9"/>
      <c r="AI594" s="150">
        <f t="shared" si="30"/>
        <v>0</v>
      </c>
      <c r="AJ594" s="153" t="s">
        <v>6</v>
      </c>
    </row>
    <row r="595" spans="1:36" ht="30" customHeight="1">
      <c r="A595" s="92"/>
      <c r="B595" s="92"/>
      <c r="C595" s="92"/>
      <c r="D595" s="92"/>
      <c r="E595" s="92"/>
      <c r="F595" s="92"/>
      <c r="G595" s="92"/>
      <c r="H595" s="92"/>
      <c r="I595" s="92"/>
      <c r="J595" s="92"/>
      <c r="K595" s="92"/>
      <c r="L595" s="92"/>
      <c r="M595" s="92"/>
      <c r="N595" s="155"/>
      <c r="O595" s="157"/>
      <c r="P595" s="92"/>
      <c r="Q595" s="145"/>
      <c r="R595" s="92"/>
      <c r="S595" s="145"/>
      <c r="T595" s="92"/>
      <c r="U595" s="145"/>
      <c r="V595" s="92"/>
      <c r="W595" s="145"/>
      <c r="X595" s="92"/>
      <c r="Y595" s="145"/>
      <c r="Z595" s="92"/>
      <c r="AA595" s="145"/>
      <c r="AB595" s="64"/>
      <c r="AC595" s="145"/>
      <c r="AD595" s="64"/>
      <c r="AE595" s="145"/>
      <c r="AF595" s="196" t="str">
        <f t="shared" si="32"/>
        <v/>
      </c>
      <c r="AG595" s="95" t="b">
        <f t="shared" si="31"/>
        <v>0</v>
      </c>
      <c r="AH595" s="9"/>
      <c r="AI595" s="150">
        <f t="shared" si="30"/>
        <v>0</v>
      </c>
      <c r="AJ595" s="153" t="s">
        <v>6</v>
      </c>
    </row>
    <row r="596" spans="1:36" ht="30" customHeight="1">
      <c r="A596" s="92"/>
      <c r="B596" s="92"/>
      <c r="C596" s="92"/>
      <c r="D596" s="92"/>
      <c r="E596" s="92"/>
      <c r="F596" s="92"/>
      <c r="G596" s="92"/>
      <c r="H596" s="92"/>
      <c r="I596" s="92"/>
      <c r="J596" s="92"/>
      <c r="K596" s="92"/>
      <c r="L596" s="92"/>
      <c r="M596" s="92"/>
      <c r="N596" s="155"/>
      <c r="O596" s="157"/>
      <c r="P596" s="92"/>
      <c r="Q596" s="145"/>
      <c r="R596" s="92"/>
      <c r="S596" s="145"/>
      <c r="T596" s="92"/>
      <c r="U596" s="145"/>
      <c r="V596" s="92"/>
      <c r="W596" s="145"/>
      <c r="X596" s="92"/>
      <c r="Y596" s="145"/>
      <c r="Z596" s="92"/>
      <c r="AA596" s="145"/>
      <c r="AB596" s="64"/>
      <c r="AC596" s="145"/>
      <c r="AD596" s="64"/>
      <c r="AE596" s="145"/>
      <c r="AF596" s="196" t="str">
        <f t="shared" si="32"/>
        <v/>
      </c>
      <c r="AG596" s="95" t="b">
        <f t="shared" si="31"/>
        <v>0</v>
      </c>
      <c r="AH596" s="9"/>
      <c r="AI596" s="150">
        <f t="shared" si="30"/>
        <v>0</v>
      </c>
      <c r="AJ596" s="153" t="s">
        <v>6</v>
      </c>
    </row>
    <row r="597" spans="1:36" ht="30" customHeight="1">
      <c r="A597" s="92"/>
      <c r="B597" s="92"/>
      <c r="C597" s="92"/>
      <c r="D597" s="92"/>
      <c r="E597" s="92"/>
      <c r="F597" s="92"/>
      <c r="G597" s="92"/>
      <c r="H597" s="92"/>
      <c r="I597" s="92"/>
      <c r="J597" s="92"/>
      <c r="K597" s="92"/>
      <c r="L597" s="92"/>
      <c r="M597" s="92"/>
      <c r="N597" s="155"/>
      <c r="O597" s="157"/>
      <c r="P597" s="92"/>
      <c r="Q597" s="145"/>
      <c r="R597" s="92"/>
      <c r="S597" s="145"/>
      <c r="T597" s="92"/>
      <c r="U597" s="145"/>
      <c r="V597" s="92"/>
      <c r="W597" s="145"/>
      <c r="X597" s="92"/>
      <c r="Y597" s="145"/>
      <c r="Z597" s="92"/>
      <c r="AA597" s="145"/>
      <c r="AB597" s="64"/>
      <c r="AC597" s="145"/>
      <c r="AD597" s="64"/>
      <c r="AE597" s="145"/>
      <c r="AF597" s="196" t="str">
        <f t="shared" si="32"/>
        <v/>
      </c>
      <c r="AG597" s="95" t="b">
        <f t="shared" si="31"/>
        <v>0</v>
      </c>
      <c r="AH597" s="9"/>
      <c r="AI597" s="150">
        <f t="shared" si="30"/>
        <v>0</v>
      </c>
      <c r="AJ597" s="153" t="s">
        <v>6</v>
      </c>
    </row>
    <row r="598" spans="1:36" ht="30" customHeight="1">
      <c r="A598" s="92"/>
      <c r="B598" s="92"/>
      <c r="C598" s="92"/>
      <c r="D598" s="92"/>
      <c r="E598" s="92"/>
      <c r="F598" s="92"/>
      <c r="G598" s="92"/>
      <c r="H598" s="92"/>
      <c r="I598" s="92"/>
      <c r="J598" s="92"/>
      <c r="K598" s="92"/>
      <c r="L598" s="92"/>
      <c r="M598" s="92"/>
      <c r="N598" s="155"/>
      <c r="O598" s="157"/>
      <c r="P598" s="92"/>
      <c r="Q598" s="145"/>
      <c r="R598" s="92"/>
      <c r="S598" s="145"/>
      <c r="T598" s="92"/>
      <c r="U598" s="145"/>
      <c r="V598" s="92"/>
      <c r="W598" s="145"/>
      <c r="X598" s="92"/>
      <c r="Y598" s="145"/>
      <c r="Z598" s="92"/>
      <c r="AA598" s="145"/>
      <c r="AB598" s="64"/>
      <c r="AC598" s="145"/>
      <c r="AD598" s="64"/>
      <c r="AE598" s="145"/>
      <c r="AF598" s="196" t="str">
        <f t="shared" si="32"/>
        <v/>
      </c>
      <c r="AG598" s="95" t="b">
        <f t="shared" si="31"/>
        <v>0</v>
      </c>
      <c r="AH598" s="9"/>
      <c r="AI598" s="150">
        <f t="shared" si="30"/>
        <v>0</v>
      </c>
      <c r="AJ598" s="153" t="s">
        <v>6</v>
      </c>
    </row>
    <row r="599" spans="1:36" ht="30" customHeight="1">
      <c r="A599" s="92"/>
      <c r="B599" s="92"/>
      <c r="C599" s="92"/>
      <c r="D599" s="92"/>
      <c r="E599" s="92"/>
      <c r="F599" s="92"/>
      <c r="G599" s="92"/>
      <c r="H599" s="92"/>
      <c r="I599" s="92"/>
      <c r="J599" s="92"/>
      <c r="K599" s="92"/>
      <c r="L599" s="92"/>
      <c r="M599" s="92"/>
      <c r="N599" s="155"/>
      <c r="O599" s="157"/>
      <c r="P599" s="92"/>
      <c r="Q599" s="145"/>
      <c r="R599" s="92"/>
      <c r="S599" s="145"/>
      <c r="T599" s="92"/>
      <c r="U599" s="145"/>
      <c r="V599" s="92"/>
      <c r="W599" s="145"/>
      <c r="X599" s="92"/>
      <c r="Y599" s="145"/>
      <c r="Z599" s="92"/>
      <c r="AA599" s="145"/>
      <c r="AB599" s="64"/>
      <c r="AC599" s="145"/>
      <c r="AD599" s="64"/>
      <c r="AE599" s="145"/>
      <c r="AF599" s="196" t="str">
        <f t="shared" si="32"/>
        <v/>
      </c>
      <c r="AG599" s="95" t="b">
        <f t="shared" si="31"/>
        <v>0</v>
      </c>
      <c r="AH599" s="9"/>
      <c r="AI599" s="150">
        <f t="shared" si="30"/>
        <v>0</v>
      </c>
      <c r="AJ599" s="153" t="s">
        <v>6</v>
      </c>
    </row>
    <row r="600" spans="1:36" ht="30" customHeight="1">
      <c r="A600" s="92"/>
      <c r="B600" s="92"/>
      <c r="C600" s="92"/>
      <c r="D600" s="92"/>
      <c r="E600" s="92"/>
      <c r="F600" s="92"/>
      <c r="G600" s="92"/>
      <c r="H600" s="92"/>
      <c r="I600" s="92"/>
      <c r="J600" s="92"/>
      <c r="K600" s="92"/>
      <c r="L600" s="92"/>
      <c r="M600" s="92"/>
      <c r="N600" s="155"/>
      <c r="O600" s="157"/>
      <c r="P600" s="92"/>
      <c r="Q600" s="145"/>
      <c r="R600" s="92"/>
      <c r="S600" s="145"/>
      <c r="T600" s="92"/>
      <c r="U600" s="145"/>
      <c r="V600" s="92"/>
      <c r="W600" s="145"/>
      <c r="X600" s="92"/>
      <c r="Y600" s="145"/>
      <c r="Z600" s="92"/>
      <c r="AA600" s="145"/>
      <c r="AB600" s="64"/>
      <c r="AC600" s="145"/>
      <c r="AD600" s="64"/>
      <c r="AE600" s="145"/>
      <c r="AF600" s="196" t="str">
        <f t="shared" si="32"/>
        <v/>
      </c>
      <c r="AG600" s="95" t="b">
        <f t="shared" si="31"/>
        <v>0</v>
      </c>
      <c r="AH600" s="9"/>
      <c r="AI600" s="150">
        <f t="shared" si="30"/>
        <v>0</v>
      </c>
      <c r="AJ600" s="153" t="s">
        <v>6</v>
      </c>
    </row>
    <row r="601" spans="1:36" ht="30" customHeight="1">
      <c r="A601" s="92"/>
      <c r="B601" s="92"/>
      <c r="C601" s="92"/>
      <c r="D601" s="92"/>
      <c r="E601" s="92"/>
      <c r="F601" s="92"/>
      <c r="G601" s="92"/>
      <c r="H601" s="92"/>
      <c r="I601" s="92"/>
      <c r="J601" s="92"/>
      <c r="K601" s="92"/>
      <c r="L601" s="92"/>
      <c r="M601" s="92"/>
      <c r="N601" s="155"/>
      <c r="O601" s="157"/>
      <c r="P601" s="92"/>
      <c r="Q601" s="145"/>
      <c r="R601" s="92"/>
      <c r="S601" s="145"/>
      <c r="T601" s="92"/>
      <c r="U601" s="145"/>
      <c r="V601" s="92"/>
      <c r="W601" s="145"/>
      <c r="X601" s="92"/>
      <c r="Y601" s="145"/>
      <c r="Z601" s="92"/>
      <c r="AA601" s="145"/>
      <c r="AB601" s="64"/>
      <c r="AC601" s="145"/>
      <c r="AD601" s="64"/>
      <c r="AE601" s="145"/>
      <c r="AF601" s="196" t="str">
        <f t="shared" si="32"/>
        <v/>
      </c>
      <c r="AG601" s="95" t="b">
        <f t="shared" si="31"/>
        <v>0</v>
      </c>
      <c r="AH601" s="9"/>
      <c r="AI601" s="150">
        <f t="shared" si="30"/>
        <v>0</v>
      </c>
      <c r="AJ601" s="153" t="s">
        <v>6</v>
      </c>
    </row>
    <row r="602" spans="1:36" ht="30" customHeight="1">
      <c r="A602" s="92"/>
      <c r="B602" s="92"/>
      <c r="C602" s="92"/>
      <c r="D602" s="92"/>
      <c r="E602" s="92"/>
      <c r="F602" s="92"/>
      <c r="G602" s="92"/>
      <c r="H602" s="92"/>
      <c r="I602" s="92"/>
      <c r="J602" s="92"/>
      <c r="K602" s="92"/>
      <c r="L602" s="92"/>
      <c r="M602" s="92"/>
      <c r="N602" s="155"/>
      <c r="O602" s="157"/>
      <c r="P602" s="92"/>
      <c r="Q602" s="145"/>
      <c r="R602" s="92"/>
      <c r="S602" s="145"/>
      <c r="T602" s="92"/>
      <c r="U602" s="145"/>
      <c r="V602" s="92"/>
      <c r="W602" s="145"/>
      <c r="X602" s="92"/>
      <c r="Y602" s="145"/>
      <c r="Z602" s="92"/>
      <c r="AA602" s="145"/>
      <c r="AB602" s="64"/>
      <c r="AC602" s="145"/>
      <c r="AD602" s="64"/>
      <c r="AE602" s="145"/>
      <c r="AF602" s="196" t="str">
        <f t="shared" si="32"/>
        <v/>
      </c>
      <c r="AG602" s="95" t="b">
        <f t="shared" si="31"/>
        <v>0</v>
      </c>
      <c r="AH602" s="9"/>
      <c r="AI602" s="150">
        <f t="shared" si="30"/>
        <v>0</v>
      </c>
      <c r="AJ602" s="153" t="s">
        <v>6</v>
      </c>
    </row>
    <row r="603" spans="1:36" ht="30" customHeight="1">
      <c r="A603" s="92"/>
      <c r="B603" s="92"/>
      <c r="C603" s="92"/>
      <c r="D603" s="92"/>
      <c r="E603" s="92"/>
      <c r="F603" s="92"/>
      <c r="G603" s="92"/>
      <c r="H603" s="92"/>
      <c r="I603" s="92"/>
      <c r="J603" s="92"/>
      <c r="K603" s="92"/>
      <c r="L603" s="92"/>
      <c r="M603" s="92"/>
      <c r="N603" s="155"/>
      <c r="O603" s="157"/>
      <c r="P603" s="92"/>
      <c r="Q603" s="145"/>
      <c r="R603" s="92"/>
      <c r="S603" s="145"/>
      <c r="T603" s="92"/>
      <c r="U603" s="145"/>
      <c r="V603" s="92"/>
      <c r="W603" s="145"/>
      <c r="X603" s="92"/>
      <c r="Y603" s="145"/>
      <c r="Z603" s="92"/>
      <c r="AA603" s="145"/>
      <c r="AB603" s="64"/>
      <c r="AC603" s="145"/>
      <c r="AD603" s="64"/>
      <c r="AE603" s="145"/>
      <c r="AF603" s="196" t="str">
        <f t="shared" si="32"/>
        <v/>
      </c>
      <c r="AG603" s="95" t="b">
        <f t="shared" si="31"/>
        <v>0</v>
      </c>
      <c r="AH603" s="9"/>
      <c r="AI603" s="150">
        <f t="shared" si="30"/>
        <v>0</v>
      </c>
      <c r="AJ603" s="153" t="s">
        <v>6</v>
      </c>
    </row>
    <row r="604" spans="1:36" ht="30" customHeight="1">
      <c r="A604" s="92"/>
      <c r="B604" s="92"/>
      <c r="C604" s="92"/>
      <c r="D604" s="92"/>
      <c r="E604" s="92"/>
      <c r="F604" s="92"/>
      <c r="G604" s="92"/>
      <c r="H604" s="92"/>
      <c r="I604" s="92"/>
      <c r="J604" s="92"/>
      <c r="K604" s="92"/>
      <c r="L604" s="92"/>
      <c r="M604" s="92"/>
      <c r="N604" s="155"/>
      <c r="O604" s="157"/>
      <c r="P604" s="92"/>
      <c r="Q604" s="145"/>
      <c r="R604" s="92"/>
      <c r="S604" s="145"/>
      <c r="T604" s="92"/>
      <c r="U604" s="145"/>
      <c r="V604" s="92"/>
      <c r="W604" s="145"/>
      <c r="X604" s="92"/>
      <c r="Y604" s="145"/>
      <c r="Z604" s="92"/>
      <c r="AA604" s="145"/>
      <c r="AB604" s="64"/>
      <c r="AC604" s="145"/>
      <c r="AD604" s="64"/>
      <c r="AE604" s="145"/>
      <c r="AF604" s="196" t="str">
        <f t="shared" si="32"/>
        <v/>
      </c>
      <c r="AG604" s="95" t="b">
        <f t="shared" si="31"/>
        <v>0</v>
      </c>
      <c r="AH604" s="9"/>
      <c r="AI604" s="150">
        <f t="shared" si="30"/>
        <v>0</v>
      </c>
      <c r="AJ604" s="153" t="s">
        <v>6</v>
      </c>
    </row>
    <row r="605" spans="1:36" ht="30" customHeight="1">
      <c r="A605" s="92"/>
      <c r="B605" s="92"/>
      <c r="C605" s="92"/>
      <c r="D605" s="92"/>
      <c r="E605" s="92"/>
      <c r="F605" s="92"/>
      <c r="G605" s="92"/>
      <c r="H605" s="92"/>
      <c r="I605" s="92"/>
      <c r="J605" s="92"/>
      <c r="K605" s="92"/>
      <c r="L605" s="92"/>
      <c r="M605" s="92"/>
      <c r="N605" s="155"/>
      <c r="O605" s="157"/>
      <c r="P605" s="92"/>
      <c r="Q605" s="145"/>
      <c r="R605" s="92"/>
      <c r="S605" s="145"/>
      <c r="T605" s="92"/>
      <c r="U605" s="145"/>
      <c r="V605" s="92"/>
      <c r="W605" s="145"/>
      <c r="X605" s="92"/>
      <c r="Y605" s="145"/>
      <c r="Z605" s="92"/>
      <c r="AA605" s="145"/>
      <c r="AB605" s="64"/>
      <c r="AC605" s="145"/>
      <c r="AD605" s="64"/>
      <c r="AE605" s="145"/>
      <c r="AF605" s="196" t="str">
        <f t="shared" si="32"/>
        <v/>
      </c>
      <c r="AG605" s="95" t="b">
        <f t="shared" si="31"/>
        <v>0</v>
      </c>
      <c r="AH605" s="9"/>
      <c r="AI605" s="150">
        <f t="shared" si="30"/>
        <v>0</v>
      </c>
      <c r="AJ605" s="153" t="s">
        <v>6</v>
      </c>
    </row>
    <row r="606" spans="1:36" ht="30" customHeight="1">
      <c r="A606" s="92"/>
      <c r="B606" s="92"/>
      <c r="C606" s="92"/>
      <c r="D606" s="92"/>
      <c r="E606" s="92"/>
      <c r="F606" s="92"/>
      <c r="G606" s="92"/>
      <c r="H606" s="92"/>
      <c r="I606" s="92"/>
      <c r="J606" s="92"/>
      <c r="K606" s="92"/>
      <c r="L606" s="92"/>
      <c r="M606" s="92"/>
      <c r="N606" s="155"/>
      <c r="O606" s="157"/>
      <c r="P606" s="92"/>
      <c r="Q606" s="145"/>
      <c r="R606" s="92"/>
      <c r="S606" s="145"/>
      <c r="T606" s="92"/>
      <c r="U606" s="145"/>
      <c r="V606" s="92"/>
      <c r="W606" s="145"/>
      <c r="X606" s="92"/>
      <c r="Y606" s="145"/>
      <c r="Z606" s="92"/>
      <c r="AA606" s="145"/>
      <c r="AB606" s="64"/>
      <c r="AC606" s="145"/>
      <c r="AD606" s="64"/>
      <c r="AE606" s="145"/>
      <c r="AF606" s="196" t="str">
        <f t="shared" si="32"/>
        <v/>
      </c>
      <c r="AG606" s="95" t="b">
        <f t="shared" si="31"/>
        <v>0</v>
      </c>
      <c r="AH606" s="9"/>
      <c r="AI606" s="150">
        <f t="shared" si="30"/>
        <v>0</v>
      </c>
      <c r="AJ606" s="153" t="s">
        <v>6</v>
      </c>
    </row>
    <row r="607" spans="1:36" ht="30" customHeight="1">
      <c r="A607" s="92"/>
      <c r="B607" s="92"/>
      <c r="C607" s="92"/>
      <c r="D607" s="92"/>
      <c r="E607" s="92"/>
      <c r="F607" s="92"/>
      <c r="G607" s="92"/>
      <c r="H607" s="92"/>
      <c r="I607" s="92"/>
      <c r="J607" s="92"/>
      <c r="K607" s="92"/>
      <c r="L607" s="92"/>
      <c r="M607" s="92"/>
      <c r="N607" s="155"/>
      <c r="O607" s="157"/>
      <c r="P607" s="92"/>
      <c r="Q607" s="145"/>
      <c r="R607" s="92"/>
      <c r="S607" s="145"/>
      <c r="T607" s="92"/>
      <c r="U607" s="145"/>
      <c r="V607" s="92"/>
      <c r="W607" s="145"/>
      <c r="X607" s="92"/>
      <c r="Y607" s="145"/>
      <c r="Z607" s="92"/>
      <c r="AA607" s="145"/>
      <c r="AB607" s="64"/>
      <c r="AC607" s="145"/>
      <c r="AD607" s="64"/>
      <c r="AE607" s="145"/>
      <c r="AF607" s="196" t="str">
        <f t="shared" si="32"/>
        <v/>
      </c>
      <c r="AG607" s="95" t="b">
        <f t="shared" si="31"/>
        <v>0</v>
      </c>
      <c r="AH607" s="9"/>
      <c r="AI607" s="150">
        <f t="shared" si="30"/>
        <v>0</v>
      </c>
      <c r="AJ607" s="153" t="s">
        <v>6</v>
      </c>
    </row>
    <row r="608" spans="1:36" ht="30" customHeight="1">
      <c r="A608" s="92"/>
      <c r="B608" s="92"/>
      <c r="C608" s="92"/>
      <c r="D608" s="92"/>
      <c r="E608" s="92"/>
      <c r="F608" s="92"/>
      <c r="G608" s="92"/>
      <c r="H608" s="92"/>
      <c r="I608" s="92"/>
      <c r="J608" s="92"/>
      <c r="K608" s="92"/>
      <c r="L608" s="92"/>
      <c r="M608" s="92"/>
      <c r="N608" s="155"/>
      <c r="O608" s="157"/>
      <c r="P608" s="92"/>
      <c r="Q608" s="145"/>
      <c r="R608" s="92"/>
      <c r="S608" s="145"/>
      <c r="T608" s="92"/>
      <c r="U608" s="145"/>
      <c r="V608" s="92"/>
      <c r="W608" s="145"/>
      <c r="X608" s="92"/>
      <c r="Y608" s="145"/>
      <c r="Z608" s="92"/>
      <c r="AA608" s="145"/>
      <c r="AB608" s="64"/>
      <c r="AC608" s="145"/>
      <c r="AD608" s="64"/>
      <c r="AE608" s="145"/>
      <c r="AF608" s="196" t="str">
        <f t="shared" si="32"/>
        <v/>
      </c>
      <c r="AG608" s="95" t="b">
        <f t="shared" si="31"/>
        <v>0</v>
      </c>
      <c r="AH608" s="9"/>
      <c r="AI608" s="150">
        <f t="shared" si="30"/>
        <v>0</v>
      </c>
      <c r="AJ608" s="153" t="s">
        <v>6</v>
      </c>
    </row>
    <row r="609" spans="1:36" ht="30" customHeight="1">
      <c r="A609" s="92"/>
      <c r="B609" s="92"/>
      <c r="C609" s="92"/>
      <c r="D609" s="92"/>
      <c r="E609" s="92"/>
      <c r="F609" s="92"/>
      <c r="G609" s="92"/>
      <c r="H609" s="92"/>
      <c r="I609" s="92"/>
      <c r="J609" s="92"/>
      <c r="K609" s="92"/>
      <c r="L609" s="92"/>
      <c r="M609" s="92"/>
      <c r="N609" s="155"/>
      <c r="O609" s="157"/>
      <c r="P609" s="92"/>
      <c r="Q609" s="145"/>
      <c r="R609" s="92"/>
      <c r="S609" s="145"/>
      <c r="T609" s="92"/>
      <c r="U609" s="145"/>
      <c r="V609" s="92"/>
      <c r="W609" s="145"/>
      <c r="X609" s="92"/>
      <c r="Y609" s="145"/>
      <c r="Z609" s="92"/>
      <c r="AA609" s="145"/>
      <c r="AB609" s="64"/>
      <c r="AC609" s="145"/>
      <c r="AD609" s="64"/>
      <c r="AE609" s="145"/>
      <c r="AF609" s="196" t="str">
        <f t="shared" si="32"/>
        <v/>
      </c>
      <c r="AG609" s="95" t="b">
        <f t="shared" si="31"/>
        <v>0</v>
      </c>
      <c r="AH609" s="9"/>
      <c r="AI609" s="150">
        <f t="shared" si="30"/>
        <v>0</v>
      </c>
      <c r="AJ609" s="153" t="s">
        <v>6</v>
      </c>
    </row>
    <row r="610" spans="1:36" ht="30" customHeight="1">
      <c r="A610" s="92"/>
      <c r="B610" s="92"/>
      <c r="C610" s="92"/>
      <c r="D610" s="92"/>
      <c r="E610" s="92"/>
      <c r="F610" s="92"/>
      <c r="G610" s="92"/>
      <c r="H610" s="92"/>
      <c r="I610" s="92"/>
      <c r="J610" s="92"/>
      <c r="K610" s="92"/>
      <c r="L610" s="92"/>
      <c r="M610" s="92"/>
      <c r="N610" s="155"/>
      <c r="O610" s="157"/>
      <c r="P610" s="92"/>
      <c r="Q610" s="145"/>
      <c r="R610" s="92"/>
      <c r="S610" s="145"/>
      <c r="T610" s="92"/>
      <c r="U610" s="145"/>
      <c r="V610" s="92"/>
      <c r="W610" s="145"/>
      <c r="X610" s="92"/>
      <c r="Y610" s="145"/>
      <c r="Z610" s="92"/>
      <c r="AA610" s="145"/>
      <c r="AB610" s="64"/>
      <c r="AC610" s="145"/>
      <c r="AD610" s="64"/>
      <c r="AE610" s="145"/>
      <c r="AF610" s="196" t="str">
        <f t="shared" si="32"/>
        <v/>
      </c>
      <c r="AG610" s="95" t="b">
        <f t="shared" si="31"/>
        <v>0</v>
      </c>
      <c r="AH610" s="9"/>
      <c r="AI610" s="150">
        <f t="shared" si="30"/>
        <v>0</v>
      </c>
      <c r="AJ610" s="153" t="s">
        <v>6</v>
      </c>
    </row>
    <row r="611" spans="1:36" ht="30" customHeight="1">
      <c r="A611" s="92"/>
      <c r="B611" s="92"/>
      <c r="C611" s="92"/>
      <c r="D611" s="92"/>
      <c r="E611" s="92"/>
      <c r="F611" s="92"/>
      <c r="G611" s="92"/>
      <c r="H611" s="92"/>
      <c r="I611" s="92"/>
      <c r="J611" s="92"/>
      <c r="K611" s="92"/>
      <c r="L611" s="92"/>
      <c r="M611" s="92"/>
      <c r="N611" s="155"/>
      <c r="O611" s="157"/>
      <c r="P611" s="92"/>
      <c r="Q611" s="145"/>
      <c r="R611" s="92"/>
      <c r="S611" s="145"/>
      <c r="T611" s="92"/>
      <c r="U611" s="145"/>
      <c r="V611" s="92"/>
      <c r="W611" s="145"/>
      <c r="X611" s="92"/>
      <c r="Y611" s="145"/>
      <c r="Z611" s="92"/>
      <c r="AA611" s="145"/>
      <c r="AB611" s="64"/>
      <c r="AC611" s="145"/>
      <c r="AD611" s="64"/>
      <c r="AE611" s="145"/>
      <c r="AF611" s="196" t="str">
        <f t="shared" si="32"/>
        <v/>
      </c>
      <c r="AG611" s="95" t="b">
        <f t="shared" si="31"/>
        <v>0</v>
      </c>
      <c r="AH611" s="9"/>
      <c r="AI611" s="150">
        <f t="shared" si="30"/>
        <v>0</v>
      </c>
      <c r="AJ611" s="153" t="s">
        <v>6</v>
      </c>
    </row>
    <row r="612" spans="1:36" ht="30" customHeight="1">
      <c r="A612" s="92"/>
      <c r="B612" s="92"/>
      <c r="C612" s="92"/>
      <c r="D612" s="92"/>
      <c r="E612" s="92"/>
      <c r="F612" s="92"/>
      <c r="G612" s="92"/>
      <c r="H612" s="92"/>
      <c r="I612" s="92"/>
      <c r="J612" s="92"/>
      <c r="K612" s="92"/>
      <c r="L612" s="92"/>
      <c r="M612" s="92"/>
      <c r="N612" s="155"/>
      <c r="O612" s="157"/>
      <c r="P612" s="92"/>
      <c r="Q612" s="145"/>
      <c r="R612" s="92"/>
      <c r="S612" s="145"/>
      <c r="T612" s="92"/>
      <c r="U612" s="145"/>
      <c r="V612" s="92"/>
      <c r="W612" s="145"/>
      <c r="X612" s="92"/>
      <c r="Y612" s="145"/>
      <c r="Z612" s="92"/>
      <c r="AA612" s="145"/>
      <c r="AB612" s="64"/>
      <c r="AC612" s="145"/>
      <c r="AD612" s="64"/>
      <c r="AE612" s="145"/>
      <c r="AF612" s="196" t="str">
        <f t="shared" si="32"/>
        <v/>
      </c>
      <c r="AG612" s="95" t="b">
        <f t="shared" si="31"/>
        <v>0</v>
      </c>
      <c r="AH612" s="9"/>
      <c r="AI612" s="150">
        <f t="shared" si="30"/>
        <v>0</v>
      </c>
      <c r="AJ612" s="153" t="s">
        <v>6</v>
      </c>
    </row>
    <row r="613" spans="1:36" ht="30" customHeight="1">
      <c r="A613" s="92"/>
      <c r="B613" s="92"/>
      <c r="C613" s="92"/>
      <c r="D613" s="92"/>
      <c r="E613" s="92"/>
      <c r="F613" s="92"/>
      <c r="G613" s="92"/>
      <c r="H613" s="92"/>
      <c r="I613" s="92"/>
      <c r="J613" s="92"/>
      <c r="K613" s="92"/>
      <c r="L613" s="92"/>
      <c r="M613" s="92"/>
      <c r="N613" s="155"/>
      <c r="O613" s="157"/>
      <c r="P613" s="92"/>
      <c r="Q613" s="145"/>
      <c r="R613" s="92"/>
      <c r="S613" s="145"/>
      <c r="T613" s="92"/>
      <c r="U613" s="145"/>
      <c r="V613" s="92"/>
      <c r="W613" s="145"/>
      <c r="X613" s="92"/>
      <c r="Y613" s="145"/>
      <c r="Z613" s="92"/>
      <c r="AA613" s="145"/>
      <c r="AB613" s="64"/>
      <c r="AC613" s="145"/>
      <c r="AD613" s="64"/>
      <c r="AE613" s="145"/>
      <c r="AF613" s="196" t="str">
        <f t="shared" si="32"/>
        <v/>
      </c>
      <c r="AG613" s="95" t="b">
        <f t="shared" si="31"/>
        <v>0</v>
      </c>
      <c r="AH613" s="9"/>
      <c r="AI613" s="150">
        <f t="shared" si="30"/>
        <v>0</v>
      </c>
      <c r="AJ613" s="153" t="s">
        <v>6</v>
      </c>
    </row>
    <row r="614" spans="1:36" ht="30" customHeight="1">
      <c r="A614" s="92"/>
      <c r="B614" s="92"/>
      <c r="C614" s="92"/>
      <c r="D614" s="92"/>
      <c r="E614" s="92"/>
      <c r="F614" s="92"/>
      <c r="G614" s="92"/>
      <c r="H614" s="92"/>
      <c r="I614" s="92"/>
      <c r="J614" s="92"/>
      <c r="K614" s="92"/>
      <c r="L614" s="92"/>
      <c r="M614" s="92"/>
      <c r="N614" s="155"/>
      <c r="O614" s="157"/>
      <c r="P614" s="92"/>
      <c r="Q614" s="145"/>
      <c r="R614" s="92"/>
      <c r="S614" s="145"/>
      <c r="T614" s="92"/>
      <c r="U614" s="145"/>
      <c r="V614" s="92"/>
      <c r="W614" s="145"/>
      <c r="X614" s="92"/>
      <c r="Y614" s="145"/>
      <c r="Z614" s="92"/>
      <c r="AA614" s="145"/>
      <c r="AB614" s="64"/>
      <c r="AC614" s="145"/>
      <c r="AD614" s="64"/>
      <c r="AE614" s="145"/>
      <c r="AF614" s="196" t="str">
        <f t="shared" si="32"/>
        <v/>
      </c>
      <c r="AG614" s="95" t="b">
        <f t="shared" si="31"/>
        <v>0</v>
      </c>
      <c r="AH614" s="9"/>
      <c r="AI614" s="150">
        <f t="shared" si="30"/>
        <v>0</v>
      </c>
      <c r="AJ614" s="153" t="s">
        <v>6</v>
      </c>
    </row>
    <row r="615" spans="1:36" ht="30" customHeight="1">
      <c r="A615" s="92"/>
      <c r="B615" s="92"/>
      <c r="C615" s="92"/>
      <c r="D615" s="92"/>
      <c r="E615" s="92"/>
      <c r="F615" s="92"/>
      <c r="G615" s="92"/>
      <c r="H615" s="92"/>
      <c r="I615" s="92"/>
      <c r="J615" s="92"/>
      <c r="K615" s="92"/>
      <c r="L615" s="92"/>
      <c r="M615" s="92"/>
      <c r="N615" s="155"/>
      <c r="O615" s="157"/>
      <c r="P615" s="92"/>
      <c r="Q615" s="145"/>
      <c r="R615" s="92"/>
      <c r="S615" s="145"/>
      <c r="T615" s="92"/>
      <c r="U615" s="145"/>
      <c r="V615" s="92"/>
      <c r="W615" s="145"/>
      <c r="X615" s="92"/>
      <c r="Y615" s="145"/>
      <c r="Z615" s="92"/>
      <c r="AA615" s="145"/>
      <c r="AB615" s="64"/>
      <c r="AC615" s="145"/>
      <c r="AD615" s="64"/>
      <c r="AE615" s="145"/>
      <c r="AF615" s="196" t="str">
        <f t="shared" si="32"/>
        <v/>
      </c>
      <c r="AG615" s="95" t="b">
        <f t="shared" si="31"/>
        <v>0</v>
      </c>
      <c r="AH615" s="9"/>
      <c r="AI615" s="150">
        <f t="shared" si="30"/>
        <v>0</v>
      </c>
      <c r="AJ615" s="153" t="s">
        <v>6</v>
      </c>
    </row>
    <row r="616" spans="1:36" ht="30" customHeight="1">
      <c r="A616" s="92"/>
      <c r="B616" s="92"/>
      <c r="C616" s="92"/>
      <c r="D616" s="92"/>
      <c r="E616" s="92"/>
      <c r="F616" s="92"/>
      <c r="G616" s="92"/>
      <c r="H616" s="92"/>
      <c r="I616" s="92"/>
      <c r="J616" s="92"/>
      <c r="K616" s="92"/>
      <c r="L616" s="92"/>
      <c r="M616" s="92"/>
      <c r="N616" s="155"/>
      <c r="O616" s="157"/>
      <c r="P616" s="92"/>
      <c r="Q616" s="145"/>
      <c r="R616" s="92"/>
      <c r="S616" s="145"/>
      <c r="T616" s="92"/>
      <c r="U616" s="145"/>
      <c r="V616" s="92"/>
      <c r="W616" s="145"/>
      <c r="X616" s="92"/>
      <c r="Y616" s="145"/>
      <c r="Z616" s="92"/>
      <c r="AA616" s="145"/>
      <c r="AB616" s="64"/>
      <c r="AC616" s="145"/>
      <c r="AD616" s="64"/>
      <c r="AE616" s="145"/>
      <c r="AF616" s="196" t="str">
        <f t="shared" si="32"/>
        <v/>
      </c>
      <c r="AG616" s="95" t="b">
        <f t="shared" si="31"/>
        <v>0</v>
      </c>
      <c r="AH616" s="9"/>
      <c r="AI616" s="150">
        <f t="shared" si="30"/>
        <v>0</v>
      </c>
      <c r="AJ616" s="153" t="s">
        <v>6</v>
      </c>
    </row>
    <row r="617" spans="1:36" ht="30" customHeight="1">
      <c r="A617" s="92"/>
      <c r="B617" s="92"/>
      <c r="C617" s="92"/>
      <c r="D617" s="92"/>
      <c r="E617" s="92"/>
      <c r="F617" s="92"/>
      <c r="G617" s="92"/>
      <c r="H617" s="92"/>
      <c r="I617" s="92"/>
      <c r="J617" s="92"/>
      <c r="K617" s="92"/>
      <c r="L617" s="92"/>
      <c r="M617" s="92"/>
      <c r="N617" s="155"/>
      <c r="O617" s="157"/>
      <c r="P617" s="92"/>
      <c r="Q617" s="145"/>
      <c r="R617" s="92"/>
      <c r="S617" s="145"/>
      <c r="T617" s="92"/>
      <c r="U617" s="145"/>
      <c r="V617" s="92"/>
      <c r="W617" s="145"/>
      <c r="X617" s="92"/>
      <c r="Y617" s="145"/>
      <c r="Z617" s="92"/>
      <c r="AA617" s="145"/>
      <c r="AB617" s="64"/>
      <c r="AC617" s="145"/>
      <c r="AD617" s="64"/>
      <c r="AE617" s="145"/>
      <c r="AF617" s="196" t="str">
        <f t="shared" si="32"/>
        <v/>
      </c>
      <c r="AG617" s="95" t="b">
        <f t="shared" si="31"/>
        <v>0</v>
      </c>
      <c r="AH617" s="9"/>
      <c r="AI617" s="150">
        <f t="shared" si="30"/>
        <v>0</v>
      </c>
      <c r="AJ617" s="153" t="s">
        <v>6</v>
      </c>
    </row>
    <row r="618" spans="1:36" ht="30" customHeight="1">
      <c r="A618" s="92"/>
      <c r="B618" s="92"/>
      <c r="C618" s="92"/>
      <c r="D618" s="92"/>
      <c r="E618" s="92"/>
      <c r="F618" s="92"/>
      <c r="G618" s="92"/>
      <c r="H618" s="92"/>
      <c r="I618" s="92"/>
      <c r="J618" s="92"/>
      <c r="K618" s="92"/>
      <c r="L618" s="92"/>
      <c r="M618" s="92"/>
      <c r="N618" s="155"/>
      <c r="O618" s="157"/>
      <c r="P618" s="92"/>
      <c r="Q618" s="145"/>
      <c r="R618" s="92"/>
      <c r="S618" s="145"/>
      <c r="T618" s="92"/>
      <c r="U618" s="145"/>
      <c r="V618" s="92"/>
      <c r="W618" s="145"/>
      <c r="X618" s="92"/>
      <c r="Y618" s="145"/>
      <c r="Z618" s="92"/>
      <c r="AA618" s="145"/>
      <c r="AB618" s="64"/>
      <c r="AC618" s="145"/>
      <c r="AD618" s="64"/>
      <c r="AE618" s="145"/>
      <c r="AF618" s="196" t="str">
        <f t="shared" si="32"/>
        <v/>
      </c>
      <c r="AG618" s="95" t="b">
        <f t="shared" si="31"/>
        <v>0</v>
      </c>
      <c r="AH618" s="9"/>
      <c r="AI618" s="150">
        <f t="shared" si="30"/>
        <v>0</v>
      </c>
      <c r="AJ618" s="153" t="s">
        <v>6</v>
      </c>
    </row>
    <row r="619" spans="1:36" ht="30" customHeight="1">
      <c r="A619" s="92"/>
      <c r="B619" s="92"/>
      <c r="C619" s="92"/>
      <c r="D619" s="92"/>
      <c r="E619" s="92"/>
      <c r="F619" s="92"/>
      <c r="G619" s="92"/>
      <c r="H619" s="92"/>
      <c r="I619" s="92"/>
      <c r="J619" s="92"/>
      <c r="K619" s="92"/>
      <c r="L619" s="92"/>
      <c r="M619" s="92"/>
      <c r="N619" s="155"/>
      <c r="O619" s="157"/>
      <c r="P619" s="92"/>
      <c r="Q619" s="145"/>
      <c r="R619" s="92"/>
      <c r="S619" s="145"/>
      <c r="T619" s="92"/>
      <c r="U619" s="145"/>
      <c r="V619" s="92"/>
      <c r="W619" s="145"/>
      <c r="X619" s="92"/>
      <c r="Y619" s="145"/>
      <c r="Z619" s="92"/>
      <c r="AA619" s="145"/>
      <c r="AB619" s="64"/>
      <c r="AC619" s="145"/>
      <c r="AD619" s="64"/>
      <c r="AE619" s="145"/>
      <c r="AF619" s="196" t="str">
        <f t="shared" si="32"/>
        <v/>
      </c>
      <c r="AG619" s="95" t="b">
        <f t="shared" si="31"/>
        <v>0</v>
      </c>
      <c r="AH619" s="9"/>
      <c r="AI619" s="150">
        <f t="shared" si="30"/>
        <v>0</v>
      </c>
      <c r="AJ619" s="153" t="s">
        <v>6</v>
      </c>
    </row>
    <row r="620" spans="1:36" ht="30" customHeight="1">
      <c r="A620" s="92"/>
      <c r="B620" s="92"/>
      <c r="C620" s="92"/>
      <c r="D620" s="92"/>
      <c r="E620" s="92"/>
      <c r="F620" s="92"/>
      <c r="G620" s="92"/>
      <c r="H620" s="92"/>
      <c r="I620" s="92"/>
      <c r="J620" s="92"/>
      <c r="K620" s="92"/>
      <c r="L620" s="92"/>
      <c r="M620" s="92"/>
      <c r="N620" s="155"/>
      <c r="O620" s="157"/>
      <c r="P620" s="92"/>
      <c r="Q620" s="145"/>
      <c r="R620" s="92"/>
      <c r="S620" s="145"/>
      <c r="T620" s="92"/>
      <c r="U620" s="145"/>
      <c r="V620" s="92"/>
      <c r="W620" s="145"/>
      <c r="X620" s="92"/>
      <c r="Y620" s="145"/>
      <c r="Z620" s="92"/>
      <c r="AA620" s="145"/>
      <c r="AB620" s="64"/>
      <c r="AC620" s="145"/>
      <c r="AD620" s="64"/>
      <c r="AE620" s="145"/>
      <c r="AF620" s="196" t="str">
        <f t="shared" si="32"/>
        <v/>
      </c>
      <c r="AG620" s="95" t="b">
        <f t="shared" si="31"/>
        <v>0</v>
      </c>
      <c r="AH620" s="9"/>
      <c r="AI620" s="150">
        <f t="shared" si="30"/>
        <v>0</v>
      </c>
      <c r="AJ620" s="153" t="s">
        <v>6</v>
      </c>
    </row>
    <row r="621" spans="1:36" ht="30" customHeight="1">
      <c r="A621" s="92"/>
      <c r="B621" s="92"/>
      <c r="C621" s="92"/>
      <c r="D621" s="92"/>
      <c r="E621" s="92"/>
      <c r="F621" s="92"/>
      <c r="G621" s="92"/>
      <c r="H621" s="92"/>
      <c r="I621" s="92"/>
      <c r="J621" s="92"/>
      <c r="K621" s="92"/>
      <c r="L621" s="92"/>
      <c r="M621" s="92"/>
      <c r="N621" s="155"/>
      <c r="O621" s="157"/>
      <c r="P621" s="92"/>
      <c r="Q621" s="145"/>
      <c r="R621" s="92"/>
      <c r="S621" s="145"/>
      <c r="T621" s="92"/>
      <c r="U621" s="145"/>
      <c r="V621" s="92"/>
      <c r="W621" s="145"/>
      <c r="X621" s="92"/>
      <c r="Y621" s="145"/>
      <c r="Z621" s="92"/>
      <c r="AA621" s="145"/>
      <c r="AB621" s="64"/>
      <c r="AC621" s="145"/>
      <c r="AD621" s="64"/>
      <c r="AE621" s="145"/>
      <c r="AF621" s="196" t="str">
        <f t="shared" si="32"/>
        <v/>
      </c>
      <c r="AG621" s="95" t="b">
        <f t="shared" si="31"/>
        <v>0</v>
      </c>
      <c r="AH621" s="9"/>
      <c r="AI621" s="150">
        <f t="shared" si="30"/>
        <v>0</v>
      </c>
      <c r="AJ621" s="153" t="s">
        <v>6</v>
      </c>
    </row>
    <row r="622" spans="1:36" ht="30" customHeight="1">
      <c r="A622" s="92"/>
      <c r="B622" s="92"/>
      <c r="C622" s="92"/>
      <c r="D622" s="92"/>
      <c r="E622" s="92"/>
      <c r="F622" s="92"/>
      <c r="G622" s="92"/>
      <c r="H622" s="92"/>
      <c r="I622" s="92"/>
      <c r="J622" s="92"/>
      <c r="K622" s="92"/>
      <c r="L622" s="92"/>
      <c r="M622" s="92"/>
      <c r="N622" s="155"/>
      <c r="O622" s="157"/>
      <c r="P622" s="92"/>
      <c r="Q622" s="145"/>
      <c r="R622" s="92"/>
      <c r="S622" s="145"/>
      <c r="T622" s="92"/>
      <c r="U622" s="145"/>
      <c r="V622" s="92"/>
      <c r="W622" s="145"/>
      <c r="X622" s="92"/>
      <c r="Y622" s="145"/>
      <c r="Z622" s="92"/>
      <c r="AA622" s="145"/>
      <c r="AB622" s="64"/>
      <c r="AC622" s="145"/>
      <c r="AD622" s="64"/>
      <c r="AE622" s="145"/>
      <c r="AF622" s="196" t="str">
        <f t="shared" si="32"/>
        <v/>
      </c>
      <c r="AG622" s="95" t="b">
        <f t="shared" si="31"/>
        <v>0</v>
      </c>
      <c r="AH622" s="9"/>
      <c r="AI622" s="150">
        <f t="shared" si="30"/>
        <v>0</v>
      </c>
      <c r="AJ622" s="153" t="s">
        <v>6</v>
      </c>
    </row>
    <row r="623" spans="1:36" ht="30" customHeight="1">
      <c r="A623" s="92"/>
      <c r="B623" s="92"/>
      <c r="C623" s="92"/>
      <c r="D623" s="92"/>
      <c r="E623" s="92"/>
      <c r="F623" s="92"/>
      <c r="G623" s="92"/>
      <c r="H623" s="92"/>
      <c r="I623" s="92"/>
      <c r="J623" s="92"/>
      <c r="K623" s="92"/>
      <c r="L623" s="92"/>
      <c r="M623" s="92"/>
      <c r="N623" s="155"/>
      <c r="O623" s="157"/>
      <c r="P623" s="92"/>
      <c r="Q623" s="145"/>
      <c r="R623" s="92"/>
      <c r="S623" s="145"/>
      <c r="T623" s="92"/>
      <c r="U623" s="145"/>
      <c r="V623" s="92"/>
      <c r="W623" s="145"/>
      <c r="X623" s="92"/>
      <c r="Y623" s="145"/>
      <c r="Z623" s="92"/>
      <c r="AA623" s="145"/>
      <c r="AB623" s="64"/>
      <c r="AC623" s="145"/>
      <c r="AD623" s="64"/>
      <c r="AE623" s="145"/>
      <c r="AF623" s="196" t="str">
        <f t="shared" si="32"/>
        <v/>
      </c>
      <c r="AG623" s="95" t="b">
        <f t="shared" si="31"/>
        <v>0</v>
      </c>
      <c r="AH623" s="9"/>
      <c r="AI623" s="150">
        <f t="shared" si="30"/>
        <v>0</v>
      </c>
      <c r="AJ623" s="153" t="s">
        <v>6</v>
      </c>
    </row>
    <row r="624" spans="1:36" ht="30" customHeight="1">
      <c r="A624" s="92"/>
      <c r="B624" s="92"/>
      <c r="C624" s="92"/>
      <c r="D624" s="92"/>
      <c r="E624" s="92"/>
      <c r="F624" s="92"/>
      <c r="G624" s="92"/>
      <c r="H624" s="92"/>
      <c r="I624" s="92"/>
      <c r="J624" s="92"/>
      <c r="K624" s="92"/>
      <c r="L624" s="92"/>
      <c r="M624" s="92"/>
      <c r="N624" s="155"/>
      <c r="O624" s="157"/>
      <c r="P624" s="92"/>
      <c r="Q624" s="145"/>
      <c r="R624" s="92"/>
      <c r="S624" s="145"/>
      <c r="T624" s="92"/>
      <c r="U624" s="145"/>
      <c r="V624" s="92"/>
      <c r="W624" s="145"/>
      <c r="X624" s="92"/>
      <c r="Y624" s="145"/>
      <c r="Z624" s="92"/>
      <c r="AA624" s="145"/>
      <c r="AB624" s="64"/>
      <c r="AC624" s="145"/>
      <c r="AD624" s="64"/>
      <c r="AE624" s="145"/>
      <c r="AF624" s="196" t="str">
        <f t="shared" si="32"/>
        <v/>
      </c>
      <c r="AG624" s="95" t="b">
        <f t="shared" si="31"/>
        <v>0</v>
      </c>
      <c r="AH624" s="9"/>
      <c r="AI624" s="150">
        <f t="shared" si="30"/>
        <v>0</v>
      </c>
      <c r="AJ624" s="153" t="s">
        <v>6</v>
      </c>
    </row>
    <row r="625" spans="1:36" ht="30" customHeight="1">
      <c r="A625" s="92"/>
      <c r="B625" s="92"/>
      <c r="C625" s="92"/>
      <c r="D625" s="92"/>
      <c r="E625" s="92"/>
      <c r="F625" s="92"/>
      <c r="G625" s="92"/>
      <c r="H625" s="92"/>
      <c r="I625" s="92"/>
      <c r="J625" s="92"/>
      <c r="K625" s="92"/>
      <c r="L625" s="92"/>
      <c r="M625" s="92"/>
      <c r="N625" s="155"/>
      <c r="O625" s="157"/>
      <c r="P625" s="92"/>
      <c r="Q625" s="145"/>
      <c r="R625" s="92"/>
      <c r="S625" s="145"/>
      <c r="T625" s="92"/>
      <c r="U625" s="145"/>
      <c r="V625" s="92"/>
      <c r="W625" s="145"/>
      <c r="X625" s="92"/>
      <c r="Y625" s="145"/>
      <c r="Z625" s="92"/>
      <c r="AA625" s="145"/>
      <c r="AB625" s="64"/>
      <c r="AC625" s="145"/>
      <c r="AD625" s="64"/>
      <c r="AE625" s="145"/>
      <c r="AF625" s="196" t="str">
        <f t="shared" si="32"/>
        <v/>
      </c>
      <c r="AG625" s="95" t="b">
        <f t="shared" si="31"/>
        <v>0</v>
      </c>
      <c r="AH625" s="9"/>
      <c r="AI625" s="150">
        <f t="shared" si="30"/>
        <v>0</v>
      </c>
      <c r="AJ625" s="153" t="s">
        <v>6</v>
      </c>
    </row>
    <row r="626" spans="1:36" ht="30" customHeight="1">
      <c r="A626" s="92"/>
      <c r="B626" s="92"/>
      <c r="C626" s="92"/>
      <c r="D626" s="92"/>
      <c r="E626" s="92"/>
      <c r="F626" s="92"/>
      <c r="G626" s="92"/>
      <c r="H626" s="92"/>
      <c r="I626" s="92"/>
      <c r="J626" s="92"/>
      <c r="K626" s="92"/>
      <c r="L626" s="92"/>
      <c r="M626" s="92"/>
      <c r="N626" s="155"/>
      <c r="O626" s="157"/>
      <c r="P626" s="92"/>
      <c r="Q626" s="145"/>
      <c r="R626" s="92"/>
      <c r="S626" s="145"/>
      <c r="T626" s="92"/>
      <c r="U626" s="145"/>
      <c r="V626" s="92"/>
      <c r="W626" s="145"/>
      <c r="X626" s="92"/>
      <c r="Y626" s="145"/>
      <c r="Z626" s="92"/>
      <c r="AA626" s="145"/>
      <c r="AB626" s="64"/>
      <c r="AC626" s="145"/>
      <c r="AD626" s="64"/>
      <c r="AE626" s="145"/>
      <c r="AF626" s="196" t="str">
        <f t="shared" si="32"/>
        <v/>
      </c>
      <c r="AG626" s="95" t="b">
        <f t="shared" si="31"/>
        <v>0</v>
      </c>
      <c r="AH626" s="9"/>
      <c r="AI626" s="150">
        <f t="shared" si="30"/>
        <v>0</v>
      </c>
      <c r="AJ626" s="153" t="s">
        <v>6</v>
      </c>
    </row>
    <row r="627" spans="1:36" ht="30" customHeight="1">
      <c r="A627" s="92"/>
      <c r="B627" s="92"/>
      <c r="C627" s="92"/>
      <c r="D627" s="92"/>
      <c r="E627" s="92"/>
      <c r="F627" s="92"/>
      <c r="G627" s="92"/>
      <c r="H627" s="92"/>
      <c r="I627" s="92"/>
      <c r="J627" s="92"/>
      <c r="K627" s="92"/>
      <c r="L627" s="92"/>
      <c r="M627" s="92"/>
      <c r="N627" s="155"/>
      <c r="O627" s="157"/>
      <c r="P627" s="92"/>
      <c r="Q627" s="145"/>
      <c r="R627" s="92"/>
      <c r="S627" s="145"/>
      <c r="T627" s="92"/>
      <c r="U627" s="145"/>
      <c r="V627" s="92"/>
      <c r="W627" s="145"/>
      <c r="X627" s="92"/>
      <c r="Y627" s="145"/>
      <c r="Z627" s="92"/>
      <c r="AA627" s="145"/>
      <c r="AB627" s="64"/>
      <c r="AC627" s="145"/>
      <c r="AD627" s="64"/>
      <c r="AE627" s="145"/>
      <c r="AF627" s="196" t="str">
        <f t="shared" si="32"/>
        <v/>
      </c>
      <c r="AG627" s="95" t="b">
        <f t="shared" si="31"/>
        <v>0</v>
      </c>
      <c r="AH627" s="9"/>
      <c r="AI627" s="150">
        <f t="shared" si="30"/>
        <v>0</v>
      </c>
      <c r="AJ627" s="153" t="s">
        <v>6</v>
      </c>
    </row>
    <row r="628" spans="1:36" ht="30" customHeight="1">
      <c r="A628" s="92"/>
      <c r="B628" s="92"/>
      <c r="C628" s="92"/>
      <c r="D628" s="92"/>
      <c r="E628" s="92"/>
      <c r="F628" s="92"/>
      <c r="G628" s="92"/>
      <c r="H628" s="92"/>
      <c r="I628" s="92"/>
      <c r="J628" s="92"/>
      <c r="K628" s="92"/>
      <c r="L628" s="92"/>
      <c r="M628" s="92"/>
      <c r="N628" s="155"/>
      <c r="O628" s="157"/>
      <c r="P628" s="92"/>
      <c r="Q628" s="145"/>
      <c r="R628" s="92"/>
      <c r="S628" s="145"/>
      <c r="T628" s="92"/>
      <c r="U628" s="145"/>
      <c r="V628" s="92"/>
      <c r="W628" s="145"/>
      <c r="X628" s="92"/>
      <c r="Y628" s="145"/>
      <c r="Z628" s="92"/>
      <c r="AA628" s="145"/>
      <c r="AB628" s="64"/>
      <c r="AC628" s="145"/>
      <c r="AD628" s="64"/>
      <c r="AE628" s="145"/>
      <c r="AF628" s="196" t="str">
        <f t="shared" si="32"/>
        <v/>
      </c>
      <c r="AG628" s="95" t="b">
        <f t="shared" si="31"/>
        <v>0</v>
      </c>
      <c r="AH628" s="9"/>
      <c r="AI628" s="150">
        <f t="shared" si="30"/>
        <v>0</v>
      </c>
      <c r="AJ628" s="153" t="s">
        <v>6</v>
      </c>
    </row>
    <row r="629" spans="1:36" ht="30" customHeight="1">
      <c r="A629" s="92"/>
      <c r="B629" s="92"/>
      <c r="C629" s="92"/>
      <c r="D629" s="92"/>
      <c r="E629" s="92"/>
      <c r="F629" s="92"/>
      <c r="G629" s="92"/>
      <c r="H629" s="92"/>
      <c r="I629" s="92"/>
      <c r="J629" s="92"/>
      <c r="K629" s="92"/>
      <c r="L629" s="92"/>
      <c r="M629" s="92"/>
      <c r="N629" s="155"/>
      <c r="O629" s="157"/>
      <c r="P629" s="92"/>
      <c r="Q629" s="145"/>
      <c r="R629" s="92"/>
      <c r="S629" s="145"/>
      <c r="T629" s="92"/>
      <c r="U629" s="145"/>
      <c r="V629" s="92"/>
      <c r="W629" s="145"/>
      <c r="X629" s="92"/>
      <c r="Y629" s="145"/>
      <c r="Z629" s="92"/>
      <c r="AA629" s="145"/>
      <c r="AB629" s="64"/>
      <c r="AC629" s="145"/>
      <c r="AD629" s="64"/>
      <c r="AE629" s="145"/>
      <c r="AF629" s="196" t="str">
        <f t="shared" si="32"/>
        <v/>
      </c>
      <c r="AG629" s="95" t="b">
        <f t="shared" si="31"/>
        <v>0</v>
      </c>
      <c r="AH629" s="9"/>
      <c r="AI629" s="150">
        <f t="shared" si="30"/>
        <v>0</v>
      </c>
      <c r="AJ629" s="153" t="s">
        <v>6</v>
      </c>
    </row>
    <row r="630" spans="1:36" ht="30" customHeight="1">
      <c r="A630" s="92"/>
      <c r="B630" s="92"/>
      <c r="C630" s="92"/>
      <c r="D630" s="92"/>
      <c r="E630" s="92"/>
      <c r="F630" s="92"/>
      <c r="G630" s="92"/>
      <c r="H630" s="92"/>
      <c r="I630" s="92"/>
      <c r="J630" s="92"/>
      <c r="K630" s="92"/>
      <c r="L630" s="92"/>
      <c r="M630" s="92"/>
      <c r="N630" s="155"/>
      <c r="O630" s="157"/>
      <c r="P630" s="92"/>
      <c r="Q630" s="145"/>
      <c r="R630" s="92"/>
      <c r="S630" s="145"/>
      <c r="T630" s="92"/>
      <c r="U630" s="145"/>
      <c r="V630" s="92"/>
      <c r="W630" s="145"/>
      <c r="X630" s="92"/>
      <c r="Y630" s="145"/>
      <c r="Z630" s="92"/>
      <c r="AA630" s="145"/>
      <c r="AB630" s="64"/>
      <c r="AC630" s="145"/>
      <c r="AD630" s="64"/>
      <c r="AE630" s="145"/>
      <c r="AF630" s="196" t="str">
        <f t="shared" si="32"/>
        <v/>
      </c>
      <c r="AG630" s="95" t="b">
        <f t="shared" si="31"/>
        <v>0</v>
      </c>
      <c r="AH630" s="9"/>
      <c r="AI630" s="150">
        <f t="shared" si="30"/>
        <v>0</v>
      </c>
      <c r="AJ630" s="153" t="s">
        <v>6</v>
      </c>
    </row>
    <row r="631" spans="1:36" ht="30" customHeight="1">
      <c r="A631" s="92"/>
      <c r="B631" s="92"/>
      <c r="C631" s="92"/>
      <c r="D631" s="92"/>
      <c r="E631" s="92"/>
      <c r="F631" s="92"/>
      <c r="G631" s="92"/>
      <c r="H631" s="92"/>
      <c r="I631" s="92"/>
      <c r="J631" s="92"/>
      <c r="K631" s="92"/>
      <c r="L631" s="92"/>
      <c r="M631" s="92"/>
      <c r="N631" s="155"/>
      <c r="O631" s="157"/>
      <c r="P631" s="92"/>
      <c r="Q631" s="145"/>
      <c r="R631" s="92"/>
      <c r="S631" s="145"/>
      <c r="T631" s="92"/>
      <c r="U631" s="145"/>
      <c r="V631" s="92"/>
      <c r="W631" s="145"/>
      <c r="X631" s="92"/>
      <c r="Y631" s="145"/>
      <c r="Z631" s="92"/>
      <c r="AA631" s="145"/>
      <c r="AB631" s="64"/>
      <c r="AC631" s="145"/>
      <c r="AD631" s="64"/>
      <c r="AE631" s="145"/>
      <c r="AF631" s="196" t="str">
        <f t="shared" si="32"/>
        <v/>
      </c>
      <c r="AG631" s="95" t="b">
        <f t="shared" si="31"/>
        <v>0</v>
      </c>
      <c r="AH631" s="9"/>
      <c r="AI631" s="150">
        <f t="shared" si="30"/>
        <v>0</v>
      </c>
      <c r="AJ631" s="153" t="s">
        <v>6</v>
      </c>
    </row>
    <row r="632" spans="1:36" ht="30" customHeight="1">
      <c r="A632" s="92"/>
      <c r="B632" s="92"/>
      <c r="C632" s="92"/>
      <c r="D632" s="92"/>
      <c r="E632" s="92"/>
      <c r="F632" s="92"/>
      <c r="G632" s="92"/>
      <c r="H632" s="92"/>
      <c r="I632" s="92"/>
      <c r="J632" s="92"/>
      <c r="K632" s="92"/>
      <c r="L632" s="92"/>
      <c r="M632" s="92"/>
      <c r="N632" s="155"/>
      <c r="O632" s="157"/>
      <c r="P632" s="92"/>
      <c r="Q632" s="145"/>
      <c r="R632" s="92"/>
      <c r="S632" s="145"/>
      <c r="T632" s="92"/>
      <c r="U632" s="145"/>
      <c r="V632" s="92"/>
      <c r="W632" s="145"/>
      <c r="X632" s="92"/>
      <c r="Y632" s="145"/>
      <c r="Z632" s="92"/>
      <c r="AA632" s="145"/>
      <c r="AB632" s="64"/>
      <c r="AC632" s="145"/>
      <c r="AD632" s="64"/>
      <c r="AE632" s="145"/>
      <c r="AF632" s="196" t="str">
        <f t="shared" si="32"/>
        <v/>
      </c>
      <c r="AG632" s="95" t="b">
        <f t="shared" si="31"/>
        <v>0</v>
      </c>
      <c r="AH632" s="9"/>
      <c r="AI632" s="150">
        <f t="shared" si="30"/>
        <v>0</v>
      </c>
      <c r="AJ632" s="153" t="s">
        <v>6</v>
      </c>
    </row>
    <row r="633" spans="1:36" ht="30" customHeight="1">
      <c r="A633" s="92"/>
      <c r="B633" s="92"/>
      <c r="C633" s="92"/>
      <c r="D633" s="92"/>
      <c r="E633" s="92"/>
      <c r="F633" s="92"/>
      <c r="G633" s="92"/>
      <c r="H633" s="92"/>
      <c r="I633" s="92"/>
      <c r="J633" s="92"/>
      <c r="K633" s="92"/>
      <c r="L633" s="92"/>
      <c r="M633" s="92"/>
      <c r="N633" s="155"/>
      <c r="O633" s="157"/>
      <c r="P633" s="92"/>
      <c r="Q633" s="145"/>
      <c r="R633" s="92"/>
      <c r="S633" s="145"/>
      <c r="T633" s="92"/>
      <c r="U633" s="145"/>
      <c r="V633" s="92"/>
      <c r="W633" s="145"/>
      <c r="X633" s="92"/>
      <c r="Y633" s="145"/>
      <c r="Z633" s="92"/>
      <c r="AA633" s="145"/>
      <c r="AB633" s="64"/>
      <c r="AC633" s="145"/>
      <c r="AD633" s="64"/>
      <c r="AE633" s="145"/>
      <c r="AF633" s="196" t="str">
        <f t="shared" si="32"/>
        <v/>
      </c>
      <c r="AG633" s="95" t="b">
        <f t="shared" si="31"/>
        <v>0</v>
      </c>
      <c r="AH633" s="9"/>
      <c r="AI633" s="150">
        <f t="shared" si="30"/>
        <v>0</v>
      </c>
      <c r="AJ633" s="153" t="s">
        <v>6</v>
      </c>
    </row>
    <row r="634" spans="1:36" ht="30" customHeight="1">
      <c r="A634" s="92"/>
      <c r="B634" s="92"/>
      <c r="C634" s="92"/>
      <c r="D634" s="92"/>
      <c r="E634" s="92"/>
      <c r="F634" s="92"/>
      <c r="G634" s="92"/>
      <c r="H634" s="92"/>
      <c r="I634" s="92"/>
      <c r="J634" s="92"/>
      <c r="K634" s="92"/>
      <c r="L634" s="92"/>
      <c r="M634" s="92"/>
      <c r="N634" s="155"/>
      <c r="O634" s="157"/>
      <c r="P634" s="92"/>
      <c r="Q634" s="145"/>
      <c r="R634" s="92"/>
      <c r="S634" s="145"/>
      <c r="T634" s="92"/>
      <c r="U634" s="145"/>
      <c r="V634" s="92"/>
      <c r="W634" s="145"/>
      <c r="X634" s="92"/>
      <c r="Y634" s="145"/>
      <c r="Z634" s="92"/>
      <c r="AA634" s="145"/>
      <c r="AB634" s="64"/>
      <c r="AC634" s="145"/>
      <c r="AD634" s="64"/>
      <c r="AE634" s="145"/>
      <c r="AF634" s="196" t="str">
        <f t="shared" si="32"/>
        <v/>
      </c>
      <c r="AG634" s="95" t="b">
        <f t="shared" si="31"/>
        <v>0</v>
      </c>
      <c r="AH634" s="9"/>
      <c r="AI634" s="150">
        <f t="shared" si="30"/>
        <v>0</v>
      </c>
      <c r="AJ634" s="153" t="s">
        <v>6</v>
      </c>
    </row>
    <row r="635" spans="1:36" ht="30" customHeight="1">
      <c r="A635" s="92"/>
      <c r="B635" s="92"/>
      <c r="C635" s="92"/>
      <c r="D635" s="92"/>
      <c r="E635" s="92"/>
      <c r="F635" s="92"/>
      <c r="G635" s="92"/>
      <c r="H635" s="92"/>
      <c r="I635" s="92"/>
      <c r="J635" s="92"/>
      <c r="K635" s="92"/>
      <c r="L635" s="92"/>
      <c r="M635" s="92"/>
      <c r="N635" s="155"/>
      <c r="O635" s="157"/>
      <c r="P635" s="92"/>
      <c r="Q635" s="145"/>
      <c r="R635" s="92"/>
      <c r="S635" s="145"/>
      <c r="T635" s="92"/>
      <c r="U635" s="145"/>
      <c r="V635" s="92"/>
      <c r="W635" s="145"/>
      <c r="X635" s="92"/>
      <c r="Y635" s="145"/>
      <c r="Z635" s="92"/>
      <c r="AA635" s="145"/>
      <c r="AB635" s="64"/>
      <c r="AC635" s="145"/>
      <c r="AD635" s="64"/>
      <c r="AE635" s="145"/>
      <c r="AF635" s="196" t="str">
        <f t="shared" si="32"/>
        <v/>
      </c>
      <c r="AG635" s="95" t="b">
        <f t="shared" si="31"/>
        <v>0</v>
      </c>
      <c r="AH635" s="9"/>
      <c r="AI635" s="150">
        <f t="shared" si="30"/>
        <v>0</v>
      </c>
      <c r="AJ635" s="153" t="s">
        <v>6</v>
      </c>
    </row>
    <row r="636" spans="1:36" ht="30" customHeight="1">
      <c r="A636" s="92"/>
      <c r="B636" s="92"/>
      <c r="C636" s="92"/>
      <c r="D636" s="92"/>
      <c r="E636" s="92"/>
      <c r="F636" s="92"/>
      <c r="G636" s="92"/>
      <c r="H636" s="92"/>
      <c r="I636" s="92"/>
      <c r="J636" s="92"/>
      <c r="K636" s="92"/>
      <c r="L636" s="92"/>
      <c r="M636" s="92"/>
      <c r="N636" s="155"/>
      <c r="O636" s="157"/>
      <c r="P636" s="92"/>
      <c r="Q636" s="145"/>
      <c r="R636" s="92"/>
      <c r="S636" s="145"/>
      <c r="T636" s="92"/>
      <c r="U636" s="145"/>
      <c r="V636" s="92"/>
      <c r="W636" s="145"/>
      <c r="X636" s="92"/>
      <c r="Y636" s="145"/>
      <c r="Z636" s="92"/>
      <c r="AA636" s="145"/>
      <c r="AB636" s="64"/>
      <c r="AC636" s="145"/>
      <c r="AD636" s="64"/>
      <c r="AE636" s="145"/>
      <c r="AF636" s="196" t="str">
        <f t="shared" si="32"/>
        <v/>
      </c>
      <c r="AG636" s="95" t="b">
        <f t="shared" si="31"/>
        <v>0</v>
      </c>
      <c r="AH636" s="9"/>
      <c r="AI636" s="150">
        <f t="shared" si="30"/>
        <v>0</v>
      </c>
      <c r="AJ636" s="153" t="s">
        <v>6</v>
      </c>
    </row>
    <row r="637" spans="1:36" ht="30" customHeight="1">
      <c r="A637" s="92"/>
      <c r="B637" s="92"/>
      <c r="C637" s="92"/>
      <c r="D637" s="92"/>
      <c r="E637" s="92"/>
      <c r="F637" s="92"/>
      <c r="G637" s="92"/>
      <c r="H637" s="92"/>
      <c r="I637" s="92"/>
      <c r="J637" s="92"/>
      <c r="K637" s="92"/>
      <c r="L637" s="92"/>
      <c r="M637" s="92"/>
      <c r="N637" s="155"/>
      <c r="O637" s="157"/>
      <c r="P637" s="92"/>
      <c r="Q637" s="145"/>
      <c r="R637" s="92"/>
      <c r="S637" s="145"/>
      <c r="T637" s="92"/>
      <c r="U637" s="145"/>
      <c r="V637" s="92"/>
      <c r="W637" s="145"/>
      <c r="X637" s="92"/>
      <c r="Y637" s="145"/>
      <c r="Z637" s="92"/>
      <c r="AA637" s="145"/>
      <c r="AB637" s="64"/>
      <c r="AC637" s="145"/>
      <c r="AD637" s="64"/>
      <c r="AE637" s="145"/>
      <c r="AF637" s="196" t="str">
        <f t="shared" si="32"/>
        <v/>
      </c>
      <c r="AG637" s="95" t="b">
        <f t="shared" si="31"/>
        <v>0</v>
      </c>
      <c r="AH637" s="9"/>
      <c r="AI637" s="150">
        <f t="shared" si="30"/>
        <v>0</v>
      </c>
      <c r="AJ637" s="153" t="s">
        <v>6</v>
      </c>
    </row>
    <row r="638" spans="1:36" ht="30" customHeight="1">
      <c r="A638" s="92"/>
      <c r="B638" s="92"/>
      <c r="C638" s="92"/>
      <c r="D638" s="92"/>
      <c r="E638" s="92"/>
      <c r="F638" s="92"/>
      <c r="G638" s="92"/>
      <c r="H638" s="92"/>
      <c r="I638" s="92"/>
      <c r="J638" s="92"/>
      <c r="K638" s="92"/>
      <c r="L638" s="92"/>
      <c r="M638" s="92"/>
      <c r="N638" s="155"/>
      <c r="O638" s="157"/>
      <c r="P638" s="92"/>
      <c r="Q638" s="145"/>
      <c r="R638" s="92"/>
      <c r="S638" s="145"/>
      <c r="T638" s="92"/>
      <c r="U638" s="145"/>
      <c r="V638" s="92"/>
      <c r="W638" s="145"/>
      <c r="X638" s="92"/>
      <c r="Y638" s="145"/>
      <c r="Z638" s="92"/>
      <c r="AA638" s="145"/>
      <c r="AB638" s="64"/>
      <c r="AC638" s="145"/>
      <c r="AD638" s="64"/>
      <c r="AE638" s="145"/>
      <c r="AF638" s="196" t="str">
        <f t="shared" si="32"/>
        <v/>
      </c>
      <c r="AG638" s="95" t="b">
        <f t="shared" si="31"/>
        <v>0</v>
      </c>
      <c r="AH638" s="9"/>
      <c r="AI638" s="150">
        <f t="shared" si="30"/>
        <v>0</v>
      </c>
      <c r="AJ638" s="153" t="s">
        <v>6</v>
      </c>
    </row>
    <row r="639" spans="1:36" ht="30" customHeight="1">
      <c r="A639" s="92"/>
      <c r="B639" s="92"/>
      <c r="C639" s="92"/>
      <c r="D639" s="92"/>
      <c r="E639" s="92"/>
      <c r="F639" s="92"/>
      <c r="G639" s="92"/>
      <c r="H639" s="92"/>
      <c r="I639" s="92"/>
      <c r="J639" s="92"/>
      <c r="K639" s="92"/>
      <c r="L639" s="92"/>
      <c r="M639" s="92"/>
      <c r="N639" s="155"/>
      <c r="O639" s="157"/>
      <c r="P639" s="92"/>
      <c r="Q639" s="145"/>
      <c r="R639" s="92"/>
      <c r="S639" s="145"/>
      <c r="T639" s="92"/>
      <c r="U639" s="145"/>
      <c r="V639" s="92"/>
      <c r="W639" s="145"/>
      <c r="X639" s="92"/>
      <c r="Y639" s="145"/>
      <c r="Z639" s="92"/>
      <c r="AA639" s="145"/>
      <c r="AB639" s="64"/>
      <c r="AC639" s="145"/>
      <c r="AD639" s="64"/>
      <c r="AE639" s="145"/>
      <c r="AF639" s="196" t="str">
        <f t="shared" si="32"/>
        <v/>
      </c>
      <c r="AG639" s="95" t="b">
        <f t="shared" si="31"/>
        <v>0</v>
      </c>
      <c r="AH639" s="9"/>
      <c r="AI639" s="150">
        <f t="shared" si="30"/>
        <v>0</v>
      </c>
      <c r="AJ639" s="153" t="s">
        <v>6</v>
      </c>
    </row>
    <row r="640" spans="1:36" ht="30" customHeight="1">
      <c r="A640" s="92"/>
      <c r="B640" s="92"/>
      <c r="C640" s="92"/>
      <c r="D640" s="92"/>
      <c r="E640" s="92"/>
      <c r="F640" s="92"/>
      <c r="G640" s="92"/>
      <c r="H640" s="92"/>
      <c r="I640" s="92"/>
      <c r="J640" s="92"/>
      <c r="K640" s="92"/>
      <c r="L640" s="92"/>
      <c r="M640" s="92"/>
      <c r="N640" s="155"/>
      <c r="O640" s="157"/>
      <c r="P640" s="92"/>
      <c r="Q640" s="145"/>
      <c r="R640" s="92"/>
      <c r="S640" s="145"/>
      <c r="T640" s="92"/>
      <c r="U640" s="145"/>
      <c r="V640" s="92"/>
      <c r="W640" s="145"/>
      <c r="X640" s="92"/>
      <c r="Y640" s="145"/>
      <c r="Z640" s="92"/>
      <c r="AA640" s="145"/>
      <c r="AB640" s="64"/>
      <c r="AC640" s="145"/>
      <c r="AD640" s="64"/>
      <c r="AE640" s="145"/>
      <c r="AF640" s="196" t="str">
        <f t="shared" si="32"/>
        <v/>
      </c>
      <c r="AG640" s="95" t="b">
        <f t="shared" si="31"/>
        <v>0</v>
      </c>
      <c r="AH640" s="9"/>
      <c r="AI640" s="150">
        <f t="shared" ref="AI640:AI703" si="33">E640</f>
        <v>0</v>
      </c>
      <c r="AJ640" s="153" t="s">
        <v>6</v>
      </c>
    </row>
    <row r="641" spans="1:36" ht="30" customHeight="1">
      <c r="A641" s="92"/>
      <c r="B641" s="92"/>
      <c r="C641" s="92"/>
      <c r="D641" s="92"/>
      <c r="E641" s="92"/>
      <c r="F641" s="92"/>
      <c r="G641" s="92"/>
      <c r="H641" s="92"/>
      <c r="I641" s="92"/>
      <c r="J641" s="92"/>
      <c r="K641" s="92"/>
      <c r="L641" s="92"/>
      <c r="M641" s="92"/>
      <c r="N641" s="155"/>
      <c r="O641" s="157"/>
      <c r="P641" s="92"/>
      <c r="Q641" s="145"/>
      <c r="R641" s="92"/>
      <c r="S641" s="145"/>
      <c r="T641" s="92"/>
      <c r="U641" s="145"/>
      <c r="V641" s="92"/>
      <c r="W641" s="145"/>
      <c r="X641" s="92"/>
      <c r="Y641" s="145"/>
      <c r="Z641" s="92"/>
      <c r="AA641" s="145"/>
      <c r="AB641" s="64"/>
      <c r="AC641" s="145"/>
      <c r="AD641" s="64"/>
      <c r="AE641" s="145"/>
      <c r="AF641" s="196" t="str">
        <f t="shared" si="32"/>
        <v/>
      </c>
      <c r="AG641" s="95" t="b">
        <f t="shared" si="31"/>
        <v>0</v>
      </c>
      <c r="AH641" s="9"/>
      <c r="AI641" s="150">
        <f t="shared" si="33"/>
        <v>0</v>
      </c>
      <c r="AJ641" s="153" t="s">
        <v>6</v>
      </c>
    </row>
    <row r="642" spans="1:36" ht="30" customHeight="1">
      <c r="A642" s="92"/>
      <c r="B642" s="92"/>
      <c r="C642" s="92"/>
      <c r="D642" s="92"/>
      <c r="E642" s="92"/>
      <c r="F642" s="92"/>
      <c r="G642" s="92"/>
      <c r="H642" s="92"/>
      <c r="I642" s="92"/>
      <c r="J642" s="92"/>
      <c r="K642" s="92"/>
      <c r="L642" s="92"/>
      <c r="M642" s="92"/>
      <c r="N642" s="155"/>
      <c r="O642" s="157"/>
      <c r="P642" s="92"/>
      <c r="Q642" s="145"/>
      <c r="R642" s="92"/>
      <c r="S642" s="145"/>
      <c r="T642" s="92"/>
      <c r="U642" s="145"/>
      <c r="V642" s="92"/>
      <c r="W642" s="145"/>
      <c r="X642" s="92"/>
      <c r="Y642" s="145"/>
      <c r="Z642" s="92"/>
      <c r="AA642" s="145"/>
      <c r="AB642" s="64"/>
      <c r="AC642" s="145"/>
      <c r="AD642" s="64"/>
      <c r="AE642" s="145"/>
      <c r="AF642" s="196" t="str">
        <f t="shared" si="32"/>
        <v/>
      </c>
      <c r="AG642" s="95" t="b">
        <f t="shared" si="31"/>
        <v>0</v>
      </c>
      <c r="AH642" s="9"/>
      <c r="AI642" s="150">
        <f t="shared" si="33"/>
        <v>0</v>
      </c>
      <c r="AJ642" s="153" t="s">
        <v>6</v>
      </c>
    </row>
    <row r="643" spans="1:36" ht="30" customHeight="1">
      <c r="A643" s="92"/>
      <c r="B643" s="92"/>
      <c r="C643" s="92"/>
      <c r="D643" s="92"/>
      <c r="E643" s="92"/>
      <c r="F643" s="92"/>
      <c r="G643" s="92"/>
      <c r="H643" s="92"/>
      <c r="I643" s="92"/>
      <c r="J643" s="92"/>
      <c r="K643" s="92"/>
      <c r="L643" s="92"/>
      <c r="M643" s="92"/>
      <c r="N643" s="155"/>
      <c r="O643" s="157"/>
      <c r="P643" s="92"/>
      <c r="Q643" s="145"/>
      <c r="R643" s="92"/>
      <c r="S643" s="145"/>
      <c r="T643" s="92"/>
      <c r="U643" s="145"/>
      <c r="V643" s="92"/>
      <c r="W643" s="145"/>
      <c r="X643" s="92"/>
      <c r="Y643" s="145"/>
      <c r="Z643" s="92"/>
      <c r="AA643" s="145"/>
      <c r="AB643" s="64"/>
      <c r="AC643" s="145"/>
      <c r="AD643" s="64"/>
      <c r="AE643" s="145"/>
      <c r="AF643" s="196" t="str">
        <f t="shared" si="32"/>
        <v/>
      </c>
      <c r="AG643" s="95" t="b">
        <f t="shared" si="31"/>
        <v>0</v>
      </c>
      <c r="AH643" s="9"/>
      <c r="AI643" s="150">
        <f t="shared" si="33"/>
        <v>0</v>
      </c>
      <c r="AJ643" s="153" t="s">
        <v>6</v>
      </c>
    </row>
    <row r="644" spans="1:36" ht="30" customHeight="1">
      <c r="A644" s="92"/>
      <c r="B644" s="92"/>
      <c r="C644" s="92"/>
      <c r="D644" s="92"/>
      <c r="E644" s="92"/>
      <c r="F644" s="92"/>
      <c r="G644" s="92"/>
      <c r="H644" s="92"/>
      <c r="I644" s="92"/>
      <c r="J644" s="92"/>
      <c r="K644" s="92"/>
      <c r="L644" s="92"/>
      <c r="M644" s="92"/>
      <c r="N644" s="155"/>
      <c r="O644" s="157"/>
      <c r="P644" s="92"/>
      <c r="Q644" s="145"/>
      <c r="R644" s="92"/>
      <c r="S644" s="145"/>
      <c r="T644" s="92"/>
      <c r="U644" s="145"/>
      <c r="V644" s="92"/>
      <c r="W644" s="145"/>
      <c r="X644" s="92"/>
      <c r="Y644" s="145"/>
      <c r="Z644" s="92"/>
      <c r="AA644" s="145"/>
      <c r="AB644" s="64"/>
      <c r="AC644" s="145"/>
      <c r="AD644" s="64"/>
      <c r="AE644" s="145"/>
      <c r="AF644" s="196" t="str">
        <f t="shared" si="32"/>
        <v/>
      </c>
      <c r="AG644" s="95" t="b">
        <f t="shared" si="31"/>
        <v>0</v>
      </c>
      <c r="AH644" s="9"/>
      <c r="AI644" s="150">
        <f t="shared" si="33"/>
        <v>0</v>
      </c>
      <c r="AJ644" s="153" t="s">
        <v>6</v>
      </c>
    </row>
    <row r="645" spans="1:36" ht="30" customHeight="1">
      <c r="A645" s="92"/>
      <c r="B645" s="92"/>
      <c r="C645" s="92"/>
      <c r="D645" s="92"/>
      <c r="E645" s="92"/>
      <c r="F645" s="92"/>
      <c r="G645" s="92"/>
      <c r="H645" s="92"/>
      <c r="I645" s="92"/>
      <c r="J645" s="92"/>
      <c r="K645" s="92"/>
      <c r="L645" s="92"/>
      <c r="M645" s="92"/>
      <c r="N645" s="155"/>
      <c r="O645" s="157"/>
      <c r="P645" s="92"/>
      <c r="Q645" s="145"/>
      <c r="R645" s="92"/>
      <c r="S645" s="145"/>
      <c r="T645" s="92"/>
      <c r="U645" s="145"/>
      <c r="V645" s="92"/>
      <c r="W645" s="145"/>
      <c r="X645" s="92"/>
      <c r="Y645" s="145"/>
      <c r="Z645" s="92"/>
      <c r="AA645" s="145"/>
      <c r="AB645" s="64"/>
      <c r="AC645" s="145"/>
      <c r="AD645" s="64"/>
      <c r="AE645" s="145"/>
      <c r="AF645" s="196" t="str">
        <f t="shared" si="32"/>
        <v/>
      </c>
      <c r="AG645" s="95" t="b">
        <f t="shared" si="31"/>
        <v>0</v>
      </c>
      <c r="AH645" s="9"/>
      <c r="AI645" s="150">
        <f t="shared" si="33"/>
        <v>0</v>
      </c>
      <c r="AJ645" s="153" t="s">
        <v>6</v>
      </c>
    </row>
    <row r="646" spans="1:36" ht="30" customHeight="1">
      <c r="A646" s="92"/>
      <c r="B646" s="92"/>
      <c r="C646" s="92"/>
      <c r="D646" s="92"/>
      <c r="E646" s="92"/>
      <c r="F646" s="92"/>
      <c r="G646" s="92"/>
      <c r="H646" s="92"/>
      <c r="I646" s="92"/>
      <c r="J646" s="92"/>
      <c r="K646" s="92"/>
      <c r="L646" s="92"/>
      <c r="M646" s="92"/>
      <c r="N646" s="155"/>
      <c r="O646" s="157"/>
      <c r="P646" s="92"/>
      <c r="Q646" s="145"/>
      <c r="R646" s="92"/>
      <c r="S646" s="145"/>
      <c r="T646" s="92"/>
      <c r="U646" s="145"/>
      <c r="V646" s="92"/>
      <c r="W646" s="145"/>
      <c r="X646" s="92"/>
      <c r="Y646" s="145"/>
      <c r="Z646" s="92"/>
      <c r="AA646" s="145"/>
      <c r="AB646" s="64"/>
      <c r="AC646" s="145"/>
      <c r="AD646" s="64"/>
      <c r="AE646" s="145"/>
      <c r="AF646" s="196" t="str">
        <f t="shared" si="32"/>
        <v/>
      </c>
      <c r="AG646" s="95" t="b">
        <f t="shared" si="31"/>
        <v>0</v>
      </c>
      <c r="AH646" s="9"/>
      <c r="AI646" s="150">
        <f t="shared" si="33"/>
        <v>0</v>
      </c>
      <c r="AJ646" s="153" t="s">
        <v>6</v>
      </c>
    </row>
    <row r="647" spans="1:36" ht="30" customHeight="1">
      <c r="A647" s="92"/>
      <c r="B647" s="92"/>
      <c r="C647" s="92"/>
      <c r="D647" s="92"/>
      <c r="E647" s="92"/>
      <c r="F647" s="92"/>
      <c r="G647" s="92"/>
      <c r="H647" s="92"/>
      <c r="I647" s="92"/>
      <c r="J647" s="92"/>
      <c r="K647" s="92"/>
      <c r="L647" s="92"/>
      <c r="M647" s="92"/>
      <c r="N647" s="155"/>
      <c r="O647" s="157"/>
      <c r="P647" s="92"/>
      <c r="Q647" s="145"/>
      <c r="R647" s="92"/>
      <c r="S647" s="145"/>
      <c r="T647" s="92"/>
      <c r="U647" s="145"/>
      <c r="V647" s="92"/>
      <c r="W647" s="145"/>
      <c r="X647" s="92"/>
      <c r="Y647" s="145"/>
      <c r="Z647" s="92"/>
      <c r="AA647" s="145"/>
      <c r="AB647" s="64"/>
      <c r="AC647" s="145"/>
      <c r="AD647" s="64"/>
      <c r="AE647" s="145"/>
      <c r="AF647" s="196" t="str">
        <f t="shared" si="32"/>
        <v/>
      </c>
      <c r="AG647" s="95" t="b">
        <f t="shared" si="31"/>
        <v>0</v>
      </c>
      <c r="AH647" s="9"/>
      <c r="AI647" s="150">
        <f t="shared" si="33"/>
        <v>0</v>
      </c>
      <c r="AJ647" s="153" t="s">
        <v>6</v>
      </c>
    </row>
    <row r="648" spans="1:36" ht="30" customHeight="1">
      <c r="A648" s="92"/>
      <c r="B648" s="92"/>
      <c r="C648" s="92"/>
      <c r="D648" s="92"/>
      <c r="E648" s="92"/>
      <c r="F648" s="92"/>
      <c r="G648" s="92"/>
      <c r="H648" s="92"/>
      <c r="I648" s="92"/>
      <c r="J648" s="92"/>
      <c r="K648" s="92"/>
      <c r="L648" s="92"/>
      <c r="M648" s="92"/>
      <c r="N648" s="155"/>
      <c r="O648" s="157"/>
      <c r="P648" s="92"/>
      <c r="Q648" s="145"/>
      <c r="R648" s="92"/>
      <c r="S648" s="145"/>
      <c r="T648" s="92"/>
      <c r="U648" s="145"/>
      <c r="V648" s="92"/>
      <c r="W648" s="145"/>
      <c r="X648" s="92"/>
      <c r="Y648" s="145"/>
      <c r="Z648" s="92"/>
      <c r="AA648" s="145"/>
      <c r="AB648" s="64"/>
      <c r="AC648" s="145"/>
      <c r="AD648" s="64"/>
      <c r="AE648" s="145"/>
      <c r="AF648" s="196" t="str">
        <f t="shared" si="32"/>
        <v/>
      </c>
      <c r="AG648" s="95" t="b">
        <f t="shared" si="31"/>
        <v>0</v>
      </c>
      <c r="AH648" s="9"/>
      <c r="AI648" s="150">
        <f t="shared" si="33"/>
        <v>0</v>
      </c>
      <c r="AJ648" s="153" t="s">
        <v>6</v>
      </c>
    </row>
    <row r="649" spans="1:36" ht="30" customHeight="1">
      <c r="A649" s="92"/>
      <c r="B649" s="92"/>
      <c r="C649" s="92"/>
      <c r="D649" s="92"/>
      <c r="E649" s="92"/>
      <c r="F649" s="92"/>
      <c r="G649" s="92"/>
      <c r="H649" s="92"/>
      <c r="I649" s="92"/>
      <c r="J649" s="92"/>
      <c r="K649" s="92"/>
      <c r="L649" s="92"/>
      <c r="M649" s="92"/>
      <c r="N649" s="155"/>
      <c r="O649" s="157"/>
      <c r="P649" s="92"/>
      <c r="Q649" s="145"/>
      <c r="R649" s="92"/>
      <c r="S649" s="145"/>
      <c r="T649" s="92"/>
      <c r="U649" s="145"/>
      <c r="V649" s="92"/>
      <c r="W649" s="145"/>
      <c r="X649" s="92"/>
      <c r="Y649" s="145"/>
      <c r="Z649" s="92"/>
      <c r="AA649" s="145"/>
      <c r="AB649" s="64"/>
      <c r="AC649" s="145"/>
      <c r="AD649" s="64"/>
      <c r="AE649" s="145"/>
      <c r="AF649" s="196" t="str">
        <f t="shared" si="32"/>
        <v/>
      </c>
      <c r="AG649" s="95" t="b">
        <f t="shared" si="31"/>
        <v>0</v>
      </c>
      <c r="AH649" s="9"/>
      <c r="AI649" s="150">
        <f t="shared" si="33"/>
        <v>0</v>
      </c>
      <c r="AJ649" s="153" t="s">
        <v>6</v>
      </c>
    </row>
    <row r="650" spans="1:36" ht="30" customHeight="1">
      <c r="A650" s="92"/>
      <c r="B650" s="92"/>
      <c r="C650" s="92"/>
      <c r="D650" s="92"/>
      <c r="E650" s="92"/>
      <c r="F650" s="92"/>
      <c r="G650" s="92"/>
      <c r="H650" s="92"/>
      <c r="I650" s="92"/>
      <c r="J650" s="92"/>
      <c r="K650" s="92"/>
      <c r="L650" s="92"/>
      <c r="M650" s="92"/>
      <c r="N650" s="155"/>
      <c r="O650" s="157"/>
      <c r="P650" s="92"/>
      <c r="Q650" s="145"/>
      <c r="R650" s="92"/>
      <c r="S650" s="145"/>
      <c r="T650" s="92"/>
      <c r="U650" s="145"/>
      <c r="V650" s="92"/>
      <c r="W650" s="145"/>
      <c r="X650" s="92"/>
      <c r="Y650" s="145"/>
      <c r="Z650" s="92"/>
      <c r="AA650" s="145"/>
      <c r="AB650" s="64"/>
      <c r="AC650" s="145"/>
      <c r="AD650" s="64"/>
      <c r="AE650" s="145"/>
      <c r="AF650" s="196" t="str">
        <f t="shared" si="32"/>
        <v/>
      </c>
      <c r="AG650" s="95" t="b">
        <f t="shared" ref="AG650:AG713" si="34">IF(AND(AE650="C",AF650="C"),"UTILIZOU O PDA CORRETAMENTE",IF(AND(AE650="C",AF650="NC"),"UTILIZOU O PDA CORRETAMENTE. NÃO HÁ FOTOS DE TODAS AS ETAPAS",IF(AND(AE650="NC",AF650="NC"),"NÃO UTILIZOU O PDA",IF(AND(AE650="NA",AF650="NA"),"NÃO AVALIADO POR FALHA DE SINCRONISMO"))))</f>
        <v>0</v>
      </c>
      <c r="AH650" s="9"/>
      <c r="AI650" s="150">
        <f t="shared" si="33"/>
        <v>0</v>
      </c>
      <c r="AJ650" s="153" t="s">
        <v>6</v>
      </c>
    </row>
    <row r="651" spans="1:36" ht="30" customHeight="1">
      <c r="A651" s="92"/>
      <c r="B651" s="92"/>
      <c r="C651" s="92"/>
      <c r="D651" s="92"/>
      <c r="E651" s="92"/>
      <c r="F651" s="92"/>
      <c r="G651" s="92"/>
      <c r="H651" s="92"/>
      <c r="I651" s="92"/>
      <c r="J651" s="92"/>
      <c r="K651" s="92"/>
      <c r="L651" s="92"/>
      <c r="M651" s="92"/>
      <c r="N651" s="155"/>
      <c r="O651" s="157"/>
      <c r="P651" s="92"/>
      <c r="Q651" s="145"/>
      <c r="R651" s="92"/>
      <c r="S651" s="145"/>
      <c r="T651" s="92"/>
      <c r="U651" s="145"/>
      <c r="V651" s="92"/>
      <c r="W651" s="145"/>
      <c r="X651" s="92"/>
      <c r="Y651" s="145"/>
      <c r="Z651" s="92"/>
      <c r="AA651" s="145"/>
      <c r="AB651" s="64"/>
      <c r="AC651" s="145"/>
      <c r="AD651" s="64"/>
      <c r="AE651" s="145"/>
      <c r="AF651" s="196" t="str">
        <f t="shared" ref="AF651:AF714" si="35">IF(AND(O651="",Q651="",S651="",U651="",W651="",Y651="",AA651="",AC651=""),"",
IF(OR(    AND(O651&lt;&gt;"NA",O651&lt;&gt;"C",O651&lt;&gt;"NC",O651&lt;&gt;"SF",O651&lt;&gt;""),
    AND(Q651&lt;&gt;"NA",Q651&lt;&gt;"C",Q651&lt;&gt;"NC",Q651&lt;&gt;"SF",Q651&lt;&gt;""),
    AND(S651&lt;&gt;"NA",S651&lt;&gt;"C",S651&lt;&gt;"NC",S651&lt;&gt;"SF",S651&lt;&gt;""),
    AND(U651&lt;&gt;"NA",U651&lt;&gt;"C",U651&lt;&gt;"NC",U651&lt;&gt;"SF",U651&lt;&gt;""),
    AND(W651&lt;&gt;"NA",W651&lt;&gt;"C",W651&lt;&gt;"NC",W651&lt;&gt;"SF",W651&lt;&gt;""),
    AND(Y651&lt;&gt;"NA",Y651&lt;&gt;"C",Y651&lt;&gt;"NC",Y651&lt;&gt;"SF",Y651&lt;&gt;""),
    AND(AA651&lt;&gt;"NA",AA651&lt;&gt;"C",AA651&lt;&gt;"NC",AA651&lt;&gt;"SF",AA651&lt;&gt;""),
    AND(AC651&lt;&gt;"NA",AC651&lt;&gt;"C",AC651&lt;&gt;"NC",AC651&lt;&gt;"SF",AC651&lt;&gt;"")
),"FALSO",
IF(AND(O651="NA",Q651="NA",S651="NA",U651="NA",W651="NA",Y651="NA",AA651="NA",AC651="NA"),"NA",
IF(OR(O651="NC",Q651="NC",S651="NC",U651="NC",W651="NC",Y651="NC",AA651="NC",AC651="NC",
       O651="SF",Q651="SF",S651="SF",U651="SF",W651="SF",Y651="SF",AA651="SF",AC651="SF"),"NC",
IF(SUM(IF(O651="C",1,0),IF(Q651="C",1,0),IF(S651="C",1,0),IF(U651="C",1,0),IF(W651="C",1,0),IF(Y651="C",1,0),IF(AA651="C",1,0),IF(AC651="C",1,0))=1,"C","C")))))</f>
        <v/>
      </c>
      <c r="AG651" s="95" t="b">
        <f t="shared" si="34"/>
        <v>0</v>
      </c>
      <c r="AH651" s="9"/>
      <c r="AI651" s="150">
        <f t="shared" si="33"/>
        <v>0</v>
      </c>
      <c r="AJ651" s="153" t="s">
        <v>6</v>
      </c>
    </row>
    <row r="652" spans="1:36" ht="30" customHeight="1">
      <c r="A652" s="92"/>
      <c r="B652" s="92"/>
      <c r="C652" s="92"/>
      <c r="D652" s="92"/>
      <c r="E652" s="92"/>
      <c r="F652" s="92"/>
      <c r="G652" s="92"/>
      <c r="H652" s="92"/>
      <c r="I652" s="92"/>
      <c r="J652" s="92"/>
      <c r="K652" s="92"/>
      <c r="L652" s="92"/>
      <c r="M652" s="92"/>
      <c r="N652" s="155"/>
      <c r="O652" s="157"/>
      <c r="P652" s="92"/>
      <c r="Q652" s="145"/>
      <c r="R652" s="92"/>
      <c r="S652" s="145"/>
      <c r="T652" s="92"/>
      <c r="U652" s="145"/>
      <c r="V652" s="92"/>
      <c r="W652" s="145"/>
      <c r="X652" s="92"/>
      <c r="Y652" s="145"/>
      <c r="Z652" s="92"/>
      <c r="AA652" s="145"/>
      <c r="AB652" s="64"/>
      <c r="AC652" s="145"/>
      <c r="AD652" s="64"/>
      <c r="AE652" s="145"/>
      <c r="AF652" s="196" t="str">
        <f t="shared" si="35"/>
        <v/>
      </c>
      <c r="AG652" s="95" t="b">
        <f t="shared" si="34"/>
        <v>0</v>
      </c>
      <c r="AH652" s="9"/>
      <c r="AI652" s="150">
        <f t="shared" si="33"/>
        <v>0</v>
      </c>
      <c r="AJ652" s="153" t="s">
        <v>6</v>
      </c>
    </row>
    <row r="653" spans="1:36" ht="30" customHeight="1">
      <c r="A653" s="92"/>
      <c r="B653" s="92"/>
      <c r="C653" s="92"/>
      <c r="D653" s="92"/>
      <c r="E653" s="92"/>
      <c r="F653" s="92"/>
      <c r="G653" s="92"/>
      <c r="H653" s="92"/>
      <c r="I653" s="92"/>
      <c r="J653" s="92"/>
      <c r="K653" s="92"/>
      <c r="L653" s="92"/>
      <c r="M653" s="92"/>
      <c r="N653" s="155"/>
      <c r="O653" s="157"/>
      <c r="P653" s="92"/>
      <c r="Q653" s="145"/>
      <c r="R653" s="92"/>
      <c r="S653" s="145"/>
      <c r="T653" s="92"/>
      <c r="U653" s="145"/>
      <c r="V653" s="92"/>
      <c r="W653" s="145"/>
      <c r="X653" s="92"/>
      <c r="Y653" s="145"/>
      <c r="Z653" s="92"/>
      <c r="AA653" s="145"/>
      <c r="AB653" s="64"/>
      <c r="AC653" s="145"/>
      <c r="AD653" s="64"/>
      <c r="AE653" s="145"/>
      <c r="AF653" s="196" t="str">
        <f t="shared" si="35"/>
        <v/>
      </c>
      <c r="AG653" s="95" t="b">
        <f t="shared" si="34"/>
        <v>0</v>
      </c>
      <c r="AH653" s="9"/>
      <c r="AI653" s="150">
        <f t="shared" si="33"/>
        <v>0</v>
      </c>
      <c r="AJ653" s="153" t="s">
        <v>6</v>
      </c>
    </row>
    <row r="654" spans="1:36" ht="30" customHeight="1">
      <c r="A654" s="92"/>
      <c r="B654" s="92"/>
      <c r="C654" s="92"/>
      <c r="D654" s="92"/>
      <c r="E654" s="92"/>
      <c r="F654" s="92"/>
      <c r="G654" s="92"/>
      <c r="H654" s="92"/>
      <c r="I654" s="92"/>
      <c r="J654" s="92"/>
      <c r="K654" s="92"/>
      <c r="L654" s="92"/>
      <c r="M654" s="92"/>
      <c r="N654" s="155"/>
      <c r="O654" s="157"/>
      <c r="P654" s="92"/>
      <c r="Q654" s="145"/>
      <c r="R654" s="92"/>
      <c r="S654" s="145"/>
      <c r="T654" s="92"/>
      <c r="U654" s="145"/>
      <c r="V654" s="92"/>
      <c r="W654" s="145"/>
      <c r="X654" s="92"/>
      <c r="Y654" s="145"/>
      <c r="Z654" s="92"/>
      <c r="AA654" s="145"/>
      <c r="AB654" s="64"/>
      <c r="AC654" s="145"/>
      <c r="AD654" s="64"/>
      <c r="AE654" s="145"/>
      <c r="AF654" s="196" t="str">
        <f t="shared" si="35"/>
        <v/>
      </c>
      <c r="AG654" s="95" t="b">
        <f t="shared" si="34"/>
        <v>0</v>
      </c>
      <c r="AH654" s="9"/>
      <c r="AI654" s="150">
        <f t="shared" si="33"/>
        <v>0</v>
      </c>
      <c r="AJ654" s="153" t="s">
        <v>6</v>
      </c>
    </row>
    <row r="655" spans="1:36" ht="30" customHeight="1">
      <c r="A655" s="92"/>
      <c r="B655" s="92"/>
      <c r="C655" s="92"/>
      <c r="D655" s="92"/>
      <c r="E655" s="92"/>
      <c r="F655" s="92"/>
      <c r="G655" s="92"/>
      <c r="H655" s="92"/>
      <c r="I655" s="92"/>
      <c r="J655" s="92"/>
      <c r="K655" s="92"/>
      <c r="L655" s="92"/>
      <c r="M655" s="92"/>
      <c r="N655" s="155"/>
      <c r="O655" s="157"/>
      <c r="P655" s="92"/>
      <c r="Q655" s="145"/>
      <c r="R655" s="92"/>
      <c r="S655" s="145"/>
      <c r="T655" s="92"/>
      <c r="U655" s="145"/>
      <c r="V655" s="92"/>
      <c r="W655" s="145"/>
      <c r="X655" s="92"/>
      <c r="Y655" s="145"/>
      <c r="Z655" s="92"/>
      <c r="AA655" s="145"/>
      <c r="AB655" s="64"/>
      <c r="AC655" s="145"/>
      <c r="AD655" s="64"/>
      <c r="AE655" s="145"/>
      <c r="AF655" s="196" t="str">
        <f t="shared" si="35"/>
        <v/>
      </c>
      <c r="AG655" s="95" t="b">
        <f t="shared" si="34"/>
        <v>0</v>
      </c>
      <c r="AH655" s="9"/>
      <c r="AI655" s="150">
        <f t="shared" si="33"/>
        <v>0</v>
      </c>
      <c r="AJ655" s="153" t="s">
        <v>6</v>
      </c>
    </row>
    <row r="656" spans="1:36" ht="30" customHeight="1">
      <c r="A656" s="92"/>
      <c r="B656" s="92"/>
      <c r="C656" s="92"/>
      <c r="D656" s="92"/>
      <c r="E656" s="92"/>
      <c r="F656" s="92"/>
      <c r="G656" s="92"/>
      <c r="H656" s="92"/>
      <c r="I656" s="92"/>
      <c r="J656" s="92"/>
      <c r="K656" s="92"/>
      <c r="L656" s="92"/>
      <c r="M656" s="92"/>
      <c r="N656" s="155"/>
      <c r="O656" s="157"/>
      <c r="P656" s="92"/>
      <c r="Q656" s="145"/>
      <c r="R656" s="92"/>
      <c r="S656" s="145"/>
      <c r="T656" s="92"/>
      <c r="U656" s="145"/>
      <c r="V656" s="92"/>
      <c r="W656" s="145"/>
      <c r="X656" s="92"/>
      <c r="Y656" s="145"/>
      <c r="Z656" s="92"/>
      <c r="AA656" s="145"/>
      <c r="AB656" s="64"/>
      <c r="AC656" s="145"/>
      <c r="AD656" s="64"/>
      <c r="AE656" s="145"/>
      <c r="AF656" s="196" t="str">
        <f t="shared" si="35"/>
        <v/>
      </c>
      <c r="AG656" s="95" t="b">
        <f t="shared" si="34"/>
        <v>0</v>
      </c>
      <c r="AH656" s="9"/>
      <c r="AI656" s="150">
        <f t="shared" si="33"/>
        <v>0</v>
      </c>
      <c r="AJ656" s="153" t="s">
        <v>6</v>
      </c>
    </row>
    <row r="657" spans="1:36" ht="30" customHeight="1">
      <c r="A657" s="92"/>
      <c r="B657" s="92"/>
      <c r="C657" s="92"/>
      <c r="D657" s="92"/>
      <c r="E657" s="92"/>
      <c r="F657" s="92"/>
      <c r="G657" s="92"/>
      <c r="H657" s="92"/>
      <c r="I657" s="92"/>
      <c r="J657" s="92"/>
      <c r="K657" s="92"/>
      <c r="L657" s="92"/>
      <c r="M657" s="92"/>
      <c r="N657" s="155"/>
      <c r="O657" s="157"/>
      <c r="P657" s="92"/>
      <c r="Q657" s="145"/>
      <c r="R657" s="92"/>
      <c r="S657" s="145"/>
      <c r="T657" s="92"/>
      <c r="U657" s="145"/>
      <c r="V657" s="92"/>
      <c r="W657" s="145"/>
      <c r="X657" s="92"/>
      <c r="Y657" s="145"/>
      <c r="Z657" s="92"/>
      <c r="AA657" s="145"/>
      <c r="AB657" s="64"/>
      <c r="AC657" s="145"/>
      <c r="AD657" s="64"/>
      <c r="AE657" s="145"/>
      <c r="AF657" s="196" t="str">
        <f t="shared" si="35"/>
        <v/>
      </c>
      <c r="AG657" s="95" t="b">
        <f t="shared" si="34"/>
        <v>0</v>
      </c>
      <c r="AH657" s="9"/>
      <c r="AI657" s="150">
        <f t="shared" si="33"/>
        <v>0</v>
      </c>
      <c r="AJ657" s="153" t="s">
        <v>6</v>
      </c>
    </row>
    <row r="658" spans="1:36" ht="30" customHeight="1">
      <c r="A658" s="92"/>
      <c r="B658" s="92"/>
      <c r="C658" s="92"/>
      <c r="D658" s="92"/>
      <c r="E658" s="92"/>
      <c r="F658" s="92"/>
      <c r="G658" s="92"/>
      <c r="H658" s="92"/>
      <c r="I658" s="92"/>
      <c r="J658" s="92"/>
      <c r="K658" s="92"/>
      <c r="L658" s="92"/>
      <c r="M658" s="92"/>
      <c r="N658" s="155"/>
      <c r="O658" s="157"/>
      <c r="P658" s="92"/>
      <c r="Q658" s="145"/>
      <c r="R658" s="92"/>
      <c r="S658" s="145"/>
      <c r="T658" s="92"/>
      <c r="U658" s="145"/>
      <c r="V658" s="92"/>
      <c r="W658" s="145"/>
      <c r="X658" s="92"/>
      <c r="Y658" s="145"/>
      <c r="Z658" s="92"/>
      <c r="AA658" s="145"/>
      <c r="AB658" s="64"/>
      <c r="AC658" s="145"/>
      <c r="AD658" s="64"/>
      <c r="AE658" s="145"/>
      <c r="AF658" s="196" t="str">
        <f t="shared" si="35"/>
        <v/>
      </c>
      <c r="AG658" s="95" t="b">
        <f t="shared" si="34"/>
        <v>0</v>
      </c>
      <c r="AH658" s="9"/>
      <c r="AI658" s="150">
        <f t="shared" si="33"/>
        <v>0</v>
      </c>
      <c r="AJ658" s="153" t="s">
        <v>6</v>
      </c>
    </row>
    <row r="659" spans="1:36" ht="30" customHeight="1">
      <c r="A659" s="92"/>
      <c r="B659" s="92"/>
      <c r="C659" s="92"/>
      <c r="D659" s="92"/>
      <c r="E659" s="92"/>
      <c r="F659" s="92"/>
      <c r="G659" s="92"/>
      <c r="H659" s="92"/>
      <c r="I659" s="92"/>
      <c r="J659" s="92"/>
      <c r="K659" s="92"/>
      <c r="L659" s="92"/>
      <c r="M659" s="92"/>
      <c r="N659" s="155"/>
      <c r="O659" s="157"/>
      <c r="P659" s="92"/>
      <c r="Q659" s="145"/>
      <c r="R659" s="92"/>
      <c r="S659" s="145"/>
      <c r="T659" s="92"/>
      <c r="U659" s="145"/>
      <c r="V659" s="92"/>
      <c r="W659" s="145"/>
      <c r="X659" s="92"/>
      <c r="Y659" s="145"/>
      <c r="Z659" s="92"/>
      <c r="AA659" s="145"/>
      <c r="AB659" s="64"/>
      <c r="AC659" s="145"/>
      <c r="AD659" s="64"/>
      <c r="AE659" s="145"/>
      <c r="AF659" s="196" t="str">
        <f t="shared" si="35"/>
        <v/>
      </c>
      <c r="AG659" s="95" t="b">
        <f t="shared" si="34"/>
        <v>0</v>
      </c>
      <c r="AH659" s="9"/>
      <c r="AI659" s="150">
        <f t="shared" si="33"/>
        <v>0</v>
      </c>
      <c r="AJ659" s="153" t="s">
        <v>6</v>
      </c>
    </row>
    <row r="660" spans="1:36" ht="30" customHeight="1">
      <c r="A660" s="92"/>
      <c r="B660" s="92"/>
      <c r="C660" s="92"/>
      <c r="D660" s="92"/>
      <c r="E660" s="92"/>
      <c r="F660" s="92"/>
      <c r="G660" s="92"/>
      <c r="H660" s="92"/>
      <c r="I660" s="92"/>
      <c r="J660" s="92"/>
      <c r="K660" s="92"/>
      <c r="L660" s="92"/>
      <c r="M660" s="92"/>
      <c r="N660" s="155"/>
      <c r="O660" s="157"/>
      <c r="P660" s="92"/>
      <c r="Q660" s="145"/>
      <c r="R660" s="92"/>
      <c r="S660" s="145"/>
      <c r="T660" s="92"/>
      <c r="U660" s="145"/>
      <c r="V660" s="92"/>
      <c r="W660" s="145"/>
      <c r="X660" s="92"/>
      <c r="Y660" s="145"/>
      <c r="Z660" s="92"/>
      <c r="AA660" s="145"/>
      <c r="AB660" s="64"/>
      <c r="AC660" s="145"/>
      <c r="AD660" s="64"/>
      <c r="AE660" s="145"/>
      <c r="AF660" s="196" t="str">
        <f t="shared" si="35"/>
        <v/>
      </c>
      <c r="AG660" s="95" t="b">
        <f t="shared" si="34"/>
        <v>0</v>
      </c>
      <c r="AH660" s="9"/>
      <c r="AI660" s="150">
        <f t="shared" si="33"/>
        <v>0</v>
      </c>
      <c r="AJ660" s="153" t="s">
        <v>6</v>
      </c>
    </row>
    <row r="661" spans="1:36" ht="30" customHeight="1">
      <c r="A661" s="92"/>
      <c r="B661" s="92"/>
      <c r="C661" s="92"/>
      <c r="D661" s="92"/>
      <c r="E661" s="92"/>
      <c r="F661" s="92"/>
      <c r="G661" s="92"/>
      <c r="H661" s="92"/>
      <c r="I661" s="92"/>
      <c r="J661" s="92"/>
      <c r="K661" s="92"/>
      <c r="L661" s="92"/>
      <c r="M661" s="92"/>
      <c r="N661" s="155"/>
      <c r="O661" s="157"/>
      <c r="P661" s="92"/>
      <c r="Q661" s="145"/>
      <c r="R661" s="92"/>
      <c r="S661" s="145"/>
      <c r="T661" s="92"/>
      <c r="U661" s="145"/>
      <c r="V661" s="92"/>
      <c r="W661" s="145"/>
      <c r="X661" s="92"/>
      <c r="Y661" s="145"/>
      <c r="Z661" s="92"/>
      <c r="AA661" s="145"/>
      <c r="AB661" s="64"/>
      <c r="AC661" s="145"/>
      <c r="AD661" s="64"/>
      <c r="AE661" s="145"/>
      <c r="AF661" s="196" t="str">
        <f t="shared" si="35"/>
        <v/>
      </c>
      <c r="AG661" s="95" t="b">
        <f t="shared" si="34"/>
        <v>0</v>
      </c>
      <c r="AH661" s="9"/>
      <c r="AI661" s="150">
        <f t="shared" si="33"/>
        <v>0</v>
      </c>
      <c r="AJ661" s="153" t="s">
        <v>6</v>
      </c>
    </row>
    <row r="662" spans="1:36" ht="30" customHeight="1">
      <c r="A662" s="92"/>
      <c r="B662" s="92"/>
      <c r="C662" s="92"/>
      <c r="D662" s="92"/>
      <c r="E662" s="92"/>
      <c r="F662" s="92"/>
      <c r="G662" s="92"/>
      <c r="H662" s="92"/>
      <c r="I662" s="92"/>
      <c r="J662" s="92"/>
      <c r="K662" s="92"/>
      <c r="L662" s="92"/>
      <c r="M662" s="92"/>
      <c r="N662" s="155"/>
      <c r="O662" s="157"/>
      <c r="P662" s="92"/>
      <c r="Q662" s="145"/>
      <c r="R662" s="92"/>
      <c r="S662" s="145"/>
      <c r="T662" s="92"/>
      <c r="U662" s="145"/>
      <c r="V662" s="92"/>
      <c r="W662" s="145"/>
      <c r="X662" s="92"/>
      <c r="Y662" s="145"/>
      <c r="Z662" s="92"/>
      <c r="AA662" s="145"/>
      <c r="AB662" s="64"/>
      <c r="AC662" s="145"/>
      <c r="AD662" s="64"/>
      <c r="AE662" s="145"/>
      <c r="AF662" s="196" t="str">
        <f t="shared" si="35"/>
        <v/>
      </c>
      <c r="AG662" s="95" t="b">
        <f t="shared" si="34"/>
        <v>0</v>
      </c>
      <c r="AH662" s="9"/>
      <c r="AI662" s="150">
        <f t="shared" si="33"/>
        <v>0</v>
      </c>
      <c r="AJ662" s="153" t="s">
        <v>6</v>
      </c>
    </row>
    <row r="663" spans="1:36" ht="30" customHeight="1">
      <c r="A663" s="92"/>
      <c r="B663" s="92"/>
      <c r="C663" s="92"/>
      <c r="D663" s="92"/>
      <c r="E663" s="92"/>
      <c r="F663" s="92"/>
      <c r="G663" s="92"/>
      <c r="H663" s="92"/>
      <c r="I663" s="92"/>
      <c r="J663" s="92"/>
      <c r="K663" s="92"/>
      <c r="L663" s="92"/>
      <c r="M663" s="92"/>
      <c r="N663" s="155"/>
      <c r="O663" s="157"/>
      <c r="P663" s="92"/>
      <c r="Q663" s="145"/>
      <c r="R663" s="92"/>
      <c r="S663" s="145"/>
      <c r="T663" s="92"/>
      <c r="U663" s="145"/>
      <c r="V663" s="92"/>
      <c r="W663" s="145"/>
      <c r="X663" s="92"/>
      <c r="Y663" s="145"/>
      <c r="Z663" s="92"/>
      <c r="AA663" s="145"/>
      <c r="AB663" s="64"/>
      <c r="AC663" s="145"/>
      <c r="AD663" s="64"/>
      <c r="AE663" s="145"/>
      <c r="AF663" s="196" t="str">
        <f t="shared" si="35"/>
        <v/>
      </c>
      <c r="AG663" s="95" t="b">
        <f t="shared" si="34"/>
        <v>0</v>
      </c>
      <c r="AH663" s="9"/>
      <c r="AI663" s="150">
        <f t="shared" si="33"/>
        <v>0</v>
      </c>
      <c r="AJ663" s="153" t="s">
        <v>6</v>
      </c>
    </row>
    <row r="664" spans="1:36" ht="30" customHeight="1">
      <c r="A664" s="92"/>
      <c r="B664" s="92"/>
      <c r="C664" s="92"/>
      <c r="D664" s="92"/>
      <c r="E664" s="92"/>
      <c r="F664" s="92"/>
      <c r="G664" s="92"/>
      <c r="H664" s="92"/>
      <c r="I664" s="92"/>
      <c r="J664" s="92"/>
      <c r="K664" s="92"/>
      <c r="L664" s="92"/>
      <c r="M664" s="92"/>
      <c r="N664" s="155"/>
      <c r="O664" s="157"/>
      <c r="P664" s="92"/>
      <c r="Q664" s="145"/>
      <c r="R664" s="92"/>
      <c r="S664" s="145"/>
      <c r="T664" s="92"/>
      <c r="U664" s="145"/>
      <c r="V664" s="92"/>
      <c r="W664" s="145"/>
      <c r="X664" s="92"/>
      <c r="Y664" s="145"/>
      <c r="Z664" s="92"/>
      <c r="AA664" s="145"/>
      <c r="AB664" s="64"/>
      <c r="AC664" s="145"/>
      <c r="AD664" s="64"/>
      <c r="AE664" s="145"/>
      <c r="AF664" s="196" t="str">
        <f t="shared" si="35"/>
        <v/>
      </c>
      <c r="AG664" s="95" t="b">
        <f t="shared" si="34"/>
        <v>0</v>
      </c>
      <c r="AH664" s="9"/>
      <c r="AI664" s="150">
        <f t="shared" si="33"/>
        <v>0</v>
      </c>
      <c r="AJ664" s="153" t="s">
        <v>6</v>
      </c>
    </row>
    <row r="665" spans="1:36" ht="30" customHeight="1">
      <c r="A665" s="92"/>
      <c r="B665" s="92"/>
      <c r="C665" s="92"/>
      <c r="D665" s="92"/>
      <c r="E665" s="92"/>
      <c r="F665" s="92"/>
      <c r="G665" s="92"/>
      <c r="H665" s="92"/>
      <c r="I665" s="92"/>
      <c r="J665" s="92"/>
      <c r="K665" s="92"/>
      <c r="L665" s="92"/>
      <c r="M665" s="92"/>
      <c r="N665" s="155"/>
      <c r="O665" s="157"/>
      <c r="P665" s="92"/>
      <c r="Q665" s="145"/>
      <c r="R665" s="92"/>
      <c r="S665" s="145"/>
      <c r="T665" s="92"/>
      <c r="U665" s="145"/>
      <c r="V665" s="92"/>
      <c r="W665" s="145"/>
      <c r="X665" s="92"/>
      <c r="Y665" s="145"/>
      <c r="Z665" s="92"/>
      <c r="AA665" s="145"/>
      <c r="AB665" s="64"/>
      <c r="AC665" s="145"/>
      <c r="AD665" s="64"/>
      <c r="AE665" s="145"/>
      <c r="AF665" s="196" t="str">
        <f t="shared" si="35"/>
        <v/>
      </c>
      <c r="AG665" s="95" t="b">
        <f t="shared" si="34"/>
        <v>0</v>
      </c>
      <c r="AH665" s="9"/>
      <c r="AI665" s="150">
        <f t="shared" si="33"/>
        <v>0</v>
      </c>
      <c r="AJ665" s="153" t="s">
        <v>6</v>
      </c>
    </row>
    <row r="666" spans="1:36" ht="30" customHeight="1">
      <c r="A666" s="92"/>
      <c r="B666" s="92"/>
      <c r="C666" s="92"/>
      <c r="D666" s="92"/>
      <c r="E666" s="92"/>
      <c r="F666" s="92"/>
      <c r="G666" s="92"/>
      <c r="H666" s="92"/>
      <c r="I666" s="92"/>
      <c r="J666" s="92"/>
      <c r="K666" s="92"/>
      <c r="L666" s="92"/>
      <c r="M666" s="92"/>
      <c r="N666" s="155"/>
      <c r="O666" s="157"/>
      <c r="P666" s="92"/>
      <c r="Q666" s="145"/>
      <c r="R666" s="92"/>
      <c r="S666" s="145"/>
      <c r="T666" s="92"/>
      <c r="U666" s="145"/>
      <c r="V666" s="92"/>
      <c r="W666" s="145"/>
      <c r="X666" s="92"/>
      <c r="Y666" s="145"/>
      <c r="Z666" s="92"/>
      <c r="AA666" s="145"/>
      <c r="AB666" s="64"/>
      <c r="AC666" s="145"/>
      <c r="AD666" s="64"/>
      <c r="AE666" s="145"/>
      <c r="AF666" s="196" t="str">
        <f t="shared" si="35"/>
        <v/>
      </c>
      <c r="AG666" s="95" t="b">
        <f t="shared" si="34"/>
        <v>0</v>
      </c>
      <c r="AH666" s="9"/>
      <c r="AI666" s="150">
        <f t="shared" si="33"/>
        <v>0</v>
      </c>
      <c r="AJ666" s="153" t="s">
        <v>6</v>
      </c>
    </row>
    <row r="667" spans="1:36" ht="30" customHeight="1">
      <c r="A667" s="92"/>
      <c r="B667" s="92"/>
      <c r="C667" s="92"/>
      <c r="D667" s="92"/>
      <c r="E667" s="92"/>
      <c r="F667" s="92"/>
      <c r="G667" s="92"/>
      <c r="H667" s="92"/>
      <c r="I667" s="92"/>
      <c r="J667" s="92"/>
      <c r="K667" s="92"/>
      <c r="L667" s="92"/>
      <c r="M667" s="92"/>
      <c r="N667" s="155"/>
      <c r="O667" s="157"/>
      <c r="P667" s="92"/>
      <c r="Q667" s="145"/>
      <c r="R667" s="92"/>
      <c r="S667" s="145"/>
      <c r="T667" s="92"/>
      <c r="U667" s="145"/>
      <c r="V667" s="92"/>
      <c r="W667" s="145"/>
      <c r="X667" s="92"/>
      <c r="Y667" s="145"/>
      <c r="Z667" s="92"/>
      <c r="AA667" s="145"/>
      <c r="AB667" s="64"/>
      <c r="AC667" s="145"/>
      <c r="AD667" s="64"/>
      <c r="AE667" s="145"/>
      <c r="AF667" s="196" t="str">
        <f t="shared" si="35"/>
        <v/>
      </c>
      <c r="AG667" s="95" t="b">
        <f t="shared" si="34"/>
        <v>0</v>
      </c>
      <c r="AH667" s="9"/>
      <c r="AI667" s="150">
        <f t="shared" si="33"/>
        <v>0</v>
      </c>
      <c r="AJ667" s="153" t="s">
        <v>6</v>
      </c>
    </row>
    <row r="668" spans="1:36" ht="30" customHeight="1">
      <c r="A668" s="92"/>
      <c r="B668" s="92"/>
      <c r="C668" s="92"/>
      <c r="D668" s="92"/>
      <c r="E668" s="92"/>
      <c r="F668" s="92"/>
      <c r="G668" s="92"/>
      <c r="H668" s="92"/>
      <c r="I668" s="92"/>
      <c r="J668" s="92"/>
      <c r="K668" s="92"/>
      <c r="L668" s="92"/>
      <c r="M668" s="92"/>
      <c r="N668" s="155"/>
      <c r="O668" s="157"/>
      <c r="P668" s="92"/>
      <c r="Q668" s="145"/>
      <c r="R668" s="92"/>
      <c r="S668" s="145"/>
      <c r="T668" s="92"/>
      <c r="U668" s="145"/>
      <c r="V668" s="92"/>
      <c r="W668" s="145"/>
      <c r="X668" s="92"/>
      <c r="Y668" s="145"/>
      <c r="Z668" s="92"/>
      <c r="AA668" s="145"/>
      <c r="AB668" s="64"/>
      <c r="AC668" s="145"/>
      <c r="AD668" s="64"/>
      <c r="AE668" s="145"/>
      <c r="AF668" s="196" t="str">
        <f t="shared" si="35"/>
        <v/>
      </c>
      <c r="AG668" s="95" t="b">
        <f t="shared" si="34"/>
        <v>0</v>
      </c>
      <c r="AH668" s="9"/>
      <c r="AI668" s="150">
        <f t="shared" si="33"/>
        <v>0</v>
      </c>
      <c r="AJ668" s="153" t="s">
        <v>6</v>
      </c>
    </row>
    <row r="669" spans="1:36" ht="30" customHeight="1">
      <c r="A669" s="92"/>
      <c r="B669" s="92"/>
      <c r="C669" s="92"/>
      <c r="D669" s="92"/>
      <c r="E669" s="92"/>
      <c r="F669" s="92"/>
      <c r="G669" s="92"/>
      <c r="H669" s="92"/>
      <c r="I669" s="92"/>
      <c r="J669" s="92"/>
      <c r="K669" s="92"/>
      <c r="L669" s="92"/>
      <c r="M669" s="92"/>
      <c r="N669" s="155"/>
      <c r="O669" s="157"/>
      <c r="P669" s="92"/>
      <c r="Q669" s="145"/>
      <c r="R669" s="92"/>
      <c r="S669" s="145"/>
      <c r="T669" s="92"/>
      <c r="U669" s="145"/>
      <c r="V669" s="92"/>
      <c r="W669" s="145"/>
      <c r="X669" s="92"/>
      <c r="Y669" s="145"/>
      <c r="Z669" s="92"/>
      <c r="AA669" s="145"/>
      <c r="AB669" s="64"/>
      <c r="AC669" s="145"/>
      <c r="AD669" s="64"/>
      <c r="AE669" s="145"/>
      <c r="AF669" s="196" t="str">
        <f t="shared" si="35"/>
        <v/>
      </c>
      <c r="AG669" s="95" t="b">
        <f t="shared" si="34"/>
        <v>0</v>
      </c>
      <c r="AH669" s="9"/>
      <c r="AI669" s="150">
        <f t="shared" si="33"/>
        <v>0</v>
      </c>
      <c r="AJ669" s="153" t="s">
        <v>6</v>
      </c>
    </row>
    <row r="670" spans="1:36" ht="30" customHeight="1">
      <c r="A670" s="92"/>
      <c r="B670" s="92"/>
      <c r="C670" s="92"/>
      <c r="D670" s="92"/>
      <c r="E670" s="92"/>
      <c r="F670" s="92"/>
      <c r="G670" s="92"/>
      <c r="H670" s="92"/>
      <c r="I670" s="92"/>
      <c r="J670" s="92"/>
      <c r="K670" s="92"/>
      <c r="L670" s="92"/>
      <c r="M670" s="92"/>
      <c r="N670" s="155"/>
      <c r="O670" s="157"/>
      <c r="P670" s="92"/>
      <c r="Q670" s="145"/>
      <c r="R670" s="92"/>
      <c r="S670" s="145"/>
      <c r="T670" s="92"/>
      <c r="U670" s="145"/>
      <c r="V670" s="92"/>
      <c r="W670" s="145"/>
      <c r="X670" s="92"/>
      <c r="Y670" s="145"/>
      <c r="Z670" s="92"/>
      <c r="AA670" s="145"/>
      <c r="AB670" s="64"/>
      <c r="AC670" s="145"/>
      <c r="AD670" s="64"/>
      <c r="AE670" s="145"/>
      <c r="AF670" s="196" t="str">
        <f t="shared" si="35"/>
        <v/>
      </c>
      <c r="AG670" s="95" t="b">
        <f t="shared" si="34"/>
        <v>0</v>
      </c>
      <c r="AH670" s="9"/>
      <c r="AI670" s="150">
        <f t="shared" si="33"/>
        <v>0</v>
      </c>
      <c r="AJ670" s="153" t="s">
        <v>6</v>
      </c>
    </row>
    <row r="671" spans="1:36" ht="30" customHeight="1">
      <c r="A671" s="92"/>
      <c r="B671" s="92"/>
      <c r="C671" s="92"/>
      <c r="D671" s="92"/>
      <c r="E671" s="92"/>
      <c r="F671" s="92"/>
      <c r="G671" s="92"/>
      <c r="H671" s="92"/>
      <c r="I671" s="92"/>
      <c r="J671" s="92"/>
      <c r="K671" s="92"/>
      <c r="L671" s="92"/>
      <c r="M671" s="92"/>
      <c r="N671" s="155"/>
      <c r="O671" s="157"/>
      <c r="P671" s="92"/>
      <c r="Q671" s="145"/>
      <c r="R671" s="92"/>
      <c r="S671" s="145"/>
      <c r="T671" s="92"/>
      <c r="U671" s="145"/>
      <c r="V671" s="92"/>
      <c r="W671" s="145"/>
      <c r="X671" s="92"/>
      <c r="Y671" s="145"/>
      <c r="Z671" s="92"/>
      <c r="AA671" s="145"/>
      <c r="AB671" s="64"/>
      <c r="AC671" s="145"/>
      <c r="AD671" s="64"/>
      <c r="AE671" s="145"/>
      <c r="AF671" s="196" t="str">
        <f t="shared" si="35"/>
        <v/>
      </c>
      <c r="AG671" s="95" t="b">
        <f t="shared" si="34"/>
        <v>0</v>
      </c>
      <c r="AH671" s="9"/>
      <c r="AI671" s="150">
        <f t="shared" si="33"/>
        <v>0</v>
      </c>
      <c r="AJ671" s="153" t="s">
        <v>6</v>
      </c>
    </row>
    <row r="672" spans="1:36" ht="30" customHeight="1">
      <c r="A672" s="92"/>
      <c r="B672" s="92"/>
      <c r="C672" s="92"/>
      <c r="D672" s="92"/>
      <c r="E672" s="92"/>
      <c r="F672" s="92"/>
      <c r="G672" s="92"/>
      <c r="H672" s="92"/>
      <c r="I672" s="92"/>
      <c r="J672" s="92"/>
      <c r="K672" s="92"/>
      <c r="L672" s="92"/>
      <c r="M672" s="92"/>
      <c r="N672" s="155"/>
      <c r="O672" s="157"/>
      <c r="P672" s="92"/>
      <c r="Q672" s="145"/>
      <c r="R672" s="92"/>
      <c r="S672" s="145"/>
      <c r="T672" s="92"/>
      <c r="U672" s="145"/>
      <c r="V672" s="92"/>
      <c r="W672" s="145"/>
      <c r="X672" s="92"/>
      <c r="Y672" s="145"/>
      <c r="Z672" s="92"/>
      <c r="AA672" s="145"/>
      <c r="AB672" s="64"/>
      <c r="AC672" s="145"/>
      <c r="AD672" s="64"/>
      <c r="AE672" s="145"/>
      <c r="AF672" s="196" t="str">
        <f t="shared" si="35"/>
        <v/>
      </c>
      <c r="AG672" s="95" t="b">
        <f t="shared" si="34"/>
        <v>0</v>
      </c>
      <c r="AH672" s="9"/>
      <c r="AI672" s="150">
        <f t="shared" si="33"/>
        <v>0</v>
      </c>
      <c r="AJ672" s="153" t="s">
        <v>6</v>
      </c>
    </row>
    <row r="673" spans="1:36" ht="30" customHeight="1">
      <c r="A673" s="92"/>
      <c r="B673" s="92"/>
      <c r="C673" s="92"/>
      <c r="D673" s="92"/>
      <c r="E673" s="92"/>
      <c r="F673" s="92"/>
      <c r="G673" s="92"/>
      <c r="H673" s="92"/>
      <c r="I673" s="92"/>
      <c r="J673" s="92"/>
      <c r="K673" s="92"/>
      <c r="L673" s="92"/>
      <c r="M673" s="92"/>
      <c r="N673" s="155"/>
      <c r="O673" s="157"/>
      <c r="P673" s="92"/>
      <c r="Q673" s="145"/>
      <c r="R673" s="92"/>
      <c r="S673" s="145"/>
      <c r="T673" s="92"/>
      <c r="U673" s="145"/>
      <c r="V673" s="92"/>
      <c r="W673" s="145"/>
      <c r="X673" s="92"/>
      <c r="Y673" s="145"/>
      <c r="Z673" s="92"/>
      <c r="AA673" s="145"/>
      <c r="AB673" s="64"/>
      <c r="AC673" s="145"/>
      <c r="AD673" s="64"/>
      <c r="AE673" s="145"/>
      <c r="AF673" s="196" t="str">
        <f t="shared" si="35"/>
        <v/>
      </c>
      <c r="AG673" s="95" t="b">
        <f t="shared" si="34"/>
        <v>0</v>
      </c>
      <c r="AH673" s="9"/>
      <c r="AI673" s="150">
        <f t="shared" si="33"/>
        <v>0</v>
      </c>
      <c r="AJ673" s="153" t="s">
        <v>6</v>
      </c>
    </row>
    <row r="674" spans="1:36" ht="30" customHeight="1">
      <c r="A674" s="92"/>
      <c r="B674" s="92"/>
      <c r="C674" s="92"/>
      <c r="D674" s="92"/>
      <c r="E674" s="92"/>
      <c r="F674" s="92"/>
      <c r="G674" s="92"/>
      <c r="H674" s="92"/>
      <c r="I674" s="92"/>
      <c r="J674" s="92"/>
      <c r="K674" s="92"/>
      <c r="L674" s="92"/>
      <c r="M674" s="92"/>
      <c r="N674" s="155"/>
      <c r="O674" s="157"/>
      <c r="P674" s="92"/>
      <c r="Q674" s="145"/>
      <c r="R674" s="92"/>
      <c r="S674" s="145"/>
      <c r="T674" s="92"/>
      <c r="U674" s="145"/>
      <c r="V674" s="92"/>
      <c r="W674" s="145"/>
      <c r="X674" s="92"/>
      <c r="Y674" s="145"/>
      <c r="Z674" s="92"/>
      <c r="AA674" s="145"/>
      <c r="AB674" s="64"/>
      <c r="AC674" s="145"/>
      <c r="AD674" s="64"/>
      <c r="AE674" s="145"/>
      <c r="AF674" s="196" t="str">
        <f t="shared" si="35"/>
        <v/>
      </c>
      <c r="AG674" s="95" t="b">
        <f t="shared" si="34"/>
        <v>0</v>
      </c>
      <c r="AH674" s="9"/>
      <c r="AI674" s="150">
        <f t="shared" si="33"/>
        <v>0</v>
      </c>
      <c r="AJ674" s="153" t="s">
        <v>6</v>
      </c>
    </row>
    <row r="675" spans="1:36" ht="30" customHeight="1">
      <c r="A675" s="92"/>
      <c r="B675" s="92"/>
      <c r="C675" s="92"/>
      <c r="D675" s="92"/>
      <c r="E675" s="92"/>
      <c r="F675" s="92"/>
      <c r="G675" s="92"/>
      <c r="H675" s="92"/>
      <c r="I675" s="92"/>
      <c r="J675" s="92"/>
      <c r="K675" s="92"/>
      <c r="L675" s="92"/>
      <c r="M675" s="92"/>
      <c r="N675" s="155"/>
      <c r="O675" s="157"/>
      <c r="P675" s="92"/>
      <c r="Q675" s="145"/>
      <c r="R675" s="92"/>
      <c r="S675" s="145"/>
      <c r="T675" s="92"/>
      <c r="U675" s="145"/>
      <c r="V675" s="92"/>
      <c r="W675" s="145"/>
      <c r="X675" s="92"/>
      <c r="Y675" s="145"/>
      <c r="Z675" s="92"/>
      <c r="AA675" s="145"/>
      <c r="AB675" s="64"/>
      <c r="AC675" s="145"/>
      <c r="AD675" s="64"/>
      <c r="AE675" s="145"/>
      <c r="AF675" s="196" t="str">
        <f t="shared" si="35"/>
        <v/>
      </c>
      <c r="AG675" s="95" t="b">
        <f t="shared" si="34"/>
        <v>0</v>
      </c>
      <c r="AH675" s="9"/>
      <c r="AI675" s="150">
        <f t="shared" si="33"/>
        <v>0</v>
      </c>
      <c r="AJ675" s="153" t="s">
        <v>6</v>
      </c>
    </row>
    <row r="676" spans="1:36" ht="30" customHeight="1">
      <c r="A676" s="92"/>
      <c r="B676" s="92"/>
      <c r="C676" s="92"/>
      <c r="D676" s="92"/>
      <c r="E676" s="92"/>
      <c r="F676" s="92"/>
      <c r="G676" s="92"/>
      <c r="H676" s="92"/>
      <c r="I676" s="92"/>
      <c r="J676" s="92"/>
      <c r="K676" s="92"/>
      <c r="L676" s="92"/>
      <c r="M676" s="92"/>
      <c r="N676" s="155"/>
      <c r="O676" s="157"/>
      <c r="P676" s="92"/>
      <c r="Q676" s="145"/>
      <c r="R676" s="92"/>
      <c r="S676" s="145"/>
      <c r="T676" s="92"/>
      <c r="U676" s="145"/>
      <c r="V676" s="92"/>
      <c r="W676" s="145"/>
      <c r="X676" s="92"/>
      <c r="Y676" s="145"/>
      <c r="Z676" s="92"/>
      <c r="AA676" s="145"/>
      <c r="AB676" s="64"/>
      <c r="AC676" s="145"/>
      <c r="AD676" s="64"/>
      <c r="AE676" s="145"/>
      <c r="AF676" s="196" t="str">
        <f t="shared" si="35"/>
        <v/>
      </c>
      <c r="AG676" s="95" t="b">
        <f t="shared" si="34"/>
        <v>0</v>
      </c>
      <c r="AH676" s="9"/>
      <c r="AI676" s="150">
        <f t="shared" si="33"/>
        <v>0</v>
      </c>
      <c r="AJ676" s="153" t="s">
        <v>6</v>
      </c>
    </row>
    <row r="677" spans="1:36" ht="30" customHeight="1">
      <c r="A677" s="92"/>
      <c r="B677" s="92"/>
      <c r="C677" s="92"/>
      <c r="D677" s="92"/>
      <c r="E677" s="92"/>
      <c r="F677" s="92"/>
      <c r="G677" s="92"/>
      <c r="H677" s="92"/>
      <c r="I677" s="92"/>
      <c r="J677" s="92"/>
      <c r="K677" s="92"/>
      <c r="L677" s="92"/>
      <c r="M677" s="92"/>
      <c r="N677" s="155"/>
      <c r="O677" s="157"/>
      <c r="P677" s="92"/>
      <c r="Q677" s="145"/>
      <c r="R677" s="92"/>
      <c r="S677" s="145"/>
      <c r="T677" s="92"/>
      <c r="U677" s="145"/>
      <c r="V677" s="92"/>
      <c r="W677" s="145"/>
      <c r="X677" s="92"/>
      <c r="Y677" s="145"/>
      <c r="Z677" s="92"/>
      <c r="AA677" s="145"/>
      <c r="AB677" s="64"/>
      <c r="AC677" s="145"/>
      <c r="AD677" s="64"/>
      <c r="AE677" s="145"/>
      <c r="AF677" s="196" t="str">
        <f t="shared" si="35"/>
        <v/>
      </c>
      <c r="AG677" s="95" t="b">
        <f t="shared" si="34"/>
        <v>0</v>
      </c>
      <c r="AH677" s="9"/>
      <c r="AI677" s="150">
        <f t="shared" si="33"/>
        <v>0</v>
      </c>
      <c r="AJ677" s="153" t="s">
        <v>6</v>
      </c>
    </row>
    <row r="678" spans="1:36" ht="30" customHeight="1">
      <c r="A678" s="92"/>
      <c r="B678" s="92"/>
      <c r="C678" s="92"/>
      <c r="D678" s="92"/>
      <c r="E678" s="92"/>
      <c r="F678" s="92"/>
      <c r="G678" s="92"/>
      <c r="H678" s="92"/>
      <c r="I678" s="92"/>
      <c r="J678" s="92"/>
      <c r="K678" s="92"/>
      <c r="L678" s="92"/>
      <c r="M678" s="92"/>
      <c r="N678" s="155"/>
      <c r="O678" s="157"/>
      <c r="P678" s="92"/>
      <c r="Q678" s="145"/>
      <c r="R678" s="92"/>
      <c r="S678" s="145"/>
      <c r="T678" s="92"/>
      <c r="U678" s="145"/>
      <c r="V678" s="92"/>
      <c r="W678" s="145"/>
      <c r="X678" s="92"/>
      <c r="Y678" s="145"/>
      <c r="Z678" s="92"/>
      <c r="AA678" s="145"/>
      <c r="AB678" s="64"/>
      <c r="AC678" s="145"/>
      <c r="AD678" s="64"/>
      <c r="AE678" s="145"/>
      <c r="AF678" s="196" t="str">
        <f t="shared" si="35"/>
        <v/>
      </c>
      <c r="AG678" s="95" t="b">
        <f t="shared" si="34"/>
        <v>0</v>
      </c>
      <c r="AH678" s="9"/>
      <c r="AI678" s="150">
        <f t="shared" si="33"/>
        <v>0</v>
      </c>
      <c r="AJ678" s="153" t="s">
        <v>6</v>
      </c>
    </row>
    <row r="679" spans="1:36" ht="30" customHeight="1">
      <c r="A679" s="92"/>
      <c r="B679" s="92"/>
      <c r="C679" s="92"/>
      <c r="D679" s="92"/>
      <c r="E679" s="92"/>
      <c r="F679" s="92"/>
      <c r="G679" s="92"/>
      <c r="H679" s="92"/>
      <c r="I679" s="92"/>
      <c r="J679" s="92"/>
      <c r="K679" s="92"/>
      <c r="L679" s="92"/>
      <c r="M679" s="92"/>
      <c r="N679" s="155"/>
      <c r="O679" s="157"/>
      <c r="P679" s="92"/>
      <c r="Q679" s="145"/>
      <c r="R679" s="92"/>
      <c r="S679" s="145"/>
      <c r="T679" s="92"/>
      <c r="U679" s="145"/>
      <c r="V679" s="92"/>
      <c r="W679" s="145"/>
      <c r="X679" s="92"/>
      <c r="Y679" s="145"/>
      <c r="Z679" s="92"/>
      <c r="AA679" s="145"/>
      <c r="AB679" s="64"/>
      <c r="AC679" s="145"/>
      <c r="AD679" s="64"/>
      <c r="AE679" s="145"/>
      <c r="AF679" s="196" t="str">
        <f t="shared" si="35"/>
        <v/>
      </c>
      <c r="AG679" s="95" t="b">
        <f t="shared" si="34"/>
        <v>0</v>
      </c>
      <c r="AH679" s="9"/>
      <c r="AI679" s="150">
        <f t="shared" si="33"/>
        <v>0</v>
      </c>
      <c r="AJ679" s="153" t="s">
        <v>6</v>
      </c>
    </row>
    <row r="680" spans="1:36" ht="30" customHeight="1">
      <c r="A680" s="92"/>
      <c r="B680" s="92"/>
      <c r="C680" s="92"/>
      <c r="D680" s="92"/>
      <c r="E680" s="92"/>
      <c r="F680" s="92"/>
      <c r="G680" s="92"/>
      <c r="H680" s="92"/>
      <c r="I680" s="92"/>
      <c r="J680" s="92"/>
      <c r="K680" s="92"/>
      <c r="L680" s="92"/>
      <c r="M680" s="92"/>
      <c r="N680" s="155"/>
      <c r="O680" s="157"/>
      <c r="P680" s="92"/>
      <c r="Q680" s="145"/>
      <c r="R680" s="92"/>
      <c r="S680" s="145"/>
      <c r="T680" s="92"/>
      <c r="U680" s="145"/>
      <c r="V680" s="92"/>
      <c r="W680" s="145"/>
      <c r="X680" s="92"/>
      <c r="Y680" s="145"/>
      <c r="Z680" s="92"/>
      <c r="AA680" s="145"/>
      <c r="AB680" s="64"/>
      <c r="AC680" s="145"/>
      <c r="AD680" s="64"/>
      <c r="AE680" s="145"/>
      <c r="AF680" s="196" t="str">
        <f t="shared" si="35"/>
        <v/>
      </c>
      <c r="AG680" s="95" t="b">
        <f t="shared" si="34"/>
        <v>0</v>
      </c>
      <c r="AH680" s="9"/>
      <c r="AI680" s="150">
        <f t="shared" si="33"/>
        <v>0</v>
      </c>
      <c r="AJ680" s="153" t="s">
        <v>6</v>
      </c>
    </row>
    <row r="681" spans="1:36" ht="30" customHeight="1">
      <c r="A681" s="92"/>
      <c r="B681" s="92"/>
      <c r="C681" s="92"/>
      <c r="D681" s="92"/>
      <c r="E681" s="92"/>
      <c r="F681" s="92"/>
      <c r="G681" s="92"/>
      <c r="H681" s="92"/>
      <c r="I681" s="92"/>
      <c r="J681" s="92"/>
      <c r="K681" s="92"/>
      <c r="L681" s="92"/>
      <c r="M681" s="92"/>
      <c r="N681" s="155"/>
      <c r="O681" s="157"/>
      <c r="P681" s="92"/>
      <c r="Q681" s="145"/>
      <c r="R681" s="92"/>
      <c r="S681" s="145"/>
      <c r="T681" s="92"/>
      <c r="U681" s="145"/>
      <c r="V681" s="92"/>
      <c r="W681" s="145"/>
      <c r="X681" s="92"/>
      <c r="Y681" s="145"/>
      <c r="Z681" s="92"/>
      <c r="AA681" s="145"/>
      <c r="AB681" s="64"/>
      <c r="AC681" s="145"/>
      <c r="AD681" s="64"/>
      <c r="AE681" s="145"/>
      <c r="AF681" s="196" t="str">
        <f t="shared" si="35"/>
        <v/>
      </c>
      <c r="AG681" s="95" t="b">
        <f t="shared" si="34"/>
        <v>0</v>
      </c>
      <c r="AH681" s="9"/>
      <c r="AI681" s="150">
        <f t="shared" si="33"/>
        <v>0</v>
      </c>
      <c r="AJ681" s="153" t="s">
        <v>6</v>
      </c>
    </row>
    <row r="682" spans="1:36" ht="30" customHeight="1">
      <c r="A682" s="92"/>
      <c r="B682" s="92"/>
      <c r="C682" s="92"/>
      <c r="D682" s="92"/>
      <c r="E682" s="92"/>
      <c r="F682" s="92"/>
      <c r="G682" s="92"/>
      <c r="H682" s="92"/>
      <c r="I682" s="92"/>
      <c r="J682" s="92"/>
      <c r="K682" s="92"/>
      <c r="L682" s="92"/>
      <c r="M682" s="92"/>
      <c r="N682" s="155"/>
      <c r="O682" s="157"/>
      <c r="P682" s="92"/>
      <c r="Q682" s="145"/>
      <c r="R682" s="92"/>
      <c r="S682" s="145"/>
      <c r="T682" s="92"/>
      <c r="U682" s="145"/>
      <c r="V682" s="92"/>
      <c r="W682" s="145"/>
      <c r="X682" s="92"/>
      <c r="Y682" s="145"/>
      <c r="Z682" s="92"/>
      <c r="AA682" s="145"/>
      <c r="AB682" s="64"/>
      <c r="AC682" s="145"/>
      <c r="AD682" s="64"/>
      <c r="AE682" s="145"/>
      <c r="AF682" s="196" t="str">
        <f t="shared" si="35"/>
        <v/>
      </c>
      <c r="AG682" s="95" t="b">
        <f t="shared" si="34"/>
        <v>0</v>
      </c>
      <c r="AH682" s="9"/>
      <c r="AI682" s="150">
        <f t="shared" si="33"/>
        <v>0</v>
      </c>
      <c r="AJ682" s="153" t="s">
        <v>6</v>
      </c>
    </row>
    <row r="683" spans="1:36" ht="30" customHeight="1">
      <c r="A683" s="92"/>
      <c r="B683" s="92"/>
      <c r="C683" s="92"/>
      <c r="D683" s="92"/>
      <c r="E683" s="92"/>
      <c r="F683" s="92"/>
      <c r="G683" s="92"/>
      <c r="H683" s="92"/>
      <c r="I683" s="92"/>
      <c r="J683" s="92"/>
      <c r="K683" s="92"/>
      <c r="L683" s="92"/>
      <c r="M683" s="92"/>
      <c r="N683" s="155"/>
      <c r="O683" s="157"/>
      <c r="P683" s="92"/>
      <c r="Q683" s="145"/>
      <c r="R683" s="92"/>
      <c r="S683" s="145"/>
      <c r="T683" s="92"/>
      <c r="U683" s="145"/>
      <c r="V683" s="92"/>
      <c r="W683" s="145"/>
      <c r="X683" s="92"/>
      <c r="Y683" s="145"/>
      <c r="Z683" s="92"/>
      <c r="AA683" s="145"/>
      <c r="AB683" s="64"/>
      <c r="AC683" s="145"/>
      <c r="AD683" s="64"/>
      <c r="AE683" s="145"/>
      <c r="AF683" s="196" t="str">
        <f t="shared" si="35"/>
        <v/>
      </c>
      <c r="AG683" s="95" t="b">
        <f t="shared" si="34"/>
        <v>0</v>
      </c>
      <c r="AH683" s="9"/>
      <c r="AI683" s="150">
        <f t="shared" si="33"/>
        <v>0</v>
      </c>
      <c r="AJ683" s="153" t="s">
        <v>6</v>
      </c>
    </row>
    <row r="684" spans="1:36" ht="30" customHeight="1">
      <c r="A684" s="92"/>
      <c r="B684" s="92"/>
      <c r="C684" s="92"/>
      <c r="D684" s="92"/>
      <c r="E684" s="92"/>
      <c r="F684" s="92"/>
      <c r="G684" s="92"/>
      <c r="H684" s="92"/>
      <c r="I684" s="92"/>
      <c r="J684" s="92"/>
      <c r="K684" s="92"/>
      <c r="L684" s="92"/>
      <c r="M684" s="92"/>
      <c r="N684" s="155"/>
      <c r="O684" s="157"/>
      <c r="P684" s="92"/>
      <c r="Q684" s="145"/>
      <c r="R684" s="92"/>
      <c r="S684" s="145"/>
      <c r="T684" s="92"/>
      <c r="U684" s="145"/>
      <c r="V684" s="92"/>
      <c r="W684" s="145"/>
      <c r="X684" s="92"/>
      <c r="Y684" s="145"/>
      <c r="Z684" s="92"/>
      <c r="AA684" s="145"/>
      <c r="AB684" s="64"/>
      <c r="AC684" s="145"/>
      <c r="AD684" s="64"/>
      <c r="AE684" s="145"/>
      <c r="AF684" s="196" t="str">
        <f t="shared" si="35"/>
        <v/>
      </c>
      <c r="AG684" s="95" t="b">
        <f t="shared" si="34"/>
        <v>0</v>
      </c>
      <c r="AH684" s="9"/>
      <c r="AI684" s="150">
        <f t="shared" si="33"/>
        <v>0</v>
      </c>
      <c r="AJ684" s="153" t="s">
        <v>6</v>
      </c>
    </row>
    <row r="685" spans="1:36" ht="30" customHeight="1">
      <c r="A685" s="92"/>
      <c r="B685" s="92"/>
      <c r="C685" s="92"/>
      <c r="D685" s="92"/>
      <c r="E685" s="92"/>
      <c r="F685" s="92"/>
      <c r="G685" s="92"/>
      <c r="H685" s="92"/>
      <c r="I685" s="92"/>
      <c r="J685" s="92"/>
      <c r="K685" s="92"/>
      <c r="L685" s="92"/>
      <c r="M685" s="92"/>
      <c r="N685" s="155"/>
      <c r="O685" s="157"/>
      <c r="P685" s="92"/>
      <c r="Q685" s="145"/>
      <c r="R685" s="92"/>
      <c r="S685" s="145"/>
      <c r="T685" s="92"/>
      <c r="U685" s="145"/>
      <c r="V685" s="92"/>
      <c r="W685" s="145"/>
      <c r="X685" s="92"/>
      <c r="Y685" s="145"/>
      <c r="Z685" s="92"/>
      <c r="AA685" s="145"/>
      <c r="AB685" s="64"/>
      <c r="AC685" s="145"/>
      <c r="AD685" s="64"/>
      <c r="AE685" s="145"/>
      <c r="AF685" s="196" t="str">
        <f t="shared" si="35"/>
        <v/>
      </c>
      <c r="AG685" s="95" t="b">
        <f t="shared" si="34"/>
        <v>0</v>
      </c>
      <c r="AH685" s="9"/>
      <c r="AI685" s="150">
        <f t="shared" si="33"/>
        <v>0</v>
      </c>
      <c r="AJ685" s="153" t="s">
        <v>6</v>
      </c>
    </row>
    <row r="686" spans="1:36" ht="30" customHeight="1">
      <c r="A686" s="92"/>
      <c r="B686" s="92"/>
      <c r="C686" s="92"/>
      <c r="D686" s="92"/>
      <c r="E686" s="92"/>
      <c r="F686" s="92"/>
      <c r="G686" s="92"/>
      <c r="H686" s="92"/>
      <c r="I686" s="92"/>
      <c r="J686" s="92"/>
      <c r="K686" s="92"/>
      <c r="L686" s="92"/>
      <c r="M686" s="92"/>
      <c r="N686" s="155"/>
      <c r="O686" s="157"/>
      <c r="P686" s="92"/>
      <c r="Q686" s="145"/>
      <c r="R686" s="92"/>
      <c r="S686" s="145"/>
      <c r="T686" s="92"/>
      <c r="U686" s="145"/>
      <c r="V686" s="92"/>
      <c r="W686" s="145"/>
      <c r="X686" s="92"/>
      <c r="Y686" s="145"/>
      <c r="Z686" s="92"/>
      <c r="AA686" s="145"/>
      <c r="AB686" s="64"/>
      <c r="AC686" s="145"/>
      <c r="AD686" s="64"/>
      <c r="AE686" s="145"/>
      <c r="AF686" s="196" t="str">
        <f t="shared" si="35"/>
        <v/>
      </c>
      <c r="AG686" s="95" t="b">
        <f t="shared" si="34"/>
        <v>0</v>
      </c>
      <c r="AH686" s="9"/>
      <c r="AI686" s="150">
        <f t="shared" si="33"/>
        <v>0</v>
      </c>
      <c r="AJ686" s="153" t="s">
        <v>6</v>
      </c>
    </row>
    <row r="687" spans="1:36" ht="30" customHeight="1">
      <c r="A687" s="92"/>
      <c r="B687" s="92"/>
      <c r="C687" s="92"/>
      <c r="D687" s="92"/>
      <c r="E687" s="92"/>
      <c r="F687" s="92"/>
      <c r="G687" s="92"/>
      <c r="H687" s="92"/>
      <c r="I687" s="92"/>
      <c r="J687" s="92"/>
      <c r="K687" s="92"/>
      <c r="L687" s="92"/>
      <c r="M687" s="92"/>
      <c r="N687" s="155"/>
      <c r="O687" s="157"/>
      <c r="P687" s="92"/>
      <c r="Q687" s="145"/>
      <c r="R687" s="92"/>
      <c r="S687" s="145"/>
      <c r="T687" s="92"/>
      <c r="U687" s="145"/>
      <c r="V687" s="92"/>
      <c r="W687" s="145"/>
      <c r="X687" s="92"/>
      <c r="Y687" s="145"/>
      <c r="Z687" s="92"/>
      <c r="AA687" s="145"/>
      <c r="AB687" s="64"/>
      <c r="AC687" s="145"/>
      <c r="AD687" s="64"/>
      <c r="AE687" s="145"/>
      <c r="AF687" s="196" t="str">
        <f t="shared" si="35"/>
        <v/>
      </c>
      <c r="AG687" s="95" t="b">
        <f t="shared" si="34"/>
        <v>0</v>
      </c>
      <c r="AH687" s="9"/>
      <c r="AI687" s="150">
        <f t="shared" si="33"/>
        <v>0</v>
      </c>
      <c r="AJ687" s="153" t="s">
        <v>6</v>
      </c>
    </row>
    <row r="688" spans="1:36" ht="30" customHeight="1">
      <c r="A688" s="92"/>
      <c r="B688" s="92"/>
      <c r="C688" s="92"/>
      <c r="D688" s="92"/>
      <c r="E688" s="92"/>
      <c r="F688" s="92"/>
      <c r="G688" s="92"/>
      <c r="H688" s="92"/>
      <c r="I688" s="92"/>
      <c r="J688" s="92"/>
      <c r="K688" s="92"/>
      <c r="L688" s="92"/>
      <c r="M688" s="92"/>
      <c r="N688" s="155"/>
      <c r="O688" s="157"/>
      <c r="P688" s="92"/>
      <c r="Q688" s="145"/>
      <c r="R688" s="92"/>
      <c r="S688" s="145"/>
      <c r="T688" s="92"/>
      <c r="U688" s="145"/>
      <c r="V688" s="92"/>
      <c r="W688" s="145"/>
      <c r="X688" s="92"/>
      <c r="Y688" s="145"/>
      <c r="Z688" s="92"/>
      <c r="AA688" s="145"/>
      <c r="AB688" s="64"/>
      <c r="AC688" s="145"/>
      <c r="AD688" s="64"/>
      <c r="AE688" s="145"/>
      <c r="AF688" s="196" t="str">
        <f t="shared" si="35"/>
        <v/>
      </c>
      <c r="AG688" s="95" t="b">
        <f t="shared" si="34"/>
        <v>0</v>
      </c>
      <c r="AH688" s="9"/>
      <c r="AI688" s="150">
        <f t="shared" si="33"/>
        <v>0</v>
      </c>
      <c r="AJ688" s="153" t="s">
        <v>6</v>
      </c>
    </row>
    <row r="689" spans="1:36" ht="30" customHeight="1">
      <c r="A689" s="92"/>
      <c r="B689" s="92"/>
      <c r="C689" s="92"/>
      <c r="D689" s="92"/>
      <c r="E689" s="92"/>
      <c r="F689" s="92"/>
      <c r="G689" s="92"/>
      <c r="H689" s="92"/>
      <c r="I689" s="92"/>
      <c r="J689" s="92"/>
      <c r="K689" s="92"/>
      <c r="L689" s="92"/>
      <c r="M689" s="92"/>
      <c r="N689" s="155"/>
      <c r="O689" s="157"/>
      <c r="P689" s="92"/>
      <c r="Q689" s="145"/>
      <c r="R689" s="92"/>
      <c r="S689" s="145"/>
      <c r="T689" s="92"/>
      <c r="U689" s="145"/>
      <c r="V689" s="92"/>
      <c r="W689" s="145"/>
      <c r="X689" s="92"/>
      <c r="Y689" s="145"/>
      <c r="Z689" s="92"/>
      <c r="AA689" s="145"/>
      <c r="AB689" s="64"/>
      <c r="AC689" s="145"/>
      <c r="AD689" s="64"/>
      <c r="AE689" s="145"/>
      <c r="AF689" s="196" t="str">
        <f t="shared" si="35"/>
        <v/>
      </c>
      <c r="AG689" s="95" t="b">
        <f t="shared" si="34"/>
        <v>0</v>
      </c>
      <c r="AH689" s="9"/>
      <c r="AI689" s="150">
        <f t="shared" si="33"/>
        <v>0</v>
      </c>
      <c r="AJ689" s="153" t="s">
        <v>6</v>
      </c>
    </row>
    <row r="690" spans="1:36" ht="30" customHeight="1">
      <c r="A690" s="92"/>
      <c r="B690" s="92"/>
      <c r="C690" s="92"/>
      <c r="D690" s="92"/>
      <c r="E690" s="92"/>
      <c r="F690" s="92"/>
      <c r="G690" s="92"/>
      <c r="H690" s="92"/>
      <c r="I690" s="92"/>
      <c r="J690" s="92"/>
      <c r="K690" s="92"/>
      <c r="L690" s="92"/>
      <c r="M690" s="92"/>
      <c r="N690" s="155"/>
      <c r="O690" s="157"/>
      <c r="P690" s="92"/>
      <c r="Q690" s="145"/>
      <c r="R690" s="92"/>
      <c r="S690" s="145"/>
      <c r="T690" s="92"/>
      <c r="U690" s="145"/>
      <c r="V690" s="92"/>
      <c r="W690" s="145"/>
      <c r="X690" s="92"/>
      <c r="Y690" s="145"/>
      <c r="Z690" s="92"/>
      <c r="AA690" s="145"/>
      <c r="AB690" s="64"/>
      <c r="AC690" s="145"/>
      <c r="AD690" s="64"/>
      <c r="AE690" s="145"/>
      <c r="AF690" s="196" t="str">
        <f t="shared" si="35"/>
        <v/>
      </c>
      <c r="AG690" s="95" t="b">
        <f t="shared" si="34"/>
        <v>0</v>
      </c>
      <c r="AH690" s="9"/>
      <c r="AI690" s="150">
        <f t="shared" si="33"/>
        <v>0</v>
      </c>
      <c r="AJ690" s="153" t="s">
        <v>6</v>
      </c>
    </row>
    <row r="691" spans="1:36" ht="30" customHeight="1">
      <c r="A691" s="92"/>
      <c r="B691" s="92"/>
      <c r="C691" s="92"/>
      <c r="D691" s="92"/>
      <c r="E691" s="92"/>
      <c r="F691" s="92"/>
      <c r="G691" s="92"/>
      <c r="H691" s="92"/>
      <c r="I691" s="92"/>
      <c r="J691" s="92"/>
      <c r="K691" s="92"/>
      <c r="L691" s="92"/>
      <c r="M691" s="92"/>
      <c r="N691" s="155"/>
      <c r="O691" s="157"/>
      <c r="P691" s="92"/>
      <c r="Q691" s="145"/>
      <c r="R691" s="92"/>
      <c r="S691" s="145"/>
      <c r="T691" s="92"/>
      <c r="U691" s="145"/>
      <c r="V691" s="92"/>
      <c r="W691" s="145"/>
      <c r="X691" s="92"/>
      <c r="Y691" s="145"/>
      <c r="Z691" s="92"/>
      <c r="AA691" s="145"/>
      <c r="AB691" s="64"/>
      <c r="AC691" s="145"/>
      <c r="AD691" s="64"/>
      <c r="AE691" s="145"/>
      <c r="AF691" s="196" t="str">
        <f t="shared" si="35"/>
        <v/>
      </c>
      <c r="AG691" s="95" t="b">
        <f t="shared" si="34"/>
        <v>0</v>
      </c>
      <c r="AH691" s="9"/>
      <c r="AI691" s="150">
        <f t="shared" si="33"/>
        <v>0</v>
      </c>
      <c r="AJ691" s="153" t="s">
        <v>6</v>
      </c>
    </row>
    <row r="692" spans="1:36" ht="30" customHeight="1">
      <c r="A692" s="92"/>
      <c r="B692" s="92"/>
      <c r="C692" s="92"/>
      <c r="D692" s="92"/>
      <c r="E692" s="92"/>
      <c r="F692" s="92"/>
      <c r="G692" s="92"/>
      <c r="H692" s="92"/>
      <c r="I692" s="92"/>
      <c r="J692" s="92"/>
      <c r="K692" s="92"/>
      <c r="L692" s="92"/>
      <c r="M692" s="92"/>
      <c r="N692" s="155"/>
      <c r="O692" s="157"/>
      <c r="P692" s="92"/>
      <c r="Q692" s="145"/>
      <c r="R692" s="92"/>
      <c r="S692" s="145"/>
      <c r="T692" s="92"/>
      <c r="U692" s="145"/>
      <c r="V692" s="92"/>
      <c r="W692" s="145"/>
      <c r="X692" s="92"/>
      <c r="Y692" s="145"/>
      <c r="Z692" s="92"/>
      <c r="AA692" s="145"/>
      <c r="AB692" s="64"/>
      <c r="AC692" s="145"/>
      <c r="AD692" s="64"/>
      <c r="AE692" s="145"/>
      <c r="AF692" s="196" t="str">
        <f t="shared" si="35"/>
        <v/>
      </c>
      <c r="AG692" s="95" t="b">
        <f t="shared" si="34"/>
        <v>0</v>
      </c>
      <c r="AH692" s="9"/>
      <c r="AI692" s="150">
        <f t="shared" si="33"/>
        <v>0</v>
      </c>
      <c r="AJ692" s="153" t="s">
        <v>6</v>
      </c>
    </row>
    <row r="693" spans="1:36" ht="30" customHeight="1">
      <c r="A693" s="92"/>
      <c r="B693" s="92"/>
      <c r="C693" s="92"/>
      <c r="D693" s="92"/>
      <c r="E693" s="92"/>
      <c r="F693" s="92"/>
      <c r="G693" s="92"/>
      <c r="H693" s="92"/>
      <c r="I693" s="92"/>
      <c r="J693" s="92"/>
      <c r="K693" s="92"/>
      <c r="L693" s="92"/>
      <c r="M693" s="92"/>
      <c r="N693" s="155"/>
      <c r="O693" s="157"/>
      <c r="P693" s="92"/>
      <c r="Q693" s="145"/>
      <c r="R693" s="92"/>
      <c r="S693" s="145"/>
      <c r="T693" s="92"/>
      <c r="U693" s="145"/>
      <c r="V693" s="92"/>
      <c r="W693" s="145"/>
      <c r="X693" s="92"/>
      <c r="Y693" s="145"/>
      <c r="Z693" s="92"/>
      <c r="AA693" s="145"/>
      <c r="AB693" s="64"/>
      <c r="AC693" s="145"/>
      <c r="AD693" s="64"/>
      <c r="AE693" s="145"/>
      <c r="AF693" s="196" t="str">
        <f t="shared" si="35"/>
        <v/>
      </c>
      <c r="AG693" s="95" t="b">
        <f t="shared" si="34"/>
        <v>0</v>
      </c>
      <c r="AH693" s="9"/>
      <c r="AI693" s="150">
        <f t="shared" si="33"/>
        <v>0</v>
      </c>
      <c r="AJ693" s="153" t="s">
        <v>6</v>
      </c>
    </row>
    <row r="694" spans="1:36" ht="30" customHeight="1">
      <c r="A694" s="92"/>
      <c r="B694" s="92"/>
      <c r="C694" s="92"/>
      <c r="D694" s="92"/>
      <c r="E694" s="92"/>
      <c r="F694" s="92"/>
      <c r="G694" s="92"/>
      <c r="H694" s="92"/>
      <c r="I694" s="92"/>
      <c r="J694" s="92"/>
      <c r="K694" s="92"/>
      <c r="L694" s="92"/>
      <c r="M694" s="92"/>
      <c r="N694" s="155"/>
      <c r="O694" s="157"/>
      <c r="P694" s="92"/>
      <c r="Q694" s="145"/>
      <c r="R694" s="92"/>
      <c r="S694" s="145"/>
      <c r="T694" s="92"/>
      <c r="U694" s="145"/>
      <c r="V694" s="92"/>
      <c r="W694" s="145"/>
      <c r="X694" s="92"/>
      <c r="Y694" s="145"/>
      <c r="Z694" s="92"/>
      <c r="AA694" s="145"/>
      <c r="AB694" s="64"/>
      <c r="AC694" s="145"/>
      <c r="AD694" s="64"/>
      <c r="AE694" s="145"/>
      <c r="AF694" s="196" t="str">
        <f t="shared" si="35"/>
        <v/>
      </c>
      <c r="AG694" s="95" t="b">
        <f t="shared" si="34"/>
        <v>0</v>
      </c>
      <c r="AH694" s="9"/>
      <c r="AI694" s="150">
        <f t="shared" si="33"/>
        <v>0</v>
      </c>
      <c r="AJ694" s="153" t="s">
        <v>6</v>
      </c>
    </row>
    <row r="695" spans="1:36" ht="30" customHeight="1">
      <c r="A695" s="92"/>
      <c r="B695" s="92"/>
      <c r="C695" s="92"/>
      <c r="D695" s="92"/>
      <c r="E695" s="92"/>
      <c r="F695" s="92"/>
      <c r="G695" s="92"/>
      <c r="H695" s="92"/>
      <c r="I695" s="92"/>
      <c r="J695" s="92"/>
      <c r="K695" s="92"/>
      <c r="L695" s="92"/>
      <c r="M695" s="92"/>
      <c r="N695" s="155"/>
      <c r="O695" s="157"/>
      <c r="P695" s="92"/>
      <c r="Q695" s="145"/>
      <c r="R695" s="92"/>
      <c r="S695" s="145"/>
      <c r="T695" s="92"/>
      <c r="U695" s="145"/>
      <c r="V695" s="92"/>
      <c r="W695" s="145"/>
      <c r="X695" s="92"/>
      <c r="Y695" s="145"/>
      <c r="Z695" s="92"/>
      <c r="AA695" s="145"/>
      <c r="AB695" s="64"/>
      <c r="AC695" s="145"/>
      <c r="AD695" s="64"/>
      <c r="AE695" s="145"/>
      <c r="AF695" s="196" t="str">
        <f t="shared" si="35"/>
        <v/>
      </c>
      <c r="AG695" s="95" t="b">
        <f t="shared" si="34"/>
        <v>0</v>
      </c>
      <c r="AH695" s="9"/>
      <c r="AI695" s="150">
        <f t="shared" si="33"/>
        <v>0</v>
      </c>
      <c r="AJ695" s="153" t="s">
        <v>6</v>
      </c>
    </row>
    <row r="696" spans="1:36" ht="30" customHeight="1">
      <c r="A696" s="92"/>
      <c r="B696" s="92"/>
      <c r="C696" s="92"/>
      <c r="D696" s="92"/>
      <c r="E696" s="92"/>
      <c r="F696" s="92"/>
      <c r="G696" s="92"/>
      <c r="H696" s="92"/>
      <c r="I696" s="92"/>
      <c r="J696" s="92"/>
      <c r="K696" s="92"/>
      <c r="L696" s="92"/>
      <c r="M696" s="92"/>
      <c r="N696" s="155"/>
      <c r="O696" s="157"/>
      <c r="P696" s="92"/>
      <c r="Q696" s="145"/>
      <c r="R696" s="92"/>
      <c r="S696" s="145"/>
      <c r="T696" s="92"/>
      <c r="U696" s="145"/>
      <c r="V696" s="92"/>
      <c r="W696" s="145"/>
      <c r="X696" s="92"/>
      <c r="Y696" s="145"/>
      <c r="Z696" s="92"/>
      <c r="AA696" s="145"/>
      <c r="AB696" s="64"/>
      <c r="AC696" s="145"/>
      <c r="AD696" s="64"/>
      <c r="AE696" s="145"/>
      <c r="AF696" s="196" t="str">
        <f t="shared" si="35"/>
        <v/>
      </c>
      <c r="AG696" s="95" t="b">
        <f t="shared" si="34"/>
        <v>0</v>
      </c>
      <c r="AH696" s="9"/>
      <c r="AI696" s="150">
        <f t="shared" si="33"/>
        <v>0</v>
      </c>
      <c r="AJ696" s="153" t="s">
        <v>6</v>
      </c>
    </row>
    <row r="697" spans="1:36" ht="30" customHeight="1">
      <c r="A697" s="92"/>
      <c r="B697" s="92"/>
      <c r="C697" s="92"/>
      <c r="D697" s="92"/>
      <c r="E697" s="92"/>
      <c r="F697" s="92"/>
      <c r="G697" s="92"/>
      <c r="H697" s="92"/>
      <c r="I697" s="92"/>
      <c r="J697" s="92"/>
      <c r="K697" s="92"/>
      <c r="L697" s="92"/>
      <c r="M697" s="92"/>
      <c r="N697" s="155"/>
      <c r="O697" s="157"/>
      <c r="P697" s="92"/>
      <c r="Q697" s="145"/>
      <c r="R697" s="92"/>
      <c r="S697" s="145"/>
      <c r="T697" s="92"/>
      <c r="U697" s="145"/>
      <c r="V697" s="92"/>
      <c r="W697" s="145"/>
      <c r="X697" s="92"/>
      <c r="Y697" s="145"/>
      <c r="Z697" s="92"/>
      <c r="AA697" s="145"/>
      <c r="AB697" s="64"/>
      <c r="AC697" s="145"/>
      <c r="AD697" s="64"/>
      <c r="AE697" s="145"/>
      <c r="AF697" s="196" t="str">
        <f t="shared" si="35"/>
        <v/>
      </c>
      <c r="AG697" s="95" t="b">
        <f t="shared" si="34"/>
        <v>0</v>
      </c>
      <c r="AH697" s="9"/>
      <c r="AI697" s="150">
        <f t="shared" si="33"/>
        <v>0</v>
      </c>
      <c r="AJ697" s="153" t="s">
        <v>6</v>
      </c>
    </row>
    <row r="698" spans="1:36" ht="30" customHeight="1">
      <c r="A698" s="92"/>
      <c r="B698" s="92"/>
      <c r="C698" s="92"/>
      <c r="D698" s="92"/>
      <c r="E698" s="92"/>
      <c r="F698" s="92"/>
      <c r="G698" s="92"/>
      <c r="H698" s="92"/>
      <c r="I698" s="92"/>
      <c r="J698" s="92"/>
      <c r="K698" s="92"/>
      <c r="L698" s="92"/>
      <c r="M698" s="92"/>
      <c r="N698" s="155"/>
      <c r="O698" s="157"/>
      <c r="P698" s="92"/>
      <c r="Q698" s="145"/>
      <c r="R698" s="92"/>
      <c r="S698" s="145"/>
      <c r="T698" s="92"/>
      <c r="U698" s="145"/>
      <c r="V698" s="92"/>
      <c r="W698" s="145"/>
      <c r="X698" s="92"/>
      <c r="Y698" s="145"/>
      <c r="Z698" s="92"/>
      <c r="AA698" s="145"/>
      <c r="AB698" s="64"/>
      <c r="AC698" s="145"/>
      <c r="AD698" s="64"/>
      <c r="AE698" s="145"/>
      <c r="AF698" s="196" t="str">
        <f t="shared" si="35"/>
        <v/>
      </c>
      <c r="AG698" s="95" t="b">
        <f t="shared" si="34"/>
        <v>0</v>
      </c>
      <c r="AH698" s="9"/>
      <c r="AI698" s="150">
        <f t="shared" si="33"/>
        <v>0</v>
      </c>
      <c r="AJ698" s="153" t="s">
        <v>6</v>
      </c>
    </row>
    <row r="699" spans="1:36" ht="30" customHeight="1">
      <c r="A699" s="92"/>
      <c r="B699" s="92"/>
      <c r="C699" s="92"/>
      <c r="D699" s="92"/>
      <c r="E699" s="92"/>
      <c r="F699" s="92"/>
      <c r="G699" s="92"/>
      <c r="H699" s="92"/>
      <c r="I699" s="92"/>
      <c r="J699" s="92"/>
      <c r="K699" s="92"/>
      <c r="L699" s="92"/>
      <c r="M699" s="92"/>
      <c r="N699" s="155"/>
      <c r="O699" s="157"/>
      <c r="P699" s="92"/>
      <c r="Q699" s="145"/>
      <c r="R699" s="92"/>
      <c r="S699" s="145"/>
      <c r="T699" s="92"/>
      <c r="U699" s="145"/>
      <c r="V699" s="92"/>
      <c r="W699" s="145"/>
      <c r="X699" s="92"/>
      <c r="Y699" s="145"/>
      <c r="Z699" s="92"/>
      <c r="AA699" s="145"/>
      <c r="AB699" s="64"/>
      <c r="AC699" s="145"/>
      <c r="AD699" s="64"/>
      <c r="AE699" s="145"/>
      <c r="AF699" s="196" t="str">
        <f t="shared" si="35"/>
        <v/>
      </c>
      <c r="AG699" s="95" t="b">
        <f t="shared" si="34"/>
        <v>0</v>
      </c>
      <c r="AH699" s="9"/>
      <c r="AI699" s="150">
        <f t="shared" si="33"/>
        <v>0</v>
      </c>
      <c r="AJ699" s="153" t="s">
        <v>6</v>
      </c>
    </row>
    <row r="700" spans="1:36" ht="30" customHeight="1">
      <c r="A700" s="92"/>
      <c r="B700" s="92"/>
      <c r="C700" s="92"/>
      <c r="D700" s="92"/>
      <c r="E700" s="92"/>
      <c r="F700" s="92"/>
      <c r="G700" s="92"/>
      <c r="H700" s="92"/>
      <c r="I700" s="92"/>
      <c r="J700" s="92"/>
      <c r="K700" s="92"/>
      <c r="L700" s="92"/>
      <c r="M700" s="92"/>
      <c r="N700" s="155"/>
      <c r="O700" s="157"/>
      <c r="P700" s="92"/>
      <c r="Q700" s="145"/>
      <c r="R700" s="92"/>
      <c r="S700" s="145"/>
      <c r="T700" s="92"/>
      <c r="U700" s="145"/>
      <c r="V700" s="92"/>
      <c r="W700" s="145"/>
      <c r="X700" s="92"/>
      <c r="Y700" s="145"/>
      <c r="Z700" s="92"/>
      <c r="AA700" s="145"/>
      <c r="AB700" s="64"/>
      <c r="AC700" s="145"/>
      <c r="AD700" s="64"/>
      <c r="AE700" s="145"/>
      <c r="AF700" s="196" t="str">
        <f t="shared" si="35"/>
        <v/>
      </c>
      <c r="AG700" s="95" t="b">
        <f t="shared" si="34"/>
        <v>0</v>
      </c>
      <c r="AH700" s="9"/>
      <c r="AI700" s="150">
        <f t="shared" si="33"/>
        <v>0</v>
      </c>
      <c r="AJ700" s="153" t="s">
        <v>6</v>
      </c>
    </row>
    <row r="701" spans="1:36" ht="30" customHeight="1">
      <c r="A701" s="92"/>
      <c r="B701" s="92"/>
      <c r="C701" s="92"/>
      <c r="D701" s="92"/>
      <c r="E701" s="92"/>
      <c r="F701" s="92"/>
      <c r="G701" s="92"/>
      <c r="H701" s="92"/>
      <c r="I701" s="92"/>
      <c r="J701" s="92"/>
      <c r="K701" s="92"/>
      <c r="L701" s="92"/>
      <c r="M701" s="92"/>
      <c r="N701" s="155"/>
      <c r="O701" s="157"/>
      <c r="P701" s="92"/>
      <c r="Q701" s="145"/>
      <c r="R701" s="92"/>
      <c r="S701" s="145"/>
      <c r="T701" s="92"/>
      <c r="U701" s="145"/>
      <c r="V701" s="92"/>
      <c r="W701" s="145"/>
      <c r="X701" s="92"/>
      <c r="Y701" s="145"/>
      <c r="Z701" s="92"/>
      <c r="AA701" s="145"/>
      <c r="AB701" s="64"/>
      <c r="AC701" s="145"/>
      <c r="AD701" s="64"/>
      <c r="AE701" s="145"/>
      <c r="AF701" s="196" t="str">
        <f t="shared" si="35"/>
        <v/>
      </c>
      <c r="AG701" s="95" t="b">
        <f t="shared" si="34"/>
        <v>0</v>
      </c>
      <c r="AH701" s="9"/>
      <c r="AI701" s="150">
        <f t="shared" si="33"/>
        <v>0</v>
      </c>
      <c r="AJ701" s="153" t="s">
        <v>6</v>
      </c>
    </row>
    <row r="702" spans="1:36" ht="30" customHeight="1">
      <c r="A702" s="92"/>
      <c r="B702" s="92"/>
      <c r="C702" s="92"/>
      <c r="D702" s="92"/>
      <c r="E702" s="92"/>
      <c r="F702" s="92"/>
      <c r="G702" s="92"/>
      <c r="H702" s="92"/>
      <c r="I702" s="92"/>
      <c r="J702" s="92"/>
      <c r="K702" s="92"/>
      <c r="L702" s="92"/>
      <c r="M702" s="92"/>
      <c r="N702" s="155"/>
      <c r="O702" s="157"/>
      <c r="P702" s="92"/>
      <c r="Q702" s="145"/>
      <c r="R702" s="92"/>
      <c r="S702" s="145"/>
      <c r="T702" s="92"/>
      <c r="U702" s="145"/>
      <c r="V702" s="92"/>
      <c r="W702" s="145"/>
      <c r="X702" s="92"/>
      <c r="Y702" s="145"/>
      <c r="Z702" s="92"/>
      <c r="AA702" s="145"/>
      <c r="AB702" s="64"/>
      <c r="AC702" s="145"/>
      <c r="AD702" s="64"/>
      <c r="AE702" s="145"/>
      <c r="AF702" s="196" t="str">
        <f t="shared" si="35"/>
        <v/>
      </c>
      <c r="AG702" s="95" t="b">
        <f t="shared" si="34"/>
        <v>0</v>
      </c>
      <c r="AH702" s="9"/>
      <c r="AI702" s="150">
        <f t="shared" si="33"/>
        <v>0</v>
      </c>
      <c r="AJ702" s="153" t="s">
        <v>6</v>
      </c>
    </row>
    <row r="703" spans="1:36" ht="30" customHeight="1">
      <c r="A703" s="92"/>
      <c r="B703" s="92"/>
      <c r="C703" s="92"/>
      <c r="D703" s="92"/>
      <c r="E703" s="92"/>
      <c r="F703" s="92"/>
      <c r="G703" s="92"/>
      <c r="H703" s="92"/>
      <c r="I703" s="92"/>
      <c r="J703" s="92"/>
      <c r="K703" s="92"/>
      <c r="L703" s="92"/>
      <c r="M703" s="92"/>
      <c r="N703" s="155"/>
      <c r="O703" s="157"/>
      <c r="P703" s="92"/>
      <c r="Q703" s="145"/>
      <c r="R703" s="92"/>
      <c r="S703" s="145"/>
      <c r="T703" s="92"/>
      <c r="U703" s="145"/>
      <c r="V703" s="92"/>
      <c r="W703" s="145"/>
      <c r="X703" s="92"/>
      <c r="Y703" s="145"/>
      <c r="Z703" s="92"/>
      <c r="AA703" s="145"/>
      <c r="AB703" s="64"/>
      <c r="AC703" s="145"/>
      <c r="AD703" s="64"/>
      <c r="AE703" s="145"/>
      <c r="AF703" s="196" t="str">
        <f t="shared" si="35"/>
        <v/>
      </c>
      <c r="AG703" s="95" t="b">
        <f t="shared" si="34"/>
        <v>0</v>
      </c>
      <c r="AH703" s="9"/>
      <c r="AI703" s="150">
        <f t="shared" si="33"/>
        <v>0</v>
      </c>
      <c r="AJ703" s="153" t="s">
        <v>6</v>
      </c>
    </row>
    <row r="704" spans="1:36" ht="30" customHeight="1">
      <c r="A704" s="92"/>
      <c r="B704" s="92"/>
      <c r="C704" s="92"/>
      <c r="D704" s="92"/>
      <c r="E704" s="92"/>
      <c r="F704" s="92"/>
      <c r="G704" s="92"/>
      <c r="H704" s="92"/>
      <c r="I704" s="92"/>
      <c r="J704" s="92"/>
      <c r="K704" s="92"/>
      <c r="L704" s="92"/>
      <c r="M704" s="92"/>
      <c r="N704" s="155"/>
      <c r="O704" s="157"/>
      <c r="P704" s="92"/>
      <c r="Q704" s="145"/>
      <c r="R704" s="92"/>
      <c r="S704" s="145"/>
      <c r="T704" s="92"/>
      <c r="U704" s="145"/>
      <c r="V704" s="92"/>
      <c r="W704" s="145"/>
      <c r="X704" s="92"/>
      <c r="Y704" s="145"/>
      <c r="Z704" s="92"/>
      <c r="AA704" s="145"/>
      <c r="AB704" s="64"/>
      <c r="AC704" s="145"/>
      <c r="AD704" s="64"/>
      <c r="AE704" s="145"/>
      <c r="AF704" s="196" t="str">
        <f t="shared" si="35"/>
        <v/>
      </c>
      <c r="AG704" s="95" t="b">
        <f t="shared" si="34"/>
        <v>0</v>
      </c>
      <c r="AH704" s="9"/>
      <c r="AI704" s="150">
        <f t="shared" ref="AI704:AI767" si="36">E704</f>
        <v>0</v>
      </c>
      <c r="AJ704" s="153" t="s">
        <v>6</v>
      </c>
    </row>
    <row r="705" spans="1:36" ht="30" customHeight="1">
      <c r="A705" s="92"/>
      <c r="B705" s="92"/>
      <c r="C705" s="92"/>
      <c r="D705" s="92"/>
      <c r="E705" s="92"/>
      <c r="F705" s="92"/>
      <c r="G705" s="92"/>
      <c r="H705" s="92"/>
      <c r="I705" s="92"/>
      <c r="J705" s="92"/>
      <c r="K705" s="92"/>
      <c r="L705" s="92"/>
      <c r="M705" s="92"/>
      <c r="N705" s="155"/>
      <c r="O705" s="157"/>
      <c r="P705" s="92"/>
      <c r="Q705" s="145"/>
      <c r="R705" s="92"/>
      <c r="S705" s="145"/>
      <c r="T705" s="92"/>
      <c r="U705" s="145"/>
      <c r="V705" s="92"/>
      <c r="W705" s="145"/>
      <c r="X705" s="92"/>
      <c r="Y705" s="145"/>
      <c r="Z705" s="92"/>
      <c r="AA705" s="145"/>
      <c r="AB705" s="64"/>
      <c r="AC705" s="145"/>
      <c r="AD705" s="64"/>
      <c r="AE705" s="145"/>
      <c r="AF705" s="196" t="str">
        <f t="shared" si="35"/>
        <v/>
      </c>
      <c r="AG705" s="95" t="b">
        <f t="shared" si="34"/>
        <v>0</v>
      </c>
      <c r="AH705" s="9"/>
      <c r="AI705" s="150">
        <f t="shared" si="36"/>
        <v>0</v>
      </c>
      <c r="AJ705" s="153" t="s">
        <v>6</v>
      </c>
    </row>
    <row r="706" spans="1:36" ht="30" customHeight="1">
      <c r="A706" s="92"/>
      <c r="B706" s="92"/>
      <c r="C706" s="92"/>
      <c r="D706" s="92"/>
      <c r="E706" s="92"/>
      <c r="F706" s="92"/>
      <c r="G706" s="92"/>
      <c r="H706" s="92"/>
      <c r="I706" s="92"/>
      <c r="J706" s="92"/>
      <c r="K706" s="92"/>
      <c r="L706" s="92"/>
      <c r="M706" s="92"/>
      <c r="N706" s="155"/>
      <c r="O706" s="157"/>
      <c r="P706" s="92"/>
      <c r="Q706" s="145"/>
      <c r="R706" s="92"/>
      <c r="S706" s="145"/>
      <c r="T706" s="92"/>
      <c r="U706" s="145"/>
      <c r="V706" s="92"/>
      <c r="W706" s="145"/>
      <c r="X706" s="92"/>
      <c r="Y706" s="145"/>
      <c r="Z706" s="92"/>
      <c r="AA706" s="145"/>
      <c r="AB706" s="64"/>
      <c r="AC706" s="145"/>
      <c r="AD706" s="64"/>
      <c r="AE706" s="145"/>
      <c r="AF706" s="196" t="str">
        <f t="shared" si="35"/>
        <v/>
      </c>
      <c r="AG706" s="95" t="b">
        <f t="shared" si="34"/>
        <v>0</v>
      </c>
      <c r="AH706" s="9"/>
      <c r="AI706" s="150">
        <f t="shared" si="36"/>
        <v>0</v>
      </c>
      <c r="AJ706" s="153" t="s">
        <v>6</v>
      </c>
    </row>
    <row r="707" spans="1:36" ht="30" customHeight="1">
      <c r="A707" s="92"/>
      <c r="B707" s="92"/>
      <c r="C707" s="92"/>
      <c r="D707" s="92"/>
      <c r="E707" s="92"/>
      <c r="F707" s="92"/>
      <c r="G707" s="92"/>
      <c r="H707" s="92"/>
      <c r="I707" s="92"/>
      <c r="J707" s="92"/>
      <c r="K707" s="92"/>
      <c r="L707" s="92"/>
      <c r="M707" s="92"/>
      <c r="N707" s="155"/>
      <c r="O707" s="157"/>
      <c r="P707" s="92"/>
      <c r="Q707" s="145"/>
      <c r="R707" s="92"/>
      <c r="S707" s="145"/>
      <c r="T707" s="92"/>
      <c r="U707" s="145"/>
      <c r="V707" s="92"/>
      <c r="W707" s="145"/>
      <c r="X707" s="92"/>
      <c r="Y707" s="145"/>
      <c r="Z707" s="92"/>
      <c r="AA707" s="145"/>
      <c r="AB707" s="64"/>
      <c r="AC707" s="145"/>
      <c r="AD707" s="64"/>
      <c r="AE707" s="145"/>
      <c r="AF707" s="196" t="str">
        <f t="shared" si="35"/>
        <v/>
      </c>
      <c r="AG707" s="95" t="b">
        <f t="shared" si="34"/>
        <v>0</v>
      </c>
      <c r="AH707" s="9"/>
      <c r="AI707" s="150">
        <f t="shared" si="36"/>
        <v>0</v>
      </c>
      <c r="AJ707" s="153" t="s">
        <v>6</v>
      </c>
    </row>
    <row r="708" spans="1:36" ht="30" customHeight="1">
      <c r="A708" s="92"/>
      <c r="B708" s="92"/>
      <c r="C708" s="92"/>
      <c r="D708" s="92"/>
      <c r="E708" s="92"/>
      <c r="F708" s="92"/>
      <c r="G708" s="92"/>
      <c r="H708" s="92"/>
      <c r="I708" s="92"/>
      <c r="J708" s="92"/>
      <c r="K708" s="92"/>
      <c r="L708" s="92"/>
      <c r="M708" s="92"/>
      <c r="N708" s="155"/>
      <c r="O708" s="157"/>
      <c r="P708" s="92"/>
      <c r="Q708" s="145"/>
      <c r="R708" s="92"/>
      <c r="S708" s="145"/>
      <c r="T708" s="92"/>
      <c r="U708" s="145"/>
      <c r="V708" s="92"/>
      <c r="W708" s="145"/>
      <c r="X708" s="92"/>
      <c r="Y708" s="145"/>
      <c r="Z708" s="92"/>
      <c r="AA708" s="145"/>
      <c r="AB708" s="64"/>
      <c r="AC708" s="145"/>
      <c r="AD708" s="64"/>
      <c r="AE708" s="145"/>
      <c r="AF708" s="196" t="str">
        <f t="shared" si="35"/>
        <v/>
      </c>
      <c r="AG708" s="95" t="b">
        <f t="shared" si="34"/>
        <v>0</v>
      </c>
      <c r="AH708" s="9"/>
      <c r="AI708" s="150">
        <f t="shared" si="36"/>
        <v>0</v>
      </c>
      <c r="AJ708" s="153" t="s">
        <v>6</v>
      </c>
    </row>
    <row r="709" spans="1:36" ht="30" customHeight="1">
      <c r="A709" s="92"/>
      <c r="B709" s="92"/>
      <c r="C709" s="92"/>
      <c r="D709" s="92"/>
      <c r="E709" s="92"/>
      <c r="F709" s="92"/>
      <c r="G709" s="92"/>
      <c r="H709" s="92"/>
      <c r="I709" s="92"/>
      <c r="J709" s="92"/>
      <c r="K709" s="92"/>
      <c r="L709" s="92"/>
      <c r="M709" s="92"/>
      <c r="N709" s="155"/>
      <c r="O709" s="157"/>
      <c r="P709" s="92"/>
      <c r="Q709" s="145"/>
      <c r="R709" s="92"/>
      <c r="S709" s="145"/>
      <c r="T709" s="92"/>
      <c r="U709" s="145"/>
      <c r="V709" s="92"/>
      <c r="W709" s="145"/>
      <c r="X709" s="92"/>
      <c r="Y709" s="145"/>
      <c r="Z709" s="92"/>
      <c r="AA709" s="145"/>
      <c r="AB709" s="64"/>
      <c r="AC709" s="145"/>
      <c r="AD709" s="64"/>
      <c r="AE709" s="145"/>
      <c r="AF709" s="196" t="str">
        <f t="shared" si="35"/>
        <v/>
      </c>
      <c r="AG709" s="95" t="b">
        <f t="shared" si="34"/>
        <v>0</v>
      </c>
      <c r="AH709" s="9"/>
      <c r="AI709" s="150">
        <f t="shared" si="36"/>
        <v>0</v>
      </c>
      <c r="AJ709" s="153" t="s">
        <v>6</v>
      </c>
    </row>
    <row r="710" spans="1:36" ht="30" customHeight="1">
      <c r="A710" s="92"/>
      <c r="B710" s="92"/>
      <c r="C710" s="92"/>
      <c r="D710" s="92"/>
      <c r="E710" s="92"/>
      <c r="F710" s="92"/>
      <c r="G710" s="92"/>
      <c r="H710" s="92"/>
      <c r="I710" s="92"/>
      <c r="J710" s="92"/>
      <c r="K710" s="92"/>
      <c r="L710" s="92"/>
      <c r="M710" s="92"/>
      <c r="N710" s="155"/>
      <c r="O710" s="157"/>
      <c r="P710" s="92"/>
      <c r="Q710" s="145"/>
      <c r="R710" s="92"/>
      <c r="S710" s="145"/>
      <c r="T710" s="92"/>
      <c r="U710" s="145"/>
      <c r="V710" s="92"/>
      <c r="W710" s="145"/>
      <c r="X710" s="92"/>
      <c r="Y710" s="145"/>
      <c r="Z710" s="92"/>
      <c r="AA710" s="145"/>
      <c r="AB710" s="64"/>
      <c r="AC710" s="145"/>
      <c r="AD710" s="64"/>
      <c r="AE710" s="145"/>
      <c r="AF710" s="196" t="str">
        <f t="shared" si="35"/>
        <v/>
      </c>
      <c r="AG710" s="95" t="b">
        <f t="shared" si="34"/>
        <v>0</v>
      </c>
      <c r="AH710" s="9"/>
      <c r="AI710" s="150">
        <f t="shared" si="36"/>
        <v>0</v>
      </c>
      <c r="AJ710" s="153" t="s">
        <v>6</v>
      </c>
    </row>
    <row r="711" spans="1:36" ht="30" customHeight="1">
      <c r="A711" s="92"/>
      <c r="B711" s="92"/>
      <c r="C711" s="92"/>
      <c r="D711" s="92"/>
      <c r="E711" s="92"/>
      <c r="F711" s="92"/>
      <c r="G711" s="92"/>
      <c r="H711" s="92"/>
      <c r="I711" s="92"/>
      <c r="J711" s="92"/>
      <c r="K711" s="92"/>
      <c r="L711" s="92"/>
      <c r="M711" s="92"/>
      <c r="N711" s="155"/>
      <c r="O711" s="157"/>
      <c r="P711" s="92"/>
      <c r="Q711" s="145"/>
      <c r="R711" s="92"/>
      <c r="S711" s="145"/>
      <c r="T711" s="92"/>
      <c r="U711" s="145"/>
      <c r="V711" s="92"/>
      <c r="W711" s="145"/>
      <c r="X711" s="92"/>
      <c r="Y711" s="145"/>
      <c r="Z711" s="92"/>
      <c r="AA711" s="145"/>
      <c r="AB711" s="64"/>
      <c r="AC711" s="145"/>
      <c r="AD711" s="64"/>
      <c r="AE711" s="145"/>
      <c r="AF711" s="196" t="str">
        <f t="shared" si="35"/>
        <v/>
      </c>
      <c r="AG711" s="95" t="b">
        <f t="shared" si="34"/>
        <v>0</v>
      </c>
      <c r="AH711" s="9"/>
      <c r="AI711" s="150">
        <f t="shared" si="36"/>
        <v>0</v>
      </c>
      <c r="AJ711" s="153" t="s">
        <v>6</v>
      </c>
    </row>
    <row r="712" spans="1:36" ht="30" customHeight="1">
      <c r="A712" s="92"/>
      <c r="B712" s="92"/>
      <c r="C712" s="92"/>
      <c r="D712" s="92"/>
      <c r="E712" s="92"/>
      <c r="F712" s="92"/>
      <c r="G712" s="92"/>
      <c r="H712" s="92"/>
      <c r="I712" s="92"/>
      <c r="J712" s="92"/>
      <c r="K712" s="92"/>
      <c r="L712" s="92"/>
      <c r="M712" s="92"/>
      <c r="N712" s="155"/>
      <c r="O712" s="157"/>
      <c r="P712" s="92"/>
      <c r="Q712" s="145"/>
      <c r="R712" s="92"/>
      <c r="S712" s="145"/>
      <c r="T712" s="92"/>
      <c r="U712" s="145"/>
      <c r="V712" s="92"/>
      <c r="W712" s="145"/>
      <c r="X712" s="92"/>
      <c r="Y712" s="145"/>
      <c r="Z712" s="92"/>
      <c r="AA712" s="145"/>
      <c r="AB712" s="64"/>
      <c r="AC712" s="145"/>
      <c r="AD712" s="64"/>
      <c r="AE712" s="145"/>
      <c r="AF712" s="196" t="str">
        <f t="shared" si="35"/>
        <v/>
      </c>
      <c r="AG712" s="95" t="b">
        <f t="shared" si="34"/>
        <v>0</v>
      </c>
      <c r="AH712" s="9"/>
      <c r="AI712" s="150">
        <f t="shared" si="36"/>
        <v>0</v>
      </c>
      <c r="AJ712" s="153" t="s">
        <v>6</v>
      </c>
    </row>
    <row r="713" spans="1:36" ht="30" customHeight="1">
      <c r="A713" s="92"/>
      <c r="B713" s="92"/>
      <c r="C713" s="92"/>
      <c r="D713" s="92"/>
      <c r="E713" s="92"/>
      <c r="F713" s="92"/>
      <c r="G713" s="92"/>
      <c r="H713" s="92"/>
      <c r="I713" s="92"/>
      <c r="J713" s="92"/>
      <c r="K713" s="92"/>
      <c r="L713" s="92"/>
      <c r="M713" s="92"/>
      <c r="N713" s="155"/>
      <c r="O713" s="157"/>
      <c r="P713" s="92"/>
      <c r="Q713" s="145"/>
      <c r="R713" s="92"/>
      <c r="S713" s="145"/>
      <c r="T713" s="92"/>
      <c r="U713" s="145"/>
      <c r="V713" s="92"/>
      <c r="W713" s="145"/>
      <c r="X713" s="92"/>
      <c r="Y713" s="145"/>
      <c r="Z713" s="92"/>
      <c r="AA713" s="145"/>
      <c r="AB713" s="64"/>
      <c r="AC713" s="145"/>
      <c r="AD713" s="64"/>
      <c r="AE713" s="145"/>
      <c r="AF713" s="196" t="str">
        <f t="shared" si="35"/>
        <v/>
      </c>
      <c r="AG713" s="95" t="b">
        <f t="shared" si="34"/>
        <v>0</v>
      </c>
      <c r="AH713" s="9"/>
      <c r="AI713" s="150">
        <f t="shared" si="36"/>
        <v>0</v>
      </c>
      <c r="AJ713" s="153" t="s">
        <v>6</v>
      </c>
    </row>
    <row r="714" spans="1:36" ht="30" customHeight="1">
      <c r="A714" s="92"/>
      <c r="B714" s="92"/>
      <c r="C714" s="92"/>
      <c r="D714" s="92"/>
      <c r="E714" s="92"/>
      <c r="F714" s="92"/>
      <c r="G714" s="92"/>
      <c r="H714" s="92"/>
      <c r="I714" s="92"/>
      <c r="J714" s="92"/>
      <c r="K714" s="92"/>
      <c r="L714" s="92"/>
      <c r="M714" s="92"/>
      <c r="N714" s="155"/>
      <c r="O714" s="157"/>
      <c r="P714" s="92"/>
      <c r="Q714" s="145"/>
      <c r="R714" s="92"/>
      <c r="S714" s="145"/>
      <c r="T714" s="92"/>
      <c r="U714" s="145"/>
      <c r="V714" s="92"/>
      <c r="W714" s="145"/>
      <c r="X714" s="92"/>
      <c r="Y714" s="145"/>
      <c r="Z714" s="92"/>
      <c r="AA714" s="145"/>
      <c r="AB714" s="64"/>
      <c r="AC714" s="145"/>
      <c r="AD714" s="64"/>
      <c r="AE714" s="145"/>
      <c r="AF714" s="196" t="str">
        <f t="shared" si="35"/>
        <v/>
      </c>
      <c r="AG714" s="95" t="b">
        <f t="shared" ref="AG714:AG777" si="37">IF(AND(AE714="C",AF714="C"),"UTILIZOU O PDA CORRETAMENTE",IF(AND(AE714="C",AF714="NC"),"UTILIZOU O PDA CORRETAMENTE. NÃO HÁ FOTOS DE TODAS AS ETAPAS",IF(AND(AE714="NC",AF714="NC"),"NÃO UTILIZOU O PDA",IF(AND(AE714="NA",AF714="NA"),"NÃO AVALIADO POR FALHA DE SINCRONISMO"))))</f>
        <v>0</v>
      </c>
      <c r="AH714" s="9"/>
      <c r="AI714" s="150">
        <f t="shared" si="36"/>
        <v>0</v>
      </c>
      <c r="AJ714" s="153" t="s">
        <v>6</v>
      </c>
    </row>
    <row r="715" spans="1:36" ht="30" customHeight="1">
      <c r="A715" s="92"/>
      <c r="B715" s="92"/>
      <c r="C715" s="92"/>
      <c r="D715" s="92"/>
      <c r="E715" s="92"/>
      <c r="F715" s="92"/>
      <c r="G715" s="92"/>
      <c r="H715" s="92"/>
      <c r="I715" s="92"/>
      <c r="J715" s="92"/>
      <c r="K715" s="92"/>
      <c r="L715" s="92"/>
      <c r="M715" s="92"/>
      <c r="N715" s="155"/>
      <c r="O715" s="157"/>
      <c r="P715" s="92"/>
      <c r="Q715" s="145"/>
      <c r="R715" s="92"/>
      <c r="S715" s="145"/>
      <c r="T715" s="92"/>
      <c r="U715" s="145"/>
      <c r="V715" s="92"/>
      <c r="W715" s="145"/>
      <c r="X715" s="92"/>
      <c r="Y715" s="145"/>
      <c r="Z715" s="92"/>
      <c r="AA715" s="145"/>
      <c r="AB715" s="64"/>
      <c r="AC715" s="145"/>
      <c r="AD715" s="64"/>
      <c r="AE715" s="145"/>
      <c r="AF715" s="196" t="str">
        <f t="shared" ref="AF715:AF778" si="38">IF(AND(O715="",Q715="",S715="",U715="",W715="",Y715="",AA715="",AC715=""),"",
IF(OR(    AND(O715&lt;&gt;"NA",O715&lt;&gt;"C",O715&lt;&gt;"NC",O715&lt;&gt;"SF",O715&lt;&gt;""),
    AND(Q715&lt;&gt;"NA",Q715&lt;&gt;"C",Q715&lt;&gt;"NC",Q715&lt;&gt;"SF",Q715&lt;&gt;""),
    AND(S715&lt;&gt;"NA",S715&lt;&gt;"C",S715&lt;&gt;"NC",S715&lt;&gt;"SF",S715&lt;&gt;""),
    AND(U715&lt;&gt;"NA",U715&lt;&gt;"C",U715&lt;&gt;"NC",U715&lt;&gt;"SF",U715&lt;&gt;""),
    AND(W715&lt;&gt;"NA",W715&lt;&gt;"C",W715&lt;&gt;"NC",W715&lt;&gt;"SF",W715&lt;&gt;""),
    AND(Y715&lt;&gt;"NA",Y715&lt;&gt;"C",Y715&lt;&gt;"NC",Y715&lt;&gt;"SF",Y715&lt;&gt;""),
    AND(AA715&lt;&gt;"NA",AA715&lt;&gt;"C",AA715&lt;&gt;"NC",AA715&lt;&gt;"SF",AA715&lt;&gt;""),
    AND(AC715&lt;&gt;"NA",AC715&lt;&gt;"C",AC715&lt;&gt;"NC",AC715&lt;&gt;"SF",AC715&lt;&gt;"")
),"FALSO",
IF(AND(O715="NA",Q715="NA",S715="NA",U715="NA",W715="NA",Y715="NA",AA715="NA",AC715="NA"),"NA",
IF(OR(O715="NC",Q715="NC",S715="NC",U715="NC",W715="NC",Y715="NC",AA715="NC",AC715="NC",
       O715="SF",Q715="SF",S715="SF",U715="SF",W715="SF",Y715="SF",AA715="SF",AC715="SF"),"NC",
IF(SUM(IF(O715="C",1,0),IF(Q715="C",1,0),IF(S715="C",1,0),IF(U715="C",1,0),IF(W715="C",1,0),IF(Y715="C",1,0),IF(AA715="C",1,0),IF(AC715="C",1,0))=1,"C","C")))))</f>
        <v/>
      </c>
      <c r="AG715" s="95" t="b">
        <f t="shared" si="37"/>
        <v>0</v>
      </c>
      <c r="AH715" s="9"/>
      <c r="AI715" s="150">
        <f t="shared" si="36"/>
        <v>0</v>
      </c>
      <c r="AJ715" s="153" t="s">
        <v>6</v>
      </c>
    </row>
    <row r="716" spans="1:36" ht="30" customHeight="1">
      <c r="A716" s="92"/>
      <c r="B716" s="92"/>
      <c r="C716" s="92"/>
      <c r="D716" s="92"/>
      <c r="E716" s="92"/>
      <c r="F716" s="92"/>
      <c r="G716" s="92"/>
      <c r="H716" s="92"/>
      <c r="I716" s="92"/>
      <c r="J716" s="92"/>
      <c r="K716" s="92"/>
      <c r="L716" s="92"/>
      <c r="M716" s="92"/>
      <c r="N716" s="155"/>
      <c r="O716" s="157"/>
      <c r="P716" s="92"/>
      <c r="Q716" s="145"/>
      <c r="R716" s="92"/>
      <c r="S716" s="145"/>
      <c r="T716" s="92"/>
      <c r="U716" s="145"/>
      <c r="V716" s="92"/>
      <c r="W716" s="145"/>
      <c r="X716" s="92"/>
      <c r="Y716" s="145"/>
      <c r="Z716" s="92"/>
      <c r="AA716" s="145"/>
      <c r="AB716" s="64"/>
      <c r="AC716" s="145"/>
      <c r="AD716" s="64"/>
      <c r="AE716" s="145"/>
      <c r="AF716" s="196" t="str">
        <f t="shared" si="38"/>
        <v/>
      </c>
      <c r="AG716" s="95" t="b">
        <f t="shared" si="37"/>
        <v>0</v>
      </c>
      <c r="AH716" s="9"/>
      <c r="AI716" s="150">
        <f t="shared" si="36"/>
        <v>0</v>
      </c>
      <c r="AJ716" s="153" t="s">
        <v>6</v>
      </c>
    </row>
    <row r="717" spans="1:36" ht="30" customHeight="1">
      <c r="A717" s="92"/>
      <c r="B717" s="92"/>
      <c r="C717" s="92"/>
      <c r="D717" s="92"/>
      <c r="E717" s="92"/>
      <c r="F717" s="92"/>
      <c r="G717" s="92"/>
      <c r="H717" s="92"/>
      <c r="I717" s="92"/>
      <c r="J717" s="92"/>
      <c r="K717" s="92"/>
      <c r="L717" s="92"/>
      <c r="M717" s="92"/>
      <c r="N717" s="155"/>
      <c r="O717" s="157"/>
      <c r="P717" s="92"/>
      <c r="Q717" s="145"/>
      <c r="R717" s="92"/>
      <c r="S717" s="145"/>
      <c r="T717" s="92"/>
      <c r="U717" s="145"/>
      <c r="V717" s="92"/>
      <c r="W717" s="145"/>
      <c r="X717" s="92"/>
      <c r="Y717" s="145"/>
      <c r="Z717" s="92"/>
      <c r="AA717" s="145"/>
      <c r="AB717" s="64"/>
      <c r="AC717" s="145"/>
      <c r="AD717" s="64"/>
      <c r="AE717" s="145"/>
      <c r="AF717" s="196" t="str">
        <f t="shared" si="38"/>
        <v/>
      </c>
      <c r="AG717" s="95" t="b">
        <f t="shared" si="37"/>
        <v>0</v>
      </c>
      <c r="AH717" s="9"/>
      <c r="AI717" s="150">
        <f t="shared" si="36"/>
        <v>0</v>
      </c>
      <c r="AJ717" s="153" t="s">
        <v>6</v>
      </c>
    </row>
    <row r="718" spans="1:36" ht="30" customHeight="1">
      <c r="A718" s="92"/>
      <c r="B718" s="92"/>
      <c r="C718" s="92"/>
      <c r="D718" s="92"/>
      <c r="E718" s="92"/>
      <c r="F718" s="92"/>
      <c r="G718" s="92"/>
      <c r="H718" s="92"/>
      <c r="I718" s="92"/>
      <c r="J718" s="92"/>
      <c r="K718" s="92"/>
      <c r="L718" s="92"/>
      <c r="M718" s="92"/>
      <c r="N718" s="155"/>
      <c r="O718" s="157"/>
      <c r="P718" s="92"/>
      <c r="Q718" s="145"/>
      <c r="R718" s="92"/>
      <c r="S718" s="145"/>
      <c r="T718" s="92"/>
      <c r="U718" s="145"/>
      <c r="V718" s="92"/>
      <c r="W718" s="145"/>
      <c r="X718" s="92"/>
      <c r="Y718" s="145"/>
      <c r="Z718" s="92"/>
      <c r="AA718" s="145"/>
      <c r="AB718" s="64"/>
      <c r="AC718" s="145"/>
      <c r="AD718" s="64"/>
      <c r="AE718" s="145"/>
      <c r="AF718" s="196" t="str">
        <f t="shared" si="38"/>
        <v/>
      </c>
      <c r="AG718" s="95" t="b">
        <f t="shared" si="37"/>
        <v>0</v>
      </c>
      <c r="AH718" s="9"/>
      <c r="AI718" s="150">
        <f t="shared" si="36"/>
        <v>0</v>
      </c>
      <c r="AJ718" s="153" t="s">
        <v>6</v>
      </c>
    </row>
    <row r="719" spans="1:36" ht="30" customHeight="1">
      <c r="A719" s="92"/>
      <c r="B719" s="92"/>
      <c r="C719" s="92"/>
      <c r="D719" s="92"/>
      <c r="E719" s="92"/>
      <c r="F719" s="92"/>
      <c r="G719" s="92"/>
      <c r="H719" s="92"/>
      <c r="I719" s="92"/>
      <c r="J719" s="92"/>
      <c r="K719" s="92"/>
      <c r="L719" s="92"/>
      <c r="M719" s="92"/>
      <c r="N719" s="155"/>
      <c r="O719" s="157"/>
      <c r="P719" s="92"/>
      <c r="Q719" s="145"/>
      <c r="R719" s="92"/>
      <c r="S719" s="145"/>
      <c r="T719" s="92"/>
      <c r="U719" s="145"/>
      <c r="V719" s="92"/>
      <c r="W719" s="145"/>
      <c r="X719" s="92"/>
      <c r="Y719" s="145"/>
      <c r="Z719" s="92"/>
      <c r="AA719" s="145"/>
      <c r="AB719" s="64"/>
      <c r="AC719" s="145"/>
      <c r="AD719" s="64"/>
      <c r="AE719" s="145"/>
      <c r="AF719" s="196" t="str">
        <f t="shared" si="38"/>
        <v/>
      </c>
      <c r="AG719" s="95" t="b">
        <f t="shared" si="37"/>
        <v>0</v>
      </c>
      <c r="AH719" s="9"/>
      <c r="AI719" s="150">
        <f t="shared" si="36"/>
        <v>0</v>
      </c>
      <c r="AJ719" s="153" t="s">
        <v>6</v>
      </c>
    </row>
    <row r="720" spans="1:36" ht="30" customHeight="1">
      <c r="A720" s="92"/>
      <c r="B720" s="92"/>
      <c r="C720" s="92"/>
      <c r="D720" s="92"/>
      <c r="E720" s="92"/>
      <c r="F720" s="92"/>
      <c r="G720" s="92"/>
      <c r="H720" s="92"/>
      <c r="I720" s="92"/>
      <c r="J720" s="92"/>
      <c r="K720" s="92"/>
      <c r="L720" s="92"/>
      <c r="M720" s="92"/>
      <c r="N720" s="155"/>
      <c r="O720" s="157"/>
      <c r="P720" s="92"/>
      <c r="Q720" s="145"/>
      <c r="R720" s="92"/>
      <c r="S720" s="145"/>
      <c r="T720" s="92"/>
      <c r="U720" s="145"/>
      <c r="V720" s="92"/>
      <c r="W720" s="145"/>
      <c r="X720" s="92"/>
      <c r="Y720" s="145"/>
      <c r="Z720" s="92"/>
      <c r="AA720" s="145"/>
      <c r="AB720" s="64"/>
      <c r="AC720" s="145"/>
      <c r="AD720" s="64"/>
      <c r="AE720" s="145"/>
      <c r="AF720" s="196" t="str">
        <f t="shared" si="38"/>
        <v/>
      </c>
      <c r="AG720" s="95" t="b">
        <f t="shared" si="37"/>
        <v>0</v>
      </c>
      <c r="AH720" s="9"/>
      <c r="AI720" s="150">
        <f t="shared" si="36"/>
        <v>0</v>
      </c>
      <c r="AJ720" s="153" t="s">
        <v>6</v>
      </c>
    </row>
    <row r="721" spans="1:36" ht="30" customHeight="1">
      <c r="A721" s="92"/>
      <c r="B721" s="92"/>
      <c r="C721" s="92"/>
      <c r="D721" s="92"/>
      <c r="E721" s="92"/>
      <c r="F721" s="92"/>
      <c r="G721" s="92"/>
      <c r="H721" s="92"/>
      <c r="I721" s="92"/>
      <c r="J721" s="92"/>
      <c r="K721" s="92"/>
      <c r="L721" s="92"/>
      <c r="M721" s="92"/>
      <c r="N721" s="155"/>
      <c r="O721" s="157"/>
      <c r="P721" s="92"/>
      <c r="Q721" s="145"/>
      <c r="R721" s="92"/>
      <c r="S721" s="145"/>
      <c r="T721" s="92"/>
      <c r="U721" s="145"/>
      <c r="V721" s="92"/>
      <c r="W721" s="145"/>
      <c r="X721" s="92"/>
      <c r="Y721" s="145"/>
      <c r="Z721" s="92"/>
      <c r="AA721" s="145"/>
      <c r="AB721" s="64"/>
      <c r="AC721" s="145"/>
      <c r="AD721" s="64"/>
      <c r="AE721" s="145"/>
      <c r="AF721" s="196" t="str">
        <f t="shared" si="38"/>
        <v/>
      </c>
      <c r="AG721" s="95" t="b">
        <f t="shared" si="37"/>
        <v>0</v>
      </c>
      <c r="AH721" s="9"/>
      <c r="AI721" s="150">
        <f t="shared" si="36"/>
        <v>0</v>
      </c>
      <c r="AJ721" s="153" t="s">
        <v>6</v>
      </c>
    </row>
    <row r="722" spans="1:36" ht="30" customHeight="1">
      <c r="A722" s="92"/>
      <c r="B722" s="92"/>
      <c r="C722" s="92"/>
      <c r="D722" s="92"/>
      <c r="E722" s="92"/>
      <c r="F722" s="92"/>
      <c r="G722" s="92"/>
      <c r="H722" s="92"/>
      <c r="I722" s="92"/>
      <c r="J722" s="92"/>
      <c r="K722" s="92"/>
      <c r="L722" s="92"/>
      <c r="M722" s="92"/>
      <c r="N722" s="155"/>
      <c r="O722" s="157"/>
      <c r="P722" s="92"/>
      <c r="Q722" s="145"/>
      <c r="R722" s="92"/>
      <c r="S722" s="145"/>
      <c r="T722" s="92"/>
      <c r="U722" s="145"/>
      <c r="V722" s="92"/>
      <c r="W722" s="145"/>
      <c r="X722" s="92"/>
      <c r="Y722" s="145"/>
      <c r="Z722" s="92"/>
      <c r="AA722" s="145"/>
      <c r="AB722" s="64"/>
      <c r="AC722" s="145"/>
      <c r="AD722" s="64"/>
      <c r="AE722" s="145"/>
      <c r="AF722" s="196" t="str">
        <f t="shared" si="38"/>
        <v/>
      </c>
      <c r="AG722" s="95" t="b">
        <f t="shared" si="37"/>
        <v>0</v>
      </c>
      <c r="AH722" s="9"/>
      <c r="AI722" s="150">
        <f t="shared" si="36"/>
        <v>0</v>
      </c>
      <c r="AJ722" s="153" t="s">
        <v>6</v>
      </c>
    </row>
    <row r="723" spans="1:36" ht="30" customHeight="1">
      <c r="A723" s="92"/>
      <c r="B723" s="92"/>
      <c r="C723" s="92"/>
      <c r="D723" s="92"/>
      <c r="E723" s="92"/>
      <c r="F723" s="92"/>
      <c r="G723" s="92"/>
      <c r="H723" s="92"/>
      <c r="I723" s="92"/>
      <c r="J723" s="92"/>
      <c r="K723" s="92"/>
      <c r="L723" s="92"/>
      <c r="M723" s="92"/>
      <c r="N723" s="155"/>
      <c r="O723" s="157"/>
      <c r="P723" s="92"/>
      <c r="Q723" s="145"/>
      <c r="R723" s="92"/>
      <c r="S723" s="145"/>
      <c r="T723" s="92"/>
      <c r="U723" s="145"/>
      <c r="V723" s="92"/>
      <c r="W723" s="145"/>
      <c r="X723" s="92"/>
      <c r="Y723" s="145"/>
      <c r="Z723" s="92"/>
      <c r="AA723" s="145"/>
      <c r="AB723" s="64"/>
      <c r="AC723" s="145"/>
      <c r="AD723" s="64"/>
      <c r="AE723" s="145"/>
      <c r="AF723" s="196" t="str">
        <f t="shared" si="38"/>
        <v/>
      </c>
      <c r="AG723" s="95" t="b">
        <f t="shared" si="37"/>
        <v>0</v>
      </c>
      <c r="AH723" s="9"/>
      <c r="AI723" s="150">
        <f t="shared" si="36"/>
        <v>0</v>
      </c>
      <c r="AJ723" s="153" t="s">
        <v>6</v>
      </c>
    </row>
    <row r="724" spans="1:36" ht="30" customHeight="1">
      <c r="A724" s="92"/>
      <c r="B724" s="92"/>
      <c r="C724" s="92"/>
      <c r="D724" s="92"/>
      <c r="E724" s="92"/>
      <c r="F724" s="92"/>
      <c r="G724" s="92"/>
      <c r="H724" s="92"/>
      <c r="I724" s="92"/>
      <c r="J724" s="92"/>
      <c r="K724" s="92"/>
      <c r="L724" s="92"/>
      <c r="M724" s="92"/>
      <c r="N724" s="155"/>
      <c r="O724" s="157"/>
      <c r="P724" s="92"/>
      <c r="Q724" s="145"/>
      <c r="R724" s="92"/>
      <c r="S724" s="145"/>
      <c r="T724" s="92"/>
      <c r="U724" s="145"/>
      <c r="V724" s="92"/>
      <c r="W724" s="145"/>
      <c r="X724" s="92"/>
      <c r="Y724" s="145"/>
      <c r="Z724" s="92"/>
      <c r="AA724" s="145"/>
      <c r="AB724" s="64"/>
      <c r="AC724" s="145"/>
      <c r="AD724" s="64"/>
      <c r="AE724" s="145"/>
      <c r="AF724" s="196" t="str">
        <f t="shared" si="38"/>
        <v/>
      </c>
      <c r="AG724" s="95" t="b">
        <f t="shared" si="37"/>
        <v>0</v>
      </c>
      <c r="AH724" s="9"/>
      <c r="AI724" s="150">
        <f t="shared" si="36"/>
        <v>0</v>
      </c>
      <c r="AJ724" s="153" t="s">
        <v>6</v>
      </c>
    </row>
    <row r="725" spans="1:36" ht="30" customHeight="1">
      <c r="A725" s="92"/>
      <c r="B725" s="92"/>
      <c r="C725" s="92"/>
      <c r="D725" s="92"/>
      <c r="E725" s="92"/>
      <c r="F725" s="92"/>
      <c r="G725" s="92"/>
      <c r="H725" s="92"/>
      <c r="I725" s="92"/>
      <c r="J725" s="92"/>
      <c r="K725" s="92"/>
      <c r="L725" s="92"/>
      <c r="M725" s="92"/>
      <c r="N725" s="155"/>
      <c r="O725" s="157"/>
      <c r="P725" s="92"/>
      <c r="Q725" s="145"/>
      <c r="R725" s="92"/>
      <c r="S725" s="145"/>
      <c r="T725" s="92"/>
      <c r="U725" s="145"/>
      <c r="V725" s="92"/>
      <c r="W725" s="145"/>
      <c r="X725" s="92"/>
      <c r="Y725" s="145"/>
      <c r="Z725" s="92"/>
      <c r="AA725" s="145"/>
      <c r="AB725" s="64"/>
      <c r="AC725" s="145"/>
      <c r="AD725" s="64"/>
      <c r="AE725" s="145"/>
      <c r="AF725" s="196" t="str">
        <f t="shared" si="38"/>
        <v/>
      </c>
      <c r="AG725" s="95" t="b">
        <f t="shared" si="37"/>
        <v>0</v>
      </c>
      <c r="AH725" s="9"/>
      <c r="AI725" s="150">
        <f t="shared" si="36"/>
        <v>0</v>
      </c>
      <c r="AJ725" s="153" t="s">
        <v>6</v>
      </c>
    </row>
    <row r="726" spans="1:36" ht="30" customHeight="1">
      <c r="A726" s="92"/>
      <c r="B726" s="92"/>
      <c r="C726" s="92"/>
      <c r="D726" s="92"/>
      <c r="E726" s="92"/>
      <c r="F726" s="92"/>
      <c r="G726" s="92"/>
      <c r="H726" s="92"/>
      <c r="I726" s="92"/>
      <c r="J726" s="92"/>
      <c r="K726" s="92"/>
      <c r="L726" s="92"/>
      <c r="M726" s="92"/>
      <c r="N726" s="155"/>
      <c r="O726" s="157"/>
      <c r="P726" s="92"/>
      <c r="Q726" s="145"/>
      <c r="R726" s="92"/>
      <c r="S726" s="145"/>
      <c r="T726" s="92"/>
      <c r="U726" s="145"/>
      <c r="V726" s="92"/>
      <c r="W726" s="145"/>
      <c r="X726" s="92"/>
      <c r="Y726" s="145"/>
      <c r="Z726" s="92"/>
      <c r="AA726" s="145"/>
      <c r="AB726" s="64"/>
      <c r="AC726" s="145"/>
      <c r="AD726" s="64"/>
      <c r="AE726" s="145"/>
      <c r="AF726" s="196" t="str">
        <f t="shared" si="38"/>
        <v/>
      </c>
      <c r="AG726" s="95" t="b">
        <f t="shared" si="37"/>
        <v>0</v>
      </c>
      <c r="AH726" s="9"/>
      <c r="AI726" s="150">
        <f t="shared" si="36"/>
        <v>0</v>
      </c>
      <c r="AJ726" s="153" t="s">
        <v>6</v>
      </c>
    </row>
    <row r="727" spans="1:36" ht="30" customHeight="1">
      <c r="A727" s="92"/>
      <c r="B727" s="92"/>
      <c r="C727" s="92"/>
      <c r="D727" s="92"/>
      <c r="E727" s="92"/>
      <c r="F727" s="92"/>
      <c r="G727" s="92"/>
      <c r="H727" s="92"/>
      <c r="I727" s="92"/>
      <c r="J727" s="92"/>
      <c r="K727" s="92"/>
      <c r="L727" s="92"/>
      <c r="M727" s="92"/>
      <c r="N727" s="155"/>
      <c r="O727" s="157"/>
      <c r="P727" s="92"/>
      <c r="Q727" s="145"/>
      <c r="R727" s="92"/>
      <c r="S727" s="145"/>
      <c r="T727" s="92"/>
      <c r="U727" s="145"/>
      <c r="V727" s="92"/>
      <c r="W727" s="145"/>
      <c r="X727" s="92"/>
      <c r="Y727" s="145"/>
      <c r="Z727" s="92"/>
      <c r="AA727" s="145"/>
      <c r="AB727" s="64"/>
      <c r="AC727" s="145"/>
      <c r="AD727" s="64"/>
      <c r="AE727" s="145"/>
      <c r="AF727" s="196" t="str">
        <f t="shared" si="38"/>
        <v/>
      </c>
      <c r="AG727" s="95" t="b">
        <f t="shared" si="37"/>
        <v>0</v>
      </c>
      <c r="AH727" s="9"/>
      <c r="AI727" s="150">
        <f t="shared" si="36"/>
        <v>0</v>
      </c>
      <c r="AJ727" s="153" t="s">
        <v>6</v>
      </c>
    </row>
    <row r="728" spans="1:36" ht="30" customHeight="1">
      <c r="A728" s="92"/>
      <c r="B728" s="92"/>
      <c r="C728" s="92"/>
      <c r="D728" s="92"/>
      <c r="E728" s="92"/>
      <c r="F728" s="92"/>
      <c r="G728" s="92"/>
      <c r="H728" s="92"/>
      <c r="I728" s="92"/>
      <c r="J728" s="92"/>
      <c r="K728" s="92"/>
      <c r="L728" s="92"/>
      <c r="M728" s="92"/>
      <c r="N728" s="155"/>
      <c r="O728" s="157"/>
      <c r="P728" s="92"/>
      <c r="Q728" s="145"/>
      <c r="R728" s="92"/>
      <c r="S728" s="145"/>
      <c r="T728" s="92"/>
      <c r="U728" s="145"/>
      <c r="V728" s="92"/>
      <c r="W728" s="145"/>
      <c r="X728" s="92"/>
      <c r="Y728" s="145"/>
      <c r="Z728" s="92"/>
      <c r="AA728" s="145"/>
      <c r="AB728" s="64"/>
      <c r="AC728" s="145"/>
      <c r="AD728" s="64"/>
      <c r="AE728" s="145"/>
      <c r="AF728" s="196" t="str">
        <f t="shared" si="38"/>
        <v/>
      </c>
      <c r="AG728" s="95" t="b">
        <f t="shared" si="37"/>
        <v>0</v>
      </c>
      <c r="AH728" s="9"/>
      <c r="AI728" s="150">
        <f t="shared" si="36"/>
        <v>0</v>
      </c>
      <c r="AJ728" s="153" t="s">
        <v>6</v>
      </c>
    </row>
    <row r="729" spans="1:36" ht="30" customHeight="1">
      <c r="A729" s="92"/>
      <c r="B729" s="92"/>
      <c r="C729" s="92"/>
      <c r="D729" s="92"/>
      <c r="E729" s="92"/>
      <c r="F729" s="92"/>
      <c r="G729" s="92"/>
      <c r="H729" s="92"/>
      <c r="I729" s="92"/>
      <c r="J729" s="92"/>
      <c r="K729" s="92"/>
      <c r="L729" s="92"/>
      <c r="M729" s="92"/>
      <c r="N729" s="155"/>
      <c r="O729" s="157"/>
      <c r="P729" s="92"/>
      <c r="Q729" s="145"/>
      <c r="R729" s="92"/>
      <c r="S729" s="145"/>
      <c r="T729" s="92"/>
      <c r="U729" s="145"/>
      <c r="V729" s="92"/>
      <c r="W729" s="145"/>
      <c r="X729" s="92"/>
      <c r="Y729" s="145"/>
      <c r="Z729" s="92"/>
      <c r="AA729" s="145"/>
      <c r="AB729" s="64"/>
      <c r="AC729" s="145"/>
      <c r="AD729" s="64"/>
      <c r="AE729" s="145"/>
      <c r="AF729" s="196" t="str">
        <f t="shared" si="38"/>
        <v/>
      </c>
      <c r="AG729" s="95" t="b">
        <f t="shared" si="37"/>
        <v>0</v>
      </c>
      <c r="AH729" s="9"/>
      <c r="AI729" s="150">
        <f t="shared" si="36"/>
        <v>0</v>
      </c>
      <c r="AJ729" s="153" t="s">
        <v>6</v>
      </c>
    </row>
    <row r="730" spans="1:36" ht="30" customHeight="1">
      <c r="A730" s="92"/>
      <c r="B730" s="92"/>
      <c r="C730" s="92"/>
      <c r="D730" s="92"/>
      <c r="E730" s="92"/>
      <c r="F730" s="92"/>
      <c r="G730" s="92"/>
      <c r="H730" s="92"/>
      <c r="I730" s="92"/>
      <c r="J730" s="92"/>
      <c r="K730" s="92"/>
      <c r="L730" s="92"/>
      <c r="M730" s="92"/>
      <c r="N730" s="155"/>
      <c r="O730" s="157"/>
      <c r="P730" s="92"/>
      <c r="Q730" s="145"/>
      <c r="R730" s="92"/>
      <c r="S730" s="145"/>
      <c r="T730" s="92"/>
      <c r="U730" s="145"/>
      <c r="V730" s="92"/>
      <c r="W730" s="145"/>
      <c r="X730" s="92"/>
      <c r="Y730" s="145"/>
      <c r="Z730" s="92"/>
      <c r="AA730" s="145"/>
      <c r="AB730" s="64"/>
      <c r="AC730" s="145"/>
      <c r="AD730" s="64"/>
      <c r="AE730" s="145"/>
      <c r="AF730" s="196" t="str">
        <f t="shared" si="38"/>
        <v/>
      </c>
      <c r="AG730" s="95" t="b">
        <f t="shared" si="37"/>
        <v>0</v>
      </c>
      <c r="AH730" s="9"/>
      <c r="AI730" s="150">
        <f t="shared" si="36"/>
        <v>0</v>
      </c>
      <c r="AJ730" s="153" t="s">
        <v>6</v>
      </c>
    </row>
    <row r="731" spans="1:36" ht="30" customHeight="1">
      <c r="A731" s="92"/>
      <c r="B731" s="92"/>
      <c r="C731" s="92"/>
      <c r="D731" s="92"/>
      <c r="E731" s="92"/>
      <c r="F731" s="92"/>
      <c r="G731" s="92"/>
      <c r="H731" s="92"/>
      <c r="I731" s="92"/>
      <c r="J731" s="92"/>
      <c r="K731" s="92"/>
      <c r="L731" s="92"/>
      <c r="M731" s="92"/>
      <c r="N731" s="155"/>
      <c r="O731" s="157"/>
      <c r="P731" s="92"/>
      <c r="Q731" s="145"/>
      <c r="R731" s="92"/>
      <c r="S731" s="145"/>
      <c r="T731" s="92"/>
      <c r="U731" s="145"/>
      <c r="V731" s="92"/>
      <c r="W731" s="145"/>
      <c r="X731" s="92"/>
      <c r="Y731" s="145"/>
      <c r="Z731" s="92"/>
      <c r="AA731" s="145"/>
      <c r="AB731" s="64"/>
      <c r="AC731" s="145"/>
      <c r="AD731" s="64"/>
      <c r="AE731" s="145"/>
      <c r="AF731" s="196" t="str">
        <f t="shared" si="38"/>
        <v/>
      </c>
      <c r="AG731" s="95" t="b">
        <f t="shared" si="37"/>
        <v>0</v>
      </c>
      <c r="AH731" s="9"/>
      <c r="AI731" s="150">
        <f t="shared" si="36"/>
        <v>0</v>
      </c>
      <c r="AJ731" s="153" t="s">
        <v>6</v>
      </c>
    </row>
    <row r="732" spans="1:36" ht="30" customHeight="1">
      <c r="A732" s="92"/>
      <c r="B732" s="92"/>
      <c r="C732" s="92"/>
      <c r="D732" s="92"/>
      <c r="E732" s="92"/>
      <c r="F732" s="92"/>
      <c r="G732" s="92"/>
      <c r="H732" s="92"/>
      <c r="I732" s="92"/>
      <c r="J732" s="92"/>
      <c r="K732" s="92"/>
      <c r="L732" s="92"/>
      <c r="M732" s="92"/>
      <c r="N732" s="155"/>
      <c r="O732" s="157"/>
      <c r="P732" s="92"/>
      <c r="Q732" s="145"/>
      <c r="R732" s="92"/>
      <c r="S732" s="145"/>
      <c r="T732" s="92"/>
      <c r="U732" s="145"/>
      <c r="V732" s="92"/>
      <c r="W732" s="145"/>
      <c r="X732" s="92"/>
      <c r="Y732" s="145"/>
      <c r="Z732" s="92"/>
      <c r="AA732" s="145"/>
      <c r="AB732" s="64"/>
      <c r="AC732" s="145"/>
      <c r="AD732" s="64"/>
      <c r="AE732" s="145"/>
      <c r="AF732" s="196" t="str">
        <f t="shared" si="38"/>
        <v/>
      </c>
      <c r="AG732" s="95" t="b">
        <f t="shared" si="37"/>
        <v>0</v>
      </c>
      <c r="AH732" s="9"/>
      <c r="AI732" s="150">
        <f t="shared" si="36"/>
        <v>0</v>
      </c>
      <c r="AJ732" s="153" t="s">
        <v>6</v>
      </c>
    </row>
    <row r="733" spans="1:36" ht="30" customHeight="1">
      <c r="A733" s="92"/>
      <c r="B733" s="92"/>
      <c r="C733" s="92"/>
      <c r="D733" s="92"/>
      <c r="E733" s="92"/>
      <c r="F733" s="92"/>
      <c r="G733" s="92"/>
      <c r="H733" s="92"/>
      <c r="I733" s="92"/>
      <c r="J733" s="92"/>
      <c r="K733" s="92"/>
      <c r="L733" s="92"/>
      <c r="M733" s="92"/>
      <c r="N733" s="155"/>
      <c r="O733" s="157"/>
      <c r="P733" s="92"/>
      <c r="Q733" s="145"/>
      <c r="R733" s="92"/>
      <c r="S733" s="145"/>
      <c r="T733" s="92"/>
      <c r="U733" s="145"/>
      <c r="V733" s="92"/>
      <c r="W733" s="145"/>
      <c r="X733" s="92"/>
      <c r="Y733" s="145"/>
      <c r="Z733" s="92"/>
      <c r="AA733" s="145"/>
      <c r="AB733" s="64"/>
      <c r="AC733" s="145"/>
      <c r="AD733" s="64"/>
      <c r="AE733" s="145"/>
      <c r="AF733" s="196" t="str">
        <f t="shared" si="38"/>
        <v/>
      </c>
      <c r="AG733" s="95" t="b">
        <f t="shared" si="37"/>
        <v>0</v>
      </c>
      <c r="AH733" s="9"/>
      <c r="AI733" s="150">
        <f t="shared" si="36"/>
        <v>0</v>
      </c>
      <c r="AJ733" s="153" t="s">
        <v>6</v>
      </c>
    </row>
    <row r="734" spans="1:36" ht="30" customHeight="1">
      <c r="A734" s="92"/>
      <c r="B734" s="92"/>
      <c r="C734" s="92"/>
      <c r="D734" s="92"/>
      <c r="E734" s="92"/>
      <c r="F734" s="92"/>
      <c r="G734" s="92"/>
      <c r="H734" s="92"/>
      <c r="I734" s="92"/>
      <c r="J734" s="92"/>
      <c r="K734" s="92"/>
      <c r="L734" s="92"/>
      <c r="M734" s="92"/>
      <c r="N734" s="155"/>
      <c r="O734" s="157"/>
      <c r="P734" s="92"/>
      <c r="Q734" s="145"/>
      <c r="R734" s="92"/>
      <c r="S734" s="145"/>
      <c r="T734" s="92"/>
      <c r="U734" s="145"/>
      <c r="V734" s="92"/>
      <c r="W734" s="145"/>
      <c r="X734" s="92"/>
      <c r="Y734" s="145"/>
      <c r="Z734" s="92"/>
      <c r="AA734" s="145"/>
      <c r="AB734" s="64"/>
      <c r="AC734" s="145"/>
      <c r="AD734" s="64"/>
      <c r="AE734" s="145"/>
      <c r="AF734" s="196" t="str">
        <f t="shared" si="38"/>
        <v/>
      </c>
      <c r="AG734" s="95" t="b">
        <f t="shared" si="37"/>
        <v>0</v>
      </c>
      <c r="AH734" s="9"/>
      <c r="AI734" s="150">
        <f t="shared" si="36"/>
        <v>0</v>
      </c>
      <c r="AJ734" s="153" t="s">
        <v>6</v>
      </c>
    </row>
    <row r="735" spans="1:36" ht="30" customHeight="1">
      <c r="A735" s="92"/>
      <c r="B735" s="92"/>
      <c r="C735" s="92"/>
      <c r="D735" s="92"/>
      <c r="E735" s="92"/>
      <c r="F735" s="92"/>
      <c r="G735" s="92"/>
      <c r="H735" s="92"/>
      <c r="I735" s="92"/>
      <c r="J735" s="92"/>
      <c r="K735" s="92"/>
      <c r="L735" s="92"/>
      <c r="M735" s="92"/>
      <c r="N735" s="155"/>
      <c r="O735" s="157"/>
      <c r="P735" s="92"/>
      <c r="Q735" s="145"/>
      <c r="R735" s="92"/>
      <c r="S735" s="145"/>
      <c r="T735" s="92"/>
      <c r="U735" s="145"/>
      <c r="V735" s="92"/>
      <c r="W735" s="145"/>
      <c r="X735" s="92"/>
      <c r="Y735" s="145"/>
      <c r="Z735" s="92"/>
      <c r="AA735" s="145"/>
      <c r="AB735" s="64"/>
      <c r="AC735" s="145"/>
      <c r="AD735" s="64"/>
      <c r="AE735" s="145"/>
      <c r="AF735" s="196" t="str">
        <f t="shared" si="38"/>
        <v/>
      </c>
      <c r="AG735" s="95" t="b">
        <f t="shared" si="37"/>
        <v>0</v>
      </c>
      <c r="AH735" s="9"/>
      <c r="AI735" s="150">
        <f t="shared" si="36"/>
        <v>0</v>
      </c>
      <c r="AJ735" s="153" t="s">
        <v>6</v>
      </c>
    </row>
    <row r="736" spans="1:36" ht="30" customHeight="1">
      <c r="A736" s="92"/>
      <c r="B736" s="92"/>
      <c r="C736" s="92"/>
      <c r="D736" s="92"/>
      <c r="E736" s="92"/>
      <c r="F736" s="92"/>
      <c r="G736" s="92"/>
      <c r="H736" s="92"/>
      <c r="I736" s="92"/>
      <c r="J736" s="92"/>
      <c r="K736" s="92"/>
      <c r="L736" s="92"/>
      <c r="M736" s="92"/>
      <c r="N736" s="155"/>
      <c r="O736" s="157"/>
      <c r="P736" s="92"/>
      <c r="Q736" s="145"/>
      <c r="R736" s="92"/>
      <c r="S736" s="145"/>
      <c r="T736" s="92"/>
      <c r="U736" s="145"/>
      <c r="V736" s="92"/>
      <c r="W736" s="145"/>
      <c r="X736" s="92"/>
      <c r="Y736" s="145"/>
      <c r="Z736" s="92"/>
      <c r="AA736" s="145"/>
      <c r="AB736" s="64"/>
      <c r="AC736" s="145"/>
      <c r="AD736" s="64"/>
      <c r="AE736" s="145"/>
      <c r="AF736" s="196" t="str">
        <f t="shared" si="38"/>
        <v/>
      </c>
      <c r="AG736" s="95" t="b">
        <f t="shared" si="37"/>
        <v>0</v>
      </c>
      <c r="AH736" s="9"/>
      <c r="AI736" s="150">
        <f t="shared" si="36"/>
        <v>0</v>
      </c>
      <c r="AJ736" s="153" t="s">
        <v>6</v>
      </c>
    </row>
    <row r="737" spans="1:36" ht="30" customHeight="1">
      <c r="A737" s="92"/>
      <c r="B737" s="92"/>
      <c r="C737" s="92"/>
      <c r="D737" s="92"/>
      <c r="E737" s="92"/>
      <c r="F737" s="92"/>
      <c r="G737" s="92"/>
      <c r="H737" s="92"/>
      <c r="I737" s="92"/>
      <c r="J737" s="92"/>
      <c r="K737" s="92"/>
      <c r="L737" s="92"/>
      <c r="M737" s="92"/>
      <c r="N737" s="155"/>
      <c r="O737" s="157"/>
      <c r="P737" s="92"/>
      <c r="Q737" s="145"/>
      <c r="R737" s="92"/>
      <c r="S737" s="145"/>
      <c r="T737" s="92"/>
      <c r="U737" s="145"/>
      <c r="V737" s="92"/>
      <c r="W737" s="145"/>
      <c r="X737" s="92"/>
      <c r="Y737" s="145"/>
      <c r="Z737" s="92"/>
      <c r="AA737" s="145"/>
      <c r="AB737" s="64"/>
      <c r="AC737" s="145"/>
      <c r="AD737" s="64"/>
      <c r="AE737" s="145"/>
      <c r="AF737" s="196" t="str">
        <f t="shared" si="38"/>
        <v/>
      </c>
      <c r="AG737" s="95" t="b">
        <f t="shared" si="37"/>
        <v>0</v>
      </c>
      <c r="AH737" s="9"/>
      <c r="AI737" s="150">
        <f t="shared" si="36"/>
        <v>0</v>
      </c>
      <c r="AJ737" s="153" t="s">
        <v>6</v>
      </c>
    </row>
    <row r="738" spans="1:36" ht="30" customHeight="1">
      <c r="A738" s="92"/>
      <c r="B738" s="92"/>
      <c r="C738" s="92"/>
      <c r="D738" s="92"/>
      <c r="E738" s="92"/>
      <c r="F738" s="92"/>
      <c r="G738" s="92"/>
      <c r="H738" s="92"/>
      <c r="I738" s="92"/>
      <c r="J738" s="92"/>
      <c r="K738" s="92"/>
      <c r="L738" s="92"/>
      <c r="M738" s="92"/>
      <c r="N738" s="155"/>
      <c r="O738" s="157"/>
      <c r="P738" s="92"/>
      <c r="Q738" s="145"/>
      <c r="R738" s="92"/>
      <c r="S738" s="145"/>
      <c r="T738" s="92"/>
      <c r="U738" s="145"/>
      <c r="V738" s="92"/>
      <c r="W738" s="145"/>
      <c r="X738" s="92"/>
      <c r="Y738" s="145"/>
      <c r="Z738" s="92"/>
      <c r="AA738" s="145"/>
      <c r="AB738" s="64"/>
      <c r="AC738" s="145"/>
      <c r="AD738" s="64"/>
      <c r="AE738" s="145"/>
      <c r="AF738" s="196" t="str">
        <f t="shared" si="38"/>
        <v/>
      </c>
      <c r="AG738" s="95" t="b">
        <f t="shared" si="37"/>
        <v>0</v>
      </c>
      <c r="AH738" s="9"/>
      <c r="AI738" s="150">
        <f t="shared" si="36"/>
        <v>0</v>
      </c>
      <c r="AJ738" s="153" t="s">
        <v>6</v>
      </c>
    </row>
    <row r="739" spans="1:36" ht="30" customHeight="1">
      <c r="A739" s="92"/>
      <c r="B739" s="92"/>
      <c r="C739" s="92"/>
      <c r="D739" s="92"/>
      <c r="E739" s="92"/>
      <c r="F739" s="92"/>
      <c r="G739" s="92"/>
      <c r="H739" s="92"/>
      <c r="I739" s="92"/>
      <c r="J739" s="92"/>
      <c r="K739" s="92"/>
      <c r="L739" s="92"/>
      <c r="M739" s="92"/>
      <c r="N739" s="155"/>
      <c r="O739" s="157"/>
      <c r="P739" s="92"/>
      <c r="Q739" s="145"/>
      <c r="R739" s="92"/>
      <c r="S739" s="145"/>
      <c r="T739" s="92"/>
      <c r="U739" s="145"/>
      <c r="V739" s="92"/>
      <c r="W739" s="145"/>
      <c r="X739" s="92"/>
      <c r="Y739" s="145"/>
      <c r="Z739" s="92"/>
      <c r="AA739" s="145"/>
      <c r="AB739" s="64"/>
      <c r="AC739" s="145"/>
      <c r="AD739" s="64"/>
      <c r="AE739" s="145"/>
      <c r="AF739" s="196" t="str">
        <f t="shared" si="38"/>
        <v/>
      </c>
      <c r="AG739" s="95" t="b">
        <f t="shared" si="37"/>
        <v>0</v>
      </c>
      <c r="AH739" s="9"/>
      <c r="AI739" s="150">
        <f t="shared" si="36"/>
        <v>0</v>
      </c>
      <c r="AJ739" s="153" t="s">
        <v>6</v>
      </c>
    </row>
    <row r="740" spans="1:36" ht="30" customHeight="1">
      <c r="A740" s="92"/>
      <c r="B740" s="92"/>
      <c r="C740" s="92"/>
      <c r="D740" s="92"/>
      <c r="E740" s="92"/>
      <c r="F740" s="92"/>
      <c r="G740" s="92"/>
      <c r="H740" s="92"/>
      <c r="I740" s="92"/>
      <c r="J740" s="92"/>
      <c r="K740" s="92"/>
      <c r="L740" s="92"/>
      <c r="M740" s="92"/>
      <c r="N740" s="155"/>
      <c r="O740" s="157"/>
      <c r="P740" s="92"/>
      <c r="Q740" s="145"/>
      <c r="R740" s="92"/>
      <c r="S740" s="145"/>
      <c r="T740" s="92"/>
      <c r="U740" s="145"/>
      <c r="V740" s="92"/>
      <c r="W740" s="145"/>
      <c r="X740" s="92"/>
      <c r="Y740" s="145"/>
      <c r="Z740" s="92"/>
      <c r="AA740" s="145"/>
      <c r="AB740" s="64"/>
      <c r="AC740" s="145"/>
      <c r="AD740" s="64"/>
      <c r="AE740" s="145"/>
      <c r="AF740" s="196" t="str">
        <f t="shared" si="38"/>
        <v/>
      </c>
      <c r="AG740" s="95" t="b">
        <f t="shared" si="37"/>
        <v>0</v>
      </c>
      <c r="AH740" s="9"/>
      <c r="AI740" s="150">
        <f t="shared" si="36"/>
        <v>0</v>
      </c>
      <c r="AJ740" s="153" t="s">
        <v>6</v>
      </c>
    </row>
    <row r="741" spans="1:36" ht="30" customHeight="1">
      <c r="A741" s="92"/>
      <c r="B741" s="92"/>
      <c r="C741" s="92"/>
      <c r="D741" s="92"/>
      <c r="E741" s="92"/>
      <c r="F741" s="92"/>
      <c r="G741" s="92"/>
      <c r="H741" s="92"/>
      <c r="I741" s="92"/>
      <c r="J741" s="92"/>
      <c r="K741" s="92"/>
      <c r="L741" s="92"/>
      <c r="M741" s="92"/>
      <c r="N741" s="155"/>
      <c r="O741" s="157"/>
      <c r="P741" s="92"/>
      <c r="Q741" s="145"/>
      <c r="R741" s="92"/>
      <c r="S741" s="145"/>
      <c r="T741" s="92"/>
      <c r="U741" s="145"/>
      <c r="V741" s="92"/>
      <c r="W741" s="145"/>
      <c r="X741" s="92"/>
      <c r="Y741" s="145"/>
      <c r="Z741" s="92"/>
      <c r="AA741" s="145"/>
      <c r="AB741" s="64"/>
      <c r="AC741" s="145"/>
      <c r="AD741" s="64"/>
      <c r="AE741" s="145"/>
      <c r="AF741" s="196" t="str">
        <f t="shared" si="38"/>
        <v/>
      </c>
      <c r="AG741" s="95" t="b">
        <f t="shared" si="37"/>
        <v>0</v>
      </c>
      <c r="AH741" s="9"/>
      <c r="AI741" s="150">
        <f t="shared" si="36"/>
        <v>0</v>
      </c>
      <c r="AJ741" s="153" t="s">
        <v>6</v>
      </c>
    </row>
    <row r="742" spans="1:36" ht="30" customHeight="1">
      <c r="A742" s="92"/>
      <c r="B742" s="92"/>
      <c r="C742" s="92"/>
      <c r="D742" s="92"/>
      <c r="E742" s="92"/>
      <c r="F742" s="92"/>
      <c r="G742" s="92"/>
      <c r="H742" s="92"/>
      <c r="I742" s="92"/>
      <c r="J742" s="92"/>
      <c r="K742" s="92"/>
      <c r="L742" s="92"/>
      <c r="M742" s="92"/>
      <c r="N742" s="155"/>
      <c r="O742" s="157"/>
      <c r="P742" s="92"/>
      <c r="Q742" s="145"/>
      <c r="R742" s="92"/>
      <c r="S742" s="145"/>
      <c r="T742" s="92"/>
      <c r="U742" s="145"/>
      <c r="V742" s="92"/>
      <c r="W742" s="145"/>
      <c r="X742" s="92"/>
      <c r="Y742" s="145"/>
      <c r="Z742" s="92"/>
      <c r="AA742" s="145"/>
      <c r="AB742" s="64"/>
      <c r="AC742" s="145"/>
      <c r="AD742" s="64"/>
      <c r="AE742" s="145"/>
      <c r="AF742" s="196" t="str">
        <f t="shared" si="38"/>
        <v/>
      </c>
      <c r="AG742" s="95" t="b">
        <f t="shared" si="37"/>
        <v>0</v>
      </c>
      <c r="AH742" s="9"/>
      <c r="AI742" s="150">
        <f t="shared" si="36"/>
        <v>0</v>
      </c>
      <c r="AJ742" s="153" t="s">
        <v>6</v>
      </c>
    </row>
    <row r="743" spans="1:36" ht="30" customHeight="1">
      <c r="A743" s="92"/>
      <c r="B743" s="92"/>
      <c r="C743" s="92"/>
      <c r="D743" s="92"/>
      <c r="E743" s="92"/>
      <c r="F743" s="92"/>
      <c r="G743" s="92"/>
      <c r="H743" s="92"/>
      <c r="I743" s="92"/>
      <c r="J743" s="92"/>
      <c r="K743" s="92"/>
      <c r="L743" s="92"/>
      <c r="M743" s="92"/>
      <c r="N743" s="155"/>
      <c r="O743" s="157"/>
      <c r="P743" s="92"/>
      <c r="Q743" s="145"/>
      <c r="R743" s="92"/>
      <c r="S743" s="145"/>
      <c r="T743" s="92"/>
      <c r="U743" s="145"/>
      <c r="V743" s="92"/>
      <c r="W743" s="145"/>
      <c r="X743" s="92"/>
      <c r="Y743" s="145"/>
      <c r="Z743" s="92"/>
      <c r="AA743" s="145"/>
      <c r="AB743" s="64"/>
      <c r="AC743" s="145"/>
      <c r="AD743" s="64"/>
      <c r="AE743" s="145"/>
      <c r="AF743" s="196" t="str">
        <f t="shared" si="38"/>
        <v/>
      </c>
      <c r="AG743" s="95" t="b">
        <f t="shared" si="37"/>
        <v>0</v>
      </c>
      <c r="AH743" s="9"/>
      <c r="AI743" s="150">
        <f t="shared" si="36"/>
        <v>0</v>
      </c>
      <c r="AJ743" s="153" t="s">
        <v>6</v>
      </c>
    </row>
    <row r="744" spans="1:36" ht="30" customHeight="1">
      <c r="A744" s="92"/>
      <c r="B744" s="92"/>
      <c r="C744" s="92"/>
      <c r="D744" s="92"/>
      <c r="E744" s="92"/>
      <c r="F744" s="92"/>
      <c r="G744" s="92"/>
      <c r="H744" s="92"/>
      <c r="I744" s="92"/>
      <c r="J744" s="92"/>
      <c r="K744" s="92"/>
      <c r="L744" s="92"/>
      <c r="M744" s="92"/>
      <c r="N744" s="155"/>
      <c r="O744" s="157"/>
      <c r="P744" s="92"/>
      <c r="Q744" s="145"/>
      <c r="R744" s="92"/>
      <c r="S744" s="145"/>
      <c r="T744" s="92"/>
      <c r="U744" s="145"/>
      <c r="V744" s="92"/>
      <c r="W744" s="145"/>
      <c r="X744" s="92"/>
      <c r="Y744" s="145"/>
      <c r="Z744" s="92"/>
      <c r="AA744" s="145"/>
      <c r="AB744" s="64"/>
      <c r="AC744" s="145"/>
      <c r="AD744" s="64"/>
      <c r="AE744" s="145"/>
      <c r="AF744" s="196" t="str">
        <f t="shared" si="38"/>
        <v/>
      </c>
      <c r="AG744" s="95" t="b">
        <f t="shared" si="37"/>
        <v>0</v>
      </c>
      <c r="AH744" s="9"/>
      <c r="AI744" s="150">
        <f t="shared" si="36"/>
        <v>0</v>
      </c>
      <c r="AJ744" s="153" t="s">
        <v>6</v>
      </c>
    </row>
    <row r="745" spans="1:36" ht="30" customHeight="1">
      <c r="A745" s="92"/>
      <c r="B745" s="92"/>
      <c r="C745" s="92"/>
      <c r="D745" s="92"/>
      <c r="E745" s="92"/>
      <c r="F745" s="92"/>
      <c r="G745" s="92"/>
      <c r="H745" s="92"/>
      <c r="I745" s="92"/>
      <c r="J745" s="92"/>
      <c r="K745" s="92"/>
      <c r="L745" s="92"/>
      <c r="M745" s="92"/>
      <c r="N745" s="155"/>
      <c r="O745" s="157"/>
      <c r="P745" s="92"/>
      <c r="Q745" s="145"/>
      <c r="R745" s="92"/>
      <c r="S745" s="145"/>
      <c r="T745" s="92"/>
      <c r="U745" s="145"/>
      <c r="V745" s="92"/>
      <c r="W745" s="145"/>
      <c r="X745" s="92"/>
      <c r="Y745" s="145"/>
      <c r="Z745" s="92"/>
      <c r="AA745" s="145"/>
      <c r="AB745" s="64"/>
      <c r="AC745" s="145"/>
      <c r="AD745" s="64"/>
      <c r="AE745" s="145"/>
      <c r="AF745" s="196" t="str">
        <f t="shared" si="38"/>
        <v/>
      </c>
      <c r="AG745" s="95" t="b">
        <f t="shared" si="37"/>
        <v>0</v>
      </c>
      <c r="AH745" s="9"/>
      <c r="AI745" s="150">
        <f t="shared" si="36"/>
        <v>0</v>
      </c>
      <c r="AJ745" s="153" t="s">
        <v>6</v>
      </c>
    </row>
    <row r="746" spans="1:36" ht="30" customHeight="1">
      <c r="A746" s="92"/>
      <c r="B746" s="92"/>
      <c r="C746" s="92"/>
      <c r="D746" s="92"/>
      <c r="E746" s="92"/>
      <c r="F746" s="92"/>
      <c r="G746" s="92"/>
      <c r="H746" s="92"/>
      <c r="I746" s="92"/>
      <c r="J746" s="92"/>
      <c r="K746" s="92"/>
      <c r="L746" s="92"/>
      <c r="M746" s="92"/>
      <c r="N746" s="155"/>
      <c r="O746" s="157"/>
      <c r="P746" s="92"/>
      <c r="Q746" s="145"/>
      <c r="R746" s="92"/>
      <c r="S746" s="145"/>
      <c r="T746" s="92"/>
      <c r="U746" s="145"/>
      <c r="V746" s="92"/>
      <c r="W746" s="145"/>
      <c r="X746" s="92"/>
      <c r="Y746" s="145"/>
      <c r="Z746" s="92"/>
      <c r="AA746" s="145"/>
      <c r="AB746" s="64"/>
      <c r="AC746" s="145"/>
      <c r="AD746" s="64"/>
      <c r="AE746" s="145"/>
      <c r="AF746" s="196" t="str">
        <f t="shared" si="38"/>
        <v/>
      </c>
      <c r="AG746" s="95" t="b">
        <f t="shared" si="37"/>
        <v>0</v>
      </c>
      <c r="AH746" s="9"/>
      <c r="AI746" s="150">
        <f t="shared" si="36"/>
        <v>0</v>
      </c>
      <c r="AJ746" s="153" t="s">
        <v>6</v>
      </c>
    </row>
    <row r="747" spans="1:36" ht="30" customHeight="1">
      <c r="A747" s="92"/>
      <c r="B747" s="92"/>
      <c r="C747" s="92"/>
      <c r="D747" s="92"/>
      <c r="E747" s="92"/>
      <c r="F747" s="92"/>
      <c r="G747" s="92"/>
      <c r="H747" s="92"/>
      <c r="I747" s="92"/>
      <c r="J747" s="92"/>
      <c r="K747" s="92"/>
      <c r="L747" s="92"/>
      <c r="M747" s="92"/>
      <c r="N747" s="155"/>
      <c r="O747" s="157"/>
      <c r="P747" s="92"/>
      <c r="Q747" s="145"/>
      <c r="R747" s="92"/>
      <c r="S747" s="145"/>
      <c r="T747" s="92"/>
      <c r="U747" s="145"/>
      <c r="V747" s="92"/>
      <c r="W747" s="145"/>
      <c r="X747" s="92"/>
      <c r="Y747" s="145"/>
      <c r="Z747" s="92"/>
      <c r="AA747" s="145"/>
      <c r="AB747" s="64"/>
      <c r="AC747" s="145"/>
      <c r="AD747" s="64"/>
      <c r="AE747" s="145"/>
      <c r="AF747" s="196" t="str">
        <f t="shared" si="38"/>
        <v/>
      </c>
      <c r="AG747" s="95" t="b">
        <f t="shared" si="37"/>
        <v>0</v>
      </c>
      <c r="AH747" s="9"/>
      <c r="AI747" s="150">
        <f t="shared" si="36"/>
        <v>0</v>
      </c>
      <c r="AJ747" s="153" t="s">
        <v>6</v>
      </c>
    </row>
    <row r="748" spans="1:36" ht="30" customHeight="1">
      <c r="A748" s="92"/>
      <c r="B748" s="92"/>
      <c r="C748" s="92"/>
      <c r="D748" s="92"/>
      <c r="E748" s="92"/>
      <c r="F748" s="92"/>
      <c r="G748" s="92"/>
      <c r="H748" s="92"/>
      <c r="I748" s="92"/>
      <c r="J748" s="92"/>
      <c r="K748" s="92"/>
      <c r="L748" s="92"/>
      <c r="M748" s="92"/>
      <c r="N748" s="155"/>
      <c r="O748" s="157"/>
      <c r="P748" s="92"/>
      <c r="Q748" s="145"/>
      <c r="R748" s="92"/>
      <c r="S748" s="145"/>
      <c r="T748" s="92"/>
      <c r="U748" s="145"/>
      <c r="V748" s="92"/>
      <c r="W748" s="145"/>
      <c r="X748" s="92"/>
      <c r="Y748" s="145"/>
      <c r="Z748" s="92"/>
      <c r="AA748" s="145"/>
      <c r="AB748" s="64"/>
      <c r="AC748" s="145"/>
      <c r="AD748" s="64"/>
      <c r="AE748" s="145"/>
      <c r="AF748" s="196" t="str">
        <f t="shared" si="38"/>
        <v/>
      </c>
      <c r="AG748" s="95" t="b">
        <f t="shared" si="37"/>
        <v>0</v>
      </c>
      <c r="AH748" s="9"/>
      <c r="AI748" s="150">
        <f t="shared" si="36"/>
        <v>0</v>
      </c>
      <c r="AJ748" s="153" t="s">
        <v>6</v>
      </c>
    </row>
    <row r="749" spans="1:36" ht="30" customHeight="1">
      <c r="A749" s="92"/>
      <c r="B749" s="92"/>
      <c r="C749" s="92"/>
      <c r="D749" s="92"/>
      <c r="E749" s="92"/>
      <c r="F749" s="92"/>
      <c r="G749" s="92"/>
      <c r="H749" s="92"/>
      <c r="I749" s="92"/>
      <c r="J749" s="92"/>
      <c r="K749" s="92"/>
      <c r="L749" s="92"/>
      <c r="M749" s="92"/>
      <c r="N749" s="155"/>
      <c r="O749" s="157"/>
      <c r="P749" s="92"/>
      <c r="Q749" s="145"/>
      <c r="R749" s="92"/>
      <c r="S749" s="145"/>
      <c r="T749" s="92"/>
      <c r="U749" s="145"/>
      <c r="V749" s="92"/>
      <c r="W749" s="145"/>
      <c r="X749" s="92"/>
      <c r="Y749" s="145"/>
      <c r="Z749" s="92"/>
      <c r="AA749" s="145"/>
      <c r="AB749" s="64"/>
      <c r="AC749" s="145"/>
      <c r="AD749" s="64"/>
      <c r="AE749" s="145"/>
      <c r="AF749" s="196" t="str">
        <f t="shared" si="38"/>
        <v/>
      </c>
      <c r="AG749" s="95" t="b">
        <f t="shared" si="37"/>
        <v>0</v>
      </c>
      <c r="AH749" s="9"/>
      <c r="AI749" s="150">
        <f t="shared" si="36"/>
        <v>0</v>
      </c>
      <c r="AJ749" s="153" t="s">
        <v>6</v>
      </c>
    </row>
    <row r="750" spans="1:36" ht="30" customHeight="1">
      <c r="A750" s="92"/>
      <c r="B750" s="92"/>
      <c r="C750" s="92"/>
      <c r="D750" s="92"/>
      <c r="E750" s="92"/>
      <c r="F750" s="92"/>
      <c r="G750" s="92"/>
      <c r="H750" s="92"/>
      <c r="I750" s="92"/>
      <c r="J750" s="92"/>
      <c r="K750" s="92"/>
      <c r="L750" s="92"/>
      <c r="M750" s="92"/>
      <c r="N750" s="155"/>
      <c r="O750" s="157"/>
      <c r="P750" s="92"/>
      <c r="Q750" s="145"/>
      <c r="R750" s="92"/>
      <c r="S750" s="145"/>
      <c r="T750" s="92"/>
      <c r="U750" s="145"/>
      <c r="V750" s="92"/>
      <c r="W750" s="145"/>
      <c r="X750" s="92"/>
      <c r="Y750" s="145"/>
      <c r="Z750" s="92"/>
      <c r="AA750" s="145"/>
      <c r="AB750" s="64"/>
      <c r="AC750" s="145"/>
      <c r="AD750" s="64"/>
      <c r="AE750" s="145"/>
      <c r="AF750" s="196" t="str">
        <f t="shared" si="38"/>
        <v/>
      </c>
      <c r="AG750" s="95" t="b">
        <f t="shared" si="37"/>
        <v>0</v>
      </c>
      <c r="AH750" s="9"/>
      <c r="AI750" s="150">
        <f t="shared" si="36"/>
        <v>0</v>
      </c>
      <c r="AJ750" s="153" t="s">
        <v>6</v>
      </c>
    </row>
    <row r="751" spans="1:36" ht="30" customHeight="1">
      <c r="A751" s="92"/>
      <c r="B751" s="92"/>
      <c r="C751" s="92"/>
      <c r="D751" s="92"/>
      <c r="E751" s="92"/>
      <c r="F751" s="92"/>
      <c r="G751" s="92"/>
      <c r="H751" s="92"/>
      <c r="I751" s="92"/>
      <c r="J751" s="92"/>
      <c r="K751" s="92"/>
      <c r="L751" s="92"/>
      <c r="M751" s="92"/>
      <c r="N751" s="155"/>
      <c r="O751" s="157"/>
      <c r="P751" s="92"/>
      <c r="Q751" s="145"/>
      <c r="R751" s="92"/>
      <c r="S751" s="145"/>
      <c r="T751" s="92"/>
      <c r="U751" s="145"/>
      <c r="V751" s="92"/>
      <c r="W751" s="145"/>
      <c r="X751" s="92"/>
      <c r="Y751" s="145"/>
      <c r="Z751" s="92"/>
      <c r="AA751" s="145"/>
      <c r="AB751" s="64"/>
      <c r="AC751" s="145"/>
      <c r="AD751" s="64"/>
      <c r="AE751" s="145"/>
      <c r="AF751" s="196" t="str">
        <f t="shared" si="38"/>
        <v/>
      </c>
      <c r="AG751" s="95" t="b">
        <f t="shared" si="37"/>
        <v>0</v>
      </c>
      <c r="AH751" s="9"/>
      <c r="AI751" s="150">
        <f t="shared" si="36"/>
        <v>0</v>
      </c>
      <c r="AJ751" s="153" t="s">
        <v>6</v>
      </c>
    </row>
    <row r="752" spans="1:36" ht="30" customHeight="1">
      <c r="A752" s="92"/>
      <c r="B752" s="92"/>
      <c r="C752" s="92"/>
      <c r="D752" s="92"/>
      <c r="E752" s="92"/>
      <c r="F752" s="92"/>
      <c r="G752" s="92"/>
      <c r="H752" s="92"/>
      <c r="I752" s="92"/>
      <c r="J752" s="92"/>
      <c r="K752" s="92"/>
      <c r="L752" s="92"/>
      <c r="M752" s="92"/>
      <c r="N752" s="155"/>
      <c r="O752" s="157"/>
      <c r="P752" s="92"/>
      <c r="Q752" s="145"/>
      <c r="R752" s="92"/>
      <c r="S752" s="145"/>
      <c r="T752" s="92"/>
      <c r="U752" s="145"/>
      <c r="V752" s="92"/>
      <c r="W752" s="145"/>
      <c r="X752" s="92"/>
      <c r="Y752" s="145"/>
      <c r="Z752" s="92"/>
      <c r="AA752" s="145"/>
      <c r="AB752" s="64"/>
      <c r="AC752" s="145"/>
      <c r="AD752" s="64"/>
      <c r="AE752" s="145"/>
      <c r="AF752" s="196" t="str">
        <f t="shared" si="38"/>
        <v/>
      </c>
      <c r="AG752" s="95" t="b">
        <f t="shared" si="37"/>
        <v>0</v>
      </c>
      <c r="AH752" s="9"/>
      <c r="AI752" s="150">
        <f t="shared" si="36"/>
        <v>0</v>
      </c>
      <c r="AJ752" s="153" t="s">
        <v>6</v>
      </c>
    </row>
    <row r="753" spans="1:36" ht="30" customHeight="1">
      <c r="A753" s="92"/>
      <c r="B753" s="92"/>
      <c r="C753" s="92"/>
      <c r="D753" s="92"/>
      <c r="E753" s="92"/>
      <c r="F753" s="92"/>
      <c r="G753" s="92"/>
      <c r="H753" s="92"/>
      <c r="I753" s="92"/>
      <c r="J753" s="92"/>
      <c r="K753" s="92"/>
      <c r="L753" s="92"/>
      <c r="M753" s="92"/>
      <c r="N753" s="155"/>
      <c r="O753" s="157"/>
      <c r="P753" s="92"/>
      <c r="Q753" s="145"/>
      <c r="R753" s="92"/>
      <c r="S753" s="145"/>
      <c r="T753" s="92"/>
      <c r="U753" s="145"/>
      <c r="V753" s="92"/>
      <c r="W753" s="145"/>
      <c r="X753" s="92"/>
      <c r="Y753" s="145"/>
      <c r="Z753" s="92"/>
      <c r="AA753" s="145"/>
      <c r="AB753" s="64"/>
      <c r="AC753" s="145"/>
      <c r="AD753" s="64"/>
      <c r="AE753" s="145"/>
      <c r="AF753" s="196" t="str">
        <f t="shared" si="38"/>
        <v/>
      </c>
      <c r="AG753" s="95" t="b">
        <f t="shared" si="37"/>
        <v>0</v>
      </c>
      <c r="AH753" s="9"/>
      <c r="AI753" s="150">
        <f t="shared" si="36"/>
        <v>0</v>
      </c>
      <c r="AJ753" s="153" t="s">
        <v>6</v>
      </c>
    </row>
    <row r="754" spans="1:36" ht="30" customHeight="1">
      <c r="A754" s="92"/>
      <c r="B754" s="92"/>
      <c r="C754" s="92"/>
      <c r="D754" s="92"/>
      <c r="E754" s="92"/>
      <c r="F754" s="92"/>
      <c r="G754" s="92"/>
      <c r="H754" s="92"/>
      <c r="I754" s="92"/>
      <c r="J754" s="92"/>
      <c r="K754" s="92"/>
      <c r="L754" s="92"/>
      <c r="M754" s="92"/>
      <c r="N754" s="155"/>
      <c r="O754" s="157"/>
      <c r="P754" s="92"/>
      <c r="Q754" s="145"/>
      <c r="R754" s="92"/>
      <c r="S754" s="145"/>
      <c r="T754" s="92"/>
      <c r="U754" s="145"/>
      <c r="V754" s="92"/>
      <c r="W754" s="145"/>
      <c r="X754" s="92"/>
      <c r="Y754" s="145"/>
      <c r="Z754" s="92"/>
      <c r="AA754" s="145"/>
      <c r="AB754" s="64"/>
      <c r="AC754" s="145"/>
      <c r="AD754" s="64"/>
      <c r="AE754" s="145"/>
      <c r="AF754" s="196" t="str">
        <f t="shared" si="38"/>
        <v/>
      </c>
      <c r="AG754" s="95" t="b">
        <f t="shared" si="37"/>
        <v>0</v>
      </c>
      <c r="AH754" s="9"/>
      <c r="AI754" s="150">
        <f t="shared" si="36"/>
        <v>0</v>
      </c>
      <c r="AJ754" s="153" t="s">
        <v>6</v>
      </c>
    </row>
    <row r="755" spans="1:36" ht="30" customHeight="1">
      <c r="A755" s="92"/>
      <c r="B755" s="92"/>
      <c r="C755" s="92"/>
      <c r="D755" s="92"/>
      <c r="E755" s="92"/>
      <c r="F755" s="92"/>
      <c r="G755" s="92"/>
      <c r="H755" s="92"/>
      <c r="I755" s="92"/>
      <c r="J755" s="92"/>
      <c r="K755" s="92"/>
      <c r="L755" s="92"/>
      <c r="M755" s="92"/>
      <c r="N755" s="155"/>
      <c r="O755" s="157"/>
      <c r="P755" s="92"/>
      <c r="Q755" s="145"/>
      <c r="R755" s="92"/>
      <c r="S755" s="145"/>
      <c r="T755" s="92"/>
      <c r="U755" s="145"/>
      <c r="V755" s="92"/>
      <c r="W755" s="145"/>
      <c r="X755" s="92"/>
      <c r="Y755" s="145"/>
      <c r="Z755" s="92"/>
      <c r="AA755" s="145"/>
      <c r="AB755" s="64"/>
      <c r="AC755" s="145"/>
      <c r="AD755" s="64"/>
      <c r="AE755" s="145"/>
      <c r="AF755" s="196" t="str">
        <f t="shared" si="38"/>
        <v/>
      </c>
      <c r="AG755" s="95" t="b">
        <f t="shared" si="37"/>
        <v>0</v>
      </c>
      <c r="AH755" s="9"/>
      <c r="AI755" s="150">
        <f t="shared" si="36"/>
        <v>0</v>
      </c>
      <c r="AJ755" s="153" t="s">
        <v>6</v>
      </c>
    </row>
    <row r="756" spans="1:36" ht="30" customHeight="1">
      <c r="A756" s="92"/>
      <c r="B756" s="92"/>
      <c r="C756" s="92"/>
      <c r="D756" s="92"/>
      <c r="E756" s="92"/>
      <c r="F756" s="92"/>
      <c r="G756" s="92"/>
      <c r="H756" s="92"/>
      <c r="I756" s="92"/>
      <c r="J756" s="92"/>
      <c r="K756" s="92"/>
      <c r="L756" s="92"/>
      <c r="M756" s="92"/>
      <c r="N756" s="155"/>
      <c r="O756" s="157"/>
      <c r="P756" s="92"/>
      <c r="Q756" s="145"/>
      <c r="R756" s="92"/>
      <c r="S756" s="145"/>
      <c r="T756" s="92"/>
      <c r="U756" s="145"/>
      <c r="V756" s="92"/>
      <c r="W756" s="145"/>
      <c r="X756" s="92"/>
      <c r="Y756" s="145"/>
      <c r="Z756" s="92"/>
      <c r="AA756" s="145"/>
      <c r="AB756" s="64"/>
      <c r="AC756" s="145"/>
      <c r="AD756" s="64"/>
      <c r="AE756" s="145"/>
      <c r="AF756" s="196" t="str">
        <f t="shared" si="38"/>
        <v/>
      </c>
      <c r="AG756" s="95" t="b">
        <f t="shared" si="37"/>
        <v>0</v>
      </c>
      <c r="AH756" s="9"/>
      <c r="AI756" s="150">
        <f t="shared" si="36"/>
        <v>0</v>
      </c>
      <c r="AJ756" s="153" t="s">
        <v>6</v>
      </c>
    </row>
    <row r="757" spans="1:36" ht="30" customHeight="1">
      <c r="A757" s="92"/>
      <c r="B757" s="92"/>
      <c r="C757" s="92"/>
      <c r="D757" s="92"/>
      <c r="E757" s="92"/>
      <c r="F757" s="92"/>
      <c r="G757" s="92"/>
      <c r="H757" s="92"/>
      <c r="I757" s="92"/>
      <c r="J757" s="92"/>
      <c r="K757" s="92"/>
      <c r="L757" s="92"/>
      <c r="M757" s="92"/>
      <c r="N757" s="155"/>
      <c r="O757" s="157"/>
      <c r="P757" s="92"/>
      <c r="Q757" s="145"/>
      <c r="R757" s="92"/>
      <c r="S757" s="145"/>
      <c r="T757" s="92"/>
      <c r="U757" s="145"/>
      <c r="V757" s="92"/>
      <c r="W757" s="145"/>
      <c r="X757" s="92"/>
      <c r="Y757" s="145"/>
      <c r="Z757" s="92"/>
      <c r="AA757" s="145"/>
      <c r="AB757" s="64"/>
      <c r="AC757" s="145"/>
      <c r="AD757" s="64"/>
      <c r="AE757" s="145"/>
      <c r="AF757" s="196" t="str">
        <f t="shared" si="38"/>
        <v/>
      </c>
      <c r="AG757" s="95" t="b">
        <f t="shared" si="37"/>
        <v>0</v>
      </c>
      <c r="AH757" s="9"/>
      <c r="AI757" s="150">
        <f t="shared" si="36"/>
        <v>0</v>
      </c>
      <c r="AJ757" s="153" t="s">
        <v>6</v>
      </c>
    </row>
    <row r="758" spans="1:36" ht="30" customHeight="1">
      <c r="A758" s="92"/>
      <c r="B758" s="92"/>
      <c r="C758" s="92"/>
      <c r="D758" s="92"/>
      <c r="E758" s="92"/>
      <c r="F758" s="92"/>
      <c r="G758" s="92"/>
      <c r="H758" s="92"/>
      <c r="I758" s="92"/>
      <c r="J758" s="92"/>
      <c r="K758" s="92"/>
      <c r="L758" s="92"/>
      <c r="M758" s="92"/>
      <c r="N758" s="155"/>
      <c r="O758" s="157"/>
      <c r="P758" s="92"/>
      <c r="Q758" s="145"/>
      <c r="R758" s="92"/>
      <c r="S758" s="145"/>
      <c r="T758" s="92"/>
      <c r="U758" s="145"/>
      <c r="V758" s="92"/>
      <c r="W758" s="145"/>
      <c r="X758" s="92"/>
      <c r="Y758" s="145"/>
      <c r="Z758" s="92"/>
      <c r="AA758" s="145"/>
      <c r="AB758" s="64"/>
      <c r="AC758" s="145"/>
      <c r="AD758" s="64"/>
      <c r="AE758" s="145"/>
      <c r="AF758" s="196" t="str">
        <f t="shared" si="38"/>
        <v/>
      </c>
      <c r="AG758" s="95" t="b">
        <f t="shared" si="37"/>
        <v>0</v>
      </c>
      <c r="AH758" s="9"/>
      <c r="AI758" s="150">
        <f t="shared" si="36"/>
        <v>0</v>
      </c>
      <c r="AJ758" s="153" t="s">
        <v>6</v>
      </c>
    </row>
    <row r="759" spans="1:36" ht="30" customHeight="1">
      <c r="A759" s="92"/>
      <c r="B759" s="92"/>
      <c r="C759" s="92"/>
      <c r="D759" s="92"/>
      <c r="E759" s="92"/>
      <c r="F759" s="92"/>
      <c r="G759" s="92"/>
      <c r="H759" s="92"/>
      <c r="I759" s="92"/>
      <c r="J759" s="92"/>
      <c r="K759" s="92"/>
      <c r="L759" s="92"/>
      <c r="M759" s="92"/>
      <c r="N759" s="155"/>
      <c r="O759" s="157"/>
      <c r="P759" s="92"/>
      <c r="Q759" s="145"/>
      <c r="R759" s="92"/>
      <c r="S759" s="145"/>
      <c r="T759" s="92"/>
      <c r="U759" s="145"/>
      <c r="V759" s="92"/>
      <c r="W759" s="145"/>
      <c r="X759" s="92"/>
      <c r="Y759" s="145"/>
      <c r="Z759" s="92"/>
      <c r="AA759" s="145"/>
      <c r="AB759" s="64"/>
      <c r="AC759" s="145"/>
      <c r="AD759" s="64"/>
      <c r="AE759" s="145"/>
      <c r="AF759" s="196" t="str">
        <f t="shared" si="38"/>
        <v/>
      </c>
      <c r="AG759" s="95" t="b">
        <f t="shared" si="37"/>
        <v>0</v>
      </c>
      <c r="AH759" s="9"/>
      <c r="AI759" s="150">
        <f t="shared" si="36"/>
        <v>0</v>
      </c>
      <c r="AJ759" s="153" t="s">
        <v>6</v>
      </c>
    </row>
    <row r="760" spans="1:36" ht="30" customHeight="1">
      <c r="A760" s="92"/>
      <c r="B760" s="92"/>
      <c r="C760" s="92"/>
      <c r="D760" s="92"/>
      <c r="E760" s="92"/>
      <c r="F760" s="92"/>
      <c r="G760" s="92"/>
      <c r="H760" s="92"/>
      <c r="I760" s="92"/>
      <c r="J760" s="92"/>
      <c r="K760" s="92"/>
      <c r="L760" s="92"/>
      <c r="M760" s="92"/>
      <c r="N760" s="155"/>
      <c r="O760" s="157"/>
      <c r="P760" s="92"/>
      <c r="Q760" s="145"/>
      <c r="R760" s="92"/>
      <c r="S760" s="145"/>
      <c r="T760" s="92"/>
      <c r="U760" s="145"/>
      <c r="V760" s="92"/>
      <c r="W760" s="145"/>
      <c r="X760" s="92"/>
      <c r="Y760" s="145"/>
      <c r="Z760" s="92"/>
      <c r="AA760" s="145"/>
      <c r="AB760" s="64"/>
      <c r="AC760" s="145"/>
      <c r="AD760" s="64"/>
      <c r="AE760" s="145"/>
      <c r="AF760" s="196" t="str">
        <f t="shared" si="38"/>
        <v/>
      </c>
      <c r="AG760" s="95" t="b">
        <f t="shared" si="37"/>
        <v>0</v>
      </c>
      <c r="AH760" s="9"/>
      <c r="AI760" s="150">
        <f t="shared" si="36"/>
        <v>0</v>
      </c>
      <c r="AJ760" s="153" t="s">
        <v>6</v>
      </c>
    </row>
    <row r="761" spans="1:36" ht="30" customHeight="1">
      <c r="A761" s="92"/>
      <c r="B761" s="92"/>
      <c r="C761" s="92"/>
      <c r="D761" s="92"/>
      <c r="E761" s="92"/>
      <c r="F761" s="92"/>
      <c r="G761" s="92"/>
      <c r="H761" s="92"/>
      <c r="I761" s="92"/>
      <c r="J761" s="92"/>
      <c r="K761" s="92"/>
      <c r="L761" s="92"/>
      <c r="M761" s="92"/>
      <c r="N761" s="155"/>
      <c r="O761" s="157"/>
      <c r="P761" s="92"/>
      <c r="Q761" s="145"/>
      <c r="R761" s="92"/>
      <c r="S761" s="145"/>
      <c r="T761" s="92"/>
      <c r="U761" s="145"/>
      <c r="V761" s="92"/>
      <c r="W761" s="145"/>
      <c r="X761" s="92"/>
      <c r="Y761" s="145"/>
      <c r="Z761" s="92"/>
      <c r="AA761" s="145"/>
      <c r="AB761" s="64"/>
      <c r="AC761" s="145"/>
      <c r="AD761" s="64"/>
      <c r="AE761" s="145"/>
      <c r="AF761" s="196" t="str">
        <f t="shared" si="38"/>
        <v/>
      </c>
      <c r="AG761" s="95" t="b">
        <f t="shared" si="37"/>
        <v>0</v>
      </c>
      <c r="AH761" s="9"/>
      <c r="AI761" s="150">
        <f t="shared" si="36"/>
        <v>0</v>
      </c>
      <c r="AJ761" s="153" t="s">
        <v>6</v>
      </c>
    </row>
    <row r="762" spans="1:36" ht="30" customHeight="1">
      <c r="A762" s="92"/>
      <c r="B762" s="92"/>
      <c r="C762" s="92"/>
      <c r="D762" s="92"/>
      <c r="E762" s="92"/>
      <c r="F762" s="92"/>
      <c r="G762" s="92"/>
      <c r="H762" s="92"/>
      <c r="I762" s="92"/>
      <c r="J762" s="92"/>
      <c r="K762" s="92"/>
      <c r="L762" s="92"/>
      <c r="M762" s="92"/>
      <c r="N762" s="155"/>
      <c r="O762" s="157"/>
      <c r="P762" s="92"/>
      <c r="Q762" s="145"/>
      <c r="R762" s="92"/>
      <c r="S762" s="145"/>
      <c r="T762" s="92"/>
      <c r="U762" s="145"/>
      <c r="V762" s="92"/>
      <c r="W762" s="145"/>
      <c r="X762" s="92"/>
      <c r="Y762" s="145"/>
      <c r="Z762" s="92"/>
      <c r="AA762" s="145"/>
      <c r="AB762" s="64"/>
      <c r="AC762" s="145"/>
      <c r="AD762" s="64"/>
      <c r="AE762" s="145"/>
      <c r="AF762" s="196" t="str">
        <f t="shared" si="38"/>
        <v/>
      </c>
      <c r="AG762" s="95" t="b">
        <f t="shared" si="37"/>
        <v>0</v>
      </c>
      <c r="AH762" s="9"/>
      <c r="AI762" s="150">
        <f t="shared" si="36"/>
        <v>0</v>
      </c>
      <c r="AJ762" s="153" t="s">
        <v>6</v>
      </c>
    </row>
    <row r="763" spans="1:36" ht="30" customHeight="1">
      <c r="A763" s="92"/>
      <c r="B763" s="92"/>
      <c r="C763" s="92"/>
      <c r="D763" s="92"/>
      <c r="E763" s="92"/>
      <c r="F763" s="92"/>
      <c r="G763" s="92"/>
      <c r="H763" s="92"/>
      <c r="I763" s="92"/>
      <c r="J763" s="92"/>
      <c r="K763" s="92"/>
      <c r="L763" s="92"/>
      <c r="M763" s="92"/>
      <c r="N763" s="155"/>
      <c r="O763" s="157"/>
      <c r="P763" s="92"/>
      <c r="Q763" s="145"/>
      <c r="R763" s="92"/>
      <c r="S763" s="145"/>
      <c r="T763" s="92"/>
      <c r="U763" s="145"/>
      <c r="V763" s="92"/>
      <c r="W763" s="145"/>
      <c r="X763" s="92"/>
      <c r="Y763" s="145"/>
      <c r="Z763" s="92"/>
      <c r="AA763" s="145"/>
      <c r="AB763" s="64"/>
      <c r="AC763" s="145"/>
      <c r="AD763" s="64"/>
      <c r="AE763" s="145"/>
      <c r="AF763" s="196" t="str">
        <f t="shared" si="38"/>
        <v/>
      </c>
      <c r="AG763" s="95" t="b">
        <f t="shared" si="37"/>
        <v>0</v>
      </c>
      <c r="AH763" s="9"/>
      <c r="AI763" s="150">
        <f t="shared" si="36"/>
        <v>0</v>
      </c>
      <c r="AJ763" s="153" t="s">
        <v>6</v>
      </c>
    </row>
    <row r="764" spans="1:36" ht="30" customHeight="1">
      <c r="A764" s="92"/>
      <c r="B764" s="92"/>
      <c r="C764" s="92"/>
      <c r="D764" s="92"/>
      <c r="E764" s="92"/>
      <c r="F764" s="92"/>
      <c r="G764" s="92"/>
      <c r="H764" s="92"/>
      <c r="I764" s="92"/>
      <c r="J764" s="92"/>
      <c r="K764" s="92"/>
      <c r="L764" s="92"/>
      <c r="M764" s="92"/>
      <c r="N764" s="155"/>
      <c r="O764" s="157"/>
      <c r="P764" s="92"/>
      <c r="Q764" s="145"/>
      <c r="R764" s="92"/>
      <c r="S764" s="145"/>
      <c r="T764" s="92"/>
      <c r="U764" s="145"/>
      <c r="V764" s="92"/>
      <c r="W764" s="145"/>
      <c r="X764" s="92"/>
      <c r="Y764" s="145"/>
      <c r="Z764" s="92"/>
      <c r="AA764" s="145"/>
      <c r="AB764" s="64"/>
      <c r="AC764" s="145"/>
      <c r="AD764" s="64"/>
      <c r="AE764" s="145"/>
      <c r="AF764" s="196" t="str">
        <f t="shared" si="38"/>
        <v/>
      </c>
      <c r="AG764" s="95" t="b">
        <f t="shared" si="37"/>
        <v>0</v>
      </c>
      <c r="AH764" s="9"/>
      <c r="AI764" s="150">
        <f t="shared" si="36"/>
        <v>0</v>
      </c>
      <c r="AJ764" s="153" t="s">
        <v>6</v>
      </c>
    </row>
    <row r="765" spans="1:36" ht="30" customHeight="1">
      <c r="A765" s="92"/>
      <c r="B765" s="92"/>
      <c r="C765" s="92"/>
      <c r="D765" s="92"/>
      <c r="E765" s="92"/>
      <c r="F765" s="92"/>
      <c r="G765" s="92"/>
      <c r="H765" s="92"/>
      <c r="I765" s="92"/>
      <c r="J765" s="92"/>
      <c r="K765" s="92"/>
      <c r="L765" s="92"/>
      <c r="M765" s="92"/>
      <c r="N765" s="155"/>
      <c r="O765" s="157"/>
      <c r="P765" s="92"/>
      <c r="Q765" s="145"/>
      <c r="R765" s="92"/>
      <c r="S765" s="145"/>
      <c r="T765" s="92"/>
      <c r="U765" s="145"/>
      <c r="V765" s="92"/>
      <c r="W765" s="145"/>
      <c r="X765" s="92"/>
      <c r="Y765" s="145"/>
      <c r="Z765" s="92"/>
      <c r="AA765" s="145"/>
      <c r="AB765" s="64"/>
      <c r="AC765" s="145"/>
      <c r="AD765" s="64"/>
      <c r="AE765" s="145"/>
      <c r="AF765" s="196" t="str">
        <f t="shared" si="38"/>
        <v/>
      </c>
      <c r="AG765" s="95" t="b">
        <f t="shared" si="37"/>
        <v>0</v>
      </c>
      <c r="AH765" s="9"/>
      <c r="AI765" s="150">
        <f t="shared" si="36"/>
        <v>0</v>
      </c>
      <c r="AJ765" s="153" t="s">
        <v>6</v>
      </c>
    </row>
    <row r="766" spans="1:36" ht="30" customHeight="1">
      <c r="A766" s="92"/>
      <c r="B766" s="92"/>
      <c r="C766" s="92"/>
      <c r="D766" s="92"/>
      <c r="E766" s="92"/>
      <c r="F766" s="92"/>
      <c r="G766" s="92"/>
      <c r="H766" s="92"/>
      <c r="I766" s="92"/>
      <c r="J766" s="92"/>
      <c r="K766" s="92"/>
      <c r="L766" s="92"/>
      <c r="M766" s="92"/>
      <c r="N766" s="155"/>
      <c r="O766" s="157"/>
      <c r="P766" s="92"/>
      <c r="Q766" s="145"/>
      <c r="R766" s="92"/>
      <c r="S766" s="145"/>
      <c r="T766" s="92"/>
      <c r="U766" s="145"/>
      <c r="V766" s="92"/>
      <c r="W766" s="145"/>
      <c r="X766" s="92"/>
      <c r="Y766" s="145"/>
      <c r="Z766" s="92"/>
      <c r="AA766" s="145"/>
      <c r="AB766" s="64"/>
      <c r="AC766" s="145"/>
      <c r="AD766" s="64"/>
      <c r="AE766" s="145"/>
      <c r="AF766" s="196" t="str">
        <f t="shared" si="38"/>
        <v/>
      </c>
      <c r="AG766" s="95" t="b">
        <f t="shared" si="37"/>
        <v>0</v>
      </c>
      <c r="AH766" s="9"/>
      <c r="AI766" s="150">
        <f t="shared" si="36"/>
        <v>0</v>
      </c>
      <c r="AJ766" s="153" t="s">
        <v>6</v>
      </c>
    </row>
    <row r="767" spans="1:36" ht="30" customHeight="1">
      <c r="A767" s="92"/>
      <c r="B767" s="92"/>
      <c r="C767" s="92"/>
      <c r="D767" s="92"/>
      <c r="E767" s="92"/>
      <c r="F767" s="92"/>
      <c r="G767" s="92"/>
      <c r="H767" s="92"/>
      <c r="I767" s="92"/>
      <c r="J767" s="92"/>
      <c r="K767" s="92"/>
      <c r="L767" s="92"/>
      <c r="M767" s="92"/>
      <c r="N767" s="155"/>
      <c r="O767" s="157"/>
      <c r="P767" s="92"/>
      <c r="Q767" s="145"/>
      <c r="R767" s="92"/>
      <c r="S767" s="145"/>
      <c r="T767" s="92"/>
      <c r="U767" s="145"/>
      <c r="V767" s="92"/>
      <c r="W767" s="145"/>
      <c r="X767" s="92"/>
      <c r="Y767" s="145"/>
      <c r="Z767" s="92"/>
      <c r="AA767" s="145"/>
      <c r="AB767" s="64"/>
      <c r="AC767" s="145"/>
      <c r="AD767" s="64"/>
      <c r="AE767" s="145"/>
      <c r="AF767" s="196" t="str">
        <f t="shared" si="38"/>
        <v/>
      </c>
      <c r="AG767" s="95" t="b">
        <f t="shared" si="37"/>
        <v>0</v>
      </c>
      <c r="AH767" s="9"/>
      <c r="AI767" s="150">
        <f t="shared" si="36"/>
        <v>0</v>
      </c>
      <c r="AJ767" s="153" t="s">
        <v>6</v>
      </c>
    </row>
    <row r="768" spans="1:36" ht="30" customHeight="1">
      <c r="A768" s="92"/>
      <c r="B768" s="92"/>
      <c r="C768" s="92"/>
      <c r="D768" s="92"/>
      <c r="E768" s="92"/>
      <c r="F768" s="92"/>
      <c r="G768" s="92"/>
      <c r="H768" s="92"/>
      <c r="I768" s="92"/>
      <c r="J768" s="92"/>
      <c r="K768" s="92"/>
      <c r="L768" s="92"/>
      <c r="M768" s="92"/>
      <c r="N768" s="155"/>
      <c r="O768" s="157"/>
      <c r="P768" s="92"/>
      <c r="Q768" s="145"/>
      <c r="R768" s="92"/>
      <c r="S768" s="145"/>
      <c r="T768" s="92"/>
      <c r="U768" s="145"/>
      <c r="V768" s="92"/>
      <c r="W768" s="145"/>
      <c r="X768" s="92"/>
      <c r="Y768" s="145"/>
      <c r="Z768" s="92"/>
      <c r="AA768" s="145"/>
      <c r="AB768" s="64"/>
      <c r="AC768" s="145"/>
      <c r="AD768" s="64"/>
      <c r="AE768" s="145"/>
      <c r="AF768" s="196" t="str">
        <f t="shared" si="38"/>
        <v/>
      </c>
      <c r="AG768" s="95" t="b">
        <f t="shared" si="37"/>
        <v>0</v>
      </c>
      <c r="AH768" s="9"/>
      <c r="AI768" s="150">
        <f t="shared" ref="AI768:AI831" si="39">E768</f>
        <v>0</v>
      </c>
      <c r="AJ768" s="153" t="s">
        <v>6</v>
      </c>
    </row>
    <row r="769" spans="1:36" ht="30" customHeight="1">
      <c r="A769" s="92"/>
      <c r="B769" s="92"/>
      <c r="C769" s="92"/>
      <c r="D769" s="92"/>
      <c r="E769" s="92"/>
      <c r="F769" s="92"/>
      <c r="G769" s="92"/>
      <c r="H769" s="92"/>
      <c r="I769" s="92"/>
      <c r="J769" s="92"/>
      <c r="K769" s="92"/>
      <c r="L769" s="92"/>
      <c r="M769" s="92"/>
      <c r="N769" s="155"/>
      <c r="O769" s="157"/>
      <c r="P769" s="92"/>
      <c r="Q769" s="145"/>
      <c r="R769" s="92"/>
      <c r="S769" s="145"/>
      <c r="T769" s="92"/>
      <c r="U769" s="145"/>
      <c r="V769" s="92"/>
      <c r="W769" s="145"/>
      <c r="X769" s="92"/>
      <c r="Y769" s="145"/>
      <c r="Z769" s="92"/>
      <c r="AA769" s="145"/>
      <c r="AB769" s="64"/>
      <c r="AC769" s="145"/>
      <c r="AD769" s="64"/>
      <c r="AE769" s="145"/>
      <c r="AF769" s="196" t="str">
        <f t="shared" si="38"/>
        <v/>
      </c>
      <c r="AG769" s="95" t="b">
        <f t="shared" si="37"/>
        <v>0</v>
      </c>
      <c r="AH769" s="9"/>
      <c r="AI769" s="150">
        <f t="shared" si="39"/>
        <v>0</v>
      </c>
      <c r="AJ769" s="153" t="s">
        <v>6</v>
      </c>
    </row>
    <row r="770" spans="1:36" ht="30" customHeight="1">
      <c r="A770" s="92"/>
      <c r="B770" s="92"/>
      <c r="C770" s="92"/>
      <c r="D770" s="92"/>
      <c r="E770" s="92"/>
      <c r="F770" s="92"/>
      <c r="G770" s="92"/>
      <c r="H770" s="92"/>
      <c r="I770" s="92"/>
      <c r="J770" s="92"/>
      <c r="K770" s="92"/>
      <c r="L770" s="92"/>
      <c r="M770" s="92"/>
      <c r="N770" s="155"/>
      <c r="O770" s="157"/>
      <c r="P770" s="92"/>
      <c r="Q770" s="145"/>
      <c r="R770" s="92"/>
      <c r="S770" s="145"/>
      <c r="T770" s="92"/>
      <c r="U770" s="145"/>
      <c r="V770" s="92"/>
      <c r="W770" s="145"/>
      <c r="X770" s="92"/>
      <c r="Y770" s="145"/>
      <c r="Z770" s="92"/>
      <c r="AA770" s="145"/>
      <c r="AB770" s="64"/>
      <c r="AC770" s="145"/>
      <c r="AD770" s="64"/>
      <c r="AE770" s="145"/>
      <c r="AF770" s="196" t="str">
        <f t="shared" si="38"/>
        <v/>
      </c>
      <c r="AG770" s="95" t="b">
        <f t="shared" si="37"/>
        <v>0</v>
      </c>
      <c r="AH770" s="9"/>
      <c r="AI770" s="150">
        <f t="shared" si="39"/>
        <v>0</v>
      </c>
      <c r="AJ770" s="153" t="s">
        <v>6</v>
      </c>
    </row>
    <row r="771" spans="1:36" ht="30" customHeight="1">
      <c r="A771" s="92"/>
      <c r="B771" s="92"/>
      <c r="C771" s="92"/>
      <c r="D771" s="92"/>
      <c r="E771" s="92"/>
      <c r="F771" s="92"/>
      <c r="G771" s="92"/>
      <c r="H771" s="92"/>
      <c r="I771" s="92"/>
      <c r="J771" s="92"/>
      <c r="K771" s="92"/>
      <c r="L771" s="92"/>
      <c r="M771" s="92"/>
      <c r="N771" s="155"/>
      <c r="O771" s="157"/>
      <c r="P771" s="92"/>
      <c r="Q771" s="145"/>
      <c r="R771" s="92"/>
      <c r="S771" s="145"/>
      <c r="T771" s="92"/>
      <c r="U771" s="145"/>
      <c r="V771" s="92"/>
      <c r="W771" s="145"/>
      <c r="X771" s="92"/>
      <c r="Y771" s="145"/>
      <c r="Z771" s="92"/>
      <c r="AA771" s="145"/>
      <c r="AB771" s="64"/>
      <c r="AC771" s="145"/>
      <c r="AD771" s="64"/>
      <c r="AE771" s="145"/>
      <c r="AF771" s="196" t="str">
        <f t="shared" si="38"/>
        <v/>
      </c>
      <c r="AG771" s="95" t="b">
        <f t="shared" si="37"/>
        <v>0</v>
      </c>
      <c r="AH771" s="9"/>
      <c r="AI771" s="150">
        <f t="shared" si="39"/>
        <v>0</v>
      </c>
      <c r="AJ771" s="153" t="s">
        <v>6</v>
      </c>
    </row>
    <row r="772" spans="1:36" ht="30" customHeight="1">
      <c r="A772" s="92"/>
      <c r="B772" s="92"/>
      <c r="C772" s="92"/>
      <c r="D772" s="92"/>
      <c r="E772" s="92"/>
      <c r="F772" s="92"/>
      <c r="G772" s="92"/>
      <c r="H772" s="92"/>
      <c r="I772" s="92"/>
      <c r="J772" s="92"/>
      <c r="K772" s="92"/>
      <c r="L772" s="92"/>
      <c r="M772" s="92"/>
      <c r="N772" s="155"/>
      <c r="O772" s="157"/>
      <c r="P772" s="92"/>
      <c r="Q772" s="145"/>
      <c r="R772" s="92"/>
      <c r="S772" s="145"/>
      <c r="T772" s="92"/>
      <c r="U772" s="145"/>
      <c r="V772" s="92"/>
      <c r="W772" s="145"/>
      <c r="X772" s="92"/>
      <c r="Y772" s="145"/>
      <c r="Z772" s="92"/>
      <c r="AA772" s="145"/>
      <c r="AB772" s="64"/>
      <c r="AC772" s="145"/>
      <c r="AD772" s="64"/>
      <c r="AE772" s="145"/>
      <c r="AF772" s="196" t="str">
        <f t="shared" si="38"/>
        <v/>
      </c>
      <c r="AG772" s="95" t="b">
        <f t="shared" si="37"/>
        <v>0</v>
      </c>
      <c r="AH772" s="9"/>
      <c r="AI772" s="150">
        <f t="shared" si="39"/>
        <v>0</v>
      </c>
      <c r="AJ772" s="153" t="s">
        <v>6</v>
      </c>
    </row>
    <row r="773" spans="1:36" ht="30" customHeight="1">
      <c r="A773" s="92"/>
      <c r="B773" s="92"/>
      <c r="C773" s="92"/>
      <c r="D773" s="92"/>
      <c r="E773" s="92"/>
      <c r="F773" s="92"/>
      <c r="G773" s="92"/>
      <c r="H773" s="92"/>
      <c r="I773" s="92"/>
      <c r="J773" s="92"/>
      <c r="K773" s="92"/>
      <c r="L773" s="92"/>
      <c r="M773" s="92"/>
      <c r="N773" s="155"/>
      <c r="O773" s="157"/>
      <c r="P773" s="92"/>
      <c r="Q773" s="145"/>
      <c r="R773" s="92"/>
      <c r="S773" s="145"/>
      <c r="T773" s="92"/>
      <c r="U773" s="145"/>
      <c r="V773" s="92"/>
      <c r="W773" s="145"/>
      <c r="X773" s="92"/>
      <c r="Y773" s="145"/>
      <c r="Z773" s="92"/>
      <c r="AA773" s="145"/>
      <c r="AB773" s="64"/>
      <c r="AC773" s="145"/>
      <c r="AD773" s="64"/>
      <c r="AE773" s="145"/>
      <c r="AF773" s="196" t="str">
        <f t="shared" si="38"/>
        <v/>
      </c>
      <c r="AG773" s="95" t="b">
        <f t="shared" si="37"/>
        <v>0</v>
      </c>
      <c r="AH773" s="9"/>
      <c r="AI773" s="150">
        <f t="shared" si="39"/>
        <v>0</v>
      </c>
      <c r="AJ773" s="153" t="s">
        <v>6</v>
      </c>
    </row>
    <row r="774" spans="1:36" ht="30" customHeight="1">
      <c r="A774" s="92"/>
      <c r="B774" s="92"/>
      <c r="C774" s="92"/>
      <c r="D774" s="92"/>
      <c r="E774" s="92"/>
      <c r="F774" s="92"/>
      <c r="G774" s="92"/>
      <c r="H774" s="92"/>
      <c r="I774" s="92"/>
      <c r="J774" s="92"/>
      <c r="K774" s="92"/>
      <c r="L774" s="92"/>
      <c r="M774" s="92"/>
      <c r="N774" s="155"/>
      <c r="O774" s="157"/>
      <c r="P774" s="92"/>
      <c r="Q774" s="145"/>
      <c r="R774" s="92"/>
      <c r="S774" s="145"/>
      <c r="T774" s="92"/>
      <c r="U774" s="145"/>
      <c r="V774" s="92"/>
      <c r="W774" s="145"/>
      <c r="X774" s="92"/>
      <c r="Y774" s="145"/>
      <c r="Z774" s="92"/>
      <c r="AA774" s="145"/>
      <c r="AB774" s="64"/>
      <c r="AC774" s="145"/>
      <c r="AD774" s="64"/>
      <c r="AE774" s="145"/>
      <c r="AF774" s="196" t="str">
        <f t="shared" si="38"/>
        <v/>
      </c>
      <c r="AG774" s="95" t="b">
        <f t="shared" si="37"/>
        <v>0</v>
      </c>
      <c r="AH774" s="9"/>
      <c r="AI774" s="150">
        <f t="shared" si="39"/>
        <v>0</v>
      </c>
      <c r="AJ774" s="153" t="s">
        <v>6</v>
      </c>
    </row>
    <row r="775" spans="1:36" ht="30" customHeight="1">
      <c r="A775" s="92"/>
      <c r="B775" s="92"/>
      <c r="C775" s="92"/>
      <c r="D775" s="92"/>
      <c r="E775" s="92"/>
      <c r="F775" s="92"/>
      <c r="G775" s="92"/>
      <c r="H775" s="92"/>
      <c r="I775" s="92"/>
      <c r="J775" s="92"/>
      <c r="K775" s="92"/>
      <c r="L775" s="92"/>
      <c r="M775" s="92"/>
      <c r="N775" s="155"/>
      <c r="O775" s="157"/>
      <c r="P775" s="92"/>
      <c r="Q775" s="145"/>
      <c r="R775" s="92"/>
      <c r="S775" s="145"/>
      <c r="T775" s="92"/>
      <c r="U775" s="145"/>
      <c r="V775" s="92"/>
      <c r="W775" s="145"/>
      <c r="X775" s="92"/>
      <c r="Y775" s="145"/>
      <c r="Z775" s="92"/>
      <c r="AA775" s="145"/>
      <c r="AB775" s="64"/>
      <c r="AC775" s="145"/>
      <c r="AD775" s="64"/>
      <c r="AE775" s="145"/>
      <c r="AF775" s="196" t="str">
        <f t="shared" si="38"/>
        <v/>
      </c>
      <c r="AG775" s="95" t="b">
        <f t="shared" si="37"/>
        <v>0</v>
      </c>
      <c r="AH775" s="9"/>
      <c r="AI775" s="150">
        <f t="shared" si="39"/>
        <v>0</v>
      </c>
      <c r="AJ775" s="153" t="s">
        <v>6</v>
      </c>
    </row>
    <row r="776" spans="1:36" ht="30" customHeight="1">
      <c r="A776" s="92"/>
      <c r="B776" s="92"/>
      <c r="C776" s="92"/>
      <c r="D776" s="92"/>
      <c r="E776" s="92"/>
      <c r="F776" s="92"/>
      <c r="G776" s="92"/>
      <c r="H776" s="92"/>
      <c r="I776" s="92"/>
      <c r="J776" s="92"/>
      <c r="K776" s="92"/>
      <c r="L776" s="92"/>
      <c r="M776" s="92"/>
      <c r="N776" s="155"/>
      <c r="O776" s="157"/>
      <c r="P776" s="92"/>
      <c r="Q776" s="145"/>
      <c r="R776" s="92"/>
      <c r="S776" s="145"/>
      <c r="T776" s="92"/>
      <c r="U776" s="145"/>
      <c r="V776" s="92"/>
      <c r="W776" s="145"/>
      <c r="X776" s="92"/>
      <c r="Y776" s="145"/>
      <c r="Z776" s="92"/>
      <c r="AA776" s="145"/>
      <c r="AB776" s="64"/>
      <c r="AC776" s="145"/>
      <c r="AD776" s="64"/>
      <c r="AE776" s="145"/>
      <c r="AF776" s="196" t="str">
        <f t="shared" si="38"/>
        <v/>
      </c>
      <c r="AG776" s="95" t="b">
        <f t="shared" si="37"/>
        <v>0</v>
      </c>
      <c r="AH776" s="9"/>
      <c r="AI776" s="150">
        <f t="shared" si="39"/>
        <v>0</v>
      </c>
      <c r="AJ776" s="153" t="s">
        <v>6</v>
      </c>
    </row>
    <row r="777" spans="1:36" ht="30" customHeight="1">
      <c r="A777" s="92"/>
      <c r="B777" s="92"/>
      <c r="C777" s="92"/>
      <c r="D777" s="92"/>
      <c r="E777" s="92"/>
      <c r="F777" s="92"/>
      <c r="G777" s="92"/>
      <c r="H777" s="92"/>
      <c r="I777" s="92"/>
      <c r="J777" s="92"/>
      <c r="K777" s="92"/>
      <c r="L777" s="92"/>
      <c r="M777" s="92"/>
      <c r="N777" s="155"/>
      <c r="O777" s="157"/>
      <c r="P777" s="92"/>
      <c r="Q777" s="145"/>
      <c r="R777" s="92"/>
      <c r="S777" s="145"/>
      <c r="T777" s="92"/>
      <c r="U777" s="145"/>
      <c r="V777" s="92"/>
      <c r="W777" s="145"/>
      <c r="X777" s="92"/>
      <c r="Y777" s="145"/>
      <c r="Z777" s="92"/>
      <c r="AA777" s="145"/>
      <c r="AB777" s="64"/>
      <c r="AC777" s="145"/>
      <c r="AD777" s="64"/>
      <c r="AE777" s="145"/>
      <c r="AF777" s="196" t="str">
        <f t="shared" si="38"/>
        <v/>
      </c>
      <c r="AG777" s="95" t="b">
        <f t="shared" si="37"/>
        <v>0</v>
      </c>
      <c r="AH777" s="9"/>
      <c r="AI777" s="150">
        <f t="shared" si="39"/>
        <v>0</v>
      </c>
      <c r="AJ777" s="153" t="s">
        <v>6</v>
      </c>
    </row>
    <row r="778" spans="1:36" ht="30" customHeight="1">
      <c r="A778" s="92"/>
      <c r="B778" s="92"/>
      <c r="C778" s="92"/>
      <c r="D778" s="92"/>
      <c r="E778" s="92"/>
      <c r="F778" s="92"/>
      <c r="G778" s="92"/>
      <c r="H778" s="92"/>
      <c r="I778" s="92"/>
      <c r="J778" s="92"/>
      <c r="K778" s="92"/>
      <c r="L778" s="92"/>
      <c r="M778" s="92"/>
      <c r="N778" s="155"/>
      <c r="O778" s="157"/>
      <c r="P778" s="92"/>
      <c r="Q778" s="145"/>
      <c r="R778" s="92"/>
      <c r="S778" s="145"/>
      <c r="T778" s="92"/>
      <c r="U778" s="145"/>
      <c r="V778" s="92"/>
      <c r="W778" s="145"/>
      <c r="X778" s="92"/>
      <c r="Y778" s="145"/>
      <c r="Z778" s="92"/>
      <c r="AA778" s="145"/>
      <c r="AB778" s="64"/>
      <c r="AC778" s="145"/>
      <c r="AD778" s="64"/>
      <c r="AE778" s="145"/>
      <c r="AF778" s="196" t="str">
        <f t="shared" si="38"/>
        <v/>
      </c>
      <c r="AG778" s="95" t="b">
        <f t="shared" ref="AG778:AG841" si="40">IF(AND(AE778="C",AF778="C"),"UTILIZOU O PDA CORRETAMENTE",IF(AND(AE778="C",AF778="NC"),"UTILIZOU O PDA CORRETAMENTE. NÃO HÁ FOTOS DE TODAS AS ETAPAS",IF(AND(AE778="NC",AF778="NC"),"NÃO UTILIZOU O PDA",IF(AND(AE778="NA",AF778="NA"),"NÃO AVALIADO POR FALHA DE SINCRONISMO"))))</f>
        <v>0</v>
      </c>
      <c r="AH778" s="9"/>
      <c r="AI778" s="150">
        <f t="shared" si="39"/>
        <v>0</v>
      </c>
      <c r="AJ778" s="153" t="s">
        <v>6</v>
      </c>
    </row>
    <row r="779" spans="1:36" ht="30" customHeight="1">
      <c r="A779" s="92"/>
      <c r="B779" s="92"/>
      <c r="C779" s="92"/>
      <c r="D779" s="92"/>
      <c r="E779" s="92"/>
      <c r="F779" s="92"/>
      <c r="G779" s="92"/>
      <c r="H779" s="92"/>
      <c r="I779" s="92"/>
      <c r="J779" s="92"/>
      <c r="K779" s="92"/>
      <c r="L779" s="92"/>
      <c r="M779" s="92"/>
      <c r="N779" s="155"/>
      <c r="O779" s="157"/>
      <c r="P779" s="92"/>
      <c r="Q779" s="145"/>
      <c r="R779" s="92"/>
      <c r="S779" s="145"/>
      <c r="T779" s="92"/>
      <c r="U779" s="145"/>
      <c r="V779" s="92"/>
      <c r="W779" s="145"/>
      <c r="X779" s="92"/>
      <c r="Y779" s="145"/>
      <c r="Z779" s="92"/>
      <c r="AA779" s="145"/>
      <c r="AB779" s="64"/>
      <c r="AC779" s="145"/>
      <c r="AD779" s="64"/>
      <c r="AE779" s="145"/>
      <c r="AF779" s="196" t="str">
        <f t="shared" ref="AF779:AF842" si="41">IF(AND(O779="",Q779="",S779="",U779="",W779="",Y779="",AA779="",AC779=""),"",
IF(OR(    AND(O779&lt;&gt;"NA",O779&lt;&gt;"C",O779&lt;&gt;"NC",O779&lt;&gt;"SF",O779&lt;&gt;""),
    AND(Q779&lt;&gt;"NA",Q779&lt;&gt;"C",Q779&lt;&gt;"NC",Q779&lt;&gt;"SF",Q779&lt;&gt;""),
    AND(S779&lt;&gt;"NA",S779&lt;&gt;"C",S779&lt;&gt;"NC",S779&lt;&gt;"SF",S779&lt;&gt;""),
    AND(U779&lt;&gt;"NA",U779&lt;&gt;"C",U779&lt;&gt;"NC",U779&lt;&gt;"SF",U779&lt;&gt;""),
    AND(W779&lt;&gt;"NA",W779&lt;&gt;"C",W779&lt;&gt;"NC",W779&lt;&gt;"SF",W779&lt;&gt;""),
    AND(Y779&lt;&gt;"NA",Y779&lt;&gt;"C",Y779&lt;&gt;"NC",Y779&lt;&gt;"SF",Y779&lt;&gt;""),
    AND(AA779&lt;&gt;"NA",AA779&lt;&gt;"C",AA779&lt;&gt;"NC",AA779&lt;&gt;"SF",AA779&lt;&gt;""),
    AND(AC779&lt;&gt;"NA",AC779&lt;&gt;"C",AC779&lt;&gt;"NC",AC779&lt;&gt;"SF",AC779&lt;&gt;"")
),"FALSO",
IF(AND(O779="NA",Q779="NA",S779="NA",U779="NA",W779="NA",Y779="NA",AA779="NA",AC779="NA"),"NA",
IF(OR(O779="NC",Q779="NC",S779="NC",U779="NC",W779="NC",Y779="NC",AA779="NC",AC779="NC",
       O779="SF",Q779="SF",S779="SF",U779="SF",W779="SF",Y779="SF",AA779="SF",AC779="SF"),"NC",
IF(SUM(IF(O779="C",1,0),IF(Q779="C",1,0),IF(S779="C",1,0),IF(U779="C",1,0),IF(W779="C",1,0),IF(Y779="C",1,0),IF(AA779="C",1,0),IF(AC779="C",1,0))=1,"C","C")))))</f>
        <v/>
      </c>
      <c r="AG779" s="95" t="b">
        <f t="shared" si="40"/>
        <v>0</v>
      </c>
      <c r="AH779" s="9"/>
      <c r="AI779" s="150">
        <f t="shared" si="39"/>
        <v>0</v>
      </c>
      <c r="AJ779" s="153" t="s">
        <v>6</v>
      </c>
    </row>
    <row r="780" spans="1:36" ht="30" customHeight="1">
      <c r="A780" s="92"/>
      <c r="B780" s="92"/>
      <c r="C780" s="92"/>
      <c r="D780" s="92"/>
      <c r="E780" s="92"/>
      <c r="F780" s="92"/>
      <c r="G780" s="92"/>
      <c r="H780" s="92"/>
      <c r="I780" s="92"/>
      <c r="J780" s="92"/>
      <c r="K780" s="92"/>
      <c r="L780" s="92"/>
      <c r="M780" s="92"/>
      <c r="N780" s="155"/>
      <c r="O780" s="157"/>
      <c r="P780" s="92"/>
      <c r="Q780" s="145"/>
      <c r="R780" s="92"/>
      <c r="S780" s="145"/>
      <c r="T780" s="92"/>
      <c r="U780" s="145"/>
      <c r="V780" s="92"/>
      <c r="W780" s="145"/>
      <c r="X780" s="92"/>
      <c r="Y780" s="145"/>
      <c r="Z780" s="92"/>
      <c r="AA780" s="145"/>
      <c r="AB780" s="64"/>
      <c r="AC780" s="145"/>
      <c r="AD780" s="64"/>
      <c r="AE780" s="145"/>
      <c r="AF780" s="196" t="str">
        <f t="shared" si="41"/>
        <v/>
      </c>
      <c r="AG780" s="95" t="b">
        <f t="shared" si="40"/>
        <v>0</v>
      </c>
      <c r="AH780" s="9"/>
      <c r="AI780" s="150">
        <f t="shared" si="39"/>
        <v>0</v>
      </c>
      <c r="AJ780" s="153" t="s">
        <v>6</v>
      </c>
    </row>
    <row r="781" spans="1:36" ht="30" customHeight="1">
      <c r="A781" s="92"/>
      <c r="B781" s="92"/>
      <c r="C781" s="92"/>
      <c r="D781" s="92"/>
      <c r="E781" s="92"/>
      <c r="F781" s="92"/>
      <c r="G781" s="92"/>
      <c r="H781" s="92"/>
      <c r="I781" s="92"/>
      <c r="J781" s="92"/>
      <c r="K781" s="92"/>
      <c r="L781" s="92"/>
      <c r="M781" s="92"/>
      <c r="N781" s="155"/>
      <c r="O781" s="157"/>
      <c r="P781" s="92"/>
      <c r="Q781" s="145"/>
      <c r="R781" s="92"/>
      <c r="S781" s="145"/>
      <c r="T781" s="92"/>
      <c r="U781" s="145"/>
      <c r="V781" s="92"/>
      <c r="W781" s="145"/>
      <c r="X781" s="92"/>
      <c r="Y781" s="145"/>
      <c r="Z781" s="92"/>
      <c r="AA781" s="145"/>
      <c r="AB781" s="64"/>
      <c r="AC781" s="145"/>
      <c r="AD781" s="64"/>
      <c r="AE781" s="145"/>
      <c r="AF781" s="196" t="str">
        <f t="shared" si="41"/>
        <v/>
      </c>
      <c r="AG781" s="95" t="b">
        <f t="shared" si="40"/>
        <v>0</v>
      </c>
      <c r="AH781" s="9"/>
      <c r="AI781" s="150">
        <f t="shared" si="39"/>
        <v>0</v>
      </c>
      <c r="AJ781" s="153" t="s">
        <v>6</v>
      </c>
    </row>
    <row r="782" spans="1:36" ht="30" customHeight="1">
      <c r="A782" s="92"/>
      <c r="B782" s="92"/>
      <c r="C782" s="92"/>
      <c r="D782" s="92"/>
      <c r="E782" s="92"/>
      <c r="F782" s="92"/>
      <c r="G782" s="92"/>
      <c r="H782" s="92"/>
      <c r="I782" s="92"/>
      <c r="J782" s="92"/>
      <c r="K782" s="92"/>
      <c r="L782" s="92"/>
      <c r="M782" s="92"/>
      <c r="N782" s="155"/>
      <c r="O782" s="157"/>
      <c r="P782" s="92"/>
      <c r="Q782" s="145"/>
      <c r="R782" s="92"/>
      <c r="S782" s="145"/>
      <c r="T782" s="92"/>
      <c r="U782" s="145"/>
      <c r="V782" s="92"/>
      <c r="W782" s="145"/>
      <c r="X782" s="92"/>
      <c r="Y782" s="145"/>
      <c r="Z782" s="92"/>
      <c r="AA782" s="145"/>
      <c r="AB782" s="64"/>
      <c r="AC782" s="145"/>
      <c r="AD782" s="64"/>
      <c r="AE782" s="145"/>
      <c r="AF782" s="196" t="str">
        <f t="shared" si="41"/>
        <v/>
      </c>
      <c r="AG782" s="95" t="b">
        <f t="shared" si="40"/>
        <v>0</v>
      </c>
      <c r="AH782" s="9"/>
      <c r="AI782" s="150">
        <f t="shared" si="39"/>
        <v>0</v>
      </c>
      <c r="AJ782" s="153" t="s">
        <v>6</v>
      </c>
    </row>
    <row r="783" spans="1:36" ht="30" customHeight="1">
      <c r="A783" s="92"/>
      <c r="B783" s="92"/>
      <c r="C783" s="92"/>
      <c r="D783" s="92"/>
      <c r="E783" s="92"/>
      <c r="F783" s="92"/>
      <c r="G783" s="92"/>
      <c r="H783" s="92"/>
      <c r="I783" s="92"/>
      <c r="J783" s="92"/>
      <c r="K783" s="92"/>
      <c r="L783" s="92"/>
      <c r="M783" s="92"/>
      <c r="N783" s="155"/>
      <c r="O783" s="157"/>
      <c r="P783" s="92"/>
      <c r="Q783" s="145"/>
      <c r="R783" s="92"/>
      <c r="S783" s="145"/>
      <c r="T783" s="92"/>
      <c r="U783" s="145"/>
      <c r="V783" s="92"/>
      <c r="W783" s="145"/>
      <c r="X783" s="92"/>
      <c r="Y783" s="145"/>
      <c r="Z783" s="92"/>
      <c r="AA783" s="145"/>
      <c r="AB783" s="64"/>
      <c r="AC783" s="145"/>
      <c r="AD783" s="64"/>
      <c r="AE783" s="145"/>
      <c r="AF783" s="196" t="str">
        <f t="shared" si="41"/>
        <v/>
      </c>
      <c r="AG783" s="95" t="b">
        <f t="shared" si="40"/>
        <v>0</v>
      </c>
      <c r="AH783" s="9"/>
      <c r="AI783" s="150">
        <f t="shared" si="39"/>
        <v>0</v>
      </c>
      <c r="AJ783" s="153" t="s">
        <v>6</v>
      </c>
    </row>
    <row r="784" spans="1:36" ht="30" customHeight="1">
      <c r="A784" s="92"/>
      <c r="B784" s="92"/>
      <c r="C784" s="92"/>
      <c r="D784" s="92"/>
      <c r="E784" s="92"/>
      <c r="F784" s="92"/>
      <c r="G784" s="92"/>
      <c r="H784" s="92"/>
      <c r="I784" s="92"/>
      <c r="J784" s="92"/>
      <c r="K784" s="92"/>
      <c r="L784" s="92"/>
      <c r="M784" s="92"/>
      <c r="N784" s="155"/>
      <c r="O784" s="157"/>
      <c r="P784" s="92"/>
      <c r="Q784" s="145"/>
      <c r="R784" s="92"/>
      <c r="S784" s="145"/>
      <c r="T784" s="92"/>
      <c r="U784" s="145"/>
      <c r="V784" s="92"/>
      <c r="W784" s="145"/>
      <c r="X784" s="92"/>
      <c r="Y784" s="145"/>
      <c r="Z784" s="92"/>
      <c r="AA784" s="145"/>
      <c r="AB784" s="64"/>
      <c r="AC784" s="145"/>
      <c r="AD784" s="64"/>
      <c r="AE784" s="145"/>
      <c r="AF784" s="196" t="str">
        <f t="shared" si="41"/>
        <v/>
      </c>
      <c r="AG784" s="95" t="b">
        <f t="shared" si="40"/>
        <v>0</v>
      </c>
      <c r="AH784" s="9"/>
      <c r="AI784" s="150">
        <f t="shared" si="39"/>
        <v>0</v>
      </c>
      <c r="AJ784" s="153" t="s">
        <v>6</v>
      </c>
    </row>
    <row r="785" spans="1:36" ht="30" customHeight="1">
      <c r="A785" s="92"/>
      <c r="B785" s="92"/>
      <c r="C785" s="92"/>
      <c r="D785" s="92"/>
      <c r="E785" s="92"/>
      <c r="F785" s="92"/>
      <c r="G785" s="92"/>
      <c r="H785" s="92"/>
      <c r="I785" s="92"/>
      <c r="J785" s="92"/>
      <c r="K785" s="92"/>
      <c r="L785" s="92"/>
      <c r="M785" s="92"/>
      <c r="N785" s="155"/>
      <c r="O785" s="157"/>
      <c r="P785" s="92"/>
      <c r="Q785" s="145"/>
      <c r="R785" s="92"/>
      <c r="S785" s="145"/>
      <c r="T785" s="92"/>
      <c r="U785" s="145"/>
      <c r="V785" s="92"/>
      <c r="W785" s="145"/>
      <c r="X785" s="92"/>
      <c r="Y785" s="145"/>
      <c r="Z785" s="92"/>
      <c r="AA785" s="145"/>
      <c r="AB785" s="64"/>
      <c r="AC785" s="145"/>
      <c r="AD785" s="64"/>
      <c r="AE785" s="145"/>
      <c r="AF785" s="196" t="str">
        <f t="shared" si="41"/>
        <v/>
      </c>
      <c r="AG785" s="95" t="b">
        <f t="shared" si="40"/>
        <v>0</v>
      </c>
      <c r="AH785" s="9"/>
      <c r="AI785" s="150">
        <f t="shared" si="39"/>
        <v>0</v>
      </c>
      <c r="AJ785" s="153" t="s">
        <v>6</v>
      </c>
    </row>
    <row r="786" spans="1:36" ht="30" customHeight="1">
      <c r="A786" s="92"/>
      <c r="B786" s="92"/>
      <c r="C786" s="92"/>
      <c r="D786" s="92"/>
      <c r="E786" s="92"/>
      <c r="F786" s="92"/>
      <c r="G786" s="92"/>
      <c r="H786" s="92"/>
      <c r="I786" s="92"/>
      <c r="J786" s="92"/>
      <c r="K786" s="92"/>
      <c r="L786" s="92"/>
      <c r="M786" s="92"/>
      <c r="N786" s="155"/>
      <c r="O786" s="157"/>
      <c r="P786" s="92"/>
      <c r="Q786" s="145"/>
      <c r="R786" s="92"/>
      <c r="S786" s="145"/>
      <c r="T786" s="92"/>
      <c r="U786" s="145"/>
      <c r="V786" s="92"/>
      <c r="W786" s="145"/>
      <c r="X786" s="92"/>
      <c r="Y786" s="145"/>
      <c r="Z786" s="92"/>
      <c r="AA786" s="145"/>
      <c r="AB786" s="64"/>
      <c r="AC786" s="145"/>
      <c r="AD786" s="64"/>
      <c r="AE786" s="145"/>
      <c r="AF786" s="196" t="str">
        <f t="shared" si="41"/>
        <v/>
      </c>
      <c r="AG786" s="95" t="b">
        <f t="shared" si="40"/>
        <v>0</v>
      </c>
      <c r="AH786" s="9"/>
      <c r="AI786" s="150">
        <f t="shared" si="39"/>
        <v>0</v>
      </c>
      <c r="AJ786" s="153" t="s">
        <v>6</v>
      </c>
    </row>
    <row r="787" spans="1:36" ht="30" customHeight="1">
      <c r="A787" s="92"/>
      <c r="B787" s="92"/>
      <c r="C787" s="92"/>
      <c r="D787" s="92"/>
      <c r="E787" s="92"/>
      <c r="F787" s="92"/>
      <c r="G787" s="92"/>
      <c r="H787" s="92"/>
      <c r="I787" s="92"/>
      <c r="J787" s="92"/>
      <c r="K787" s="92"/>
      <c r="L787" s="92"/>
      <c r="M787" s="92"/>
      <c r="N787" s="155"/>
      <c r="O787" s="157"/>
      <c r="P787" s="92"/>
      <c r="Q787" s="145"/>
      <c r="R787" s="92"/>
      <c r="S787" s="145"/>
      <c r="T787" s="92"/>
      <c r="U787" s="145"/>
      <c r="V787" s="92"/>
      <c r="W787" s="145"/>
      <c r="X787" s="92"/>
      <c r="Y787" s="145"/>
      <c r="Z787" s="92"/>
      <c r="AA787" s="145"/>
      <c r="AB787" s="64"/>
      <c r="AC787" s="145"/>
      <c r="AD787" s="64"/>
      <c r="AE787" s="145"/>
      <c r="AF787" s="196" t="str">
        <f t="shared" si="41"/>
        <v/>
      </c>
      <c r="AG787" s="95" t="b">
        <f t="shared" si="40"/>
        <v>0</v>
      </c>
      <c r="AH787" s="9"/>
      <c r="AI787" s="150">
        <f t="shared" si="39"/>
        <v>0</v>
      </c>
      <c r="AJ787" s="153" t="s">
        <v>6</v>
      </c>
    </row>
    <row r="788" spans="1:36" ht="30" customHeight="1">
      <c r="A788" s="92"/>
      <c r="B788" s="92"/>
      <c r="C788" s="92"/>
      <c r="D788" s="92"/>
      <c r="E788" s="92"/>
      <c r="F788" s="92"/>
      <c r="G788" s="92"/>
      <c r="H788" s="92"/>
      <c r="I788" s="92"/>
      <c r="J788" s="92"/>
      <c r="K788" s="92"/>
      <c r="L788" s="92"/>
      <c r="M788" s="92"/>
      <c r="N788" s="155"/>
      <c r="O788" s="157"/>
      <c r="P788" s="92"/>
      <c r="Q788" s="145"/>
      <c r="R788" s="92"/>
      <c r="S788" s="145"/>
      <c r="T788" s="92"/>
      <c r="U788" s="145"/>
      <c r="V788" s="92"/>
      <c r="W788" s="145"/>
      <c r="X788" s="92"/>
      <c r="Y788" s="145"/>
      <c r="Z788" s="92"/>
      <c r="AA788" s="145"/>
      <c r="AB788" s="64"/>
      <c r="AC788" s="145"/>
      <c r="AD788" s="64"/>
      <c r="AE788" s="145"/>
      <c r="AF788" s="196" t="str">
        <f t="shared" si="41"/>
        <v/>
      </c>
      <c r="AG788" s="95" t="b">
        <f t="shared" si="40"/>
        <v>0</v>
      </c>
      <c r="AH788" s="9"/>
      <c r="AI788" s="150">
        <f t="shared" si="39"/>
        <v>0</v>
      </c>
      <c r="AJ788" s="153" t="s">
        <v>6</v>
      </c>
    </row>
    <row r="789" spans="1:36" ht="30" customHeight="1">
      <c r="A789" s="92"/>
      <c r="B789" s="92"/>
      <c r="C789" s="92"/>
      <c r="D789" s="92"/>
      <c r="E789" s="92"/>
      <c r="F789" s="92"/>
      <c r="G789" s="92"/>
      <c r="H789" s="92"/>
      <c r="I789" s="92"/>
      <c r="J789" s="92"/>
      <c r="K789" s="92"/>
      <c r="L789" s="92"/>
      <c r="M789" s="92"/>
      <c r="N789" s="155"/>
      <c r="O789" s="157"/>
      <c r="P789" s="92"/>
      <c r="Q789" s="145"/>
      <c r="R789" s="92"/>
      <c r="S789" s="145"/>
      <c r="T789" s="92"/>
      <c r="U789" s="145"/>
      <c r="V789" s="92"/>
      <c r="W789" s="145"/>
      <c r="X789" s="92"/>
      <c r="Y789" s="145"/>
      <c r="Z789" s="92"/>
      <c r="AA789" s="145"/>
      <c r="AB789" s="64"/>
      <c r="AC789" s="145"/>
      <c r="AD789" s="64"/>
      <c r="AE789" s="145"/>
      <c r="AF789" s="196" t="str">
        <f t="shared" si="41"/>
        <v/>
      </c>
      <c r="AG789" s="95" t="b">
        <f t="shared" si="40"/>
        <v>0</v>
      </c>
      <c r="AH789" s="9"/>
      <c r="AI789" s="150">
        <f t="shared" si="39"/>
        <v>0</v>
      </c>
      <c r="AJ789" s="153" t="s">
        <v>6</v>
      </c>
    </row>
    <row r="790" spans="1:36" ht="30" customHeight="1">
      <c r="A790" s="92"/>
      <c r="B790" s="92"/>
      <c r="C790" s="92"/>
      <c r="D790" s="92"/>
      <c r="E790" s="92"/>
      <c r="F790" s="92"/>
      <c r="G790" s="92"/>
      <c r="H790" s="92"/>
      <c r="I790" s="92"/>
      <c r="J790" s="92"/>
      <c r="K790" s="92"/>
      <c r="L790" s="92"/>
      <c r="M790" s="92"/>
      <c r="N790" s="155"/>
      <c r="O790" s="157"/>
      <c r="P790" s="92"/>
      <c r="Q790" s="145"/>
      <c r="R790" s="92"/>
      <c r="S790" s="145"/>
      <c r="T790" s="92"/>
      <c r="U790" s="145"/>
      <c r="V790" s="92"/>
      <c r="W790" s="145"/>
      <c r="X790" s="92"/>
      <c r="Y790" s="145"/>
      <c r="Z790" s="92"/>
      <c r="AA790" s="145"/>
      <c r="AB790" s="64"/>
      <c r="AC790" s="145"/>
      <c r="AD790" s="64"/>
      <c r="AE790" s="145"/>
      <c r="AF790" s="196" t="str">
        <f t="shared" si="41"/>
        <v/>
      </c>
      <c r="AG790" s="95" t="b">
        <f t="shared" si="40"/>
        <v>0</v>
      </c>
      <c r="AH790" s="9"/>
      <c r="AI790" s="150">
        <f t="shared" si="39"/>
        <v>0</v>
      </c>
      <c r="AJ790" s="153" t="s">
        <v>6</v>
      </c>
    </row>
    <row r="791" spans="1:36" ht="30" customHeight="1">
      <c r="A791" s="92"/>
      <c r="B791" s="92"/>
      <c r="C791" s="92"/>
      <c r="D791" s="92"/>
      <c r="E791" s="92"/>
      <c r="F791" s="92"/>
      <c r="G791" s="92"/>
      <c r="H791" s="92"/>
      <c r="I791" s="92"/>
      <c r="J791" s="92"/>
      <c r="K791" s="92"/>
      <c r="L791" s="92"/>
      <c r="M791" s="92"/>
      <c r="N791" s="155"/>
      <c r="O791" s="157"/>
      <c r="P791" s="92"/>
      <c r="Q791" s="145"/>
      <c r="R791" s="92"/>
      <c r="S791" s="145"/>
      <c r="T791" s="92"/>
      <c r="U791" s="145"/>
      <c r="V791" s="92"/>
      <c r="W791" s="145"/>
      <c r="X791" s="92"/>
      <c r="Y791" s="145"/>
      <c r="Z791" s="92"/>
      <c r="AA791" s="145"/>
      <c r="AB791" s="64"/>
      <c r="AC791" s="145"/>
      <c r="AD791" s="64"/>
      <c r="AE791" s="145"/>
      <c r="AF791" s="196" t="str">
        <f t="shared" si="41"/>
        <v/>
      </c>
      <c r="AG791" s="95" t="b">
        <f t="shared" si="40"/>
        <v>0</v>
      </c>
      <c r="AH791" s="9"/>
      <c r="AI791" s="150">
        <f t="shared" si="39"/>
        <v>0</v>
      </c>
      <c r="AJ791" s="153" t="s">
        <v>6</v>
      </c>
    </row>
    <row r="792" spans="1:36" ht="30" customHeight="1">
      <c r="A792" s="92"/>
      <c r="B792" s="92"/>
      <c r="C792" s="92"/>
      <c r="D792" s="92"/>
      <c r="E792" s="92"/>
      <c r="F792" s="92"/>
      <c r="G792" s="92"/>
      <c r="H792" s="92"/>
      <c r="I792" s="92"/>
      <c r="J792" s="92"/>
      <c r="K792" s="92"/>
      <c r="L792" s="92"/>
      <c r="M792" s="92"/>
      <c r="N792" s="155"/>
      <c r="O792" s="157"/>
      <c r="P792" s="92"/>
      <c r="Q792" s="145"/>
      <c r="R792" s="92"/>
      <c r="S792" s="145"/>
      <c r="T792" s="92"/>
      <c r="U792" s="145"/>
      <c r="V792" s="92"/>
      <c r="W792" s="145"/>
      <c r="X792" s="92"/>
      <c r="Y792" s="145"/>
      <c r="Z792" s="92"/>
      <c r="AA792" s="145"/>
      <c r="AB792" s="64"/>
      <c r="AC792" s="145"/>
      <c r="AD792" s="64"/>
      <c r="AE792" s="145"/>
      <c r="AF792" s="196" t="str">
        <f t="shared" si="41"/>
        <v/>
      </c>
      <c r="AG792" s="95" t="b">
        <f t="shared" si="40"/>
        <v>0</v>
      </c>
      <c r="AH792" s="9"/>
      <c r="AI792" s="150">
        <f t="shared" si="39"/>
        <v>0</v>
      </c>
      <c r="AJ792" s="153" t="s">
        <v>6</v>
      </c>
    </row>
    <row r="793" spans="1:36" ht="30" customHeight="1">
      <c r="A793" s="92"/>
      <c r="B793" s="92"/>
      <c r="C793" s="92"/>
      <c r="D793" s="92"/>
      <c r="E793" s="92"/>
      <c r="F793" s="92"/>
      <c r="G793" s="92"/>
      <c r="H793" s="92"/>
      <c r="I793" s="92"/>
      <c r="J793" s="92"/>
      <c r="K793" s="92"/>
      <c r="L793" s="92"/>
      <c r="M793" s="92"/>
      <c r="N793" s="155"/>
      <c r="O793" s="157"/>
      <c r="P793" s="92"/>
      <c r="Q793" s="145"/>
      <c r="R793" s="92"/>
      <c r="S793" s="145"/>
      <c r="T793" s="92"/>
      <c r="U793" s="145"/>
      <c r="V793" s="92"/>
      <c r="W793" s="145"/>
      <c r="X793" s="92"/>
      <c r="Y793" s="145"/>
      <c r="Z793" s="92"/>
      <c r="AA793" s="145"/>
      <c r="AB793" s="64"/>
      <c r="AC793" s="145"/>
      <c r="AD793" s="64"/>
      <c r="AE793" s="145"/>
      <c r="AF793" s="196" t="str">
        <f t="shared" si="41"/>
        <v/>
      </c>
      <c r="AG793" s="95" t="b">
        <f t="shared" si="40"/>
        <v>0</v>
      </c>
      <c r="AH793" s="9"/>
      <c r="AI793" s="150">
        <f t="shared" si="39"/>
        <v>0</v>
      </c>
      <c r="AJ793" s="153" t="s">
        <v>6</v>
      </c>
    </row>
    <row r="794" spans="1:36" ht="30" customHeight="1">
      <c r="A794" s="92"/>
      <c r="B794" s="92"/>
      <c r="C794" s="92"/>
      <c r="D794" s="92"/>
      <c r="E794" s="92"/>
      <c r="F794" s="92"/>
      <c r="G794" s="92"/>
      <c r="H794" s="92"/>
      <c r="I794" s="92"/>
      <c r="J794" s="92"/>
      <c r="K794" s="92"/>
      <c r="L794" s="92"/>
      <c r="M794" s="92"/>
      <c r="N794" s="155"/>
      <c r="O794" s="157"/>
      <c r="P794" s="92"/>
      <c r="Q794" s="145"/>
      <c r="R794" s="92"/>
      <c r="S794" s="145"/>
      <c r="T794" s="92"/>
      <c r="U794" s="145"/>
      <c r="V794" s="92"/>
      <c r="W794" s="145"/>
      <c r="X794" s="92"/>
      <c r="Y794" s="145"/>
      <c r="Z794" s="92"/>
      <c r="AA794" s="145"/>
      <c r="AB794" s="64"/>
      <c r="AC794" s="145"/>
      <c r="AD794" s="64"/>
      <c r="AE794" s="145"/>
      <c r="AF794" s="196" t="str">
        <f t="shared" si="41"/>
        <v/>
      </c>
      <c r="AG794" s="95" t="b">
        <f t="shared" si="40"/>
        <v>0</v>
      </c>
      <c r="AH794" s="9"/>
      <c r="AI794" s="150">
        <f t="shared" si="39"/>
        <v>0</v>
      </c>
      <c r="AJ794" s="153" t="s">
        <v>6</v>
      </c>
    </row>
    <row r="795" spans="1:36" ht="30" customHeight="1">
      <c r="A795" s="92"/>
      <c r="B795" s="92"/>
      <c r="C795" s="92"/>
      <c r="D795" s="92"/>
      <c r="E795" s="92"/>
      <c r="F795" s="92"/>
      <c r="G795" s="92"/>
      <c r="H795" s="92"/>
      <c r="I795" s="92"/>
      <c r="J795" s="92"/>
      <c r="K795" s="92"/>
      <c r="L795" s="92"/>
      <c r="M795" s="92"/>
      <c r="N795" s="155"/>
      <c r="O795" s="157"/>
      <c r="P795" s="92"/>
      <c r="Q795" s="145"/>
      <c r="R795" s="92"/>
      <c r="S795" s="145"/>
      <c r="T795" s="92"/>
      <c r="U795" s="145"/>
      <c r="V795" s="92"/>
      <c r="W795" s="145"/>
      <c r="X795" s="92"/>
      <c r="Y795" s="145"/>
      <c r="Z795" s="92"/>
      <c r="AA795" s="145"/>
      <c r="AB795" s="64"/>
      <c r="AC795" s="145"/>
      <c r="AD795" s="64"/>
      <c r="AE795" s="145"/>
      <c r="AF795" s="196" t="str">
        <f t="shared" si="41"/>
        <v/>
      </c>
      <c r="AG795" s="95" t="b">
        <f t="shared" si="40"/>
        <v>0</v>
      </c>
      <c r="AH795" s="9"/>
      <c r="AI795" s="150">
        <f t="shared" si="39"/>
        <v>0</v>
      </c>
      <c r="AJ795" s="153" t="s">
        <v>6</v>
      </c>
    </row>
    <row r="796" spans="1:36" ht="30" customHeight="1">
      <c r="A796" s="92"/>
      <c r="B796" s="92"/>
      <c r="C796" s="92"/>
      <c r="D796" s="92"/>
      <c r="E796" s="92"/>
      <c r="F796" s="92"/>
      <c r="G796" s="92"/>
      <c r="H796" s="92"/>
      <c r="I796" s="92"/>
      <c r="J796" s="92"/>
      <c r="K796" s="92"/>
      <c r="L796" s="92"/>
      <c r="M796" s="92"/>
      <c r="N796" s="155"/>
      <c r="O796" s="157"/>
      <c r="P796" s="92"/>
      <c r="Q796" s="145"/>
      <c r="R796" s="92"/>
      <c r="S796" s="145"/>
      <c r="T796" s="92"/>
      <c r="U796" s="145"/>
      <c r="V796" s="92"/>
      <c r="W796" s="145"/>
      <c r="X796" s="92"/>
      <c r="Y796" s="145"/>
      <c r="Z796" s="92"/>
      <c r="AA796" s="145"/>
      <c r="AB796" s="64"/>
      <c r="AC796" s="145"/>
      <c r="AD796" s="64"/>
      <c r="AE796" s="145"/>
      <c r="AF796" s="196" t="str">
        <f t="shared" si="41"/>
        <v/>
      </c>
      <c r="AG796" s="95" t="b">
        <f t="shared" si="40"/>
        <v>0</v>
      </c>
      <c r="AH796" s="9"/>
      <c r="AI796" s="150">
        <f t="shared" si="39"/>
        <v>0</v>
      </c>
      <c r="AJ796" s="153" t="s">
        <v>6</v>
      </c>
    </row>
    <row r="797" spans="1:36" ht="30" customHeight="1">
      <c r="A797" s="92"/>
      <c r="B797" s="92"/>
      <c r="C797" s="92"/>
      <c r="D797" s="92"/>
      <c r="E797" s="92"/>
      <c r="F797" s="92"/>
      <c r="G797" s="92"/>
      <c r="H797" s="92"/>
      <c r="I797" s="92"/>
      <c r="J797" s="92"/>
      <c r="K797" s="92"/>
      <c r="L797" s="92"/>
      <c r="M797" s="92"/>
      <c r="N797" s="155"/>
      <c r="O797" s="157"/>
      <c r="P797" s="92"/>
      <c r="Q797" s="145"/>
      <c r="R797" s="92"/>
      <c r="S797" s="145"/>
      <c r="T797" s="92"/>
      <c r="U797" s="145"/>
      <c r="V797" s="92"/>
      <c r="W797" s="145"/>
      <c r="X797" s="92"/>
      <c r="Y797" s="145"/>
      <c r="Z797" s="92"/>
      <c r="AA797" s="145"/>
      <c r="AB797" s="64"/>
      <c r="AC797" s="145"/>
      <c r="AD797" s="64"/>
      <c r="AE797" s="145"/>
      <c r="AF797" s="196" t="str">
        <f t="shared" si="41"/>
        <v/>
      </c>
      <c r="AG797" s="95" t="b">
        <f t="shared" si="40"/>
        <v>0</v>
      </c>
      <c r="AH797" s="9"/>
      <c r="AI797" s="150">
        <f t="shared" si="39"/>
        <v>0</v>
      </c>
      <c r="AJ797" s="153" t="s">
        <v>6</v>
      </c>
    </row>
    <row r="798" spans="1:36" ht="30" customHeight="1">
      <c r="A798" s="92"/>
      <c r="B798" s="92"/>
      <c r="C798" s="92"/>
      <c r="D798" s="92"/>
      <c r="E798" s="92"/>
      <c r="F798" s="92"/>
      <c r="G798" s="92"/>
      <c r="H798" s="92"/>
      <c r="I798" s="92"/>
      <c r="J798" s="92"/>
      <c r="K798" s="92"/>
      <c r="L798" s="92"/>
      <c r="M798" s="92"/>
      <c r="N798" s="155"/>
      <c r="O798" s="157"/>
      <c r="P798" s="92"/>
      <c r="Q798" s="145"/>
      <c r="R798" s="92"/>
      <c r="S798" s="145"/>
      <c r="T798" s="92"/>
      <c r="U798" s="145"/>
      <c r="V798" s="92"/>
      <c r="W798" s="145"/>
      <c r="X798" s="92"/>
      <c r="Y798" s="145"/>
      <c r="Z798" s="92"/>
      <c r="AA798" s="145"/>
      <c r="AB798" s="64"/>
      <c r="AC798" s="145"/>
      <c r="AD798" s="64"/>
      <c r="AE798" s="145"/>
      <c r="AF798" s="196" t="str">
        <f t="shared" si="41"/>
        <v/>
      </c>
      <c r="AG798" s="95" t="b">
        <f t="shared" si="40"/>
        <v>0</v>
      </c>
      <c r="AH798" s="9"/>
      <c r="AI798" s="150">
        <f t="shared" si="39"/>
        <v>0</v>
      </c>
      <c r="AJ798" s="153" t="s">
        <v>6</v>
      </c>
    </row>
    <row r="799" spans="1:36" ht="30" customHeight="1">
      <c r="A799" s="92"/>
      <c r="B799" s="92"/>
      <c r="C799" s="92"/>
      <c r="D799" s="92"/>
      <c r="E799" s="92"/>
      <c r="F799" s="92"/>
      <c r="G799" s="92"/>
      <c r="H799" s="92"/>
      <c r="I799" s="92"/>
      <c r="J799" s="92"/>
      <c r="K799" s="92"/>
      <c r="L799" s="92"/>
      <c r="M799" s="92"/>
      <c r="N799" s="155"/>
      <c r="O799" s="157"/>
      <c r="P799" s="92"/>
      <c r="Q799" s="145"/>
      <c r="R799" s="92"/>
      <c r="S799" s="145"/>
      <c r="T799" s="92"/>
      <c r="U799" s="145"/>
      <c r="V799" s="92"/>
      <c r="W799" s="145"/>
      <c r="X799" s="92"/>
      <c r="Y799" s="145"/>
      <c r="Z799" s="92"/>
      <c r="AA799" s="145"/>
      <c r="AB799" s="64"/>
      <c r="AC799" s="145"/>
      <c r="AD799" s="64"/>
      <c r="AE799" s="145"/>
      <c r="AF799" s="196" t="str">
        <f t="shared" si="41"/>
        <v/>
      </c>
      <c r="AG799" s="95" t="b">
        <f t="shared" si="40"/>
        <v>0</v>
      </c>
      <c r="AH799" s="9"/>
      <c r="AI799" s="150">
        <f t="shared" si="39"/>
        <v>0</v>
      </c>
      <c r="AJ799" s="153" t="s">
        <v>6</v>
      </c>
    </row>
    <row r="800" spans="1:36" ht="30" customHeight="1">
      <c r="A800" s="92"/>
      <c r="B800" s="92"/>
      <c r="C800" s="92"/>
      <c r="D800" s="92"/>
      <c r="E800" s="92"/>
      <c r="F800" s="92"/>
      <c r="G800" s="92"/>
      <c r="H800" s="92"/>
      <c r="I800" s="92"/>
      <c r="J800" s="92"/>
      <c r="K800" s="92"/>
      <c r="L800" s="92"/>
      <c r="M800" s="92"/>
      <c r="N800" s="155"/>
      <c r="O800" s="157"/>
      <c r="P800" s="92"/>
      <c r="Q800" s="145"/>
      <c r="R800" s="92"/>
      <c r="S800" s="145"/>
      <c r="T800" s="92"/>
      <c r="U800" s="145"/>
      <c r="V800" s="92"/>
      <c r="W800" s="145"/>
      <c r="X800" s="92"/>
      <c r="Y800" s="145"/>
      <c r="Z800" s="92"/>
      <c r="AA800" s="145"/>
      <c r="AB800" s="64"/>
      <c r="AC800" s="145"/>
      <c r="AD800" s="64"/>
      <c r="AE800" s="145"/>
      <c r="AF800" s="196" t="str">
        <f t="shared" si="41"/>
        <v/>
      </c>
      <c r="AG800" s="95" t="b">
        <f t="shared" si="40"/>
        <v>0</v>
      </c>
      <c r="AH800" s="9"/>
      <c r="AI800" s="150">
        <f t="shared" si="39"/>
        <v>0</v>
      </c>
      <c r="AJ800" s="153" t="s">
        <v>6</v>
      </c>
    </row>
    <row r="801" spans="1:36" ht="30" customHeight="1">
      <c r="A801" s="92"/>
      <c r="B801" s="92"/>
      <c r="C801" s="92"/>
      <c r="D801" s="92"/>
      <c r="E801" s="92"/>
      <c r="F801" s="92"/>
      <c r="G801" s="92"/>
      <c r="H801" s="92"/>
      <c r="I801" s="92"/>
      <c r="J801" s="92"/>
      <c r="K801" s="92"/>
      <c r="L801" s="92"/>
      <c r="M801" s="92"/>
      <c r="N801" s="155"/>
      <c r="O801" s="157"/>
      <c r="P801" s="92"/>
      <c r="Q801" s="145"/>
      <c r="R801" s="92"/>
      <c r="S801" s="145"/>
      <c r="T801" s="92"/>
      <c r="U801" s="145"/>
      <c r="V801" s="92"/>
      <c r="W801" s="145"/>
      <c r="X801" s="92"/>
      <c r="Y801" s="145"/>
      <c r="Z801" s="92"/>
      <c r="AA801" s="145"/>
      <c r="AB801" s="64"/>
      <c r="AC801" s="145"/>
      <c r="AD801" s="64"/>
      <c r="AE801" s="145"/>
      <c r="AF801" s="196" t="str">
        <f t="shared" si="41"/>
        <v/>
      </c>
      <c r="AG801" s="95" t="b">
        <f t="shared" si="40"/>
        <v>0</v>
      </c>
      <c r="AH801" s="9"/>
      <c r="AI801" s="150">
        <f t="shared" si="39"/>
        <v>0</v>
      </c>
      <c r="AJ801" s="153" t="s">
        <v>6</v>
      </c>
    </row>
    <row r="802" spans="1:36" ht="30" customHeight="1">
      <c r="A802" s="92"/>
      <c r="B802" s="92"/>
      <c r="C802" s="92"/>
      <c r="D802" s="92"/>
      <c r="E802" s="92"/>
      <c r="F802" s="92"/>
      <c r="G802" s="92"/>
      <c r="H802" s="92"/>
      <c r="I802" s="92"/>
      <c r="J802" s="92"/>
      <c r="K802" s="92"/>
      <c r="L802" s="92"/>
      <c r="M802" s="92"/>
      <c r="N802" s="155"/>
      <c r="O802" s="157"/>
      <c r="P802" s="92"/>
      <c r="Q802" s="145"/>
      <c r="R802" s="92"/>
      <c r="S802" s="145"/>
      <c r="T802" s="92"/>
      <c r="U802" s="145"/>
      <c r="V802" s="92"/>
      <c r="W802" s="145"/>
      <c r="X802" s="92"/>
      <c r="Y802" s="145"/>
      <c r="Z802" s="92"/>
      <c r="AA802" s="145"/>
      <c r="AB802" s="64"/>
      <c r="AC802" s="145"/>
      <c r="AD802" s="64"/>
      <c r="AE802" s="145"/>
      <c r="AF802" s="196" t="str">
        <f t="shared" si="41"/>
        <v/>
      </c>
      <c r="AG802" s="95" t="b">
        <f t="shared" si="40"/>
        <v>0</v>
      </c>
      <c r="AH802" s="9"/>
      <c r="AI802" s="150">
        <f t="shared" si="39"/>
        <v>0</v>
      </c>
      <c r="AJ802" s="153" t="s">
        <v>6</v>
      </c>
    </row>
    <row r="803" spans="1:36" ht="30" customHeight="1">
      <c r="A803" s="92"/>
      <c r="B803" s="92"/>
      <c r="C803" s="92"/>
      <c r="D803" s="92"/>
      <c r="E803" s="92"/>
      <c r="F803" s="92"/>
      <c r="G803" s="92"/>
      <c r="H803" s="92"/>
      <c r="I803" s="92"/>
      <c r="J803" s="92"/>
      <c r="K803" s="92"/>
      <c r="L803" s="92"/>
      <c r="M803" s="92"/>
      <c r="N803" s="155"/>
      <c r="O803" s="157"/>
      <c r="P803" s="92"/>
      <c r="Q803" s="145"/>
      <c r="R803" s="92"/>
      <c r="S803" s="145"/>
      <c r="T803" s="92"/>
      <c r="U803" s="145"/>
      <c r="V803" s="92"/>
      <c r="W803" s="145"/>
      <c r="X803" s="92"/>
      <c r="Y803" s="145"/>
      <c r="Z803" s="92"/>
      <c r="AA803" s="145"/>
      <c r="AB803" s="64"/>
      <c r="AC803" s="145"/>
      <c r="AD803" s="64"/>
      <c r="AE803" s="145"/>
      <c r="AF803" s="196" t="str">
        <f t="shared" si="41"/>
        <v/>
      </c>
      <c r="AG803" s="95" t="b">
        <f t="shared" si="40"/>
        <v>0</v>
      </c>
      <c r="AH803" s="9"/>
      <c r="AI803" s="150">
        <f t="shared" si="39"/>
        <v>0</v>
      </c>
      <c r="AJ803" s="153" t="s">
        <v>6</v>
      </c>
    </row>
    <row r="804" spans="1:36" ht="30" customHeight="1">
      <c r="A804" s="92"/>
      <c r="B804" s="92"/>
      <c r="C804" s="92"/>
      <c r="D804" s="92"/>
      <c r="E804" s="92"/>
      <c r="F804" s="92"/>
      <c r="G804" s="92"/>
      <c r="H804" s="92"/>
      <c r="I804" s="92"/>
      <c r="J804" s="92"/>
      <c r="K804" s="92"/>
      <c r="L804" s="92"/>
      <c r="M804" s="92"/>
      <c r="N804" s="155"/>
      <c r="O804" s="157"/>
      <c r="P804" s="92"/>
      <c r="Q804" s="145"/>
      <c r="R804" s="92"/>
      <c r="S804" s="145"/>
      <c r="T804" s="92"/>
      <c r="U804" s="145"/>
      <c r="V804" s="92"/>
      <c r="W804" s="145"/>
      <c r="X804" s="92"/>
      <c r="Y804" s="145"/>
      <c r="Z804" s="92"/>
      <c r="AA804" s="145"/>
      <c r="AB804" s="64"/>
      <c r="AC804" s="145"/>
      <c r="AD804" s="64"/>
      <c r="AE804" s="145"/>
      <c r="AF804" s="196" t="str">
        <f t="shared" si="41"/>
        <v/>
      </c>
      <c r="AG804" s="95" t="b">
        <f t="shared" si="40"/>
        <v>0</v>
      </c>
      <c r="AH804" s="9"/>
      <c r="AI804" s="150">
        <f t="shared" si="39"/>
        <v>0</v>
      </c>
      <c r="AJ804" s="153" t="s">
        <v>6</v>
      </c>
    </row>
    <row r="805" spans="1:36" ht="30" customHeight="1">
      <c r="A805" s="92"/>
      <c r="B805" s="92"/>
      <c r="C805" s="92"/>
      <c r="D805" s="92"/>
      <c r="E805" s="92"/>
      <c r="F805" s="92"/>
      <c r="G805" s="92"/>
      <c r="H805" s="92"/>
      <c r="I805" s="92"/>
      <c r="J805" s="92"/>
      <c r="K805" s="92"/>
      <c r="L805" s="92"/>
      <c r="M805" s="92"/>
      <c r="N805" s="155"/>
      <c r="O805" s="157"/>
      <c r="P805" s="92"/>
      <c r="Q805" s="145"/>
      <c r="R805" s="92"/>
      <c r="S805" s="145"/>
      <c r="T805" s="92"/>
      <c r="U805" s="145"/>
      <c r="V805" s="92"/>
      <c r="W805" s="145"/>
      <c r="X805" s="92"/>
      <c r="Y805" s="145"/>
      <c r="Z805" s="92"/>
      <c r="AA805" s="145"/>
      <c r="AB805" s="64"/>
      <c r="AC805" s="145"/>
      <c r="AD805" s="64"/>
      <c r="AE805" s="145"/>
      <c r="AF805" s="196" t="str">
        <f t="shared" si="41"/>
        <v/>
      </c>
      <c r="AG805" s="95" t="b">
        <f t="shared" si="40"/>
        <v>0</v>
      </c>
      <c r="AH805" s="9"/>
      <c r="AI805" s="150">
        <f t="shared" si="39"/>
        <v>0</v>
      </c>
      <c r="AJ805" s="153" t="s">
        <v>6</v>
      </c>
    </row>
    <row r="806" spans="1:36" ht="30" customHeight="1">
      <c r="A806" s="92"/>
      <c r="B806" s="92"/>
      <c r="C806" s="92"/>
      <c r="D806" s="92"/>
      <c r="E806" s="92"/>
      <c r="F806" s="92"/>
      <c r="G806" s="92"/>
      <c r="H806" s="92"/>
      <c r="I806" s="92"/>
      <c r="J806" s="92"/>
      <c r="K806" s="92"/>
      <c r="L806" s="92"/>
      <c r="M806" s="92"/>
      <c r="N806" s="155"/>
      <c r="O806" s="157"/>
      <c r="P806" s="92"/>
      <c r="Q806" s="145"/>
      <c r="R806" s="92"/>
      <c r="S806" s="145"/>
      <c r="T806" s="92"/>
      <c r="U806" s="145"/>
      <c r="V806" s="92"/>
      <c r="W806" s="145"/>
      <c r="X806" s="92"/>
      <c r="Y806" s="145"/>
      <c r="Z806" s="92"/>
      <c r="AA806" s="145"/>
      <c r="AB806" s="64"/>
      <c r="AC806" s="145"/>
      <c r="AD806" s="64"/>
      <c r="AE806" s="145"/>
      <c r="AF806" s="196" t="str">
        <f t="shared" si="41"/>
        <v/>
      </c>
      <c r="AG806" s="95" t="b">
        <f t="shared" si="40"/>
        <v>0</v>
      </c>
      <c r="AH806" s="9"/>
      <c r="AI806" s="150">
        <f t="shared" si="39"/>
        <v>0</v>
      </c>
      <c r="AJ806" s="153" t="s">
        <v>6</v>
      </c>
    </row>
    <row r="807" spans="1:36" ht="30" customHeight="1">
      <c r="A807" s="92"/>
      <c r="B807" s="92"/>
      <c r="C807" s="92"/>
      <c r="D807" s="92"/>
      <c r="E807" s="92"/>
      <c r="F807" s="92"/>
      <c r="G807" s="92"/>
      <c r="H807" s="92"/>
      <c r="I807" s="92"/>
      <c r="J807" s="92"/>
      <c r="K807" s="92"/>
      <c r="L807" s="92"/>
      <c r="M807" s="92"/>
      <c r="N807" s="155"/>
      <c r="O807" s="157"/>
      <c r="P807" s="92"/>
      <c r="Q807" s="145"/>
      <c r="R807" s="92"/>
      <c r="S807" s="145"/>
      <c r="T807" s="92"/>
      <c r="U807" s="145"/>
      <c r="V807" s="92"/>
      <c r="W807" s="145"/>
      <c r="X807" s="92"/>
      <c r="Y807" s="145"/>
      <c r="Z807" s="92"/>
      <c r="AA807" s="145"/>
      <c r="AB807" s="64"/>
      <c r="AC807" s="145"/>
      <c r="AD807" s="64"/>
      <c r="AE807" s="145"/>
      <c r="AF807" s="196" t="str">
        <f t="shared" si="41"/>
        <v/>
      </c>
      <c r="AG807" s="95" t="b">
        <f t="shared" si="40"/>
        <v>0</v>
      </c>
      <c r="AH807" s="9"/>
      <c r="AI807" s="150">
        <f t="shared" si="39"/>
        <v>0</v>
      </c>
      <c r="AJ807" s="153" t="s">
        <v>6</v>
      </c>
    </row>
    <row r="808" spans="1:36" ht="30" customHeight="1">
      <c r="A808" s="92"/>
      <c r="B808" s="92"/>
      <c r="C808" s="92"/>
      <c r="D808" s="92"/>
      <c r="E808" s="92"/>
      <c r="F808" s="92"/>
      <c r="G808" s="92"/>
      <c r="H808" s="92"/>
      <c r="I808" s="92"/>
      <c r="J808" s="92"/>
      <c r="K808" s="92"/>
      <c r="L808" s="92"/>
      <c r="M808" s="92"/>
      <c r="N808" s="155"/>
      <c r="O808" s="157"/>
      <c r="P808" s="92"/>
      <c r="Q808" s="145"/>
      <c r="R808" s="92"/>
      <c r="S808" s="145"/>
      <c r="T808" s="92"/>
      <c r="U808" s="145"/>
      <c r="V808" s="92"/>
      <c r="W808" s="145"/>
      <c r="X808" s="92"/>
      <c r="Y808" s="145"/>
      <c r="Z808" s="92"/>
      <c r="AA808" s="145"/>
      <c r="AB808" s="64"/>
      <c r="AC808" s="145"/>
      <c r="AD808" s="64"/>
      <c r="AE808" s="145"/>
      <c r="AF808" s="196" t="str">
        <f t="shared" si="41"/>
        <v/>
      </c>
      <c r="AG808" s="95" t="b">
        <f t="shared" si="40"/>
        <v>0</v>
      </c>
      <c r="AH808" s="9"/>
      <c r="AI808" s="150">
        <f t="shared" si="39"/>
        <v>0</v>
      </c>
      <c r="AJ808" s="153" t="s">
        <v>6</v>
      </c>
    </row>
    <row r="809" spans="1:36" ht="30" customHeight="1">
      <c r="A809" s="92"/>
      <c r="B809" s="92"/>
      <c r="C809" s="92"/>
      <c r="D809" s="92"/>
      <c r="E809" s="92"/>
      <c r="F809" s="92"/>
      <c r="G809" s="92"/>
      <c r="H809" s="92"/>
      <c r="I809" s="92"/>
      <c r="J809" s="92"/>
      <c r="K809" s="92"/>
      <c r="L809" s="92"/>
      <c r="M809" s="92"/>
      <c r="N809" s="155"/>
      <c r="O809" s="157"/>
      <c r="P809" s="92"/>
      <c r="Q809" s="145"/>
      <c r="R809" s="92"/>
      <c r="S809" s="145"/>
      <c r="T809" s="92"/>
      <c r="U809" s="145"/>
      <c r="V809" s="92"/>
      <c r="W809" s="145"/>
      <c r="X809" s="92"/>
      <c r="Y809" s="145"/>
      <c r="Z809" s="92"/>
      <c r="AA809" s="145"/>
      <c r="AB809" s="64"/>
      <c r="AC809" s="145"/>
      <c r="AD809" s="64"/>
      <c r="AE809" s="145"/>
      <c r="AF809" s="196" t="str">
        <f t="shared" si="41"/>
        <v/>
      </c>
      <c r="AG809" s="95" t="b">
        <f t="shared" si="40"/>
        <v>0</v>
      </c>
      <c r="AH809" s="9"/>
      <c r="AI809" s="150">
        <f t="shared" si="39"/>
        <v>0</v>
      </c>
      <c r="AJ809" s="153" t="s">
        <v>6</v>
      </c>
    </row>
    <row r="810" spans="1:36" ht="30" customHeight="1">
      <c r="A810" s="92"/>
      <c r="B810" s="92"/>
      <c r="C810" s="92"/>
      <c r="D810" s="92"/>
      <c r="E810" s="92"/>
      <c r="F810" s="92"/>
      <c r="G810" s="92"/>
      <c r="H810" s="92"/>
      <c r="I810" s="92"/>
      <c r="J810" s="92"/>
      <c r="K810" s="92"/>
      <c r="L810" s="92"/>
      <c r="M810" s="92"/>
      <c r="N810" s="155"/>
      <c r="O810" s="157"/>
      <c r="P810" s="92"/>
      <c r="Q810" s="145"/>
      <c r="R810" s="92"/>
      <c r="S810" s="145"/>
      <c r="T810" s="92"/>
      <c r="U810" s="145"/>
      <c r="V810" s="92"/>
      <c r="W810" s="145"/>
      <c r="X810" s="92"/>
      <c r="Y810" s="145"/>
      <c r="Z810" s="92"/>
      <c r="AA810" s="145"/>
      <c r="AB810" s="64"/>
      <c r="AC810" s="145"/>
      <c r="AD810" s="64"/>
      <c r="AE810" s="145"/>
      <c r="AF810" s="196" t="str">
        <f t="shared" si="41"/>
        <v/>
      </c>
      <c r="AG810" s="95" t="b">
        <f t="shared" si="40"/>
        <v>0</v>
      </c>
      <c r="AH810" s="9"/>
      <c r="AI810" s="150">
        <f t="shared" si="39"/>
        <v>0</v>
      </c>
      <c r="AJ810" s="153" t="s">
        <v>6</v>
      </c>
    </row>
    <row r="811" spans="1:36" ht="30" customHeight="1">
      <c r="A811" s="92"/>
      <c r="B811" s="92"/>
      <c r="C811" s="92"/>
      <c r="D811" s="92"/>
      <c r="E811" s="92"/>
      <c r="F811" s="92"/>
      <c r="G811" s="92"/>
      <c r="H811" s="92"/>
      <c r="I811" s="92"/>
      <c r="J811" s="92"/>
      <c r="K811" s="92"/>
      <c r="L811" s="92"/>
      <c r="M811" s="92"/>
      <c r="N811" s="155"/>
      <c r="O811" s="157"/>
      <c r="P811" s="92"/>
      <c r="Q811" s="145"/>
      <c r="R811" s="92"/>
      <c r="S811" s="145"/>
      <c r="T811" s="92"/>
      <c r="U811" s="145"/>
      <c r="V811" s="92"/>
      <c r="W811" s="145"/>
      <c r="X811" s="92"/>
      <c r="Y811" s="145"/>
      <c r="Z811" s="92"/>
      <c r="AA811" s="145"/>
      <c r="AB811" s="64"/>
      <c r="AC811" s="145"/>
      <c r="AD811" s="64"/>
      <c r="AE811" s="145"/>
      <c r="AF811" s="196" t="str">
        <f t="shared" si="41"/>
        <v/>
      </c>
      <c r="AG811" s="95" t="b">
        <f t="shared" si="40"/>
        <v>0</v>
      </c>
      <c r="AH811" s="9"/>
      <c r="AI811" s="150">
        <f t="shared" si="39"/>
        <v>0</v>
      </c>
      <c r="AJ811" s="153" t="s">
        <v>6</v>
      </c>
    </row>
    <row r="812" spans="1:36" ht="30" customHeight="1">
      <c r="A812" s="92"/>
      <c r="B812" s="92"/>
      <c r="C812" s="92"/>
      <c r="D812" s="92"/>
      <c r="E812" s="92"/>
      <c r="F812" s="92"/>
      <c r="G812" s="92"/>
      <c r="H812" s="92"/>
      <c r="I812" s="92"/>
      <c r="J812" s="92"/>
      <c r="K812" s="92"/>
      <c r="L812" s="92"/>
      <c r="M812" s="92"/>
      <c r="N812" s="155"/>
      <c r="O812" s="157"/>
      <c r="P812" s="92"/>
      <c r="Q812" s="145"/>
      <c r="R812" s="92"/>
      <c r="S812" s="145"/>
      <c r="T812" s="92"/>
      <c r="U812" s="145"/>
      <c r="V812" s="92"/>
      <c r="W812" s="145"/>
      <c r="X812" s="92"/>
      <c r="Y812" s="145"/>
      <c r="Z812" s="92"/>
      <c r="AA812" s="145"/>
      <c r="AB812" s="64"/>
      <c r="AC812" s="145"/>
      <c r="AD812" s="64"/>
      <c r="AE812" s="145"/>
      <c r="AF812" s="196" t="str">
        <f t="shared" si="41"/>
        <v/>
      </c>
      <c r="AG812" s="95" t="b">
        <f t="shared" si="40"/>
        <v>0</v>
      </c>
      <c r="AH812" s="9"/>
      <c r="AI812" s="150">
        <f t="shared" si="39"/>
        <v>0</v>
      </c>
      <c r="AJ812" s="153" t="s">
        <v>6</v>
      </c>
    </row>
    <row r="813" spans="1:36" ht="30" customHeight="1">
      <c r="A813" s="92"/>
      <c r="B813" s="92"/>
      <c r="C813" s="92"/>
      <c r="D813" s="92"/>
      <c r="E813" s="92"/>
      <c r="F813" s="92"/>
      <c r="G813" s="92"/>
      <c r="H813" s="92"/>
      <c r="I813" s="92"/>
      <c r="J813" s="92"/>
      <c r="K813" s="92"/>
      <c r="L813" s="92"/>
      <c r="M813" s="92"/>
      <c r="N813" s="155"/>
      <c r="O813" s="157"/>
      <c r="P813" s="92"/>
      <c r="Q813" s="145"/>
      <c r="R813" s="92"/>
      <c r="S813" s="145"/>
      <c r="T813" s="92"/>
      <c r="U813" s="145"/>
      <c r="V813" s="92"/>
      <c r="W813" s="145"/>
      <c r="X813" s="92"/>
      <c r="Y813" s="145"/>
      <c r="Z813" s="92"/>
      <c r="AA813" s="145"/>
      <c r="AB813" s="64"/>
      <c r="AC813" s="145"/>
      <c r="AD813" s="64"/>
      <c r="AE813" s="145"/>
      <c r="AF813" s="196" t="str">
        <f t="shared" si="41"/>
        <v/>
      </c>
      <c r="AG813" s="95" t="b">
        <f t="shared" si="40"/>
        <v>0</v>
      </c>
      <c r="AH813" s="9"/>
      <c r="AI813" s="150">
        <f t="shared" si="39"/>
        <v>0</v>
      </c>
      <c r="AJ813" s="153" t="s">
        <v>6</v>
      </c>
    </row>
    <row r="814" spans="1:36" ht="30" customHeight="1">
      <c r="A814" s="92"/>
      <c r="B814" s="92"/>
      <c r="C814" s="92"/>
      <c r="D814" s="92"/>
      <c r="E814" s="92"/>
      <c r="F814" s="92"/>
      <c r="G814" s="92"/>
      <c r="H814" s="92"/>
      <c r="I814" s="92"/>
      <c r="J814" s="92"/>
      <c r="K814" s="92"/>
      <c r="L814" s="92"/>
      <c r="M814" s="92"/>
      <c r="N814" s="155"/>
      <c r="O814" s="157"/>
      <c r="P814" s="92"/>
      <c r="Q814" s="145"/>
      <c r="R814" s="92"/>
      <c r="S814" s="145"/>
      <c r="T814" s="92"/>
      <c r="U814" s="145"/>
      <c r="V814" s="92"/>
      <c r="W814" s="145"/>
      <c r="X814" s="92"/>
      <c r="Y814" s="145"/>
      <c r="Z814" s="92"/>
      <c r="AA814" s="145"/>
      <c r="AB814" s="64"/>
      <c r="AC814" s="145"/>
      <c r="AD814" s="64"/>
      <c r="AE814" s="145"/>
      <c r="AF814" s="196" t="str">
        <f t="shared" si="41"/>
        <v/>
      </c>
      <c r="AG814" s="95" t="b">
        <f t="shared" si="40"/>
        <v>0</v>
      </c>
      <c r="AH814" s="9"/>
      <c r="AI814" s="150">
        <f t="shared" si="39"/>
        <v>0</v>
      </c>
      <c r="AJ814" s="153" t="s">
        <v>6</v>
      </c>
    </row>
    <row r="815" spans="1:36" ht="30" customHeight="1">
      <c r="A815" s="92"/>
      <c r="B815" s="92"/>
      <c r="C815" s="92"/>
      <c r="D815" s="92"/>
      <c r="E815" s="92"/>
      <c r="F815" s="92"/>
      <c r="G815" s="92"/>
      <c r="H815" s="92"/>
      <c r="I815" s="92"/>
      <c r="J815" s="92"/>
      <c r="K815" s="92"/>
      <c r="L815" s="92"/>
      <c r="M815" s="92"/>
      <c r="N815" s="155"/>
      <c r="O815" s="157"/>
      <c r="P815" s="92"/>
      <c r="Q815" s="145"/>
      <c r="R815" s="92"/>
      <c r="S815" s="145"/>
      <c r="T815" s="92"/>
      <c r="U815" s="145"/>
      <c r="V815" s="92"/>
      <c r="W815" s="145"/>
      <c r="X815" s="92"/>
      <c r="Y815" s="145"/>
      <c r="Z815" s="92"/>
      <c r="AA815" s="145"/>
      <c r="AB815" s="64"/>
      <c r="AC815" s="145"/>
      <c r="AD815" s="64"/>
      <c r="AE815" s="145"/>
      <c r="AF815" s="196" t="str">
        <f t="shared" si="41"/>
        <v/>
      </c>
      <c r="AG815" s="95" t="b">
        <f t="shared" si="40"/>
        <v>0</v>
      </c>
      <c r="AH815" s="9"/>
      <c r="AI815" s="150">
        <f t="shared" si="39"/>
        <v>0</v>
      </c>
      <c r="AJ815" s="153" t="s">
        <v>6</v>
      </c>
    </row>
    <row r="816" spans="1:36" ht="30" customHeight="1">
      <c r="A816" s="92"/>
      <c r="B816" s="92"/>
      <c r="C816" s="92"/>
      <c r="D816" s="92"/>
      <c r="E816" s="92"/>
      <c r="F816" s="92"/>
      <c r="G816" s="92"/>
      <c r="H816" s="92"/>
      <c r="I816" s="92"/>
      <c r="J816" s="92"/>
      <c r="K816" s="92"/>
      <c r="L816" s="92"/>
      <c r="M816" s="92"/>
      <c r="N816" s="155"/>
      <c r="O816" s="157"/>
      <c r="P816" s="92"/>
      <c r="Q816" s="145"/>
      <c r="R816" s="92"/>
      <c r="S816" s="145"/>
      <c r="T816" s="92"/>
      <c r="U816" s="145"/>
      <c r="V816" s="92"/>
      <c r="W816" s="145"/>
      <c r="X816" s="92"/>
      <c r="Y816" s="145"/>
      <c r="Z816" s="92"/>
      <c r="AA816" s="145"/>
      <c r="AB816" s="64"/>
      <c r="AC816" s="145"/>
      <c r="AD816" s="64"/>
      <c r="AE816" s="145"/>
      <c r="AF816" s="196" t="str">
        <f t="shared" si="41"/>
        <v/>
      </c>
      <c r="AG816" s="95" t="b">
        <f t="shared" si="40"/>
        <v>0</v>
      </c>
      <c r="AH816" s="9"/>
      <c r="AI816" s="150">
        <f t="shared" si="39"/>
        <v>0</v>
      </c>
      <c r="AJ816" s="153" t="s">
        <v>6</v>
      </c>
    </row>
    <row r="817" spans="1:36" ht="30" customHeight="1">
      <c r="A817" s="92"/>
      <c r="B817" s="92"/>
      <c r="C817" s="92"/>
      <c r="D817" s="92"/>
      <c r="E817" s="92"/>
      <c r="F817" s="92"/>
      <c r="G817" s="92"/>
      <c r="H817" s="92"/>
      <c r="I817" s="92"/>
      <c r="J817" s="92"/>
      <c r="K817" s="92"/>
      <c r="L817" s="92"/>
      <c r="M817" s="92"/>
      <c r="N817" s="155"/>
      <c r="O817" s="157"/>
      <c r="P817" s="92"/>
      <c r="Q817" s="145"/>
      <c r="R817" s="92"/>
      <c r="S817" s="145"/>
      <c r="T817" s="92"/>
      <c r="U817" s="145"/>
      <c r="V817" s="92"/>
      <c r="W817" s="145"/>
      <c r="X817" s="92"/>
      <c r="Y817" s="145"/>
      <c r="Z817" s="92"/>
      <c r="AA817" s="145"/>
      <c r="AB817" s="64"/>
      <c r="AC817" s="145"/>
      <c r="AD817" s="64"/>
      <c r="AE817" s="145"/>
      <c r="AF817" s="196" t="str">
        <f t="shared" si="41"/>
        <v/>
      </c>
      <c r="AG817" s="95" t="b">
        <f t="shared" si="40"/>
        <v>0</v>
      </c>
      <c r="AH817" s="9"/>
      <c r="AI817" s="150">
        <f t="shared" si="39"/>
        <v>0</v>
      </c>
      <c r="AJ817" s="153" t="s">
        <v>6</v>
      </c>
    </row>
    <row r="818" spans="1:36" ht="30" customHeight="1">
      <c r="A818" s="92"/>
      <c r="B818" s="92"/>
      <c r="C818" s="92"/>
      <c r="D818" s="92"/>
      <c r="E818" s="92"/>
      <c r="F818" s="92"/>
      <c r="G818" s="92"/>
      <c r="H818" s="92"/>
      <c r="I818" s="92"/>
      <c r="J818" s="92"/>
      <c r="K818" s="92"/>
      <c r="L818" s="92"/>
      <c r="M818" s="92"/>
      <c r="N818" s="155"/>
      <c r="O818" s="157"/>
      <c r="P818" s="92"/>
      <c r="Q818" s="145"/>
      <c r="R818" s="92"/>
      <c r="S818" s="145"/>
      <c r="T818" s="92"/>
      <c r="U818" s="145"/>
      <c r="V818" s="92"/>
      <c r="W818" s="145"/>
      <c r="X818" s="92"/>
      <c r="Y818" s="145"/>
      <c r="Z818" s="92"/>
      <c r="AA818" s="145"/>
      <c r="AB818" s="64"/>
      <c r="AC818" s="145"/>
      <c r="AD818" s="64"/>
      <c r="AE818" s="145"/>
      <c r="AF818" s="196" t="str">
        <f t="shared" si="41"/>
        <v/>
      </c>
      <c r="AG818" s="95" t="b">
        <f t="shared" si="40"/>
        <v>0</v>
      </c>
      <c r="AH818" s="9"/>
      <c r="AI818" s="150">
        <f t="shared" si="39"/>
        <v>0</v>
      </c>
      <c r="AJ818" s="153" t="s">
        <v>6</v>
      </c>
    </row>
    <row r="819" spans="1:36" ht="30" customHeight="1">
      <c r="A819" s="92"/>
      <c r="B819" s="92"/>
      <c r="C819" s="92"/>
      <c r="D819" s="92"/>
      <c r="E819" s="92"/>
      <c r="F819" s="92"/>
      <c r="G819" s="92"/>
      <c r="H819" s="92"/>
      <c r="I819" s="92"/>
      <c r="J819" s="92"/>
      <c r="K819" s="92"/>
      <c r="L819" s="92"/>
      <c r="M819" s="92"/>
      <c r="N819" s="155"/>
      <c r="O819" s="157"/>
      <c r="P819" s="92"/>
      <c r="Q819" s="145"/>
      <c r="R819" s="92"/>
      <c r="S819" s="145"/>
      <c r="T819" s="92"/>
      <c r="U819" s="145"/>
      <c r="V819" s="92"/>
      <c r="W819" s="145"/>
      <c r="X819" s="92"/>
      <c r="Y819" s="145"/>
      <c r="Z819" s="92"/>
      <c r="AA819" s="145"/>
      <c r="AB819" s="64"/>
      <c r="AC819" s="145"/>
      <c r="AD819" s="64"/>
      <c r="AE819" s="145"/>
      <c r="AF819" s="196" t="str">
        <f t="shared" si="41"/>
        <v/>
      </c>
      <c r="AG819" s="95" t="b">
        <f t="shared" si="40"/>
        <v>0</v>
      </c>
      <c r="AH819" s="9"/>
      <c r="AI819" s="150">
        <f t="shared" si="39"/>
        <v>0</v>
      </c>
      <c r="AJ819" s="153" t="s">
        <v>6</v>
      </c>
    </row>
    <row r="820" spans="1:36" ht="30" customHeight="1">
      <c r="A820" s="92"/>
      <c r="B820" s="92"/>
      <c r="C820" s="92"/>
      <c r="D820" s="92"/>
      <c r="E820" s="92"/>
      <c r="F820" s="92"/>
      <c r="G820" s="92"/>
      <c r="H820" s="92"/>
      <c r="I820" s="92"/>
      <c r="J820" s="92"/>
      <c r="K820" s="92"/>
      <c r="L820" s="92"/>
      <c r="M820" s="92"/>
      <c r="N820" s="155"/>
      <c r="O820" s="157"/>
      <c r="P820" s="92"/>
      <c r="Q820" s="145"/>
      <c r="R820" s="92"/>
      <c r="S820" s="145"/>
      <c r="T820" s="92"/>
      <c r="U820" s="145"/>
      <c r="V820" s="92"/>
      <c r="W820" s="145"/>
      <c r="X820" s="92"/>
      <c r="Y820" s="145"/>
      <c r="Z820" s="92"/>
      <c r="AA820" s="145"/>
      <c r="AB820" s="64"/>
      <c r="AC820" s="145"/>
      <c r="AD820" s="64"/>
      <c r="AE820" s="145"/>
      <c r="AF820" s="196" t="str">
        <f t="shared" si="41"/>
        <v/>
      </c>
      <c r="AG820" s="95" t="b">
        <f t="shared" si="40"/>
        <v>0</v>
      </c>
      <c r="AH820" s="9"/>
      <c r="AI820" s="150">
        <f t="shared" si="39"/>
        <v>0</v>
      </c>
      <c r="AJ820" s="153" t="s">
        <v>6</v>
      </c>
    </row>
    <row r="821" spans="1:36" ht="30" customHeight="1">
      <c r="A821" s="92"/>
      <c r="B821" s="92"/>
      <c r="C821" s="92"/>
      <c r="D821" s="92"/>
      <c r="E821" s="92"/>
      <c r="F821" s="92"/>
      <c r="G821" s="92"/>
      <c r="H821" s="92"/>
      <c r="I821" s="92"/>
      <c r="J821" s="92"/>
      <c r="K821" s="92"/>
      <c r="L821" s="92"/>
      <c r="M821" s="92"/>
      <c r="N821" s="155"/>
      <c r="O821" s="157"/>
      <c r="P821" s="92"/>
      <c r="Q821" s="145"/>
      <c r="R821" s="92"/>
      <c r="S821" s="145"/>
      <c r="T821" s="92"/>
      <c r="U821" s="145"/>
      <c r="V821" s="92"/>
      <c r="W821" s="145"/>
      <c r="X821" s="92"/>
      <c r="Y821" s="145"/>
      <c r="Z821" s="92"/>
      <c r="AA821" s="145"/>
      <c r="AB821" s="64"/>
      <c r="AC821" s="145"/>
      <c r="AD821" s="64"/>
      <c r="AE821" s="145"/>
      <c r="AF821" s="196" t="str">
        <f t="shared" si="41"/>
        <v/>
      </c>
      <c r="AG821" s="95" t="b">
        <f t="shared" si="40"/>
        <v>0</v>
      </c>
      <c r="AH821" s="9"/>
      <c r="AI821" s="150">
        <f t="shared" si="39"/>
        <v>0</v>
      </c>
      <c r="AJ821" s="153" t="s">
        <v>6</v>
      </c>
    </row>
    <row r="822" spans="1:36" ht="30" customHeight="1">
      <c r="A822" s="92"/>
      <c r="B822" s="92"/>
      <c r="C822" s="92"/>
      <c r="D822" s="92"/>
      <c r="E822" s="92"/>
      <c r="F822" s="92"/>
      <c r="G822" s="92"/>
      <c r="H822" s="92"/>
      <c r="I822" s="92"/>
      <c r="J822" s="92"/>
      <c r="K822" s="92"/>
      <c r="L822" s="92"/>
      <c r="M822" s="92"/>
      <c r="N822" s="155"/>
      <c r="O822" s="157"/>
      <c r="P822" s="92"/>
      <c r="Q822" s="145"/>
      <c r="R822" s="92"/>
      <c r="S822" s="145"/>
      <c r="T822" s="92"/>
      <c r="U822" s="145"/>
      <c r="V822" s="92"/>
      <c r="W822" s="145"/>
      <c r="X822" s="92"/>
      <c r="Y822" s="145"/>
      <c r="Z822" s="92"/>
      <c r="AA822" s="145"/>
      <c r="AB822" s="64"/>
      <c r="AC822" s="145"/>
      <c r="AD822" s="64"/>
      <c r="AE822" s="145"/>
      <c r="AF822" s="196" t="str">
        <f t="shared" si="41"/>
        <v/>
      </c>
      <c r="AG822" s="95" t="b">
        <f t="shared" si="40"/>
        <v>0</v>
      </c>
      <c r="AH822" s="9"/>
      <c r="AI822" s="150">
        <f t="shared" si="39"/>
        <v>0</v>
      </c>
      <c r="AJ822" s="153" t="s">
        <v>6</v>
      </c>
    </row>
    <row r="823" spans="1:36" ht="30" customHeight="1">
      <c r="A823" s="92"/>
      <c r="B823" s="92"/>
      <c r="C823" s="92"/>
      <c r="D823" s="92"/>
      <c r="E823" s="92"/>
      <c r="F823" s="92"/>
      <c r="G823" s="92"/>
      <c r="H823" s="92"/>
      <c r="I823" s="92"/>
      <c r="J823" s="92"/>
      <c r="K823" s="92"/>
      <c r="L823" s="92"/>
      <c r="M823" s="92"/>
      <c r="N823" s="155"/>
      <c r="O823" s="157"/>
      <c r="P823" s="92"/>
      <c r="Q823" s="145"/>
      <c r="R823" s="92"/>
      <c r="S823" s="145"/>
      <c r="T823" s="92"/>
      <c r="U823" s="145"/>
      <c r="V823" s="92"/>
      <c r="W823" s="145"/>
      <c r="X823" s="92"/>
      <c r="Y823" s="145"/>
      <c r="Z823" s="92"/>
      <c r="AA823" s="145"/>
      <c r="AB823" s="64"/>
      <c r="AC823" s="145"/>
      <c r="AD823" s="64"/>
      <c r="AE823" s="145"/>
      <c r="AF823" s="196" t="str">
        <f t="shared" si="41"/>
        <v/>
      </c>
      <c r="AG823" s="95" t="b">
        <f t="shared" si="40"/>
        <v>0</v>
      </c>
      <c r="AH823" s="9"/>
      <c r="AI823" s="150">
        <f t="shared" si="39"/>
        <v>0</v>
      </c>
      <c r="AJ823" s="153" t="s">
        <v>6</v>
      </c>
    </row>
    <row r="824" spans="1:36" ht="30" customHeight="1">
      <c r="A824" s="92"/>
      <c r="B824" s="92"/>
      <c r="C824" s="92"/>
      <c r="D824" s="92"/>
      <c r="E824" s="92"/>
      <c r="F824" s="92"/>
      <c r="G824" s="92"/>
      <c r="H824" s="92"/>
      <c r="I824" s="92"/>
      <c r="J824" s="92"/>
      <c r="K824" s="92"/>
      <c r="L824" s="92"/>
      <c r="M824" s="92"/>
      <c r="N824" s="155"/>
      <c r="O824" s="157"/>
      <c r="P824" s="92"/>
      <c r="Q824" s="145"/>
      <c r="R824" s="92"/>
      <c r="S824" s="145"/>
      <c r="T824" s="92"/>
      <c r="U824" s="145"/>
      <c r="V824" s="92"/>
      <c r="W824" s="145"/>
      <c r="X824" s="92"/>
      <c r="Y824" s="145"/>
      <c r="Z824" s="92"/>
      <c r="AA824" s="145"/>
      <c r="AB824" s="64"/>
      <c r="AC824" s="145"/>
      <c r="AD824" s="64"/>
      <c r="AE824" s="145"/>
      <c r="AF824" s="196" t="str">
        <f t="shared" si="41"/>
        <v/>
      </c>
      <c r="AG824" s="95" t="b">
        <f t="shared" si="40"/>
        <v>0</v>
      </c>
      <c r="AH824" s="9"/>
      <c r="AI824" s="150">
        <f t="shared" si="39"/>
        <v>0</v>
      </c>
      <c r="AJ824" s="153" t="s">
        <v>6</v>
      </c>
    </row>
    <row r="825" spans="1:36" ht="30" customHeight="1">
      <c r="A825" s="92"/>
      <c r="B825" s="92"/>
      <c r="C825" s="92"/>
      <c r="D825" s="92"/>
      <c r="E825" s="92"/>
      <c r="F825" s="92"/>
      <c r="G825" s="92"/>
      <c r="H825" s="92"/>
      <c r="I825" s="92"/>
      <c r="J825" s="92"/>
      <c r="K825" s="92"/>
      <c r="L825" s="92"/>
      <c r="M825" s="92"/>
      <c r="N825" s="155"/>
      <c r="O825" s="157"/>
      <c r="P825" s="92"/>
      <c r="Q825" s="145"/>
      <c r="R825" s="92"/>
      <c r="S825" s="145"/>
      <c r="T825" s="92"/>
      <c r="U825" s="145"/>
      <c r="V825" s="92"/>
      <c r="W825" s="145"/>
      <c r="X825" s="92"/>
      <c r="Y825" s="145"/>
      <c r="Z825" s="92"/>
      <c r="AA825" s="145"/>
      <c r="AB825" s="64"/>
      <c r="AC825" s="145"/>
      <c r="AD825" s="64"/>
      <c r="AE825" s="145"/>
      <c r="AF825" s="196" t="str">
        <f t="shared" si="41"/>
        <v/>
      </c>
      <c r="AG825" s="95" t="b">
        <f t="shared" si="40"/>
        <v>0</v>
      </c>
      <c r="AH825" s="9"/>
      <c r="AI825" s="150">
        <f t="shared" si="39"/>
        <v>0</v>
      </c>
      <c r="AJ825" s="153" t="s">
        <v>6</v>
      </c>
    </row>
    <row r="826" spans="1:36" ht="30" customHeight="1">
      <c r="A826" s="92"/>
      <c r="B826" s="92"/>
      <c r="C826" s="92"/>
      <c r="D826" s="92"/>
      <c r="E826" s="92"/>
      <c r="F826" s="92"/>
      <c r="G826" s="92"/>
      <c r="H826" s="92"/>
      <c r="I826" s="92"/>
      <c r="J826" s="92"/>
      <c r="K826" s="92"/>
      <c r="L826" s="92"/>
      <c r="M826" s="92"/>
      <c r="N826" s="155"/>
      <c r="O826" s="157"/>
      <c r="P826" s="92"/>
      <c r="Q826" s="145"/>
      <c r="R826" s="92"/>
      <c r="S826" s="145"/>
      <c r="T826" s="92"/>
      <c r="U826" s="145"/>
      <c r="V826" s="92"/>
      <c r="W826" s="145"/>
      <c r="X826" s="92"/>
      <c r="Y826" s="145"/>
      <c r="Z826" s="92"/>
      <c r="AA826" s="145"/>
      <c r="AB826" s="64"/>
      <c r="AC826" s="145"/>
      <c r="AD826" s="64"/>
      <c r="AE826" s="145"/>
      <c r="AF826" s="196" t="str">
        <f t="shared" si="41"/>
        <v/>
      </c>
      <c r="AG826" s="95" t="b">
        <f t="shared" si="40"/>
        <v>0</v>
      </c>
      <c r="AH826" s="9"/>
      <c r="AI826" s="150">
        <f t="shared" si="39"/>
        <v>0</v>
      </c>
      <c r="AJ826" s="153" t="s">
        <v>6</v>
      </c>
    </row>
    <row r="827" spans="1:36" ht="30" customHeight="1">
      <c r="A827" s="92"/>
      <c r="B827" s="92"/>
      <c r="C827" s="92"/>
      <c r="D827" s="92"/>
      <c r="E827" s="92"/>
      <c r="F827" s="92"/>
      <c r="G827" s="92"/>
      <c r="H827" s="92"/>
      <c r="I827" s="92"/>
      <c r="J827" s="92"/>
      <c r="K827" s="92"/>
      <c r="L827" s="92"/>
      <c r="M827" s="92"/>
      <c r="N827" s="155"/>
      <c r="O827" s="157"/>
      <c r="P827" s="92"/>
      <c r="Q827" s="145"/>
      <c r="R827" s="92"/>
      <c r="S827" s="145"/>
      <c r="T827" s="92"/>
      <c r="U827" s="145"/>
      <c r="V827" s="92"/>
      <c r="W827" s="145"/>
      <c r="X827" s="92"/>
      <c r="Y827" s="145"/>
      <c r="Z827" s="92"/>
      <c r="AA827" s="145"/>
      <c r="AB827" s="64"/>
      <c r="AC827" s="145"/>
      <c r="AD827" s="64"/>
      <c r="AE827" s="145"/>
      <c r="AF827" s="196" t="str">
        <f t="shared" si="41"/>
        <v/>
      </c>
      <c r="AG827" s="95" t="b">
        <f t="shared" si="40"/>
        <v>0</v>
      </c>
      <c r="AH827" s="9"/>
      <c r="AI827" s="150">
        <f t="shared" si="39"/>
        <v>0</v>
      </c>
      <c r="AJ827" s="153" t="s">
        <v>6</v>
      </c>
    </row>
    <row r="828" spans="1:36" ht="30" customHeight="1">
      <c r="A828" s="92"/>
      <c r="B828" s="92"/>
      <c r="C828" s="92"/>
      <c r="D828" s="92"/>
      <c r="E828" s="92"/>
      <c r="F828" s="92"/>
      <c r="G828" s="92"/>
      <c r="H828" s="92"/>
      <c r="I828" s="92"/>
      <c r="J828" s="92"/>
      <c r="K828" s="92"/>
      <c r="L828" s="92"/>
      <c r="M828" s="92"/>
      <c r="N828" s="155"/>
      <c r="O828" s="157"/>
      <c r="P828" s="92"/>
      <c r="Q828" s="145"/>
      <c r="R828" s="92"/>
      <c r="S828" s="145"/>
      <c r="T828" s="92"/>
      <c r="U828" s="145"/>
      <c r="V828" s="92"/>
      <c r="W828" s="145"/>
      <c r="X828" s="92"/>
      <c r="Y828" s="145"/>
      <c r="Z828" s="92"/>
      <c r="AA828" s="145"/>
      <c r="AB828" s="64"/>
      <c r="AC828" s="145"/>
      <c r="AD828" s="64"/>
      <c r="AE828" s="145"/>
      <c r="AF828" s="196" t="str">
        <f t="shared" si="41"/>
        <v/>
      </c>
      <c r="AG828" s="95" t="b">
        <f t="shared" si="40"/>
        <v>0</v>
      </c>
      <c r="AH828" s="9"/>
      <c r="AI828" s="150">
        <f t="shared" si="39"/>
        <v>0</v>
      </c>
      <c r="AJ828" s="153" t="s">
        <v>6</v>
      </c>
    </row>
    <row r="829" spans="1:36" ht="30" customHeight="1">
      <c r="A829" s="92"/>
      <c r="B829" s="92"/>
      <c r="C829" s="92"/>
      <c r="D829" s="92"/>
      <c r="E829" s="92"/>
      <c r="F829" s="92"/>
      <c r="G829" s="92"/>
      <c r="H829" s="92"/>
      <c r="I829" s="92"/>
      <c r="J829" s="92"/>
      <c r="K829" s="92"/>
      <c r="L829" s="92"/>
      <c r="M829" s="92"/>
      <c r="N829" s="155"/>
      <c r="O829" s="157"/>
      <c r="P829" s="92"/>
      <c r="Q829" s="145"/>
      <c r="R829" s="92"/>
      <c r="S829" s="145"/>
      <c r="T829" s="92"/>
      <c r="U829" s="145"/>
      <c r="V829" s="92"/>
      <c r="W829" s="145"/>
      <c r="X829" s="92"/>
      <c r="Y829" s="145"/>
      <c r="Z829" s="92"/>
      <c r="AA829" s="145"/>
      <c r="AB829" s="64"/>
      <c r="AC829" s="145"/>
      <c r="AD829" s="64"/>
      <c r="AE829" s="145"/>
      <c r="AF829" s="196" t="str">
        <f t="shared" si="41"/>
        <v/>
      </c>
      <c r="AG829" s="95" t="b">
        <f t="shared" si="40"/>
        <v>0</v>
      </c>
      <c r="AH829" s="9"/>
      <c r="AI829" s="150">
        <f t="shared" si="39"/>
        <v>0</v>
      </c>
      <c r="AJ829" s="153" t="s">
        <v>6</v>
      </c>
    </row>
    <row r="830" spans="1:36" ht="30" customHeight="1">
      <c r="A830" s="92"/>
      <c r="B830" s="92"/>
      <c r="C830" s="92"/>
      <c r="D830" s="92"/>
      <c r="E830" s="92"/>
      <c r="F830" s="92"/>
      <c r="G830" s="92"/>
      <c r="H830" s="92"/>
      <c r="I830" s="92"/>
      <c r="J830" s="92"/>
      <c r="K830" s="92"/>
      <c r="L830" s="92"/>
      <c r="M830" s="92"/>
      <c r="N830" s="155"/>
      <c r="O830" s="157"/>
      <c r="P830" s="92"/>
      <c r="Q830" s="145"/>
      <c r="R830" s="92"/>
      <c r="S830" s="145"/>
      <c r="T830" s="92"/>
      <c r="U830" s="145"/>
      <c r="V830" s="92"/>
      <c r="W830" s="145"/>
      <c r="X830" s="92"/>
      <c r="Y830" s="145"/>
      <c r="Z830" s="92"/>
      <c r="AA830" s="145"/>
      <c r="AB830" s="64"/>
      <c r="AC830" s="145"/>
      <c r="AD830" s="64"/>
      <c r="AE830" s="145"/>
      <c r="AF830" s="196" t="str">
        <f t="shared" si="41"/>
        <v/>
      </c>
      <c r="AG830" s="95" t="b">
        <f t="shared" si="40"/>
        <v>0</v>
      </c>
      <c r="AH830" s="9"/>
      <c r="AI830" s="150">
        <f t="shared" si="39"/>
        <v>0</v>
      </c>
      <c r="AJ830" s="153" t="s">
        <v>6</v>
      </c>
    </row>
    <row r="831" spans="1:36" ht="30" customHeight="1">
      <c r="A831" s="92"/>
      <c r="B831" s="92"/>
      <c r="C831" s="92"/>
      <c r="D831" s="92"/>
      <c r="E831" s="92"/>
      <c r="F831" s="92"/>
      <c r="G831" s="92"/>
      <c r="H831" s="92"/>
      <c r="I831" s="92"/>
      <c r="J831" s="92"/>
      <c r="K831" s="92"/>
      <c r="L831" s="92"/>
      <c r="M831" s="92"/>
      <c r="N831" s="155"/>
      <c r="O831" s="157"/>
      <c r="P831" s="92"/>
      <c r="Q831" s="145"/>
      <c r="R831" s="92"/>
      <c r="S831" s="145"/>
      <c r="T831" s="92"/>
      <c r="U831" s="145"/>
      <c r="V831" s="92"/>
      <c r="W831" s="145"/>
      <c r="X831" s="92"/>
      <c r="Y831" s="145"/>
      <c r="Z831" s="92"/>
      <c r="AA831" s="145"/>
      <c r="AB831" s="64"/>
      <c r="AC831" s="145"/>
      <c r="AD831" s="64"/>
      <c r="AE831" s="145"/>
      <c r="AF831" s="196" t="str">
        <f t="shared" si="41"/>
        <v/>
      </c>
      <c r="AG831" s="95" t="b">
        <f t="shared" si="40"/>
        <v>0</v>
      </c>
      <c r="AH831" s="9"/>
      <c r="AI831" s="150">
        <f t="shared" si="39"/>
        <v>0</v>
      </c>
      <c r="AJ831" s="153" t="s">
        <v>6</v>
      </c>
    </row>
    <row r="832" spans="1:36" ht="30" customHeight="1">
      <c r="A832" s="92"/>
      <c r="B832" s="92"/>
      <c r="C832" s="92"/>
      <c r="D832" s="92"/>
      <c r="E832" s="92"/>
      <c r="F832" s="92"/>
      <c r="G832" s="92"/>
      <c r="H832" s="92"/>
      <c r="I832" s="92"/>
      <c r="J832" s="92"/>
      <c r="K832" s="92"/>
      <c r="L832" s="92"/>
      <c r="M832" s="92"/>
      <c r="N832" s="155"/>
      <c r="O832" s="157"/>
      <c r="P832" s="92"/>
      <c r="Q832" s="145"/>
      <c r="R832" s="92"/>
      <c r="S832" s="145"/>
      <c r="T832" s="92"/>
      <c r="U832" s="145"/>
      <c r="V832" s="92"/>
      <c r="W832" s="145"/>
      <c r="X832" s="92"/>
      <c r="Y832" s="145"/>
      <c r="Z832" s="92"/>
      <c r="AA832" s="145"/>
      <c r="AB832" s="64"/>
      <c r="AC832" s="145"/>
      <c r="AD832" s="64"/>
      <c r="AE832" s="145"/>
      <c r="AF832" s="196" t="str">
        <f t="shared" si="41"/>
        <v/>
      </c>
      <c r="AG832" s="95" t="b">
        <f t="shared" si="40"/>
        <v>0</v>
      </c>
      <c r="AH832" s="9"/>
      <c r="AI832" s="150">
        <f t="shared" ref="AI832:AI895" si="42">E832</f>
        <v>0</v>
      </c>
      <c r="AJ832" s="153" t="s">
        <v>6</v>
      </c>
    </row>
    <row r="833" spans="1:36" ht="30" customHeight="1">
      <c r="A833" s="92"/>
      <c r="B833" s="92"/>
      <c r="C833" s="92"/>
      <c r="D833" s="92"/>
      <c r="E833" s="92"/>
      <c r="F833" s="92"/>
      <c r="G833" s="92"/>
      <c r="H833" s="92"/>
      <c r="I833" s="92"/>
      <c r="J833" s="92"/>
      <c r="K833" s="92"/>
      <c r="L833" s="92"/>
      <c r="M833" s="92"/>
      <c r="N833" s="155"/>
      <c r="O833" s="157"/>
      <c r="P833" s="92"/>
      <c r="Q833" s="145"/>
      <c r="R833" s="92"/>
      <c r="S833" s="145"/>
      <c r="T833" s="92"/>
      <c r="U833" s="145"/>
      <c r="V833" s="92"/>
      <c r="W833" s="145"/>
      <c r="X833" s="92"/>
      <c r="Y833" s="145"/>
      <c r="Z833" s="92"/>
      <c r="AA833" s="145"/>
      <c r="AB833" s="64"/>
      <c r="AC833" s="145"/>
      <c r="AD833" s="64"/>
      <c r="AE833" s="145"/>
      <c r="AF833" s="196" t="str">
        <f t="shared" si="41"/>
        <v/>
      </c>
      <c r="AG833" s="95" t="b">
        <f t="shared" si="40"/>
        <v>0</v>
      </c>
      <c r="AH833" s="9"/>
      <c r="AI833" s="150">
        <f t="shared" si="42"/>
        <v>0</v>
      </c>
      <c r="AJ833" s="153" t="s">
        <v>6</v>
      </c>
    </row>
    <row r="834" spans="1:36" ht="30" customHeight="1">
      <c r="A834" s="92"/>
      <c r="B834" s="92"/>
      <c r="C834" s="92"/>
      <c r="D834" s="92"/>
      <c r="E834" s="92"/>
      <c r="F834" s="92"/>
      <c r="G834" s="92"/>
      <c r="H834" s="92"/>
      <c r="I834" s="92"/>
      <c r="J834" s="92"/>
      <c r="K834" s="92"/>
      <c r="L834" s="92"/>
      <c r="M834" s="92"/>
      <c r="N834" s="155"/>
      <c r="O834" s="157"/>
      <c r="P834" s="92"/>
      <c r="Q834" s="145"/>
      <c r="R834" s="92"/>
      <c r="S834" s="145"/>
      <c r="T834" s="92"/>
      <c r="U834" s="145"/>
      <c r="V834" s="92"/>
      <c r="W834" s="145"/>
      <c r="X834" s="92"/>
      <c r="Y834" s="145"/>
      <c r="Z834" s="92"/>
      <c r="AA834" s="145"/>
      <c r="AB834" s="64"/>
      <c r="AC834" s="145"/>
      <c r="AD834" s="64"/>
      <c r="AE834" s="145"/>
      <c r="AF834" s="196" t="str">
        <f t="shared" si="41"/>
        <v/>
      </c>
      <c r="AG834" s="95" t="b">
        <f t="shared" si="40"/>
        <v>0</v>
      </c>
      <c r="AH834" s="9"/>
      <c r="AI834" s="150">
        <f t="shared" si="42"/>
        <v>0</v>
      </c>
      <c r="AJ834" s="153" t="s">
        <v>6</v>
      </c>
    </row>
    <row r="835" spans="1:36" ht="30" customHeight="1">
      <c r="A835" s="92"/>
      <c r="B835" s="92"/>
      <c r="C835" s="92"/>
      <c r="D835" s="92"/>
      <c r="E835" s="92"/>
      <c r="F835" s="92"/>
      <c r="G835" s="92"/>
      <c r="H835" s="92"/>
      <c r="I835" s="92"/>
      <c r="J835" s="92"/>
      <c r="K835" s="92"/>
      <c r="L835" s="92"/>
      <c r="M835" s="92"/>
      <c r="N835" s="155"/>
      <c r="O835" s="157"/>
      <c r="P835" s="92"/>
      <c r="Q835" s="145"/>
      <c r="R835" s="92"/>
      <c r="S835" s="145"/>
      <c r="T835" s="92"/>
      <c r="U835" s="145"/>
      <c r="V835" s="92"/>
      <c r="W835" s="145"/>
      <c r="X835" s="92"/>
      <c r="Y835" s="145"/>
      <c r="Z835" s="92"/>
      <c r="AA835" s="145"/>
      <c r="AB835" s="64"/>
      <c r="AC835" s="145"/>
      <c r="AD835" s="64"/>
      <c r="AE835" s="145"/>
      <c r="AF835" s="196" t="str">
        <f t="shared" si="41"/>
        <v/>
      </c>
      <c r="AG835" s="95" t="b">
        <f t="shared" si="40"/>
        <v>0</v>
      </c>
      <c r="AH835" s="9"/>
      <c r="AI835" s="150">
        <f t="shared" si="42"/>
        <v>0</v>
      </c>
      <c r="AJ835" s="153" t="s">
        <v>6</v>
      </c>
    </row>
    <row r="836" spans="1:36" ht="30" customHeight="1">
      <c r="A836" s="92"/>
      <c r="B836" s="92"/>
      <c r="C836" s="92"/>
      <c r="D836" s="92"/>
      <c r="E836" s="92"/>
      <c r="F836" s="92"/>
      <c r="G836" s="92"/>
      <c r="H836" s="92"/>
      <c r="I836" s="92"/>
      <c r="J836" s="92"/>
      <c r="K836" s="92"/>
      <c r="L836" s="92"/>
      <c r="M836" s="92"/>
      <c r="N836" s="155"/>
      <c r="O836" s="157"/>
      <c r="P836" s="92"/>
      <c r="Q836" s="145"/>
      <c r="R836" s="92"/>
      <c r="S836" s="145"/>
      <c r="T836" s="92"/>
      <c r="U836" s="145"/>
      <c r="V836" s="92"/>
      <c r="W836" s="145"/>
      <c r="X836" s="92"/>
      <c r="Y836" s="145"/>
      <c r="Z836" s="92"/>
      <c r="AA836" s="145"/>
      <c r="AB836" s="64"/>
      <c r="AC836" s="145"/>
      <c r="AD836" s="64"/>
      <c r="AE836" s="145"/>
      <c r="AF836" s="196" t="str">
        <f t="shared" si="41"/>
        <v/>
      </c>
      <c r="AG836" s="95" t="b">
        <f t="shared" si="40"/>
        <v>0</v>
      </c>
      <c r="AH836" s="9"/>
      <c r="AI836" s="150">
        <f t="shared" si="42"/>
        <v>0</v>
      </c>
      <c r="AJ836" s="153" t="s">
        <v>6</v>
      </c>
    </row>
    <row r="837" spans="1:36" ht="30" customHeight="1">
      <c r="A837" s="92"/>
      <c r="B837" s="92"/>
      <c r="C837" s="92"/>
      <c r="D837" s="92"/>
      <c r="E837" s="92"/>
      <c r="F837" s="92"/>
      <c r="G837" s="92"/>
      <c r="H837" s="92"/>
      <c r="I837" s="92"/>
      <c r="J837" s="92"/>
      <c r="K837" s="92"/>
      <c r="L837" s="92"/>
      <c r="M837" s="92"/>
      <c r="N837" s="155"/>
      <c r="O837" s="157"/>
      <c r="P837" s="92"/>
      <c r="Q837" s="145"/>
      <c r="R837" s="92"/>
      <c r="S837" s="145"/>
      <c r="T837" s="92"/>
      <c r="U837" s="145"/>
      <c r="V837" s="92"/>
      <c r="W837" s="145"/>
      <c r="X837" s="92"/>
      <c r="Y837" s="145"/>
      <c r="Z837" s="92"/>
      <c r="AA837" s="145"/>
      <c r="AB837" s="64"/>
      <c r="AC837" s="145"/>
      <c r="AD837" s="64"/>
      <c r="AE837" s="145"/>
      <c r="AF837" s="196" t="str">
        <f t="shared" si="41"/>
        <v/>
      </c>
      <c r="AG837" s="95" t="b">
        <f t="shared" si="40"/>
        <v>0</v>
      </c>
      <c r="AH837" s="9"/>
      <c r="AI837" s="150">
        <f t="shared" si="42"/>
        <v>0</v>
      </c>
      <c r="AJ837" s="153" t="s">
        <v>6</v>
      </c>
    </row>
    <row r="838" spans="1:36" ht="30" customHeight="1">
      <c r="A838" s="92"/>
      <c r="B838" s="92"/>
      <c r="C838" s="92"/>
      <c r="D838" s="92"/>
      <c r="E838" s="92"/>
      <c r="F838" s="92"/>
      <c r="G838" s="92"/>
      <c r="H838" s="92"/>
      <c r="I838" s="92"/>
      <c r="J838" s="92"/>
      <c r="K838" s="92"/>
      <c r="L838" s="92"/>
      <c r="M838" s="92"/>
      <c r="N838" s="155"/>
      <c r="O838" s="157"/>
      <c r="P838" s="92"/>
      <c r="Q838" s="145"/>
      <c r="R838" s="92"/>
      <c r="S838" s="145"/>
      <c r="T838" s="92"/>
      <c r="U838" s="145"/>
      <c r="V838" s="92"/>
      <c r="W838" s="145"/>
      <c r="X838" s="92"/>
      <c r="Y838" s="145"/>
      <c r="Z838" s="92"/>
      <c r="AA838" s="145"/>
      <c r="AB838" s="64"/>
      <c r="AC838" s="145"/>
      <c r="AD838" s="64"/>
      <c r="AE838" s="145"/>
      <c r="AF838" s="196" t="str">
        <f t="shared" si="41"/>
        <v/>
      </c>
      <c r="AG838" s="95" t="b">
        <f t="shared" si="40"/>
        <v>0</v>
      </c>
      <c r="AH838" s="9"/>
      <c r="AI838" s="150">
        <f t="shared" si="42"/>
        <v>0</v>
      </c>
      <c r="AJ838" s="153" t="s">
        <v>6</v>
      </c>
    </row>
    <row r="839" spans="1:36" ht="30" customHeight="1">
      <c r="A839" s="92"/>
      <c r="B839" s="92"/>
      <c r="C839" s="92"/>
      <c r="D839" s="92"/>
      <c r="E839" s="92"/>
      <c r="F839" s="92"/>
      <c r="G839" s="92"/>
      <c r="H839" s="92"/>
      <c r="I839" s="92"/>
      <c r="J839" s="92"/>
      <c r="K839" s="92"/>
      <c r="L839" s="92"/>
      <c r="M839" s="92"/>
      <c r="N839" s="155"/>
      <c r="O839" s="157"/>
      <c r="P839" s="92"/>
      <c r="Q839" s="145"/>
      <c r="R839" s="92"/>
      <c r="S839" s="145"/>
      <c r="T839" s="92"/>
      <c r="U839" s="145"/>
      <c r="V839" s="92"/>
      <c r="W839" s="145"/>
      <c r="X839" s="92"/>
      <c r="Y839" s="145"/>
      <c r="Z839" s="92"/>
      <c r="AA839" s="145"/>
      <c r="AB839" s="64"/>
      <c r="AC839" s="145"/>
      <c r="AD839" s="64"/>
      <c r="AE839" s="145"/>
      <c r="AF839" s="196" t="str">
        <f t="shared" si="41"/>
        <v/>
      </c>
      <c r="AG839" s="95" t="b">
        <f t="shared" si="40"/>
        <v>0</v>
      </c>
      <c r="AH839" s="9"/>
      <c r="AI839" s="150">
        <f t="shared" si="42"/>
        <v>0</v>
      </c>
      <c r="AJ839" s="153" t="s">
        <v>6</v>
      </c>
    </row>
    <row r="840" spans="1:36" ht="30" customHeight="1">
      <c r="A840" s="92"/>
      <c r="B840" s="92"/>
      <c r="C840" s="92"/>
      <c r="D840" s="92"/>
      <c r="E840" s="92"/>
      <c r="F840" s="92"/>
      <c r="G840" s="92"/>
      <c r="H840" s="92"/>
      <c r="I840" s="92"/>
      <c r="J840" s="92"/>
      <c r="K840" s="92"/>
      <c r="L840" s="92"/>
      <c r="M840" s="92"/>
      <c r="N840" s="155"/>
      <c r="O840" s="157"/>
      <c r="P840" s="92"/>
      <c r="Q840" s="145"/>
      <c r="R840" s="92"/>
      <c r="S840" s="145"/>
      <c r="T840" s="92"/>
      <c r="U840" s="145"/>
      <c r="V840" s="92"/>
      <c r="W840" s="145"/>
      <c r="X840" s="92"/>
      <c r="Y840" s="145"/>
      <c r="Z840" s="92"/>
      <c r="AA840" s="145"/>
      <c r="AB840" s="64"/>
      <c r="AC840" s="145"/>
      <c r="AD840" s="64"/>
      <c r="AE840" s="145"/>
      <c r="AF840" s="196" t="str">
        <f t="shared" si="41"/>
        <v/>
      </c>
      <c r="AG840" s="95" t="b">
        <f t="shared" si="40"/>
        <v>0</v>
      </c>
      <c r="AH840" s="9"/>
      <c r="AI840" s="150">
        <f t="shared" si="42"/>
        <v>0</v>
      </c>
      <c r="AJ840" s="153" t="s">
        <v>6</v>
      </c>
    </row>
    <row r="841" spans="1:36" ht="30" customHeight="1">
      <c r="A841" s="92"/>
      <c r="B841" s="92"/>
      <c r="C841" s="92"/>
      <c r="D841" s="92"/>
      <c r="E841" s="92"/>
      <c r="F841" s="92"/>
      <c r="G841" s="92"/>
      <c r="H841" s="92"/>
      <c r="I841" s="92"/>
      <c r="J841" s="92"/>
      <c r="K841" s="92"/>
      <c r="L841" s="92"/>
      <c r="M841" s="92"/>
      <c r="N841" s="155"/>
      <c r="O841" s="157"/>
      <c r="P841" s="92"/>
      <c r="Q841" s="145"/>
      <c r="R841" s="92"/>
      <c r="S841" s="145"/>
      <c r="T841" s="92"/>
      <c r="U841" s="145"/>
      <c r="V841" s="92"/>
      <c r="W841" s="145"/>
      <c r="X841" s="92"/>
      <c r="Y841" s="145"/>
      <c r="Z841" s="92"/>
      <c r="AA841" s="145"/>
      <c r="AB841" s="64"/>
      <c r="AC841" s="145"/>
      <c r="AD841" s="64"/>
      <c r="AE841" s="145"/>
      <c r="AF841" s="196" t="str">
        <f t="shared" si="41"/>
        <v/>
      </c>
      <c r="AG841" s="95" t="b">
        <f t="shared" si="40"/>
        <v>0</v>
      </c>
      <c r="AH841" s="9"/>
      <c r="AI841" s="150">
        <f t="shared" si="42"/>
        <v>0</v>
      </c>
      <c r="AJ841" s="153" t="s">
        <v>6</v>
      </c>
    </row>
    <row r="842" spans="1:36" ht="30" customHeight="1">
      <c r="A842" s="92"/>
      <c r="B842" s="92"/>
      <c r="C842" s="92"/>
      <c r="D842" s="92"/>
      <c r="E842" s="92"/>
      <c r="F842" s="92"/>
      <c r="G842" s="92"/>
      <c r="H842" s="92"/>
      <c r="I842" s="92"/>
      <c r="J842" s="92"/>
      <c r="K842" s="92"/>
      <c r="L842" s="92"/>
      <c r="M842" s="92"/>
      <c r="N842" s="155"/>
      <c r="O842" s="157"/>
      <c r="P842" s="92"/>
      <c r="Q842" s="145"/>
      <c r="R842" s="92"/>
      <c r="S842" s="145"/>
      <c r="T842" s="92"/>
      <c r="U842" s="145"/>
      <c r="V842" s="92"/>
      <c r="W842" s="145"/>
      <c r="X842" s="92"/>
      <c r="Y842" s="145"/>
      <c r="Z842" s="92"/>
      <c r="AA842" s="145"/>
      <c r="AB842" s="64"/>
      <c r="AC842" s="145"/>
      <c r="AD842" s="64"/>
      <c r="AE842" s="145"/>
      <c r="AF842" s="196" t="str">
        <f t="shared" si="41"/>
        <v/>
      </c>
      <c r="AG842" s="95" t="b">
        <f t="shared" ref="AG842:AG905" si="43">IF(AND(AE842="C",AF842="C"),"UTILIZOU O PDA CORRETAMENTE",IF(AND(AE842="C",AF842="NC"),"UTILIZOU O PDA CORRETAMENTE. NÃO HÁ FOTOS DE TODAS AS ETAPAS",IF(AND(AE842="NC",AF842="NC"),"NÃO UTILIZOU O PDA",IF(AND(AE842="NA",AF842="NA"),"NÃO AVALIADO POR FALHA DE SINCRONISMO"))))</f>
        <v>0</v>
      </c>
      <c r="AH842" s="9"/>
      <c r="AI842" s="150">
        <f t="shared" si="42"/>
        <v>0</v>
      </c>
      <c r="AJ842" s="153" t="s">
        <v>6</v>
      </c>
    </row>
    <row r="843" spans="1:36" ht="30" customHeight="1">
      <c r="A843" s="92"/>
      <c r="B843" s="92"/>
      <c r="C843" s="92"/>
      <c r="D843" s="92"/>
      <c r="E843" s="92"/>
      <c r="F843" s="92"/>
      <c r="G843" s="92"/>
      <c r="H843" s="92"/>
      <c r="I843" s="92"/>
      <c r="J843" s="92"/>
      <c r="K843" s="92"/>
      <c r="L843" s="92"/>
      <c r="M843" s="92"/>
      <c r="N843" s="155"/>
      <c r="O843" s="157"/>
      <c r="P843" s="92"/>
      <c r="Q843" s="145"/>
      <c r="R843" s="92"/>
      <c r="S843" s="145"/>
      <c r="T843" s="92"/>
      <c r="U843" s="145"/>
      <c r="V843" s="92"/>
      <c r="W843" s="145"/>
      <c r="X843" s="92"/>
      <c r="Y843" s="145"/>
      <c r="Z843" s="92"/>
      <c r="AA843" s="145"/>
      <c r="AB843" s="64"/>
      <c r="AC843" s="145"/>
      <c r="AD843" s="64"/>
      <c r="AE843" s="145"/>
      <c r="AF843" s="196" t="str">
        <f t="shared" ref="AF843:AF906" si="44">IF(AND(O843="",Q843="",S843="",U843="",W843="",Y843="",AA843="",AC843=""),"",
IF(OR(    AND(O843&lt;&gt;"NA",O843&lt;&gt;"C",O843&lt;&gt;"NC",O843&lt;&gt;"SF",O843&lt;&gt;""),
    AND(Q843&lt;&gt;"NA",Q843&lt;&gt;"C",Q843&lt;&gt;"NC",Q843&lt;&gt;"SF",Q843&lt;&gt;""),
    AND(S843&lt;&gt;"NA",S843&lt;&gt;"C",S843&lt;&gt;"NC",S843&lt;&gt;"SF",S843&lt;&gt;""),
    AND(U843&lt;&gt;"NA",U843&lt;&gt;"C",U843&lt;&gt;"NC",U843&lt;&gt;"SF",U843&lt;&gt;""),
    AND(W843&lt;&gt;"NA",W843&lt;&gt;"C",W843&lt;&gt;"NC",W843&lt;&gt;"SF",W843&lt;&gt;""),
    AND(Y843&lt;&gt;"NA",Y843&lt;&gt;"C",Y843&lt;&gt;"NC",Y843&lt;&gt;"SF",Y843&lt;&gt;""),
    AND(AA843&lt;&gt;"NA",AA843&lt;&gt;"C",AA843&lt;&gt;"NC",AA843&lt;&gt;"SF",AA843&lt;&gt;""),
    AND(AC843&lt;&gt;"NA",AC843&lt;&gt;"C",AC843&lt;&gt;"NC",AC843&lt;&gt;"SF",AC843&lt;&gt;"")
),"FALSO",
IF(AND(O843="NA",Q843="NA",S843="NA",U843="NA",W843="NA",Y843="NA",AA843="NA",AC843="NA"),"NA",
IF(OR(O843="NC",Q843="NC",S843="NC",U843="NC",W843="NC",Y843="NC",AA843="NC",AC843="NC",
       O843="SF",Q843="SF",S843="SF",U843="SF",W843="SF",Y843="SF",AA843="SF",AC843="SF"),"NC",
IF(SUM(IF(O843="C",1,0),IF(Q843="C",1,0),IF(S843="C",1,0),IF(U843="C",1,0),IF(W843="C",1,0),IF(Y843="C",1,0),IF(AA843="C",1,0),IF(AC843="C",1,0))=1,"C","C")))))</f>
        <v/>
      </c>
      <c r="AG843" s="95" t="b">
        <f t="shared" si="43"/>
        <v>0</v>
      </c>
      <c r="AH843" s="9"/>
      <c r="AI843" s="150">
        <f t="shared" si="42"/>
        <v>0</v>
      </c>
      <c r="AJ843" s="153" t="s">
        <v>6</v>
      </c>
    </row>
    <row r="844" spans="1:36" ht="30" customHeight="1">
      <c r="A844" s="92"/>
      <c r="B844" s="92"/>
      <c r="C844" s="92"/>
      <c r="D844" s="92"/>
      <c r="E844" s="92"/>
      <c r="F844" s="92"/>
      <c r="G844" s="92"/>
      <c r="H844" s="92"/>
      <c r="I844" s="92"/>
      <c r="J844" s="92"/>
      <c r="K844" s="92"/>
      <c r="L844" s="92"/>
      <c r="M844" s="92"/>
      <c r="N844" s="155"/>
      <c r="O844" s="157"/>
      <c r="P844" s="92"/>
      <c r="Q844" s="145"/>
      <c r="R844" s="92"/>
      <c r="S844" s="145"/>
      <c r="T844" s="92"/>
      <c r="U844" s="145"/>
      <c r="V844" s="92"/>
      <c r="W844" s="145"/>
      <c r="X844" s="92"/>
      <c r="Y844" s="145"/>
      <c r="Z844" s="92"/>
      <c r="AA844" s="145"/>
      <c r="AB844" s="64"/>
      <c r="AC844" s="145"/>
      <c r="AD844" s="64"/>
      <c r="AE844" s="145"/>
      <c r="AF844" s="196" t="str">
        <f t="shared" si="44"/>
        <v/>
      </c>
      <c r="AG844" s="95" t="b">
        <f t="shared" si="43"/>
        <v>0</v>
      </c>
      <c r="AH844" s="9"/>
      <c r="AI844" s="150">
        <f t="shared" si="42"/>
        <v>0</v>
      </c>
      <c r="AJ844" s="153" t="s">
        <v>6</v>
      </c>
    </row>
    <row r="845" spans="1:36" ht="30" customHeight="1">
      <c r="A845" s="92"/>
      <c r="B845" s="92"/>
      <c r="C845" s="92"/>
      <c r="D845" s="92"/>
      <c r="E845" s="92"/>
      <c r="F845" s="92"/>
      <c r="G845" s="92"/>
      <c r="H845" s="92"/>
      <c r="I845" s="92"/>
      <c r="J845" s="92"/>
      <c r="K845" s="92"/>
      <c r="L845" s="92"/>
      <c r="M845" s="92"/>
      <c r="N845" s="155"/>
      <c r="O845" s="157"/>
      <c r="P845" s="92"/>
      <c r="Q845" s="145"/>
      <c r="R845" s="92"/>
      <c r="S845" s="145"/>
      <c r="T845" s="92"/>
      <c r="U845" s="145"/>
      <c r="V845" s="92"/>
      <c r="W845" s="145"/>
      <c r="X845" s="92"/>
      <c r="Y845" s="145"/>
      <c r="Z845" s="92"/>
      <c r="AA845" s="145"/>
      <c r="AB845" s="64"/>
      <c r="AC845" s="145"/>
      <c r="AD845" s="64"/>
      <c r="AE845" s="145"/>
      <c r="AF845" s="196" t="str">
        <f t="shared" si="44"/>
        <v/>
      </c>
      <c r="AG845" s="95" t="b">
        <f t="shared" si="43"/>
        <v>0</v>
      </c>
      <c r="AH845" s="9"/>
      <c r="AI845" s="150">
        <f t="shared" si="42"/>
        <v>0</v>
      </c>
      <c r="AJ845" s="153" t="s">
        <v>6</v>
      </c>
    </row>
    <row r="846" spans="1:36" ht="30" customHeight="1">
      <c r="A846" s="92"/>
      <c r="B846" s="92"/>
      <c r="C846" s="92"/>
      <c r="D846" s="92"/>
      <c r="E846" s="92"/>
      <c r="F846" s="92"/>
      <c r="G846" s="92"/>
      <c r="H846" s="92"/>
      <c r="I846" s="92"/>
      <c r="J846" s="92"/>
      <c r="K846" s="92"/>
      <c r="L846" s="92"/>
      <c r="M846" s="92"/>
      <c r="N846" s="155"/>
      <c r="O846" s="157"/>
      <c r="P846" s="92"/>
      <c r="Q846" s="145"/>
      <c r="R846" s="92"/>
      <c r="S846" s="145"/>
      <c r="T846" s="92"/>
      <c r="U846" s="145"/>
      <c r="V846" s="92"/>
      <c r="W846" s="145"/>
      <c r="X846" s="92"/>
      <c r="Y846" s="145"/>
      <c r="Z846" s="92"/>
      <c r="AA846" s="145"/>
      <c r="AB846" s="64"/>
      <c r="AC846" s="145"/>
      <c r="AD846" s="64"/>
      <c r="AE846" s="145"/>
      <c r="AF846" s="196" t="str">
        <f t="shared" si="44"/>
        <v/>
      </c>
      <c r="AG846" s="95" t="b">
        <f t="shared" si="43"/>
        <v>0</v>
      </c>
      <c r="AH846" s="9"/>
      <c r="AI846" s="150">
        <f t="shared" si="42"/>
        <v>0</v>
      </c>
      <c r="AJ846" s="153" t="s">
        <v>6</v>
      </c>
    </row>
    <row r="847" spans="1:36" ht="30" customHeight="1">
      <c r="A847" s="92"/>
      <c r="B847" s="92"/>
      <c r="C847" s="92"/>
      <c r="D847" s="92"/>
      <c r="E847" s="92"/>
      <c r="F847" s="92"/>
      <c r="G847" s="92"/>
      <c r="H847" s="92"/>
      <c r="I847" s="92"/>
      <c r="J847" s="92"/>
      <c r="K847" s="92"/>
      <c r="L847" s="92"/>
      <c r="M847" s="92"/>
      <c r="N847" s="155"/>
      <c r="O847" s="157"/>
      <c r="P847" s="92"/>
      <c r="Q847" s="145"/>
      <c r="R847" s="92"/>
      <c r="S847" s="145"/>
      <c r="T847" s="92"/>
      <c r="U847" s="145"/>
      <c r="V847" s="92"/>
      <c r="W847" s="145"/>
      <c r="X847" s="92"/>
      <c r="Y847" s="145"/>
      <c r="Z847" s="92"/>
      <c r="AA847" s="145"/>
      <c r="AB847" s="64"/>
      <c r="AC847" s="145"/>
      <c r="AD847" s="64"/>
      <c r="AE847" s="145"/>
      <c r="AF847" s="196" t="str">
        <f t="shared" si="44"/>
        <v/>
      </c>
      <c r="AG847" s="95" t="b">
        <f t="shared" si="43"/>
        <v>0</v>
      </c>
      <c r="AH847" s="9"/>
      <c r="AI847" s="150">
        <f t="shared" si="42"/>
        <v>0</v>
      </c>
      <c r="AJ847" s="153" t="s">
        <v>6</v>
      </c>
    </row>
    <row r="848" spans="1:36" ht="30" customHeight="1">
      <c r="A848" s="92"/>
      <c r="B848" s="92"/>
      <c r="C848" s="92"/>
      <c r="D848" s="92"/>
      <c r="E848" s="92"/>
      <c r="F848" s="92"/>
      <c r="G848" s="92"/>
      <c r="H848" s="92"/>
      <c r="I848" s="92"/>
      <c r="J848" s="92"/>
      <c r="K848" s="92"/>
      <c r="L848" s="92"/>
      <c r="M848" s="92"/>
      <c r="N848" s="155"/>
      <c r="O848" s="157"/>
      <c r="P848" s="92"/>
      <c r="Q848" s="145"/>
      <c r="R848" s="92"/>
      <c r="S848" s="145"/>
      <c r="T848" s="92"/>
      <c r="U848" s="145"/>
      <c r="V848" s="92"/>
      <c r="W848" s="145"/>
      <c r="X848" s="92"/>
      <c r="Y848" s="145"/>
      <c r="Z848" s="92"/>
      <c r="AA848" s="145"/>
      <c r="AB848" s="64"/>
      <c r="AC848" s="145"/>
      <c r="AD848" s="64"/>
      <c r="AE848" s="145"/>
      <c r="AF848" s="196" t="str">
        <f t="shared" si="44"/>
        <v/>
      </c>
      <c r="AG848" s="95" t="b">
        <f t="shared" si="43"/>
        <v>0</v>
      </c>
      <c r="AH848" s="9"/>
      <c r="AI848" s="150">
        <f t="shared" si="42"/>
        <v>0</v>
      </c>
      <c r="AJ848" s="153" t="s">
        <v>6</v>
      </c>
    </row>
    <row r="849" spans="1:36" ht="30" customHeight="1">
      <c r="A849" s="92"/>
      <c r="B849" s="92"/>
      <c r="C849" s="92"/>
      <c r="D849" s="92"/>
      <c r="E849" s="92"/>
      <c r="F849" s="92"/>
      <c r="G849" s="92"/>
      <c r="H849" s="92"/>
      <c r="I849" s="92"/>
      <c r="J849" s="92"/>
      <c r="K849" s="92"/>
      <c r="L849" s="92"/>
      <c r="M849" s="92"/>
      <c r="N849" s="155"/>
      <c r="O849" s="157"/>
      <c r="P849" s="92"/>
      <c r="Q849" s="145"/>
      <c r="R849" s="92"/>
      <c r="S849" s="145"/>
      <c r="T849" s="92"/>
      <c r="U849" s="145"/>
      <c r="V849" s="92"/>
      <c r="W849" s="145"/>
      <c r="X849" s="92"/>
      <c r="Y849" s="145"/>
      <c r="Z849" s="92"/>
      <c r="AA849" s="145"/>
      <c r="AB849" s="64"/>
      <c r="AC849" s="145"/>
      <c r="AD849" s="64"/>
      <c r="AE849" s="145"/>
      <c r="AF849" s="196" t="str">
        <f t="shared" si="44"/>
        <v/>
      </c>
      <c r="AG849" s="95" t="b">
        <f t="shared" si="43"/>
        <v>0</v>
      </c>
      <c r="AH849" s="9"/>
      <c r="AI849" s="150">
        <f t="shared" si="42"/>
        <v>0</v>
      </c>
      <c r="AJ849" s="153" t="s">
        <v>6</v>
      </c>
    </row>
    <row r="850" spans="1:36" ht="30" customHeight="1">
      <c r="A850" s="92"/>
      <c r="B850" s="92"/>
      <c r="C850" s="92"/>
      <c r="D850" s="92"/>
      <c r="E850" s="92"/>
      <c r="F850" s="92"/>
      <c r="G850" s="92"/>
      <c r="H850" s="92"/>
      <c r="I850" s="92"/>
      <c r="J850" s="92"/>
      <c r="K850" s="92"/>
      <c r="L850" s="92"/>
      <c r="M850" s="92"/>
      <c r="N850" s="155"/>
      <c r="O850" s="157"/>
      <c r="P850" s="92"/>
      <c r="Q850" s="145"/>
      <c r="R850" s="92"/>
      <c r="S850" s="145"/>
      <c r="T850" s="92"/>
      <c r="U850" s="145"/>
      <c r="V850" s="92"/>
      <c r="W850" s="145"/>
      <c r="X850" s="92"/>
      <c r="Y850" s="145"/>
      <c r="Z850" s="92"/>
      <c r="AA850" s="145"/>
      <c r="AB850" s="64"/>
      <c r="AC850" s="145"/>
      <c r="AD850" s="64"/>
      <c r="AE850" s="145"/>
      <c r="AF850" s="196" t="str">
        <f t="shared" si="44"/>
        <v/>
      </c>
      <c r="AG850" s="95" t="b">
        <f t="shared" si="43"/>
        <v>0</v>
      </c>
      <c r="AH850" s="9"/>
      <c r="AI850" s="150">
        <f t="shared" si="42"/>
        <v>0</v>
      </c>
      <c r="AJ850" s="153" t="s">
        <v>6</v>
      </c>
    </row>
    <row r="851" spans="1:36" ht="30" customHeight="1">
      <c r="A851" s="92"/>
      <c r="B851" s="92"/>
      <c r="C851" s="92"/>
      <c r="D851" s="92"/>
      <c r="E851" s="92"/>
      <c r="F851" s="92"/>
      <c r="G851" s="92"/>
      <c r="H851" s="92"/>
      <c r="I851" s="92"/>
      <c r="J851" s="92"/>
      <c r="K851" s="92"/>
      <c r="L851" s="92"/>
      <c r="M851" s="92"/>
      <c r="N851" s="155"/>
      <c r="O851" s="157"/>
      <c r="P851" s="92"/>
      <c r="Q851" s="145"/>
      <c r="R851" s="92"/>
      <c r="S851" s="145"/>
      <c r="T851" s="92"/>
      <c r="U851" s="145"/>
      <c r="V851" s="92"/>
      <c r="W851" s="145"/>
      <c r="X851" s="92"/>
      <c r="Y851" s="145"/>
      <c r="Z851" s="92"/>
      <c r="AA851" s="145"/>
      <c r="AB851" s="64"/>
      <c r="AC851" s="145"/>
      <c r="AD851" s="64"/>
      <c r="AE851" s="145"/>
      <c r="AF851" s="196" t="str">
        <f t="shared" si="44"/>
        <v/>
      </c>
      <c r="AG851" s="95" t="b">
        <f t="shared" si="43"/>
        <v>0</v>
      </c>
      <c r="AH851" s="9"/>
      <c r="AI851" s="150">
        <f t="shared" si="42"/>
        <v>0</v>
      </c>
      <c r="AJ851" s="153" t="s">
        <v>6</v>
      </c>
    </row>
    <row r="852" spans="1:36" ht="30" customHeight="1">
      <c r="A852" s="92"/>
      <c r="B852" s="92"/>
      <c r="C852" s="92"/>
      <c r="D852" s="92"/>
      <c r="E852" s="92"/>
      <c r="F852" s="92"/>
      <c r="G852" s="92"/>
      <c r="H852" s="92"/>
      <c r="I852" s="92"/>
      <c r="J852" s="92"/>
      <c r="K852" s="92"/>
      <c r="L852" s="92"/>
      <c r="M852" s="92"/>
      <c r="N852" s="155"/>
      <c r="O852" s="157"/>
      <c r="P852" s="92"/>
      <c r="Q852" s="145"/>
      <c r="R852" s="92"/>
      <c r="S852" s="145"/>
      <c r="T852" s="92"/>
      <c r="U852" s="145"/>
      <c r="V852" s="92"/>
      <c r="W852" s="145"/>
      <c r="X852" s="92"/>
      <c r="Y852" s="145"/>
      <c r="Z852" s="92"/>
      <c r="AA852" s="145"/>
      <c r="AB852" s="64"/>
      <c r="AC852" s="145"/>
      <c r="AD852" s="64"/>
      <c r="AE852" s="145"/>
      <c r="AF852" s="196" t="str">
        <f t="shared" si="44"/>
        <v/>
      </c>
      <c r="AG852" s="95" t="b">
        <f t="shared" si="43"/>
        <v>0</v>
      </c>
      <c r="AH852" s="9"/>
      <c r="AI852" s="150">
        <f t="shared" si="42"/>
        <v>0</v>
      </c>
      <c r="AJ852" s="153" t="s">
        <v>6</v>
      </c>
    </row>
    <row r="853" spans="1:36" ht="30" customHeight="1">
      <c r="A853" s="92"/>
      <c r="B853" s="92"/>
      <c r="C853" s="92"/>
      <c r="D853" s="92"/>
      <c r="E853" s="92"/>
      <c r="F853" s="92"/>
      <c r="G853" s="92"/>
      <c r="H853" s="92"/>
      <c r="I853" s="92"/>
      <c r="J853" s="92"/>
      <c r="K853" s="92"/>
      <c r="L853" s="92"/>
      <c r="M853" s="92"/>
      <c r="N853" s="155"/>
      <c r="O853" s="157"/>
      <c r="P853" s="92"/>
      <c r="Q853" s="145"/>
      <c r="R853" s="92"/>
      <c r="S853" s="145"/>
      <c r="T853" s="92"/>
      <c r="U853" s="145"/>
      <c r="V853" s="92"/>
      <c r="W853" s="145"/>
      <c r="X853" s="92"/>
      <c r="Y853" s="145"/>
      <c r="Z853" s="92"/>
      <c r="AA853" s="145"/>
      <c r="AB853" s="64"/>
      <c r="AC853" s="145"/>
      <c r="AD853" s="64"/>
      <c r="AE853" s="145"/>
      <c r="AF853" s="196" t="str">
        <f t="shared" si="44"/>
        <v/>
      </c>
      <c r="AG853" s="95" t="b">
        <f t="shared" si="43"/>
        <v>0</v>
      </c>
      <c r="AH853" s="9"/>
      <c r="AI853" s="150">
        <f t="shared" si="42"/>
        <v>0</v>
      </c>
      <c r="AJ853" s="153" t="s">
        <v>6</v>
      </c>
    </row>
    <row r="854" spans="1:36" ht="30" customHeight="1">
      <c r="A854" s="92"/>
      <c r="B854" s="92"/>
      <c r="C854" s="92"/>
      <c r="D854" s="92"/>
      <c r="E854" s="92"/>
      <c r="F854" s="92"/>
      <c r="G854" s="92"/>
      <c r="H854" s="92"/>
      <c r="I854" s="92"/>
      <c r="J854" s="92"/>
      <c r="K854" s="92"/>
      <c r="L854" s="92"/>
      <c r="M854" s="92"/>
      <c r="N854" s="155"/>
      <c r="O854" s="157"/>
      <c r="P854" s="92"/>
      <c r="Q854" s="145"/>
      <c r="R854" s="92"/>
      <c r="S854" s="145"/>
      <c r="T854" s="92"/>
      <c r="U854" s="145"/>
      <c r="V854" s="92"/>
      <c r="W854" s="145"/>
      <c r="X854" s="92"/>
      <c r="Y854" s="145"/>
      <c r="Z854" s="92"/>
      <c r="AA854" s="145"/>
      <c r="AB854" s="64"/>
      <c r="AC854" s="145"/>
      <c r="AD854" s="64"/>
      <c r="AE854" s="145"/>
      <c r="AF854" s="196" t="str">
        <f t="shared" si="44"/>
        <v/>
      </c>
      <c r="AG854" s="95" t="b">
        <f t="shared" si="43"/>
        <v>0</v>
      </c>
      <c r="AH854" s="9"/>
      <c r="AI854" s="150">
        <f t="shared" si="42"/>
        <v>0</v>
      </c>
      <c r="AJ854" s="153" t="s">
        <v>6</v>
      </c>
    </row>
    <row r="855" spans="1:36" ht="30" customHeight="1">
      <c r="A855" s="92"/>
      <c r="B855" s="92"/>
      <c r="C855" s="92"/>
      <c r="D855" s="92"/>
      <c r="E855" s="92"/>
      <c r="F855" s="92"/>
      <c r="G855" s="92"/>
      <c r="H855" s="92"/>
      <c r="I855" s="92"/>
      <c r="J855" s="92"/>
      <c r="K855" s="92"/>
      <c r="L855" s="92"/>
      <c r="M855" s="92"/>
      <c r="N855" s="155"/>
      <c r="O855" s="157"/>
      <c r="P855" s="92"/>
      <c r="Q855" s="145"/>
      <c r="R855" s="92"/>
      <c r="S855" s="145"/>
      <c r="T855" s="92"/>
      <c r="U855" s="145"/>
      <c r="V855" s="92"/>
      <c r="W855" s="145"/>
      <c r="X855" s="92"/>
      <c r="Y855" s="145"/>
      <c r="Z855" s="92"/>
      <c r="AA855" s="145"/>
      <c r="AB855" s="64"/>
      <c r="AC855" s="145"/>
      <c r="AD855" s="64"/>
      <c r="AE855" s="145"/>
      <c r="AF855" s="196" t="str">
        <f t="shared" si="44"/>
        <v/>
      </c>
      <c r="AG855" s="95" t="b">
        <f t="shared" si="43"/>
        <v>0</v>
      </c>
      <c r="AH855" s="9"/>
      <c r="AI855" s="150">
        <f t="shared" si="42"/>
        <v>0</v>
      </c>
      <c r="AJ855" s="153" t="s">
        <v>6</v>
      </c>
    </row>
    <row r="856" spans="1:36" ht="30" customHeight="1">
      <c r="A856" s="92"/>
      <c r="B856" s="92"/>
      <c r="C856" s="92"/>
      <c r="D856" s="92"/>
      <c r="E856" s="92"/>
      <c r="F856" s="92"/>
      <c r="G856" s="92"/>
      <c r="H856" s="92"/>
      <c r="I856" s="92"/>
      <c r="J856" s="92"/>
      <c r="K856" s="92"/>
      <c r="L856" s="92"/>
      <c r="M856" s="92"/>
      <c r="N856" s="155"/>
      <c r="O856" s="157"/>
      <c r="P856" s="92"/>
      <c r="Q856" s="145"/>
      <c r="R856" s="92"/>
      <c r="S856" s="145"/>
      <c r="T856" s="92"/>
      <c r="U856" s="145"/>
      <c r="V856" s="92"/>
      <c r="W856" s="145"/>
      <c r="X856" s="92"/>
      <c r="Y856" s="145"/>
      <c r="Z856" s="92"/>
      <c r="AA856" s="145"/>
      <c r="AB856" s="64"/>
      <c r="AC856" s="145"/>
      <c r="AD856" s="64"/>
      <c r="AE856" s="145"/>
      <c r="AF856" s="196" t="str">
        <f t="shared" si="44"/>
        <v/>
      </c>
      <c r="AG856" s="95" t="b">
        <f t="shared" si="43"/>
        <v>0</v>
      </c>
      <c r="AH856" s="9"/>
      <c r="AI856" s="150">
        <f t="shared" si="42"/>
        <v>0</v>
      </c>
      <c r="AJ856" s="153" t="s">
        <v>6</v>
      </c>
    </row>
    <row r="857" spans="1:36" ht="30" customHeight="1">
      <c r="A857" s="92"/>
      <c r="B857" s="92"/>
      <c r="C857" s="92"/>
      <c r="D857" s="92"/>
      <c r="E857" s="92"/>
      <c r="F857" s="92"/>
      <c r="G857" s="92"/>
      <c r="H857" s="92"/>
      <c r="I857" s="92"/>
      <c r="J857" s="92"/>
      <c r="K857" s="92"/>
      <c r="L857" s="92"/>
      <c r="M857" s="92"/>
      <c r="N857" s="155"/>
      <c r="O857" s="157"/>
      <c r="P857" s="92"/>
      <c r="Q857" s="145"/>
      <c r="R857" s="92"/>
      <c r="S857" s="145"/>
      <c r="T857" s="92"/>
      <c r="U857" s="145"/>
      <c r="V857" s="92"/>
      <c r="W857" s="145"/>
      <c r="X857" s="92"/>
      <c r="Y857" s="145"/>
      <c r="Z857" s="92"/>
      <c r="AA857" s="145"/>
      <c r="AB857" s="64"/>
      <c r="AC857" s="145"/>
      <c r="AD857" s="64"/>
      <c r="AE857" s="145"/>
      <c r="AF857" s="196" t="str">
        <f t="shared" si="44"/>
        <v/>
      </c>
      <c r="AG857" s="95" t="b">
        <f t="shared" si="43"/>
        <v>0</v>
      </c>
      <c r="AH857" s="9"/>
      <c r="AI857" s="150">
        <f t="shared" si="42"/>
        <v>0</v>
      </c>
      <c r="AJ857" s="153" t="s">
        <v>6</v>
      </c>
    </row>
    <row r="858" spans="1:36" ht="30" customHeight="1">
      <c r="A858" s="92"/>
      <c r="B858" s="92"/>
      <c r="C858" s="92"/>
      <c r="D858" s="92"/>
      <c r="E858" s="92"/>
      <c r="F858" s="92"/>
      <c r="G858" s="92"/>
      <c r="H858" s="92"/>
      <c r="I858" s="92"/>
      <c r="J858" s="92"/>
      <c r="K858" s="92"/>
      <c r="L858" s="92"/>
      <c r="M858" s="92"/>
      <c r="N858" s="155"/>
      <c r="O858" s="157"/>
      <c r="P858" s="92"/>
      <c r="Q858" s="145"/>
      <c r="R858" s="92"/>
      <c r="S858" s="145"/>
      <c r="T858" s="92"/>
      <c r="U858" s="145"/>
      <c r="V858" s="92"/>
      <c r="W858" s="145"/>
      <c r="X858" s="92"/>
      <c r="Y858" s="145"/>
      <c r="Z858" s="92"/>
      <c r="AA858" s="145"/>
      <c r="AB858" s="64"/>
      <c r="AC858" s="145"/>
      <c r="AD858" s="64"/>
      <c r="AE858" s="145"/>
      <c r="AF858" s="196" t="str">
        <f t="shared" si="44"/>
        <v/>
      </c>
      <c r="AG858" s="95" t="b">
        <f t="shared" si="43"/>
        <v>0</v>
      </c>
      <c r="AH858" s="9"/>
      <c r="AI858" s="150">
        <f t="shared" si="42"/>
        <v>0</v>
      </c>
      <c r="AJ858" s="153" t="s">
        <v>6</v>
      </c>
    </row>
    <row r="859" spans="1:36" ht="30" customHeight="1">
      <c r="A859" s="92"/>
      <c r="B859" s="92"/>
      <c r="C859" s="92"/>
      <c r="D859" s="92"/>
      <c r="E859" s="92"/>
      <c r="F859" s="92"/>
      <c r="G859" s="92"/>
      <c r="H859" s="92"/>
      <c r="I859" s="92"/>
      <c r="J859" s="92"/>
      <c r="K859" s="92"/>
      <c r="L859" s="92"/>
      <c r="M859" s="92"/>
      <c r="N859" s="155"/>
      <c r="O859" s="157"/>
      <c r="P859" s="92"/>
      <c r="Q859" s="145"/>
      <c r="R859" s="92"/>
      <c r="S859" s="145"/>
      <c r="T859" s="92"/>
      <c r="U859" s="145"/>
      <c r="V859" s="92"/>
      <c r="W859" s="145"/>
      <c r="X859" s="92"/>
      <c r="Y859" s="145"/>
      <c r="Z859" s="92"/>
      <c r="AA859" s="145"/>
      <c r="AB859" s="64"/>
      <c r="AC859" s="145"/>
      <c r="AD859" s="64"/>
      <c r="AE859" s="145"/>
      <c r="AF859" s="196" t="str">
        <f t="shared" si="44"/>
        <v/>
      </c>
      <c r="AG859" s="95" t="b">
        <f t="shared" si="43"/>
        <v>0</v>
      </c>
      <c r="AH859" s="9"/>
      <c r="AI859" s="150">
        <f t="shared" si="42"/>
        <v>0</v>
      </c>
      <c r="AJ859" s="153" t="s">
        <v>6</v>
      </c>
    </row>
    <row r="860" spans="1:36" ht="30" customHeight="1">
      <c r="A860" s="92"/>
      <c r="B860" s="92"/>
      <c r="C860" s="92"/>
      <c r="D860" s="92"/>
      <c r="E860" s="92"/>
      <c r="F860" s="92"/>
      <c r="G860" s="92"/>
      <c r="H860" s="92"/>
      <c r="I860" s="92"/>
      <c r="J860" s="92"/>
      <c r="K860" s="92"/>
      <c r="L860" s="92"/>
      <c r="M860" s="92"/>
      <c r="N860" s="155"/>
      <c r="O860" s="157"/>
      <c r="P860" s="92"/>
      <c r="Q860" s="145"/>
      <c r="R860" s="92"/>
      <c r="S860" s="145"/>
      <c r="T860" s="92"/>
      <c r="U860" s="145"/>
      <c r="V860" s="92"/>
      <c r="W860" s="145"/>
      <c r="X860" s="92"/>
      <c r="Y860" s="145"/>
      <c r="Z860" s="92"/>
      <c r="AA860" s="145"/>
      <c r="AB860" s="64"/>
      <c r="AC860" s="145"/>
      <c r="AD860" s="64"/>
      <c r="AE860" s="145"/>
      <c r="AF860" s="196" t="str">
        <f t="shared" si="44"/>
        <v/>
      </c>
      <c r="AG860" s="95" t="b">
        <f t="shared" si="43"/>
        <v>0</v>
      </c>
      <c r="AH860" s="9"/>
      <c r="AI860" s="150">
        <f t="shared" si="42"/>
        <v>0</v>
      </c>
      <c r="AJ860" s="153" t="s">
        <v>6</v>
      </c>
    </row>
    <row r="861" spans="1:36" ht="30" customHeight="1">
      <c r="A861" s="92"/>
      <c r="B861" s="92"/>
      <c r="C861" s="92"/>
      <c r="D861" s="92"/>
      <c r="E861" s="92"/>
      <c r="F861" s="92"/>
      <c r="G861" s="92"/>
      <c r="H861" s="92"/>
      <c r="I861" s="92"/>
      <c r="J861" s="92"/>
      <c r="K861" s="92"/>
      <c r="L861" s="92"/>
      <c r="M861" s="92"/>
      <c r="N861" s="155"/>
      <c r="O861" s="157"/>
      <c r="P861" s="92"/>
      <c r="Q861" s="145"/>
      <c r="R861" s="92"/>
      <c r="S861" s="145"/>
      <c r="T861" s="92"/>
      <c r="U861" s="145"/>
      <c r="V861" s="92"/>
      <c r="W861" s="145"/>
      <c r="X861" s="92"/>
      <c r="Y861" s="145"/>
      <c r="Z861" s="92"/>
      <c r="AA861" s="145"/>
      <c r="AB861" s="64"/>
      <c r="AC861" s="145"/>
      <c r="AD861" s="64"/>
      <c r="AE861" s="145"/>
      <c r="AF861" s="196" t="str">
        <f t="shared" si="44"/>
        <v/>
      </c>
      <c r="AG861" s="95" t="b">
        <f t="shared" si="43"/>
        <v>0</v>
      </c>
      <c r="AH861" s="9"/>
      <c r="AI861" s="150">
        <f t="shared" si="42"/>
        <v>0</v>
      </c>
      <c r="AJ861" s="153" t="s">
        <v>6</v>
      </c>
    </row>
    <row r="862" spans="1:36" ht="30" customHeight="1">
      <c r="A862" s="92"/>
      <c r="B862" s="92"/>
      <c r="C862" s="92"/>
      <c r="D862" s="92"/>
      <c r="E862" s="92"/>
      <c r="F862" s="92"/>
      <c r="G862" s="92"/>
      <c r="H862" s="92"/>
      <c r="I862" s="92"/>
      <c r="J862" s="92"/>
      <c r="K862" s="92"/>
      <c r="L862" s="92"/>
      <c r="M862" s="92"/>
      <c r="N862" s="155"/>
      <c r="O862" s="157"/>
      <c r="P862" s="92"/>
      <c r="Q862" s="145"/>
      <c r="R862" s="92"/>
      <c r="S862" s="145"/>
      <c r="T862" s="92"/>
      <c r="U862" s="145"/>
      <c r="V862" s="92"/>
      <c r="W862" s="145"/>
      <c r="X862" s="92"/>
      <c r="Y862" s="145"/>
      <c r="Z862" s="92"/>
      <c r="AA862" s="145"/>
      <c r="AB862" s="64"/>
      <c r="AC862" s="145"/>
      <c r="AD862" s="64"/>
      <c r="AE862" s="145"/>
      <c r="AF862" s="196" t="str">
        <f t="shared" si="44"/>
        <v/>
      </c>
      <c r="AG862" s="95" t="b">
        <f t="shared" si="43"/>
        <v>0</v>
      </c>
      <c r="AH862" s="9"/>
      <c r="AI862" s="150">
        <f t="shared" si="42"/>
        <v>0</v>
      </c>
      <c r="AJ862" s="153" t="s">
        <v>6</v>
      </c>
    </row>
    <row r="863" spans="1:36" ht="30" customHeight="1">
      <c r="A863" s="92"/>
      <c r="B863" s="92"/>
      <c r="C863" s="92"/>
      <c r="D863" s="92"/>
      <c r="E863" s="92"/>
      <c r="F863" s="92"/>
      <c r="G863" s="92"/>
      <c r="H863" s="92"/>
      <c r="I863" s="92"/>
      <c r="J863" s="92"/>
      <c r="K863" s="92"/>
      <c r="L863" s="92"/>
      <c r="M863" s="92"/>
      <c r="N863" s="155"/>
      <c r="O863" s="157"/>
      <c r="P863" s="92"/>
      <c r="Q863" s="145"/>
      <c r="R863" s="92"/>
      <c r="S863" s="145"/>
      <c r="T863" s="92"/>
      <c r="U863" s="145"/>
      <c r="V863" s="92"/>
      <c r="W863" s="145"/>
      <c r="X863" s="92"/>
      <c r="Y863" s="145"/>
      <c r="Z863" s="92"/>
      <c r="AA863" s="145"/>
      <c r="AB863" s="64"/>
      <c r="AC863" s="145"/>
      <c r="AD863" s="64"/>
      <c r="AE863" s="145"/>
      <c r="AF863" s="196" t="str">
        <f t="shared" si="44"/>
        <v/>
      </c>
      <c r="AG863" s="95" t="b">
        <f t="shared" si="43"/>
        <v>0</v>
      </c>
      <c r="AH863" s="9"/>
      <c r="AI863" s="150">
        <f t="shared" si="42"/>
        <v>0</v>
      </c>
      <c r="AJ863" s="153" t="s">
        <v>6</v>
      </c>
    </row>
    <row r="864" spans="1:36" ht="30" customHeight="1">
      <c r="A864" s="92"/>
      <c r="B864" s="92"/>
      <c r="C864" s="92"/>
      <c r="D864" s="92"/>
      <c r="E864" s="92"/>
      <c r="F864" s="92"/>
      <c r="G864" s="92"/>
      <c r="H864" s="92"/>
      <c r="I864" s="92"/>
      <c r="J864" s="92"/>
      <c r="K864" s="92"/>
      <c r="L864" s="92"/>
      <c r="M864" s="92"/>
      <c r="N864" s="155"/>
      <c r="O864" s="157"/>
      <c r="P864" s="92"/>
      <c r="Q864" s="145"/>
      <c r="R864" s="92"/>
      <c r="S864" s="145"/>
      <c r="T864" s="92"/>
      <c r="U864" s="145"/>
      <c r="V864" s="92"/>
      <c r="W864" s="145"/>
      <c r="X864" s="92"/>
      <c r="Y864" s="145"/>
      <c r="Z864" s="92"/>
      <c r="AA864" s="145"/>
      <c r="AB864" s="64"/>
      <c r="AC864" s="145"/>
      <c r="AD864" s="64"/>
      <c r="AE864" s="145"/>
      <c r="AF864" s="196" t="str">
        <f t="shared" si="44"/>
        <v/>
      </c>
      <c r="AG864" s="95" t="b">
        <f t="shared" si="43"/>
        <v>0</v>
      </c>
      <c r="AH864" s="9"/>
      <c r="AI864" s="150">
        <f t="shared" si="42"/>
        <v>0</v>
      </c>
      <c r="AJ864" s="153" t="s">
        <v>6</v>
      </c>
    </row>
    <row r="865" spans="1:36" ht="30" customHeight="1">
      <c r="A865" s="92"/>
      <c r="B865" s="92"/>
      <c r="C865" s="92"/>
      <c r="D865" s="92"/>
      <c r="E865" s="92"/>
      <c r="F865" s="92"/>
      <c r="G865" s="92"/>
      <c r="H865" s="92"/>
      <c r="I865" s="92"/>
      <c r="J865" s="92"/>
      <c r="K865" s="92"/>
      <c r="L865" s="92"/>
      <c r="M865" s="92"/>
      <c r="N865" s="155"/>
      <c r="O865" s="157"/>
      <c r="P865" s="92"/>
      <c r="Q865" s="145"/>
      <c r="R865" s="92"/>
      <c r="S865" s="145"/>
      <c r="T865" s="92"/>
      <c r="U865" s="145"/>
      <c r="V865" s="92"/>
      <c r="W865" s="145"/>
      <c r="X865" s="92"/>
      <c r="Y865" s="145"/>
      <c r="Z865" s="92"/>
      <c r="AA865" s="145"/>
      <c r="AB865" s="64"/>
      <c r="AC865" s="145"/>
      <c r="AD865" s="64"/>
      <c r="AE865" s="145"/>
      <c r="AF865" s="196" t="str">
        <f t="shared" si="44"/>
        <v/>
      </c>
      <c r="AG865" s="95" t="b">
        <f t="shared" si="43"/>
        <v>0</v>
      </c>
      <c r="AH865" s="9"/>
      <c r="AI865" s="150">
        <f t="shared" si="42"/>
        <v>0</v>
      </c>
      <c r="AJ865" s="153" t="s">
        <v>6</v>
      </c>
    </row>
    <row r="866" spans="1:36" ht="30" customHeight="1">
      <c r="A866" s="92"/>
      <c r="B866" s="92"/>
      <c r="C866" s="92"/>
      <c r="D866" s="92"/>
      <c r="E866" s="92"/>
      <c r="F866" s="92"/>
      <c r="G866" s="92"/>
      <c r="H866" s="92"/>
      <c r="I866" s="92"/>
      <c r="J866" s="92"/>
      <c r="K866" s="92"/>
      <c r="L866" s="92"/>
      <c r="M866" s="92"/>
      <c r="N866" s="155"/>
      <c r="O866" s="157"/>
      <c r="P866" s="92"/>
      <c r="Q866" s="145"/>
      <c r="R866" s="92"/>
      <c r="S866" s="145"/>
      <c r="T866" s="92"/>
      <c r="U866" s="145"/>
      <c r="V866" s="92"/>
      <c r="W866" s="145"/>
      <c r="X866" s="92"/>
      <c r="Y866" s="145"/>
      <c r="Z866" s="92"/>
      <c r="AA866" s="145"/>
      <c r="AB866" s="64"/>
      <c r="AC866" s="145"/>
      <c r="AD866" s="64"/>
      <c r="AE866" s="145"/>
      <c r="AF866" s="196" t="str">
        <f t="shared" si="44"/>
        <v/>
      </c>
      <c r="AG866" s="95" t="b">
        <f t="shared" si="43"/>
        <v>0</v>
      </c>
      <c r="AH866" s="9"/>
      <c r="AI866" s="150">
        <f t="shared" si="42"/>
        <v>0</v>
      </c>
      <c r="AJ866" s="153" t="s">
        <v>6</v>
      </c>
    </row>
    <row r="867" spans="1:36" ht="30" customHeight="1">
      <c r="A867" s="92"/>
      <c r="B867" s="92"/>
      <c r="C867" s="92"/>
      <c r="D867" s="92"/>
      <c r="E867" s="92"/>
      <c r="F867" s="92"/>
      <c r="G867" s="92"/>
      <c r="H867" s="92"/>
      <c r="I867" s="92"/>
      <c r="J867" s="92"/>
      <c r="K867" s="92"/>
      <c r="L867" s="92"/>
      <c r="M867" s="92"/>
      <c r="N867" s="155"/>
      <c r="O867" s="157"/>
      <c r="P867" s="92"/>
      <c r="Q867" s="145"/>
      <c r="R867" s="92"/>
      <c r="S867" s="145"/>
      <c r="T867" s="92"/>
      <c r="U867" s="145"/>
      <c r="V867" s="92"/>
      <c r="W867" s="145"/>
      <c r="X867" s="92"/>
      <c r="Y867" s="145"/>
      <c r="Z867" s="92"/>
      <c r="AA867" s="145"/>
      <c r="AB867" s="64"/>
      <c r="AC867" s="145"/>
      <c r="AD867" s="64"/>
      <c r="AE867" s="145"/>
      <c r="AF867" s="196" t="str">
        <f t="shared" si="44"/>
        <v/>
      </c>
      <c r="AG867" s="95" t="b">
        <f t="shared" si="43"/>
        <v>0</v>
      </c>
      <c r="AH867" s="9"/>
      <c r="AI867" s="150">
        <f t="shared" si="42"/>
        <v>0</v>
      </c>
      <c r="AJ867" s="153" t="s">
        <v>6</v>
      </c>
    </row>
    <row r="868" spans="1:36" ht="30" customHeight="1">
      <c r="A868" s="92"/>
      <c r="B868" s="92"/>
      <c r="C868" s="92"/>
      <c r="D868" s="92"/>
      <c r="E868" s="92"/>
      <c r="F868" s="92"/>
      <c r="G868" s="92"/>
      <c r="H868" s="92"/>
      <c r="I868" s="92"/>
      <c r="J868" s="92"/>
      <c r="K868" s="92"/>
      <c r="L868" s="92"/>
      <c r="M868" s="92"/>
      <c r="N868" s="155"/>
      <c r="O868" s="157"/>
      <c r="P868" s="92"/>
      <c r="Q868" s="145"/>
      <c r="R868" s="92"/>
      <c r="S868" s="145"/>
      <c r="T868" s="92"/>
      <c r="U868" s="145"/>
      <c r="V868" s="92"/>
      <c r="W868" s="145"/>
      <c r="X868" s="92"/>
      <c r="Y868" s="145"/>
      <c r="Z868" s="92"/>
      <c r="AA868" s="145"/>
      <c r="AB868" s="64"/>
      <c r="AC868" s="145"/>
      <c r="AD868" s="64"/>
      <c r="AE868" s="145"/>
      <c r="AF868" s="196" t="str">
        <f t="shared" si="44"/>
        <v/>
      </c>
      <c r="AG868" s="95" t="b">
        <f t="shared" si="43"/>
        <v>0</v>
      </c>
      <c r="AH868" s="9"/>
      <c r="AI868" s="150">
        <f t="shared" si="42"/>
        <v>0</v>
      </c>
      <c r="AJ868" s="153" t="s">
        <v>6</v>
      </c>
    </row>
    <row r="869" spans="1:36" ht="30" customHeight="1">
      <c r="A869" s="92"/>
      <c r="B869" s="92"/>
      <c r="C869" s="92"/>
      <c r="D869" s="92"/>
      <c r="E869" s="92"/>
      <c r="F869" s="92"/>
      <c r="G869" s="92"/>
      <c r="H869" s="92"/>
      <c r="I869" s="92"/>
      <c r="J869" s="92"/>
      <c r="K869" s="92"/>
      <c r="L869" s="92"/>
      <c r="M869" s="92"/>
      <c r="N869" s="155"/>
      <c r="O869" s="157"/>
      <c r="P869" s="92"/>
      <c r="Q869" s="145"/>
      <c r="R869" s="92"/>
      <c r="S869" s="145"/>
      <c r="T869" s="92"/>
      <c r="U869" s="145"/>
      <c r="V869" s="92"/>
      <c r="W869" s="145"/>
      <c r="X869" s="92"/>
      <c r="Y869" s="145"/>
      <c r="Z869" s="92"/>
      <c r="AA869" s="145"/>
      <c r="AB869" s="64"/>
      <c r="AC869" s="145"/>
      <c r="AD869" s="64"/>
      <c r="AE869" s="145"/>
      <c r="AF869" s="196" t="str">
        <f t="shared" si="44"/>
        <v/>
      </c>
      <c r="AG869" s="95" t="b">
        <f t="shared" si="43"/>
        <v>0</v>
      </c>
      <c r="AH869" s="9"/>
      <c r="AI869" s="150">
        <f t="shared" si="42"/>
        <v>0</v>
      </c>
      <c r="AJ869" s="153" t="s">
        <v>6</v>
      </c>
    </row>
    <row r="870" spans="1:36" ht="30" customHeight="1">
      <c r="A870" s="92"/>
      <c r="B870" s="92"/>
      <c r="C870" s="92"/>
      <c r="D870" s="92"/>
      <c r="E870" s="92"/>
      <c r="F870" s="92"/>
      <c r="G870" s="92"/>
      <c r="H870" s="92"/>
      <c r="I870" s="92"/>
      <c r="J870" s="92"/>
      <c r="K870" s="92"/>
      <c r="L870" s="92"/>
      <c r="M870" s="92"/>
      <c r="N870" s="155"/>
      <c r="O870" s="157"/>
      <c r="P870" s="92"/>
      <c r="Q870" s="145"/>
      <c r="R870" s="92"/>
      <c r="S870" s="145"/>
      <c r="T870" s="92"/>
      <c r="U870" s="145"/>
      <c r="V870" s="92"/>
      <c r="W870" s="145"/>
      <c r="X870" s="92"/>
      <c r="Y870" s="145"/>
      <c r="Z870" s="92"/>
      <c r="AA870" s="145"/>
      <c r="AB870" s="64"/>
      <c r="AC870" s="145"/>
      <c r="AD870" s="64"/>
      <c r="AE870" s="145"/>
      <c r="AF870" s="196" t="str">
        <f t="shared" si="44"/>
        <v/>
      </c>
      <c r="AG870" s="95" t="b">
        <f t="shared" si="43"/>
        <v>0</v>
      </c>
      <c r="AH870" s="9"/>
      <c r="AI870" s="150">
        <f t="shared" si="42"/>
        <v>0</v>
      </c>
      <c r="AJ870" s="153" t="s">
        <v>6</v>
      </c>
    </row>
    <row r="871" spans="1:36" ht="30" customHeight="1">
      <c r="A871" s="92"/>
      <c r="B871" s="92"/>
      <c r="C871" s="92"/>
      <c r="D871" s="92"/>
      <c r="E871" s="92"/>
      <c r="F871" s="92"/>
      <c r="G871" s="92"/>
      <c r="H871" s="92"/>
      <c r="I871" s="92"/>
      <c r="J871" s="92"/>
      <c r="K871" s="92"/>
      <c r="L871" s="92"/>
      <c r="M871" s="92"/>
      <c r="N871" s="155"/>
      <c r="O871" s="157"/>
      <c r="P871" s="92"/>
      <c r="Q871" s="145"/>
      <c r="R871" s="92"/>
      <c r="S871" s="145"/>
      <c r="T871" s="92"/>
      <c r="U871" s="145"/>
      <c r="V871" s="92"/>
      <c r="W871" s="145"/>
      <c r="X871" s="92"/>
      <c r="Y871" s="145"/>
      <c r="Z871" s="92"/>
      <c r="AA871" s="145"/>
      <c r="AB871" s="64"/>
      <c r="AC871" s="145"/>
      <c r="AD871" s="64"/>
      <c r="AE871" s="145"/>
      <c r="AF871" s="196" t="str">
        <f t="shared" si="44"/>
        <v/>
      </c>
      <c r="AG871" s="95" t="b">
        <f t="shared" si="43"/>
        <v>0</v>
      </c>
      <c r="AH871" s="9"/>
      <c r="AI871" s="150">
        <f t="shared" si="42"/>
        <v>0</v>
      </c>
      <c r="AJ871" s="153" t="s">
        <v>6</v>
      </c>
    </row>
    <row r="872" spans="1:36" ht="30" customHeight="1">
      <c r="A872" s="92"/>
      <c r="B872" s="92"/>
      <c r="C872" s="92"/>
      <c r="D872" s="92"/>
      <c r="E872" s="92"/>
      <c r="F872" s="92"/>
      <c r="G872" s="92"/>
      <c r="H872" s="92"/>
      <c r="I872" s="92"/>
      <c r="J872" s="92"/>
      <c r="K872" s="92"/>
      <c r="L872" s="92"/>
      <c r="M872" s="92"/>
      <c r="N872" s="155"/>
      <c r="O872" s="157"/>
      <c r="P872" s="92"/>
      <c r="Q872" s="145"/>
      <c r="R872" s="92"/>
      <c r="S872" s="145"/>
      <c r="T872" s="92"/>
      <c r="U872" s="145"/>
      <c r="V872" s="92"/>
      <c r="W872" s="145"/>
      <c r="X872" s="92"/>
      <c r="Y872" s="145"/>
      <c r="Z872" s="92"/>
      <c r="AA872" s="145"/>
      <c r="AB872" s="64"/>
      <c r="AC872" s="145"/>
      <c r="AD872" s="64"/>
      <c r="AE872" s="145"/>
      <c r="AF872" s="196" t="str">
        <f t="shared" si="44"/>
        <v/>
      </c>
      <c r="AG872" s="95" t="b">
        <f t="shared" si="43"/>
        <v>0</v>
      </c>
      <c r="AH872" s="9"/>
      <c r="AI872" s="150">
        <f t="shared" si="42"/>
        <v>0</v>
      </c>
      <c r="AJ872" s="153" t="s">
        <v>6</v>
      </c>
    </row>
    <row r="873" spans="1:36" ht="30" customHeight="1">
      <c r="A873" s="92"/>
      <c r="B873" s="92"/>
      <c r="C873" s="92"/>
      <c r="D873" s="92"/>
      <c r="E873" s="92"/>
      <c r="F873" s="92"/>
      <c r="G873" s="92"/>
      <c r="H873" s="92"/>
      <c r="I873" s="92"/>
      <c r="J873" s="92"/>
      <c r="K873" s="92"/>
      <c r="L873" s="92"/>
      <c r="M873" s="92"/>
      <c r="N873" s="155"/>
      <c r="O873" s="157"/>
      <c r="P873" s="92"/>
      <c r="Q873" s="145"/>
      <c r="R873" s="92"/>
      <c r="S873" s="145"/>
      <c r="T873" s="92"/>
      <c r="U873" s="145"/>
      <c r="V873" s="92"/>
      <c r="W873" s="145"/>
      <c r="X873" s="92"/>
      <c r="Y873" s="145"/>
      <c r="Z873" s="92"/>
      <c r="AA873" s="145"/>
      <c r="AB873" s="64"/>
      <c r="AC873" s="145"/>
      <c r="AD873" s="64"/>
      <c r="AE873" s="145"/>
      <c r="AF873" s="196" t="str">
        <f t="shared" si="44"/>
        <v/>
      </c>
      <c r="AG873" s="95" t="b">
        <f t="shared" si="43"/>
        <v>0</v>
      </c>
      <c r="AH873" s="9"/>
      <c r="AI873" s="150">
        <f t="shared" si="42"/>
        <v>0</v>
      </c>
      <c r="AJ873" s="153" t="s">
        <v>6</v>
      </c>
    </row>
    <row r="874" spans="1:36" ht="30" customHeight="1">
      <c r="A874" s="92"/>
      <c r="B874" s="92"/>
      <c r="C874" s="92"/>
      <c r="D874" s="92"/>
      <c r="E874" s="92"/>
      <c r="F874" s="92"/>
      <c r="G874" s="92"/>
      <c r="H874" s="92"/>
      <c r="I874" s="92"/>
      <c r="J874" s="92"/>
      <c r="K874" s="92"/>
      <c r="L874" s="92"/>
      <c r="M874" s="92"/>
      <c r="N874" s="155"/>
      <c r="O874" s="157"/>
      <c r="P874" s="92"/>
      <c r="Q874" s="145"/>
      <c r="R874" s="92"/>
      <c r="S874" s="145"/>
      <c r="T874" s="92"/>
      <c r="U874" s="145"/>
      <c r="V874" s="92"/>
      <c r="W874" s="145"/>
      <c r="X874" s="92"/>
      <c r="Y874" s="145"/>
      <c r="Z874" s="92"/>
      <c r="AA874" s="145"/>
      <c r="AB874" s="64"/>
      <c r="AC874" s="145"/>
      <c r="AD874" s="64"/>
      <c r="AE874" s="145"/>
      <c r="AF874" s="196" t="str">
        <f t="shared" si="44"/>
        <v/>
      </c>
      <c r="AG874" s="95" t="b">
        <f t="shared" si="43"/>
        <v>0</v>
      </c>
      <c r="AH874" s="9"/>
      <c r="AI874" s="150">
        <f t="shared" si="42"/>
        <v>0</v>
      </c>
      <c r="AJ874" s="153" t="s">
        <v>6</v>
      </c>
    </row>
    <row r="875" spans="1:36" ht="30" customHeight="1">
      <c r="A875" s="92"/>
      <c r="B875" s="92"/>
      <c r="C875" s="92"/>
      <c r="D875" s="92"/>
      <c r="E875" s="92"/>
      <c r="F875" s="92"/>
      <c r="G875" s="92"/>
      <c r="H875" s="92"/>
      <c r="I875" s="92"/>
      <c r="J875" s="92"/>
      <c r="K875" s="92"/>
      <c r="L875" s="92"/>
      <c r="M875" s="92"/>
      <c r="N875" s="155"/>
      <c r="O875" s="157"/>
      <c r="P875" s="92"/>
      <c r="Q875" s="145"/>
      <c r="R875" s="92"/>
      <c r="S875" s="145"/>
      <c r="T875" s="92"/>
      <c r="U875" s="145"/>
      <c r="V875" s="92"/>
      <c r="W875" s="145"/>
      <c r="X875" s="92"/>
      <c r="Y875" s="145"/>
      <c r="Z875" s="92"/>
      <c r="AA875" s="145"/>
      <c r="AB875" s="64"/>
      <c r="AC875" s="145"/>
      <c r="AD875" s="64"/>
      <c r="AE875" s="145"/>
      <c r="AF875" s="196" t="str">
        <f t="shared" si="44"/>
        <v/>
      </c>
      <c r="AG875" s="95" t="b">
        <f t="shared" si="43"/>
        <v>0</v>
      </c>
      <c r="AH875" s="9"/>
      <c r="AI875" s="150">
        <f t="shared" si="42"/>
        <v>0</v>
      </c>
      <c r="AJ875" s="153" t="s">
        <v>6</v>
      </c>
    </row>
    <row r="876" spans="1:36" ht="30" customHeight="1">
      <c r="A876" s="92"/>
      <c r="B876" s="92"/>
      <c r="C876" s="92"/>
      <c r="D876" s="92"/>
      <c r="E876" s="92"/>
      <c r="F876" s="92"/>
      <c r="G876" s="92"/>
      <c r="H876" s="92"/>
      <c r="I876" s="92"/>
      <c r="J876" s="92"/>
      <c r="K876" s="92"/>
      <c r="L876" s="92"/>
      <c r="M876" s="92"/>
      <c r="N876" s="155"/>
      <c r="O876" s="157"/>
      <c r="P876" s="92"/>
      <c r="Q876" s="145"/>
      <c r="R876" s="92"/>
      <c r="S876" s="145"/>
      <c r="T876" s="92"/>
      <c r="U876" s="145"/>
      <c r="V876" s="92"/>
      <c r="W876" s="145"/>
      <c r="X876" s="92"/>
      <c r="Y876" s="145"/>
      <c r="Z876" s="92"/>
      <c r="AA876" s="145"/>
      <c r="AB876" s="64"/>
      <c r="AC876" s="145"/>
      <c r="AD876" s="64"/>
      <c r="AE876" s="145"/>
      <c r="AF876" s="196" t="str">
        <f t="shared" si="44"/>
        <v/>
      </c>
      <c r="AG876" s="95" t="b">
        <f t="shared" si="43"/>
        <v>0</v>
      </c>
      <c r="AH876" s="9"/>
      <c r="AI876" s="150">
        <f t="shared" si="42"/>
        <v>0</v>
      </c>
      <c r="AJ876" s="153" t="s">
        <v>6</v>
      </c>
    </row>
    <row r="877" spans="1:36" ht="30" customHeight="1">
      <c r="A877" s="92"/>
      <c r="B877" s="92"/>
      <c r="C877" s="92"/>
      <c r="D877" s="92"/>
      <c r="E877" s="92"/>
      <c r="F877" s="92"/>
      <c r="G877" s="92"/>
      <c r="H877" s="92"/>
      <c r="I877" s="92"/>
      <c r="J877" s="92"/>
      <c r="K877" s="92"/>
      <c r="L877" s="92"/>
      <c r="M877" s="92"/>
      <c r="N877" s="155"/>
      <c r="O877" s="157"/>
      <c r="P877" s="92"/>
      <c r="Q877" s="145"/>
      <c r="R877" s="92"/>
      <c r="S877" s="145"/>
      <c r="T877" s="92"/>
      <c r="U877" s="145"/>
      <c r="V877" s="92"/>
      <c r="W877" s="145"/>
      <c r="X877" s="92"/>
      <c r="Y877" s="145"/>
      <c r="Z877" s="92"/>
      <c r="AA877" s="145"/>
      <c r="AB877" s="64"/>
      <c r="AC877" s="145"/>
      <c r="AD877" s="64"/>
      <c r="AE877" s="145"/>
      <c r="AF877" s="196" t="str">
        <f t="shared" si="44"/>
        <v/>
      </c>
      <c r="AG877" s="95" t="b">
        <f t="shared" si="43"/>
        <v>0</v>
      </c>
      <c r="AH877" s="9"/>
      <c r="AI877" s="150">
        <f t="shared" si="42"/>
        <v>0</v>
      </c>
      <c r="AJ877" s="153" t="s">
        <v>6</v>
      </c>
    </row>
    <row r="878" spans="1:36" ht="30" customHeight="1">
      <c r="A878" s="92"/>
      <c r="B878" s="92"/>
      <c r="C878" s="92"/>
      <c r="D878" s="92"/>
      <c r="E878" s="92"/>
      <c r="F878" s="92"/>
      <c r="G878" s="92"/>
      <c r="H878" s="92"/>
      <c r="I878" s="92"/>
      <c r="J878" s="92"/>
      <c r="K878" s="92"/>
      <c r="L878" s="92"/>
      <c r="M878" s="92"/>
      <c r="N878" s="155"/>
      <c r="O878" s="157"/>
      <c r="P878" s="92"/>
      <c r="Q878" s="145"/>
      <c r="R878" s="92"/>
      <c r="S878" s="145"/>
      <c r="T878" s="92"/>
      <c r="U878" s="145"/>
      <c r="V878" s="92"/>
      <c r="W878" s="145"/>
      <c r="X878" s="92"/>
      <c r="Y878" s="145"/>
      <c r="Z878" s="92"/>
      <c r="AA878" s="145"/>
      <c r="AB878" s="64"/>
      <c r="AC878" s="145"/>
      <c r="AD878" s="64"/>
      <c r="AE878" s="145"/>
      <c r="AF878" s="196" t="str">
        <f t="shared" si="44"/>
        <v/>
      </c>
      <c r="AG878" s="95" t="b">
        <f t="shared" si="43"/>
        <v>0</v>
      </c>
      <c r="AH878" s="9"/>
      <c r="AI878" s="150">
        <f t="shared" si="42"/>
        <v>0</v>
      </c>
      <c r="AJ878" s="153" t="s">
        <v>6</v>
      </c>
    </row>
    <row r="879" spans="1:36" ht="30" customHeight="1">
      <c r="A879" s="92"/>
      <c r="B879" s="92"/>
      <c r="C879" s="92"/>
      <c r="D879" s="92"/>
      <c r="E879" s="92"/>
      <c r="F879" s="92"/>
      <c r="G879" s="92"/>
      <c r="H879" s="92"/>
      <c r="I879" s="92"/>
      <c r="J879" s="92"/>
      <c r="K879" s="92"/>
      <c r="L879" s="92"/>
      <c r="M879" s="92"/>
      <c r="N879" s="155"/>
      <c r="O879" s="157"/>
      <c r="P879" s="92"/>
      <c r="Q879" s="145"/>
      <c r="R879" s="92"/>
      <c r="S879" s="145"/>
      <c r="T879" s="92"/>
      <c r="U879" s="145"/>
      <c r="V879" s="92"/>
      <c r="W879" s="145"/>
      <c r="X879" s="92"/>
      <c r="Y879" s="145"/>
      <c r="Z879" s="92"/>
      <c r="AA879" s="145"/>
      <c r="AB879" s="64"/>
      <c r="AC879" s="145"/>
      <c r="AD879" s="64"/>
      <c r="AE879" s="145"/>
      <c r="AF879" s="196" t="str">
        <f t="shared" si="44"/>
        <v/>
      </c>
      <c r="AG879" s="95" t="b">
        <f t="shared" si="43"/>
        <v>0</v>
      </c>
      <c r="AH879" s="9"/>
      <c r="AI879" s="150">
        <f t="shared" si="42"/>
        <v>0</v>
      </c>
      <c r="AJ879" s="153" t="s">
        <v>6</v>
      </c>
    </row>
    <row r="880" spans="1:36" ht="30" customHeight="1">
      <c r="A880" s="92"/>
      <c r="B880" s="92"/>
      <c r="C880" s="92"/>
      <c r="D880" s="92"/>
      <c r="E880" s="92"/>
      <c r="F880" s="92"/>
      <c r="G880" s="92"/>
      <c r="H880" s="92"/>
      <c r="I880" s="92"/>
      <c r="J880" s="92"/>
      <c r="K880" s="92"/>
      <c r="L880" s="92"/>
      <c r="M880" s="92"/>
      <c r="N880" s="155"/>
      <c r="O880" s="157"/>
      <c r="P880" s="92"/>
      <c r="Q880" s="145"/>
      <c r="R880" s="92"/>
      <c r="S880" s="145"/>
      <c r="T880" s="92"/>
      <c r="U880" s="145"/>
      <c r="V880" s="92"/>
      <c r="W880" s="145"/>
      <c r="X880" s="92"/>
      <c r="Y880" s="145"/>
      <c r="Z880" s="92"/>
      <c r="AA880" s="145"/>
      <c r="AB880" s="64"/>
      <c r="AC880" s="145"/>
      <c r="AD880" s="64"/>
      <c r="AE880" s="145"/>
      <c r="AF880" s="196" t="str">
        <f t="shared" si="44"/>
        <v/>
      </c>
      <c r="AG880" s="95" t="b">
        <f t="shared" si="43"/>
        <v>0</v>
      </c>
      <c r="AH880" s="9"/>
      <c r="AI880" s="150">
        <f t="shared" si="42"/>
        <v>0</v>
      </c>
      <c r="AJ880" s="153" t="s">
        <v>6</v>
      </c>
    </row>
    <row r="881" spans="1:36" ht="30" customHeight="1">
      <c r="A881" s="92"/>
      <c r="B881" s="92"/>
      <c r="C881" s="92"/>
      <c r="D881" s="92"/>
      <c r="E881" s="92"/>
      <c r="F881" s="92"/>
      <c r="G881" s="92"/>
      <c r="H881" s="92"/>
      <c r="I881" s="92"/>
      <c r="J881" s="92"/>
      <c r="K881" s="92"/>
      <c r="L881" s="92"/>
      <c r="M881" s="92"/>
      <c r="N881" s="155"/>
      <c r="O881" s="157"/>
      <c r="P881" s="92"/>
      <c r="Q881" s="145"/>
      <c r="R881" s="92"/>
      <c r="S881" s="145"/>
      <c r="T881" s="92"/>
      <c r="U881" s="145"/>
      <c r="V881" s="92"/>
      <c r="W881" s="145"/>
      <c r="X881" s="92"/>
      <c r="Y881" s="145"/>
      <c r="Z881" s="92"/>
      <c r="AA881" s="145"/>
      <c r="AB881" s="64"/>
      <c r="AC881" s="145"/>
      <c r="AD881" s="64"/>
      <c r="AE881" s="145"/>
      <c r="AF881" s="196" t="str">
        <f t="shared" si="44"/>
        <v/>
      </c>
      <c r="AG881" s="95" t="b">
        <f t="shared" si="43"/>
        <v>0</v>
      </c>
      <c r="AH881" s="9"/>
      <c r="AI881" s="150">
        <f t="shared" si="42"/>
        <v>0</v>
      </c>
      <c r="AJ881" s="153" t="s">
        <v>6</v>
      </c>
    </row>
    <row r="882" spans="1:36" ht="30" customHeight="1">
      <c r="A882" s="92"/>
      <c r="B882" s="92"/>
      <c r="C882" s="92"/>
      <c r="D882" s="92"/>
      <c r="E882" s="92"/>
      <c r="F882" s="92"/>
      <c r="G882" s="92"/>
      <c r="H882" s="92"/>
      <c r="I882" s="92"/>
      <c r="J882" s="92"/>
      <c r="K882" s="92"/>
      <c r="L882" s="92"/>
      <c r="M882" s="92"/>
      <c r="N882" s="155"/>
      <c r="O882" s="157"/>
      <c r="P882" s="92"/>
      <c r="Q882" s="145"/>
      <c r="R882" s="92"/>
      <c r="S882" s="145"/>
      <c r="T882" s="92"/>
      <c r="U882" s="145"/>
      <c r="V882" s="92"/>
      <c r="W882" s="145"/>
      <c r="X882" s="92"/>
      <c r="Y882" s="145"/>
      <c r="Z882" s="92"/>
      <c r="AA882" s="145"/>
      <c r="AB882" s="64"/>
      <c r="AC882" s="145"/>
      <c r="AD882" s="64"/>
      <c r="AE882" s="145"/>
      <c r="AF882" s="196" t="str">
        <f t="shared" si="44"/>
        <v/>
      </c>
      <c r="AG882" s="95" t="b">
        <f t="shared" si="43"/>
        <v>0</v>
      </c>
      <c r="AH882" s="9"/>
      <c r="AI882" s="150">
        <f t="shared" si="42"/>
        <v>0</v>
      </c>
      <c r="AJ882" s="153" t="s">
        <v>6</v>
      </c>
    </row>
    <row r="883" spans="1:36" ht="30" customHeight="1">
      <c r="A883" s="92"/>
      <c r="B883" s="92"/>
      <c r="C883" s="92"/>
      <c r="D883" s="92"/>
      <c r="E883" s="92"/>
      <c r="F883" s="92"/>
      <c r="G883" s="92"/>
      <c r="H883" s="92"/>
      <c r="I883" s="92"/>
      <c r="J883" s="92"/>
      <c r="K883" s="92"/>
      <c r="L883" s="92"/>
      <c r="M883" s="92"/>
      <c r="N883" s="155"/>
      <c r="O883" s="157"/>
      <c r="P883" s="92"/>
      <c r="Q883" s="145"/>
      <c r="R883" s="92"/>
      <c r="S883" s="145"/>
      <c r="T883" s="92"/>
      <c r="U883" s="145"/>
      <c r="V883" s="92"/>
      <c r="W883" s="145"/>
      <c r="X883" s="92"/>
      <c r="Y883" s="145"/>
      <c r="Z883" s="92"/>
      <c r="AA883" s="145"/>
      <c r="AB883" s="64"/>
      <c r="AC883" s="145"/>
      <c r="AD883" s="64"/>
      <c r="AE883" s="145"/>
      <c r="AF883" s="196" t="str">
        <f t="shared" si="44"/>
        <v/>
      </c>
      <c r="AG883" s="95" t="b">
        <f t="shared" si="43"/>
        <v>0</v>
      </c>
      <c r="AH883" s="9"/>
      <c r="AI883" s="150">
        <f t="shared" si="42"/>
        <v>0</v>
      </c>
      <c r="AJ883" s="153" t="s">
        <v>6</v>
      </c>
    </row>
    <row r="884" spans="1:36" ht="30" customHeight="1">
      <c r="A884" s="92"/>
      <c r="B884" s="92"/>
      <c r="C884" s="92"/>
      <c r="D884" s="92"/>
      <c r="E884" s="92"/>
      <c r="F884" s="92"/>
      <c r="G884" s="92"/>
      <c r="H884" s="92"/>
      <c r="I884" s="92"/>
      <c r="J884" s="92"/>
      <c r="K884" s="92"/>
      <c r="L884" s="92"/>
      <c r="M884" s="92"/>
      <c r="N884" s="155"/>
      <c r="O884" s="157"/>
      <c r="P884" s="92"/>
      <c r="Q884" s="145"/>
      <c r="R884" s="92"/>
      <c r="S884" s="145"/>
      <c r="T884" s="92"/>
      <c r="U884" s="145"/>
      <c r="V884" s="92"/>
      <c r="W884" s="145"/>
      <c r="X884" s="92"/>
      <c r="Y884" s="145"/>
      <c r="Z884" s="92"/>
      <c r="AA884" s="145"/>
      <c r="AB884" s="64"/>
      <c r="AC884" s="145"/>
      <c r="AD884" s="64"/>
      <c r="AE884" s="145"/>
      <c r="AF884" s="196" t="str">
        <f t="shared" si="44"/>
        <v/>
      </c>
      <c r="AG884" s="95" t="b">
        <f t="shared" si="43"/>
        <v>0</v>
      </c>
      <c r="AH884" s="9"/>
      <c r="AI884" s="150">
        <f t="shared" si="42"/>
        <v>0</v>
      </c>
      <c r="AJ884" s="153" t="s">
        <v>6</v>
      </c>
    </row>
    <row r="885" spans="1:36" ht="30" customHeight="1">
      <c r="A885" s="92"/>
      <c r="B885" s="92"/>
      <c r="C885" s="92"/>
      <c r="D885" s="92"/>
      <c r="E885" s="92"/>
      <c r="F885" s="92"/>
      <c r="G885" s="92"/>
      <c r="H885" s="92"/>
      <c r="I885" s="92"/>
      <c r="J885" s="92"/>
      <c r="K885" s="92"/>
      <c r="L885" s="92"/>
      <c r="M885" s="92"/>
      <c r="N885" s="155"/>
      <c r="O885" s="157"/>
      <c r="P885" s="92"/>
      <c r="Q885" s="145"/>
      <c r="R885" s="92"/>
      <c r="S885" s="145"/>
      <c r="T885" s="92"/>
      <c r="U885" s="145"/>
      <c r="V885" s="92"/>
      <c r="W885" s="145"/>
      <c r="X885" s="92"/>
      <c r="Y885" s="145"/>
      <c r="Z885" s="92"/>
      <c r="AA885" s="145"/>
      <c r="AB885" s="64"/>
      <c r="AC885" s="145"/>
      <c r="AD885" s="64"/>
      <c r="AE885" s="145"/>
      <c r="AF885" s="196" t="str">
        <f t="shared" si="44"/>
        <v/>
      </c>
      <c r="AG885" s="95" t="b">
        <f t="shared" si="43"/>
        <v>0</v>
      </c>
      <c r="AH885" s="9"/>
      <c r="AI885" s="150">
        <f t="shared" si="42"/>
        <v>0</v>
      </c>
      <c r="AJ885" s="153" t="s">
        <v>6</v>
      </c>
    </row>
    <row r="886" spans="1:36" ht="30" customHeight="1">
      <c r="A886" s="92"/>
      <c r="B886" s="92"/>
      <c r="C886" s="92"/>
      <c r="D886" s="92"/>
      <c r="E886" s="92"/>
      <c r="F886" s="92"/>
      <c r="G886" s="92"/>
      <c r="H886" s="92"/>
      <c r="I886" s="92"/>
      <c r="J886" s="92"/>
      <c r="K886" s="92"/>
      <c r="L886" s="92"/>
      <c r="M886" s="92"/>
      <c r="N886" s="155"/>
      <c r="O886" s="157"/>
      <c r="P886" s="92"/>
      <c r="Q886" s="145"/>
      <c r="R886" s="92"/>
      <c r="S886" s="145"/>
      <c r="T886" s="92"/>
      <c r="U886" s="145"/>
      <c r="V886" s="92"/>
      <c r="W886" s="145"/>
      <c r="X886" s="92"/>
      <c r="Y886" s="145"/>
      <c r="Z886" s="92"/>
      <c r="AA886" s="145"/>
      <c r="AB886" s="64"/>
      <c r="AC886" s="145"/>
      <c r="AD886" s="64"/>
      <c r="AE886" s="145"/>
      <c r="AF886" s="196" t="str">
        <f t="shared" si="44"/>
        <v/>
      </c>
      <c r="AG886" s="95" t="b">
        <f t="shared" si="43"/>
        <v>0</v>
      </c>
      <c r="AH886" s="9"/>
      <c r="AI886" s="150">
        <f t="shared" si="42"/>
        <v>0</v>
      </c>
      <c r="AJ886" s="153" t="s">
        <v>6</v>
      </c>
    </row>
    <row r="887" spans="1:36" ht="30" customHeight="1">
      <c r="A887" s="92"/>
      <c r="B887" s="92"/>
      <c r="C887" s="92"/>
      <c r="D887" s="92"/>
      <c r="E887" s="92"/>
      <c r="F887" s="92"/>
      <c r="G887" s="92"/>
      <c r="H887" s="92"/>
      <c r="I887" s="92"/>
      <c r="J887" s="92"/>
      <c r="K887" s="92"/>
      <c r="L887" s="92"/>
      <c r="M887" s="92"/>
      <c r="N887" s="155"/>
      <c r="O887" s="157"/>
      <c r="P887" s="92"/>
      <c r="Q887" s="145"/>
      <c r="R887" s="92"/>
      <c r="S887" s="145"/>
      <c r="T887" s="92"/>
      <c r="U887" s="145"/>
      <c r="V887" s="92"/>
      <c r="W887" s="145"/>
      <c r="X887" s="92"/>
      <c r="Y887" s="145"/>
      <c r="Z887" s="92"/>
      <c r="AA887" s="145"/>
      <c r="AB887" s="64"/>
      <c r="AC887" s="145"/>
      <c r="AD887" s="64"/>
      <c r="AE887" s="145"/>
      <c r="AF887" s="196" t="str">
        <f t="shared" si="44"/>
        <v/>
      </c>
      <c r="AG887" s="95" t="b">
        <f t="shared" si="43"/>
        <v>0</v>
      </c>
      <c r="AH887" s="9"/>
      <c r="AI887" s="150">
        <f t="shared" si="42"/>
        <v>0</v>
      </c>
      <c r="AJ887" s="153" t="s">
        <v>6</v>
      </c>
    </row>
    <row r="888" spans="1:36" ht="30" customHeight="1">
      <c r="A888" s="92"/>
      <c r="B888" s="92"/>
      <c r="C888" s="92"/>
      <c r="D888" s="92"/>
      <c r="E888" s="92"/>
      <c r="F888" s="92"/>
      <c r="G888" s="92"/>
      <c r="H888" s="92"/>
      <c r="I888" s="92"/>
      <c r="J888" s="92"/>
      <c r="K888" s="92"/>
      <c r="L888" s="92"/>
      <c r="M888" s="92"/>
      <c r="N888" s="155"/>
      <c r="O888" s="157"/>
      <c r="P888" s="92"/>
      <c r="Q888" s="145"/>
      <c r="R888" s="92"/>
      <c r="S888" s="145"/>
      <c r="T888" s="92"/>
      <c r="U888" s="145"/>
      <c r="V888" s="92"/>
      <c r="W888" s="145"/>
      <c r="X888" s="92"/>
      <c r="Y888" s="145"/>
      <c r="Z888" s="92"/>
      <c r="AA888" s="145"/>
      <c r="AB888" s="64"/>
      <c r="AC888" s="145"/>
      <c r="AD888" s="64"/>
      <c r="AE888" s="145"/>
      <c r="AF888" s="196" t="str">
        <f t="shared" si="44"/>
        <v/>
      </c>
      <c r="AG888" s="95" t="b">
        <f t="shared" si="43"/>
        <v>0</v>
      </c>
      <c r="AH888" s="9"/>
      <c r="AI888" s="150">
        <f t="shared" si="42"/>
        <v>0</v>
      </c>
      <c r="AJ888" s="153" t="s">
        <v>6</v>
      </c>
    </row>
    <row r="889" spans="1:36" ht="30" customHeight="1">
      <c r="A889" s="92"/>
      <c r="B889" s="92"/>
      <c r="C889" s="92"/>
      <c r="D889" s="92"/>
      <c r="E889" s="92"/>
      <c r="F889" s="92"/>
      <c r="G889" s="92"/>
      <c r="H889" s="92"/>
      <c r="I889" s="92"/>
      <c r="J889" s="92"/>
      <c r="K889" s="92"/>
      <c r="L889" s="92"/>
      <c r="M889" s="92"/>
      <c r="N889" s="155"/>
      <c r="O889" s="157"/>
      <c r="P889" s="92"/>
      <c r="Q889" s="145"/>
      <c r="R889" s="92"/>
      <c r="S889" s="145"/>
      <c r="T889" s="92"/>
      <c r="U889" s="145"/>
      <c r="V889" s="92"/>
      <c r="W889" s="145"/>
      <c r="X889" s="92"/>
      <c r="Y889" s="145"/>
      <c r="Z889" s="92"/>
      <c r="AA889" s="145"/>
      <c r="AB889" s="64"/>
      <c r="AC889" s="145"/>
      <c r="AD889" s="64"/>
      <c r="AE889" s="145"/>
      <c r="AF889" s="196" t="str">
        <f t="shared" si="44"/>
        <v/>
      </c>
      <c r="AG889" s="95" t="b">
        <f t="shared" si="43"/>
        <v>0</v>
      </c>
      <c r="AH889" s="9"/>
      <c r="AI889" s="150">
        <f t="shared" si="42"/>
        <v>0</v>
      </c>
      <c r="AJ889" s="153" t="s">
        <v>6</v>
      </c>
    </row>
    <row r="890" spans="1:36" ht="30" customHeight="1">
      <c r="A890" s="92"/>
      <c r="B890" s="92"/>
      <c r="C890" s="92"/>
      <c r="D890" s="92"/>
      <c r="E890" s="92"/>
      <c r="F890" s="92"/>
      <c r="G890" s="92"/>
      <c r="H890" s="92"/>
      <c r="I890" s="92"/>
      <c r="J890" s="92"/>
      <c r="K890" s="92"/>
      <c r="L890" s="92"/>
      <c r="M890" s="92"/>
      <c r="N890" s="155"/>
      <c r="O890" s="157"/>
      <c r="P890" s="92"/>
      <c r="Q890" s="145"/>
      <c r="R890" s="92"/>
      <c r="S890" s="145"/>
      <c r="T890" s="92"/>
      <c r="U890" s="145"/>
      <c r="V890" s="92"/>
      <c r="W890" s="145"/>
      <c r="X890" s="92"/>
      <c r="Y890" s="145"/>
      <c r="Z890" s="92"/>
      <c r="AA890" s="145"/>
      <c r="AB890" s="64"/>
      <c r="AC890" s="145"/>
      <c r="AD890" s="64"/>
      <c r="AE890" s="145"/>
      <c r="AF890" s="196" t="str">
        <f t="shared" si="44"/>
        <v/>
      </c>
      <c r="AG890" s="95" t="b">
        <f t="shared" si="43"/>
        <v>0</v>
      </c>
      <c r="AH890" s="9"/>
      <c r="AI890" s="150">
        <f t="shared" si="42"/>
        <v>0</v>
      </c>
      <c r="AJ890" s="153" t="s">
        <v>6</v>
      </c>
    </row>
    <row r="891" spans="1:36" ht="30" customHeight="1">
      <c r="A891" s="92"/>
      <c r="B891" s="92"/>
      <c r="C891" s="92"/>
      <c r="D891" s="92"/>
      <c r="E891" s="92"/>
      <c r="F891" s="92"/>
      <c r="G891" s="92"/>
      <c r="H891" s="92"/>
      <c r="I891" s="92"/>
      <c r="J891" s="92"/>
      <c r="K891" s="92"/>
      <c r="L891" s="92"/>
      <c r="M891" s="92"/>
      <c r="N891" s="155"/>
      <c r="O891" s="157"/>
      <c r="P891" s="92"/>
      <c r="Q891" s="145"/>
      <c r="R891" s="92"/>
      <c r="S891" s="145"/>
      <c r="T891" s="92"/>
      <c r="U891" s="145"/>
      <c r="V891" s="92"/>
      <c r="W891" s="145"/>
      <c r="X891" s="92"/>
      <c r="Y891" s="145"/>
      <c r="Z891" s="92"/>
      <c r="AA891" s="145"/>
      <c r="AB891" s="64"/>
      <c r="AC891" s="145"/>
      <c r="AD891" s="64"/>
      <c r="AE891" s="145"/>
      <c r="AF891" s="196" t="str">
        <f t="shared" si="44"/>
        <v/>
      </c>
      <c r="AG891" s="95" t="b">
        <f t="shared" si="43"/>
        <v>0</v>
      </c>
      <c r="AH891" s="9"/>
      <c r="AI891" s="150">
        <f t="shared" si="42"/>
        <v>0</v>
      </c>
      <c r="AJ891" s="153" t="s">
        <v>6</v>
      </c>
    </row>
    <row r="892" spans="1:36" ht="30" customHeight="1">
      <c r="A892" s="92"/>
      <c r="B892" s="92"/>
      <c r="C892" s="92"/>
      <c r="D892" s="92"/>
      <c r="E892" s="92"/>
      <c r="F892" s="92"/>
      <c r="G892" s="92"/>
      <c r="H892" s="92"/>
      <c r="I892" s="92"/>
      <c r="J892" s="92"/>
      <c r="K892" s="92"/>
      <c r="L892" s="92"/>
      <c r="M892" s="92"/>
      <c r="N892" s="155"/>
      <c r="O892" s="157"/>
      <c r="P892" s="92"/>
      <c r="Q892" s="145"/>
      <c r="R892" s="92"/>
      <c r="S892" s="145"/>
      <c r="T892" s="92"/>
      <c r="U892" s="145"/>
      <c r="V892" s="92"/>
      <c r="W892" s="145"/>
      <c r="X892" s="92"/>
      <c r="Y892" s="145"/>
      <c r="Z892" s="92"/>
      <c r="AA892" s="145"/>
      <c r="AB892" s="64"/>
      <c r="AC892" s="145"/>
      <c r="AD892" s="64"/>
      <c r="AE892" s="145"/>
      <c r="AF892" s="196" t="str">
        <f t="shared" si="44"/>
        <v/>
      </c>
      <c r="AG892" s="95" t="b">
        <f t="shared" si="43"/>
        <v>0</v>
      </c>
      <c r="AH892" s="9"/>
      <c r="AI892" s="150">
        <f t="shared" si="42"/>
        <v>0</v>
      </c>
      <c r="AJ892" s="153" t="s">
        <v>6</v>
      </c>
    </row>
    <row r="893" spans="1:36" ht="30" customHeight="1">
      <c r="A893" s="92"/>
      <c r="B893" s="92"/>
      <c r="C893" s="92"/>
      <c r="D893" s="92"/>
      <c r="E893" s="92"/>
      <c r="F893" s="92"/>
      <c r="G893" s="92"/>
      <c r="H893" s="92"/>
      <c r="I893" s="92"/>
      <c r="J893" s="92"/>
      <c r="K893" s="92"/>
      <c r="L893" s="92"/>
      <c r="M893" s="92"/>
      <c r="N893" s="155"/>
      <c r="O893" s="157"/>
      <c r="P893" s="92"/>
      <c r="Q893" s="145"/>
      <c r="R893" s="92"/>
      <c r="S893" s="145"/>
      <c r="T893" s="92"/>
      <c r="U893" s="145"/>
      <c r="V893" s="92"/>
      <c r="W893" s="145"/>
      <c r="X893" s="92"/>
      <c r="Y893" s="145"/>
      <c r="Z893" s="92"/>
      <c r="AA893" s="145"/>
      <c r="AB893" s="64"/>
      <c r="AC893" s="145"/>
      <c r="AD893" s="64"/>
      <c r="AE893" s="145"/>
      <c r="AF893" s="196" t="str">
        <f t="shared" si="44"/>
        <v/>
      </c>
      <c r="AG893" s="95" t="b">
        <f t="shared" si="43"/>
        <v>0</v>
      </c>
      <c r="AH893" s="9"/>
      <c r="AI893" s="150">
        <f t="shared" si="42"/>
        <v>0</v>
      </c>
      <c r="AJ893" s="153" t="s">
        <v>6</v>
      </c>
    </row>
    <row r="894" spans="1:36" ht="30" customHeight="1">
      <c r="A894" s="92"/>
      <c r="B894" s="92"/>
      <c r="C894" s="92"/>
      <c r="D894" s="92"/>
      <c r="E894" s="92"/>
      <c r="F894" s="92"/>
      <c r="G894" s="92"/>
      <c r="H894" s="92"/>
      <c r="I894" s="92"/>
      <c r="J894" s="92"/>
      <c r="K894" s="92"/>
      <c r="L894" s="92"/>
      <c r="M894" s="92"/>
      <c r="N894" s="155"/>
      <c r="O894" s="157"/>
      <c r="P894" s="92"/>
      <c r="Q894" s="145"/>
      <c r="R894" s="92"/>
      <c r="S894" s="145"/>
      <c r="T894" s="92"/>
      <c r="U894" s="145"/>
      <c r="V894" s="92"/>
      <c r="W894" s="145"/>
      <c r="X894" s="92"/>
      <c r="Y894" s="145"/>
      <c r="Z894" s="92"/>
      <c r="AA894" s="145"/>
      <c r="AB894" s="64"/>
      <c r="AC894" s="145"/>
      <c r="AD894" s="64"/>
      <c r="AE894" s="145"/>
      <c r="AF894" s="196" t="str">
        <f t="shared" si="44"/>
        <v/>
      </c>
      <c r="AG894" s="95" t="b">
        <f t="shared" si="43"/>
        <v>0</v>
      </c>
      <c r="AH894" s="9"/>
      <c r="AI894" s="150">
        <f t="shared" si="42"/>
        <v>0</v>
      </c>
      <c r="AJ894" s="153" t="s">
        <v>6</v>
      </c>
    </row>
    <row r="895" spans="1:36" ht="30" customHeight="1">
      <c r="A895" s="92"/>
      <c r="B895" s="92"/>
      <c r="C895" s="92"/>
      <c r="D895" s="92"/>
      <c r="E895" s="92"/>
      <c r="F895" s="92"/>
      <c r="G895" s="92"/>
      <c r="H895" s="92"/>
      <c r="I895" s="92"/>
      <c r="J895" s="92"/>
      <c r="K895" s="92"/>
      <c r="L895" s="92"/>
      <c r="M895" s="92"/>
      <c r="N895" s="155"/>
      <c r="O895" s="157"/>
      <c r="P895" s="92"/>
      <c r="Q895" s="145"/>
      <c r="R895" s="92"/>
      <c r="S895" s="145"/>
      <c r="T895" s="92"/>
      <c r="U895" s="145"/>
      <c r="V895" s="92"/>
      <c r="W895" s="145"/>
      <c r="X895" s="92"/>
      <c r="Y895" s="145"/>
      <c r="Z895" s="92"/>
      <c r="AA895" s="145"/>
      <c r="AB895" s="64"/>
      <c r="AC895" s="145"/>
      <c r="AD895" s="64"/>
      <c r="AE895" s="145"/>
      <c r="AF895" s="196" t="str">
        <f t="shared" si="44"/>
        <v/>
      </c>
      <c r="AG895" s="95" t="b">
        <f t="shared" si="43"/>
        <v>0</v>
      </c>
      <c r="AH895" s="9"/>
      <c r="AI895" s="150">
        <f t="shared" si="42"/>
        <v>0</v>
      </c>
      <c r="AJ895" s="153" t="s">
        <v>6</v>
      </c>
    </row>
    <row r="896" spans="1:36" ht="30" customHeight="1">
      <c r="A896" s="92"/>
      <c r="B896" s="92"/>
      <c r="C896" s="92"/>
      <c r="D896" s="92"/>
      <c r="E896" s="92"/>
      <c r="F896" s="92"/>
      <c r="G896" s="92"/>
      <c r="H896" s="92"/>
      <c r="I896" s="92"/>
      <c r="J896" s="92"/>
      <c r="K896" s="92"/>
      <c r="L896" s="92"/>
      <c r="M896" s="92"/>
      <c r="N896" s="155"/>
      <c r="O896" s="157"/>
      <c r="P896" s="92"/>
      <c r="Q896" s="145"/>
      <c r="R896" s="92"/>
      <c r="S896" s="145"/>
      <c r="T896" s="92"/>
      <c r="U896" s="145"/>
      <c r="V896" s="92"/>
      <c r="W896" s="145"/>
      <c r="X896" s="92"/>
      <c r="Y896" s="145"/>
      <c r="Z896" s="92"/>
      <c r="AA896" s="145"/>
      <c r="AB896" s="64"/>
      <c r="AC896" s="145"/>
      <c r="AD896" s="64"/>
      <c r="AE896" s="145"/>
      <c r="AF896" s="196" t="str">
        <f t="shared" si="44"/>
        <v/>
      </c>
      <c r="AG896" s="95" t="b">
        <f t="shared" si="43"/>
        <v>0</v>
      </c>
      <c r="AH896" s="9"/>
      <c r="AI896" s="150">
        <f t="shared" ref="AI896:AI915" si="45">E896</f>
        <v>0</v>
      </c>
      <c r="AJ896" s="153" t="s">
        <v>6</v>
      </c>
    </row>
    <row r="897" spans="1:36" ht="30" customHeight="1">
      <c r="A897" s="92"/>
      <c r="B897" s="92"/>
      <c r="C897" s="92"/>
      <c r="D897" s="92"/>
      <c r="E897" s="92"/>
      <c r="F897" s="92"/>
      <c r="G897" s="92"/>
      <c r="H897" s="92"/>
      <c r="I897" s="92"/>
      <c r="J897" s="92"/>
      <c r="K897" s="92"/>
      <c r="L897" s="92"/>
      <c r="M897" s="92"/>
      <c r="N897" s="155"/>
      <c r="O897" s="157"/>
      <c r="P897" s="92"/>
      <c r="Q897" s="145"/>
      <c r="R897" s="92"/>
      <c r="S897" s="145"/>
      <c r="T897" s="92"/>
      <c r="U897" s="145"/>
      <c r="V897" s="92"/>
      <c r="W897" s="145"/>
      <c r="X897" s="92"/>
      <c r="Y897" s="145"/>
      <c r="Z897" s="92"/>
      <c r="AA897" s="145"/>
      <c r="AB897" s="64"/>
      <c r="AC897" s="145"/>
      <c r="AD897" s="64"/>
      <c r="AE897" s="145"/>
      <c r="AF897" s="196" t="str">
        <f t="shared" si="44"/>
        <v/>
      </c>
      <c r="AG897" s="95" t="b">
        <f t="shared" si="43"/>
        <v>0</v>
      </c>
      <c r="AH897" s="9"/>
      <c r="AI897" s="150">
        <f t="shared" si="45"/>
        <v>0</v>
      </c>
      <c r="AJ897" s="153" t="s">
        <v>6</v>
      </c>
    </row>
    <row r="898" spans="1:36" ht="30" customHeight="1">
      <c r="A898" s="92"/>
      <c r="B898" s="92"/>
      <c r="C898" s="92"/>
      <c r="D898" s="92"/>
      <c r="E898" s="92"/>
      <c r="F898" s="92"/>
      <c r="G898" s="92"/>
      <c r="H898" s="92"/>
      <c r="I898" s="92"/>
      <c r="J898" s="92"/>
      <c r="K898" s="92"/>
      <c r="L898" s="92"/>
      <c r="M898" s="92"/>
      <c r="N898" s="155"/>
      <c r="O898" s="157"/>
      <c r="P898" s="92"/>
      <c r="Q898" s="145"/>
      <c r="R898" s="92"/>
      <c r="S898" s="145"/>
      <c r="T898" s="92"/>
      <c r="U898" s="145"/>
      <c r="V898" s="92"/>
      <c r="W898" s="145"/>
      <c r="X898" s="92"/>
      <c r="Y898" s="145"/>
      <c r="Z898" s="92"/>
      <c r="AA898" s="145"/>
      <c r="AB898" s="64"/>
      <c r="AC898" s="145"/>
      <c r="AD898" s="64"/>
      <c r="AE898" s="145"/>
      <c r="AF898" s="196" t="str">
        <f t="shared" si="44"/>
        <v/>
      </c>
      <c r="AG898" s="95" t="b">
        <f t="shared" si="43"/>
        <v>0</v>
      </c>
      <c r="AH898" s="9"/>
      <c r="AI898" s="150">
        <f t="shared" si="45"/>
        <v>0</v>
      </c>
      <c r="AJ898" s="153" t="s">
        <v>6</v>
      </c>
    </row>
    <row r="899" spans="1:36" ht="30" customHeight="1">
      <c r="A899" s="92"/>
      <c r="B899" s="92"/>
      <c r="C899" s="92"/>
      <c r="D899" s="92"/>
      <c r="E899" s="92"/>
      <c r="F899" s="92"/>
      <c r="G899" s="92"/>
      <c r="H899" s="92"/>
      <c r="I899" s="92"/>
      <c r="J899" s="92"/>
      <c r="K899" s="92"/>
      <c r="L899" s="92"/>
      <c r="M899" s="92"/>
      <c r="N899" s="155"/>
      <c r="O899" s="157"/>
      <c r="P899" s="92"/>
      <c r="Q899" s="145"/>
      <c r="R899" s="92"/>
      <c r="S899" s="145"/>
      <c r="T899" s="92"/>
      <c r="U899" s="145"/>
      <c r="V899" s="92"/>
      <c r="W899" s="145"/>
      <c r="X899" s="92"/>
      <c r="Y899" s="145"/>
      <c r="Z899" s="92"/>
      <c r="AA899" s="145"/>
      <c r="AB899" s="64"/>
      <c r="AC899" s="145"/>
      <c r="AD899" s="64"/>
      <c r="AE899" s="145"/>
      <c r="AF899" s="196" t="str">
        <f t="shared" si="44"/>
        <v/>
      </c>
      <c r="AG899" s="95" t="b">
        <f t="shared" si="43"/>
        <v>0</v>
      </c>
      <c r="AH899" s="9"/>
      <c r="AI899" s="150">
        <f t="shared" si="45"/>
        <v>0</v>
      </c>
      <c r="AJ899" s="153" t="s">
        <v>6</v>
      </c>
    </row>
    <row r="900" spans="1:36" ht="30" customHeight="1">
      <c r="A900" s="92"/>
      <c r="B900" s="92"/>
      <c r="C900" s="92"/>
      <c r="D900" s="92"/>
      <c r="E900" s="92"/>
      <c r="F900" s="92"/>
      <c r="G900" s="92"/>
      <c r="H900" s="92"/>
      <c r="I900" s="92"/>
      <c r="J900" s="92"/>
      <c r="K900" s="92"/>
      <c r="L900" s="92"/>
      <c r="M900" s="92"/>
      <c r="N900" s="155"/>
      <c r="O900" s="157"/>
      <c r="P900" s="92"/>
      <c r="Q900" s="145"/>
      <c r="R900" s="92"/>
      <c r="S900" s="145"/>
      <c r="T900" s="92"/>
      <c r="U900" s="145"/>
      <c r="V900" s="92"/>
      <c r="W900" s="145"/>
      <c r="X900" s="92"/>
      <c r="Y900" s="145"/>
      <c r="Z900" s="92"/>
      <c r="AA900" s="145"/>
      <c r="AB900" s="64"/>
      <c r="AC900" s="145"/>
      <c r="AD900" s="64"/>
      <c r="AE900" s="145"/>
      <c r="AF900" s="196" t="str">
        <f t="shared" si="44"/>
        <v/>
      </c>
      <c r="AG900" s="95" t="b">
        <f t="shared" si="43"/>
        <v>0</v>
      </c>
      <c r="AH900" s="9"/>
      <c r="AI900" s="150">
        <f t="shared" si="45"/>
        <v>0</v>
      </c>
      <c r="AJ900" s="153" t="s">
        <v>6</v>
      </c>
    </row>
    <row r="901" spans="1:36" ht="30" customHeight="1">
      <c r="A901" s="92"/>
      <c r="B901" s="92"/>
      <c r="C901" s="92"/>
      <c r="D901" s="92"/>
      <c r="E901" s="92"/>
      <c r="F901" s="92"/>
      <c r="G901" s="92"/>
      <c r="H901" s="92"/>
      <c r="I901" s="92"/>
      <c r="J901" s="92"/>
      <c r="K901" s="92"/>
      <c r="L901" s="92"/>
      <c r="M901" s="92"/>
      <c r="N901" s="155"/>
      <c r="O901" s="157"/>
      <c r="P901" s="92"/>
      <c r="Q901" s="145"/>
      <c r="R901" s="92"/>
      <c r="S901" s="145"/>
      <c r="T901" s="92"/>
      <c r="U901" s="145"/>
      <c r="V901" s="92"/>
      <c r="W901" s="145"/>
      <c r="X901" s="92"/>
      <c r="Y901" s="145"/>
      <c r="Z901" s="92"/>
      <c r="AA901" s="145"/>
      <c r="AB901" s="64"/>
      <c r="AC901" s="145"/>
      <c r="AD901" s="64"/>
      <c r="AE901" s="145"/>
      <c r="AF901" s="196" t="str">
        <f t="shared" si="44"/>
        <v/>
      </c>
      <c r="AG901" s="95" t="b">
        <f t="shared" si="43"/>
        <v>0</v>
      </c>
      <c r="AH901" s="9"/>
      <c r="AI901" s="150">
        <f t="shared" si="45"/>
        <v>0</v>
      </c>
      <c r="AJ901" s="153" t="s">
        <v>6</v>
      </c>
    </row>
    <row r="902" spans="1:36" ht="30" customHeight="1">
      <c r="A902" s="92"/>
      <c r="B902" s="92"/>
      <c r="C902" s="92"/>
      <c r="D902" s="92"/>
      <c r="E902" s="92"/>
      <c r="F902" s="92"/>
      <c r="G902" s="92"/>
      <c r="H902" s="92"/>
      <c r="I902" s="92"/>
      <c r="J902" s="92"/>
      <c r="K902" s="92"/>
      <c r="L902" s="92"/>
      <c r="M902" s="92"/>
      <c r="N902" s="155"/>
      <c r="O902" s="157"/>
      <c r="P902" s="92"/>
      <c r="Q902" s="145"/>
      <c r="R902" s="92"/>
      <c r="S902" s="145"/>
      <c r="T902" s="92"/>
      <c r="U902" s="145"/>
      <c r="V902" s="92"/>
      <c r="W902" s="145"/>
      <c r="X902" s="92"/>
      <c r="Y902" s="145"/>
      <c r="Z902" s="92"/>
      <c r="AA902" s="145"/>
      <c r="AB902" s="64"/>
      <c r="AC902" s="145"/>
      <c r="AD902" s="64"/>
      <c r="AE902" s="145"/>
      <c r="AF902" s="196" t="str">
        <f t="shared" si="44"/>
        <v/>
      </c>
      <c r="AG902" s="95" t="b">
        <f t="shared" si="43"/>
        <v>0</v>
      </c>
      <c r="AH902" s="9"/>
      <c r="AI902" s="150">
        <f t="shared" si="45"/>
        <v>0</v>
      </c>
      <c r="AJ902" s="153" t="s">
        <v>6</v>
      </c>
    </row>
    <row r="903" spans="1:36" ht="30" customHeight="1">
      <c r="A903" s="92"/>
      <c r="B903" s="92"/>
      <c r="C903" s="92"/>
      <c r="D903" s="92"/>
      <c r="E903" s="92"/>
      <c r="F903" s="92"/>
      <c r="G903" s="92"/>
      <c r="H903" s="92"/>
      <c r="I903" s="92"/>
      <c r="J903" s="92"/>
      <c r="K903" s="92"/>
      <c r="L903" s="92"/>
      <c r="M903" s="92"/>
      <c r="N903" s="155"/>
      <c r="O903" s="157"/>
      <c r="P903" s="92"/>
      <c r="Q903" s="145"/>
      <c r="R903" s="92"/>
      <c r="S903" s="145"/>
      <c r="T903" s="92"/>
      <c r="U903" s="145"/>
      <c r="V903" s="92"/>
      <c r="W903" s="145"/>
      <c r="X903" s="92"/>
      <c r="Y903" s="145"/>
      <c r="Z903" s="92"/>
      <c r="AA903" s="145"/>
      <c r="AB903" s="64"/>
      <c r="AC903" s="145"/>
      <c r="AD903" s="64"/>
      <c r="AE903" s="145"/>
      <c r="AF903" s="196" t="str">
        <f t="shared" si="44"/>
        <v/>
      </c>
      <c r="AG903" s="95" t="b">
        <f t="shared" si="43"/>
        <v>0</v>
      </c>
      <c r="AH903" s="9"/>
      <c r="AI903" s="150">
        <f t="shared" si="45"/>
        <v>0</v>
      </c>
      <c r="AJ903" s="153" t="s">
        <v>6</v>
      </c>
    </row>
    <row r="904" spans="1:36" ht="30" customHeight="1">
      <c r="A904" s="92"/>
      <c r="B904" s="92"/>
      <c r="C904" s="92"/>
      <c r="D904" s="92"/>
      <c r="E904" s="92"/>
      <c r="F904" s="92"/>
      <c r="G904" s="92"/>
      <c r="H904" s="92"/>
      <c r="I904" s="92"/>
      <c r="J904" s="92"/>
      <c r="K904" s="92"/>
      <c r="L904" s="92"/>
      <c r="M904" s="92"/>
      <c r="N904" s="155"/>
      <c r="O904" s="157"/>
      <c r="P904" s="92"/>
      <c r="Q904" s="145"/>
      <c r="R904" s="92"/>
      <c r="S904" s="145"/>
      <c r="T904" s="92"/>
      <c r="U904" s="145"/>
      <c r="V904" s="92"/>
      <c r="W904" s="145"/>
      <c r="X904" s="92"/>
      <c r="Y904" s="145"/>
      <c r="Z904" s="92"/>
      <c r="AA904" s="145"/>
      <c r="AB904" s="64"/>
      <c r="AC904" s="145"/>
      <c r="AD904" s="64"/>
      <c r="AE904" s="145"/>
      <c r="AF904" s="196" t="str">
        <f t="shared" si="44"/>
        <v/>
      </c>
      <c r="AG904" s="95" t="b">
        <f t="shared" si="43"/>
        <v>0</v>
      </c>
      <c r="AH904" s="9"/>
      <c r="AI904" s="150">
        <f t="shared" si="45"/>
        <v>0</v>
      </c>
      <c r="AJ904" s="153" t="s">
        <v>6</v>
      </c>
    </row>
    <row r="905" spans="1:36" ht="30" customHeight="1">
      <c r="A905" s="92"/>
      <c r="B905" s="92"/>
      <c r="C905" s="92"/>
      <c r="D905" s="92"/>
      <c r="E905" s="92"/>
      <c r="F905" s="92"/>
      <c r="G905" s="92"/>
      <c r="H905" s="92"/>
      <c r="I905" s="92"/>
      <c r="J905" s="92"/>
      <c r="K905" s="92"/>
      <c r="L905" s="92"/>
      <c r="M905" s="92"/>
      <c r="N905" s="155"/>
      <c r="O905" s="157"/>
      <c r="P905" s="92"/>
      <c r="Q905" s="145"/>
      <c r="R905" s="92"/>
      <c r="S905" s="145"/>
      <c r="T905" s="92"/>
      <c r="U905" s="145"/>
      <c r="V905" s="92"/>
      <c r="W905" s="145"/>
      <c r="X905" s="92"/>
      <c r="Y905" s="145"/>
      <c r="Z905" s="92"/>
      <c r="AA905" s="145"/>
      <c r="AB905" s="64"/>
      <c r="AC905" s="145"/>
      <c r="AD905" s="64"/>
      <c r="AE905" s="145"/>
      <c r="AF905" s="196" t="str">
        <f t="shared" si="44"/>
        <v/>
      </c>
      <c r="AG905" s="95" t="b">
        <f t="shared" si="43"/>
        <v>0</v>
      </c>
      <c r="AH905" s="9"/>
      <c r="AI905" s="150">
        <f t="shared" si="45"/>
        <v>0</v>
      </c>
      <c r="AJ905" s="153" t="s">
        <v>6</v>
      </c>
    </row>
    <row r="906" spans="1:36" ht="30" customHeight="1">
      <c r="A906" s="92"/>
      <c r="B906" s="92"/>
      <c r="C906" s="92"/>
      <c r="D906" s="92"/>
      <c r="E906" s="92"/>
      <c r="F906" s="92"/>
      <c r="G906" s="92"/>
      <c r="H906" s="92"/>
      <c r="I906" s="92"/>
      <c r="J906" s="92"/>
      <c r="K906" s="92"/>
      <c r="L906" s="92"/>
      <c r="M906" s="92"/>
      <c r="N906" s="155"/>
      <c r="O906" s="157"/>
      <c r="P906" s="92"/>
      <c r="Q906" s="145"/>
      <c r="R906" s="92"/>
      <c r="S906" s="145"/>
      <c r="T906" s="92"/>
      <c r="U906" s="145"/>
      <c r="V906" s="92"/>
      <c r="W906" s="145"/>
      <c r="X906" s="92"/>
      <c r="Y906" s="145"/>
      <c r="Z906" s="92"/>
      <c r="AA906" s="145"/>
      <c r="AB906" s="64"/>
      <c r="AC906" s="145"/>
      <c r="AD906" s="64"/>
      <c r="AE906" s="145"/>
      <c r="AF906" s="196" t="str">
        <f t="shared" si="44"/>
        <v/>
      </c>
      <c r="AG906" s="95" t="b">
        <f t="shared" ref="AG906:AG944" si="46">IF(AND(AE906="C",AF906="C"),"UTILIZOU O PDA CORRETAMENTE",IF(AND(AE906="C",AF906="NC"),"UTILIZOU O PDA CORRETAMENTE. NÃO HÁ FOTOS DE TODAS AS ETAPAS",IF(AND(AE906="NC",AF906="NC"),"NÃO UTILIZOU O PDA",IF(AND(AE906="NA",AF906="NA"),"NÃO AVALIADO POR FALHA DE SINCRONISMO"))))</f>
        <v>0</v>
      </c>
      <c r="AH906" s="9"/>
      <c r="AI906" s="150">
        <f t="shared" si="45"/>
        <v>0</v>
      </c>
      <c r="AJ906" s="153" t="s">
        <v>6</v>
      </c>
    </row>
    <row r="907" spans="1:36" ht="30" customHeight="1">
      <c r="A907" s="92"/>
      <c r="B907" s="92"/>
      <c r="C907" s="92"/>
      <c r="D907" s="92"/>
      <c r="E907" s="92"/>
      <c r="F907" s="92"/>
      <c r="G907" s="92"/>
      <c r="H907" s="92"/>
      <c r="I907" s="92"/>
      <c r="J907" s="92"/>
      <c r="K907" s="92"/>
      <c r="L907" s="92"/>
      <c r="M907" s="92"/>
      <c r="N907" s="155"/>
      <c r="O907" s="157"/>
      <c r="P907" s="92"/>
      <c r="Q907" s="145"/>
      <c r="R907" s="92"/>
      <c r="S907" s="145"/>
      <c r="T907" s="92"/>
      <c r="U907" s="145"/>
      <c r="V907" s="92"/>
      <c r="W907" s="145"/>
      <c r="X907" s="92"/>
      <c r="Y907" s="145"/>
      <c r="Z907" s="92"/>
      <c r="AA907" s="145"/>
      <c r="AB907" s="64"/>
      <c r="AC907" s="145"/>
      <c r="AD907" s="64"/>
      <c r="AE907" s="145"/>
      <c r="AF907" s="196" t="str">
        <f t="shared" ref="AF907:AF944" si="47">IF(AND(O907="",Q907="",S907="",U907="",W907="",Y907="",AA907="",AC907=""),"",
IF(OR(    AND(O907&lt;&gt;"NA",O907&lt;&gt;"C",O907&lt;&gt;"NC",O907&lt;&gt;"SF",O907&lt;&gt;""),
    AND(Q907&lt;&gt;"NA",Q907&lt;&gt;"C",Q907&lt;&gt;"NC",Q907&lt;&gt;"SF",Q907&lt;&gt;""),
    AND(S907&lt;&gt;"NA",S907&lt;&gt;"C",S907&lt;&gt;"NC",S907&lt;&gt;"SF",S907&lt;&gt;""),
    AND(U907&lt;&gt;"NA",U907&lt;&gt;"C",U907&lt;&gt;"NC",U907&lt;&gt;"SF",U907&lt;&gt;""),
    AND(W907&lt;&gt;"NA",W907&lt;&gt;"C",W907&lt;&gt;"NC",W907&lt;&gt;"SF",W907&lt;&gt;""),
    AND(Y907&lt;&gt;"NA",Y907&lt;&gt;"C",Y907&lt;&gt;"NC",Y907&lt;&gt;"SF",Y907&lt;&gt;""),
    AND(AA907&lt;&gt;"NA",AA907&lt;&gt;"C",AA907&lt;&gt;"NC",AA907&lt;&gt;"SF",AA907&lt;&gt;""),
    AND(AC907&lt;&gt;"NA",AC907&lt;&gt;"C",AC907&lt;&gt;"NC",AC907&lt;&gt;"SF",AC907&lt;&gt;"")
),"FALSO",
IF(AND(O907="NA",Q907="NA",S907="NA",U907="NA",W907="NA",Y907="NA",AA907="NA",AC907="NA"),"NA",
IF(OR(O907="NC",Q907="NC",S907="NC",U907="NC",W907="NC",Y907="NC",AA907="NC",AC907="NC",
       O907="SF",Q907="SF",S907="SF",U907="SF",W907="SF",Y907="SF",AA907="SF",AC907="SF"),"NC",
IF(SUM(IF(O907="C",1,0),IF(Q907="C",1,0),IF(S907="C",1,0),IF(U907="C",1,0),IF(W907="C",1,0),IF(Y907="C",1,0),IF(AA907="C",1,0),IF(AC907="C",1,0))=1,"C","C")))))</f>
        <v/>
      </c>
      <c r="AG907" s="95" t="b">
        <f t="shared" si="46"/>
        <v>0</v>
      </c>
      <c r="AH907" s="9"/>
      <c r="AI907" s="150">
        <f t="shared" si="45"/>
        <v>0</v>
      </c>
      <c r="AJ907" s="153" t="s">
        <v>6</v>
      </c>
    </row>
    <row r="908" spans="1:36" ht="30" customHeight="1">
      <c r="A908" s="92"/>
      <c r="B908" s="92"/>
      <c r="C908" s="92"/>
      <c r="D908" s="92"/>
      <c r="E908" s="92"/>
      <c r="F908" s="92"/>
      <c r="G908" s="92"/>
      <c r="H908" s="92"/>
      <c r="I908" s="92"/>
      <c r="J908" s="92"/>
      <c r="K908" s="92"/>
      <c r="L908" s="92"/>
      <c r="M908" s="92"/>
      <c r="N908" s="155"/>
      <c r="O908" s="157"/>
      <c r="P908" s="92"/>
      <c r="Q908" s="145"/>
      <c r="R908" s="92"/>
      <c r="S908" s="145"/>
      <c r="T908" s="92"/>
      <c r="U908" s="145"/>
      <c r="V908" s="92"/>
      <c r="W908" s="145"/>
      <c r="X908" s="92"/>
      <c r="Y908" s="145"/>
      <c r="Z908" s="92"/>
      <c r="AA908" s="145"/>
      <c r="AB908" s="64"/>
      <c r="AC908" s="145"/>
      <c r="AD908" s="64"/>
      <c r="AE908" s="145"/>
      <c r="AF908" s="196" t="str">
        <f t="shared" si="47"/>
        <v/>
      </c>
      <c r="AG908" s="95" t="b">
        <f t="shared" si="46"/>
        <v>0</v>
      </c>
      <c r="AH908" s="9"/>
      <c r="AI908" s="150">
        <f t="shared" si="45"/>
        <v>0</v>
      </c>
      <c r="AJ908" s="153" t="s">
        <v>6</v>
      </c>
    </row>
    <row r="909" spans="1:36" ht="30" customHeight="1">
      <c r="A909" s="92"/>
      <c r="B909" s="92"/>
      <c r="C909" s="92"/>
      <c r="D909" s="92"/>
      <c r="E909" s="92"/>
      <c r="F909" s="92"/>
      <c r="G909" s="92"/>
      <c r="H909" s="92"/>
      <c r="I909" s="92"/>
      <c r="J909" s="92"/>
      <c r="K909" s="92"/>
      <c r="L909" s="92"/>
      <c r="M909" s="92"/>
      <c r="N909" s="155"/>
      <c r="O909" s="157"/>
      <c r="P909" s="92"/>
      <c r="Q909" s="145"/>
      <c r="R909" s="92"/>
      <c r="S909" s="145"/>
      <c r="T909" s="92"/>
      <c r="U909" s="145"/>
      <c r="V909" s="92"/>
      <c r="W909" s="145"/>
      <c r="X909" s="92"/>
      <c r="Y909" s="145"/>
      <c r="Z909" s="92"/>
      <c r="AA909" s="145"/>
      <c r="AB909" s="64"/>
      <c r="AC909" s="145"/>
      <c r="AD909" s="64"/>
      <c r="AE909" s="145"/>
      <c r="AF909" s="196" t="str">
        <f t="shared" si="47"/>
        <v/>
      </c>
      <c r="AG909" s="95" t="b">
        <f t="shared" si="46"/>
        <v>0</v>
      </c>
      <c r="AH909" s="9"/>
      <c r="AI909" s="150">
        <f t="shared" si="45"/>
        <v>0</v>
      </c>
      <c r="AJ909" s="153" t="s">
        <v>6</v>
      </c>
    </row>
    <row r="910" spans="1:36" ht="30" customHeight="1">
      <c r="A910" s="92"/>
      <c r="B910" s="92"/>
      <c r="C910" s="92"/>
      <c r="D910" s="92"/>
      <c r="E910" s="92"/>
      <c r="F910" s="92"/>
      <c r="G910" s="92"/>
      <c r="H910" s="92"/>
      <c r="I910" s="92"/>
      <c r="J910" s="92"/>
      <c r="K910" s="92"/>
      <c r="L910" s="92"/>
      <c r="M910" s="92"/>
      <c r="N910" s="155"/>
      <c r="O910" s="157"/>
      <c r="P910" s="92"/>
      <c r="Q910" s="145"/>
      <c r="R910" s="92"/>
      <c r="S910" s="145"/>
      <c r="T910" s="92"/>
      <c r="U910" s="145"/>
      <c r="V910" s="92"/>
      <c r="W910" s="145"/>
      <c r="X910" s="92"/>
      <c r="Y910" s="145"/>
      <c r="Z910" s="92"/>
      <c r="AA910" s="145"/>
      <c r="AB910" s="64"/>
      <c r="AC910" s="145"/>
      <c r="AD910" s="64"/>
      <c r="AE910" s="145"/>
      <c r="AF910" s="196" t="str">
        <f t="shared" si="47"/>
        <v/>
      </c>
      <c r="AG910" s="95" t="b">
        <f t="shared" si="46"/>
        <v>0</v>
      </c>
      <c r="AH910" s="9"/>
      <c r="AI910" s="150">
        <f t="shared" si="45"/>
        <v>0</v>
      </c>
      <c r="AJ910" s="153" t="s">
        <v>6</v>
      </c>
    </row>
    <row r="911" spans="1:36" ht="30" customHeight="1">
      <c r="A911" s="92"/>
      <c r="B911" s="92"/>
      <c r="C911" s="92"/>
      <c r="D911" s="92"/>
      <c r="E911" s="92"/>
      <c r="F911" s="92"/>
      <c r="G911" s="92"/>
      <c r="H911" s="92"/>
      <c r="I911" s="92"/>
      <c r="J911" s="92"/>
      <c r="K911" s="92"/>
      <c r="L911" s="92"/>
      <c r="M911" s="92"/>
      <c r="N911" s="155"/>
      <c r="O911" s="157"/>
      <c r="P911" s="92"/>
      <c r="Q911" s="145"/>
      <c r="R911" s="92"/>
      <c r="S911" s="145"/>
      <c r="T911" s="92"/>
      <c r="U911" s="145"/>
      <c r="V911" s="92"/>
      <c r="W911" s="145"/>
      <c r="X911" s="92"/>
      <c r="Y911" s="145"/>
      <c r="Z911" s="92"/>
      <c r="AA911" s="145"/>
      <c r="AB911" s="64"/>
      <c r="AC911" s="145"/>
      <c r="AD911" s="64"/>
      <c r="AE911" s="145"/>
      <c r="AF911" s="196" t="str">
        <f t="shared" si="47"/>
        <v/>
      </c>
      <c r="AG911" s="95" t="b">
        <f t="shared" si="46"/>
        <v>0</v>
      </c>
      <c r="AH911" s="9"/>
      <c r="AI911" s="150">
        <f t="shared" si="45"/>
        <v>0</v>
      </c>
      <c r="AJ911" s="153" t="s">
        <v>6</v>
      </c>
    </row>
    <row r="912" spans="1:36" ht="30" customHeight="1">
      <c r="A912" s="92"/>
      <c r="B912" s="92"/>
      <c r="C912" s="92"/>
      <c r="D912" s="92"/>
      <c r="E912" s="92"/>
      <c r="F912" s="92"/>
      <c r="G912" s="92"/>
      <c r="H912" s="92"/>
      <c r="I912" s="92"/>
      <c r="J912" s="92"/>
      <c r="K912" s="92"/>
      <c r="L912" s="92"/>
      <c r="M912" s="92"/>
      <c r="N912" s="155"/>
      <c r="O912" s="157"/>
      <c r="P912" s="92"/>
      <c r="Q912" s="145"/>
      <c r="R912" s="92"/>
      <c r="S912" s="145"/>
      <c r="T912" s="92"/>
      <c r="U912" s="145"/>
      <c r="V912" s="92"/>
      <c r="W912" s="145"/>
      <c r="X912" s="92"/>
      <c r="Y912" s="145"/>
      <c r="Z912" s="92"/>
      <c r="AA912" s="145"/>
      <c r="AB912" s="64"/>
      <c r="AC912" s="145"/>
      <c r="AD912" s="64"/>
      <c r="AE912" s="145"/>
      <c r="AF912" s="196" t="str">
        <f t="shared" si="47"/>
        <v/>
      </c>
      <c r="AG912" s="95" t="b">
        <f t="shared" si="46"/>
        <v>0</v>
      </c>
      <c r="AH912" s="9"/>
      <c r="AI912" s="150">
        <f t="shared" si="45"/>
        <v>0</v>
      </c>
      <c r="AJ912" s="153" t="s">
        <v>6</v>
      </c>
    </row>
    <row r="913" spans="1:36" ht="30" customHeight="1">
      <c r="A913" s="92"/>
      <c r="B913" s="92"/>
      <c r="C913" s="92"/>
      <c r="D913" s="92"/>
      <c r="E913" s="92"/>
      <c r="F913" s="92"/>
      <c r="G913" s="92"/>
      <c r="H913" s="92"/>
      <c r="I913" s="92"/>
      <c r="J913" s="92"/>
      <c r="K913" s="92"/>
      <c r="L913" s="92"/>
      <c r="M913" s="92"/>
      <c r="N913" s="155"/>
      <c r="O913" s="157"/>
      <c r="P913" s="92"/>
      <c r="Q913" s="145"/>
      <c r="R913" s="92"/>
      <c r="S913" s="145"/>
      <c r="T913" s="92"/>
      <c r="U913" s="145"/>
      <c r="V913" s="92"/>
      <c r="W913" s="145"/>
      <c r="X913" s="92"/>
      <c r="Y913" s="145"/>
      <c r="Z913" s="92"/>
      <c r="AA913" s="145"/>
      <c r="AB913" s="64"/>
      <c r="AC913" s="145"/>
      <c r="AD913" s="64"/>
      <c r="AE913" s="145"/>
      <c r="AF913" s="196" t="str">
        <f t="shared" si="47"/>
        <v/>
      </c>
      <c r="AG913" s="95" t="b">
        <f t="shared" si="46"/>
        <v>0</v>
      </c>
      <c r="AH913" s="9"/>
      <c r="AI913" s="150">
        <f t="shared" si="45"/>
        <v>0</v>
      </c>
      <c r="AJ913" s="153" t="s">
        <v>6</v>
      </c>
    </row>
    <row r="914" spans="1:36" ht="30" customHeight="1">
      <c r="A914" s="92"/>
      <c r="B914" s="92"/>
      <c r="C914" s="92"/>
      <c r="D914" s="92"/>
      <c r="E914" s="92"/>
      <c r="F914" s="92"/>
      <c r="G914" s="92"/>
      <c r="H914" s="92"/>
      <c r="I914" s="92"/>
      <c r="J914" s="92"/>
      <c r="K914" s="92"/>
      <c r="L914" s="92"/>
      <c r="M914" s="92"/>
      <c r="N914" s="155"/>
      <c r="O914" s="157"/>
      <c r="P914" s="92"/>
      <c r="Q914" s="145"/>
      <c r="R914" s="92"/>
      <c r="S914" s="145"/>
      <c r="T914" s="92"/>
      <c r="U914" s="145"/>
      <c r="V914" s="92"/>
      <c r="W914" s="145"/>
      <c r="X914" s="92"/>
      <c r="Y914" s="145"/>
      <c r="Z914" s="92"/>
      <c r="AA914" s="145"/>
      <c r="AB914" s="64"/>
      <c r="AC914" s="145"/>
      <c r="AD914" s="64"/>
      <c r="AE914" s="145"/>
      <c r="AF914" s="196" t="str">
        <f t="shared" si="47"/>
        <v/>
      </c>
      <c r="AG914" s="95" t="b">
        <f t="shared" si="46"/>
        <v>0</v>
      </c>
      <c r="AH914" s="9"/>
      <c r="AI914" s="150">
        <f t="shared" si="45"/>
        <v>0</v>
      </c>
      <c r="AJ914" s="153" t="s">
        <v>6</v>
      </c>
    </row>
    <row r="915" spans="1:36" ht="30" customHeight="1">
      <c r="A915" s="92"/>
      <c r="B915" s="92"/>
      <c r="C915" s="92"/>
      <c r="D915" s="92"/>
      <c r="E915" s="92"/>
      <c r="F915" s="92"/>
      <c r="G915" s="92"/>
      <c r="H915" s="92"/>
      <c r="I915" s="92"/>
      <c r="J915" s="92"/>
      <c r="K915" s="92"/>
      <c r="L915" s="92"/>
      <c r="M915" s="92"/>
      <c r="N915" s="155"/>
      <c r="O915" s="157"/>
      <c r="P915" s="92"/>
      <c r="Q915" s="145"/>
      <c r="R915" s="92"/>
      <c r="S915" s="145"/>
      <c r="T915" s="92"/>
      <c r="U915" s="145"/>
      <c r="V915" s="92"/>
      <c r="W915" s="145"/>
      <c r="X915" s="92"/>
      <c r="Y915" s="145"/>
      <c r="Z915" s="92"/>
      <c r="AA915" s="145"/>
      <c r="AB915" s="64"/>
      <c r="AC915" s="145"/>
      <c r="AD915" s="64"/>
      <c r="AE915" s="145"/>
      <c r="AF915" s="196" t="str">
        <f t="shared" si="47"/>
        <v/>
      </c>
      <c r="AG915" s="95" t="b">
        <f t="shared" si="46"/>
        <v>0</v>
      </c>
      <c r="AH915" s="9"/>
      <c r="AI915" s="153">
        <f t="shared" si="45"/>
        <v>0</v>
      </c>
      <c r="AJ915" s="153" t="s">
        <v>6</v>
      </c>
    </row>
    <row r="916" spans="1:36" ht="30" customHeight="1">
      <c r="A916" s="92"/>
      <c r="B916" s="92"/>
      <c r="C916" s="92"/>
      <c r="D916" s="92"/>
      <c r="E916" s="92"/>
      <c r="F916" s="92"/>
      <c r="G916" s="92"/>
      <c r="H916" s="92"/>
      <c r="I916" s="92"/>
      <c r="J916" s="92"/>
      <c r="K916" s="92"/>
      <c r="L916" s="92"/>
      <c r="M916" s="92"/>
      <c r="N916" s="155"/>
      <c r="O916" s="157"/>
      <c r="P916" s="92"/>
      <c r="Q916" s="145"/>
      <c r="R916" s="92"/>
      <c r="S916" s="145"/>
      <c r="T916" s="92"/>
      <c r="U916" s="145"/>
      <c r="V916" s="92"/>
      <c r="W916" s="145"/>
      <c r="X916" s="92"/>
      <c r="Y916" s="145"/>
      <c r="Z916" s="92"/>
      <c r="AA916" s="145"/>
      <c r="AB916" s="64"/>
      <c r="AC916" s="145"/>
      <c r="AD916" s="64"/>
      <c r="AE916" s="145"/>
      <c r="AF916" s="196" t="str">
        <f t="shared" si="47"/>
        <v/>
      </c>
      <c r="AG916" s="95" t="b">
        <f t="shared" si="46"/>
        <v>0</v>
      </c>
      <c r="AH916" s="9"/>
      <c r="AI916" s="153">
        <f t="shared" ref="AI916:AI944" si="48">E916</f>
        <v>0</v>
      </c>
      <c r="AJ916" s="153" t="s">
        <v>6</v>
      </c>
    </row>
    <row r="917" spans="1:36" ht="30" customHeight="1">
      <c r="A917" s="92"/>
      <c r="B917" s="92"/>
      <c r="C917" s="92"/>
      <c r="D917" s="92"/>
      <c r="E917" s="92"/>
      <c r="F917" s="92"/>
      <c r="G917" s="92"/>
      <c r="H917" s="92"/>
      <c r="I917" s="92"/>
      <c r="J917" s="92"/>
      <c r="K917" s="92"/>
      <c r="L917" s="92"/>
      <c r="M917" s="92"/>
      <c r="N917" s="155"/>
      <c r="O917" s="157"/>
      <c r="P917" s="92"/>
      <c r="Q917" s="145"/>
      <c r="R917" s="92"/>
      <c r="S917" s="145"/>
      <c r="T917" s="92"/>
      <c r="U917" s="145"/>
      <c r="V917" s="92"/>
      <c r="W917" s="145"/>
      <c r="X917" s="92"/>
      <c r="Y917" s="145"/>
      <c r="Z917" s="92"/>
      <c r="AA917" s="145"/>
      <c r="AB917" s="64"/>
      <c r="AC917" s="145"/>
      <c r="AD917" s="64"/>
      <c r="AE917" s="145"/>
      <c r="AF917" s="196" t="str">
        <f t="shared" si="47"/>
        <v/>
      </c>
      <c r="AG917" s="95" t="b">
        <f t="shared" si="46"/>
        <v>0</v>
      </c>
      <c r="AH917" s="9"/>
      <c r="AI917" s="153">
        <f t="shared" si="48"/>
        <v>0</v>
      </c>
      <c r="AJ917" s="153" t="s">
        <v>6</v>
      </c>
    </row>
    <row r="918" spans="1:36" ht="30" customHeight="1">
      <c r="A918" s="92"/>
      <c r="B918" s="92"/>
      <c r="C918" s="92"/>
      <c r="D918" s="92"/>
      <c r="E918" s="92"/>
      <c r="F918" s="92"/>
      <c r="G918" s="92"/>
      <c r="H918" s="92"/>
      <c r="I918" s="92"/>
      <c r="J918" s="92"/>
      <c r="K918" s="92"/>
      <c r="L918" s="92"/>
      <c r="M918" s="92"/>
      <c r="N918" s="155"/>
      <c r="O918" s="157"/>
      <c r="P918" s="92"/>
      <c r="Q918" s="145"/>
      <c r="R918" s="92"/>
      <c r="S918" s="145"/>
      <c r="T918" s="92"/>
      <c r="U918" s="145"/>
      <c r="V918" s="92"/>
      <c r="W918" s="145"/>
      <c r="X918" s="92"/>
      <c r="Y918" s="145"/>
      <c r="Z918" s="92"/>
      <c r="AA918" s="145"/>
      <c r="AB918" s="64"/>
      <c r="AC918" s="145"/>
      <c r="AD918" s="64"/>
      <c r="AE918" s="145"/>
      <c r="AF918" s="196" t="str">
        <f t="shared" si="47"/>
        <v/>
      </c>
      <c r="AG918" s="95" t="b">
        <f t="shared" si="46"/>
        <v>0</v>
      </c>
      <c r="AH918" s="9"/>
      <c r="AI918" s="153">
        <f t="shared" si="48"/>
        <v>0</v>
      </c>
      <c r="AJ918" s="153" t="s">
        <v>6</v>
      </c>
    </row>
    <row r="919" spans="1:36" ht="30" customHeight="1">
      <c r="A919" s="92"/>
      <c r="B919" s="92"/>
      <c r="C919" s="92"/>
      <c r="D919" s="92"/>
      <c r="E919" s="92"/>
      <c r="F919" s="92"/>
      <c r="G919" s="92"/>
      <c r="H919" s="92"/>
      <c r="I919" s="92"/>
      <c r="J919" s="92"/>
      <c r="K919" s="92"/>
      <c r="L919" s="92"/>
      <c r="M919" s="92"/>
      <c r="N919" s="155"/>
      <c r="O919" s="157"/>
      <c r="P919" s="92"/>
      <c r="Q919" s="145"/>
      <c r="R919" s="92"/>
      <c r="S919" s="145"/>
      <c r="T919" s="92"/>
      <c r="U919" s="145"/>
      <c r="V919" s="92"/>
      <c r="W919" s="145"/>
      <c r="X919" s="92"/>
      <c r="Y919" s="145"/>
      <c r="Z919" s="92"/>
      <c r="AA919" s="145"/>
      <c r="AB919" s="64"/>
      <c r="AC919" s="145"/>
      <c r="AD919" s="64"/>
      <c r="AE919" s="145"/>
      <c r="AF919" s="196" t="str">
        <f t="shared" si="47"/>
        <v/>
      </c>
      <c r="AG919" s="95" t="b">
        <f t="shared" si="46"/>
        <v>0</v>
      </c>
      <c r="AH919" s="9"/>
      <c r="AI919" s="153">
        <f t="shared" si="48"/>
        <v>0</v>
      </c>
      <c r="AJ919" s="153" t="s">
        <v>6</v>
      </c>
    </row>
    <row r="920" spans="1:36" ht="30" customHeight="1">
      <c r="A920" s="92"/>
      <c r="B920" s="92"/>
      <c r="C920" s="92"/>
      <c r="D920" s="92"/>
      <c r="E920" s="92"/>
      <c r="F920" s="92"/>
      <c r="G920" s="92"/>
      <c r="H920" s="92"/>
      <c r="I920" s="92"/>
      <c r="J920" s="92"/>
      <c r="K920" s="92"/>
      <c r="L920" s="92"/>
      <c r="M920" s="92"/>
      <c r="N920" s="155"/>
      <c r="O920" s="157"/>
      <c r="P920" s="92"/>
      <c r="Q920" s="145"/>
      <c r="R920" s="92"/>
      <c r="S920" s="145"/>
      <c r="T920" s="92"/>
      <c r="U920" s="145"/>
      <c r="V920" s="92"/>
      <c r="W920" s="145"/>
      <c r="X920" s="92"/>
      <c r="Y920" s="145"/>
      <c r="Z920" s="92"/>
      <c r="AA920" s="145"/>
      <c r="AB920" s="64"/>
      <c r="AC920" s="145"/>
      <c r="AD920" s="64"/>
      <c r="AE920" s="145"/>
      <c r="AF920" s="196" t="str">
        <f t="shared" si="47"/>
        <v/>
      </c>
      <c r="AG920" s="95" t="b">
        <f t="shared" si="46"/>
        <v>0</v>
      </c>
      <c r="AH920" s="9"/>
      <c r="AI920" s="153">
        <f t="shared" si="48"/>
        <v>0</v>
      </c>
      <c r="AJ920" s="153" t="s">
        <v>6</v>
      </c>
    </row>
    <row r="921" spans="1:36" ht="30" customHeight="1">
      <c r="A921" s="92"/>
      <c r="B921" s="92"/>
      <c r="C921" s="92"/>
      <c r="D921" s="92"/>
      <c r="E921" s="92"/>
      <c r="F921" s="92"/>
      <c r="G921" s="92"/>
      <c r="H921" s="92"/>
      <c r="I921" s="92"/>
      <c r="J921" s="92"/>
      <c r="K921" s="92"/>
      <c r="L921" s="92"/>
      <c r="M921" s="92"/>
      <c r="N921" s="155"/>
      <c r="O921" s="157"/>
      <c r="P921" s="92"/>
      <c r="Q921" s="145"/>
      <c r="R921" s="92"/>
      <c r="S921" s="145"/>
      <c r="T921" s="92"/>
      <c r="U921" s="145"/>
      <c r="V921" s="92"/>
      <c r="W921" s="145"/>
      <c r="X921" s="92"/>
      <c r="Y921" s="145"/>
      <c r="Z921" s="92"/>
      <c r="AA921" s="145"/>
      <c r="AB921" s="64"/>
      <c r="AC921" s="145"/>
      <c r="AD921" s="64"/>
      <c r="AE921" s="145"/>
      <c r="AF921" s="196" t="str">
        <f t="shared" si="47"/>
        <v/>
      </c>
      <c r="AG921" s="95" t="b">
        <f t="shared" si="46"/>
        <v>0</v>
      </c>
      <c r="AH921" s="9"/>
      <c r="AI921" s="153">
        <f t="shared" si="48"/>
        <v>0</v>
      </c>
      <c r="AJ921" s="153" t="s">
        <v>6</v>
      </c>
    </row>
    <row r="922" spans="1:36" ht="30" customHeight="1">
      <c r="A922" s="92"/>
      <c r="B922" s="92"/>
      <c r="C922" s="92"/>
      <c r="D922" s="92"/>
      <c r="E922" s="92"/>
      <c r="F922" s="92"/>
      <c r="G922" s="92"/>
      <c r="H922" s="92"/>
      <c r="I922" s="92"/>
      <c r="J922" s="92"/>
      <c r="K922" s="92"/>
      <c r="L922" s="92"/>
      <c r="M922" s="92"/>
      <c r="N922" s="155"/>
      <c r="O922" s="157"/>
      <c r="P922" s="92"/>
      <c r="Q922" s="145"/>
      <c r="R922" s="92"/>
      <c r="S922" s="145"/>
      <c r="T922" s="92"/>
      <c r="U922" s="145"/>
      <c r="V922" s="92"/>
      <c r="W922" s="145"/>
      <c r="X922" s="92"/>
      <c r="Y922" s="145"/>
      <c r="Z922" s="92"/>
      <c r="AA922" s="145"/>
      <c r="AB922" s="64"/>
      <c r="AC922" s="145"/>
      <c r="AD922" s="64"/>
      <c r="AE922" s="145"/>
      <c r="AF922" s="196" t="str">
        <f t="shared" si="47"/>
        <v/>
      </c>
      <c r="AG922" s="95" t="b">
        <f t="shared" si="46"/>
        <v>0</v>
      </c>
      <c r="AH922" s="9"/>
      <c r="AI922" s="153">
        <f t="shared" si="48"/>
        <v>0</v>
      </c>
      <c r="AJ922" s="153" t="s">
        <v>6</v>
      </c>
    </row>
    <row r="923" spans="1:36" ht="30" customHeight="1">
      <c r="A923" s="92"/>
      <c r="B923" s="92"/>
      <c r="C923" s="92"/>
      <c r="D923" s="92"/>
      <c r="E923" s="92"/>
      <c r="F923" s="92"/>
      <c r="G923" s="92"/>
      <c r="H923" s="92"/>
      <c r="I923" s="92"/>
      <c r="J923" s="92"/>
      <c r="K923" s="92"/>
      <c r="L923" s="92"/>
      <c r="M923" s="92"/>
      <c r="N923" s="155"/>
      <c r="O923" s="157"/>
      <c r="P923" s="92"/>
      <c r="Q923" s="145"/>
      <c r="R923" s="92"/>
      <c r="S923" s="145"/>
      <c r="T923" s="92"/>
      <c r="U923" s="145"/>
      <c r="V923" s="92"/>
      <c r="W923" s="145"/>
      <c r="X923" s="92"/>
      <c r="Y923" s="145"/>
      <c r="Z923" s="92"/>
      <c r="AA923" s="145"/>
      <c r="AB923" s="64"/>
      <c r="AC923" s="145"/>
      <c r="AD923" s="64"/>
      <c r="AE923" s="145"/>
      <c r="AF923" s="196" t="str">
        <f t="shared" si="47"/>
        <v/>
      </c>
      <c r="AG923" s="95" t="b">
        <f t="shared" si="46"/>
        <v>0</v>
      </c>
      <c r="AH923" s="9"/>
      <c r="AI923" s="153">
        <f t="shared" si="48"/>
        <v>0</v>
      </c>
      <c r="AJ923" s="153" t="s">
        <v>6</v>
      </c>
    </row>
    <row r="924" spans="1:36" ht="30" customHeight="1">
      <c r="A924" s="92"/>
      <c r="B924" s="92"/>
      <c r="C924" s="92"/>
      <c r="D924" s="92"/>
      <c r="E924" s="92"/>
      <c r="F924" s="92"/>
      <c r="G924" s="92"/>
      <c r="H924" s="92"/>
      <c r="I924" s="92"/>
      <c r="J924" s="92"/>
      <c r="K924" s="92"/>
      <c r="L924" s="92"/>
      <c r="M924" s="92"/>
      <c r="N924" s="155"/>
      <c r="O924" s="157"/>
      <c r="P924" s="92"/>
      <c r="Q924" s="145"/>
      <c r="R924" s="92"/>
      <c r="S924" s="145"/>
      <c r="T924" s="92"/>
      <c r="U924" s="145"/>
      <c r="V924" s="92"/>
      <c r="W924" s="145"/>
      <c r="X924" s="92"/>
      <c r="Y924" s="145"/>
      <c r="Z924" s="92"/>
      <c r="AA924" s="145"/>
      <c r="AB924" s="64"/>
      <c r="AC924" s="145"/>
      <c r="AD924" s="64"/>
      <c r="AE924" s="145"/>
      <c r="AF924" s="196" t="str">
        <f t="shared" si="47"/>
        <v/>
      </c>
      <c r="AG924" s="95" t="b">
        <f t="shared" si="46"/>
        <v>0</v>
      </c>
      <c r="AH924" s="9"/>
      <c r="AI924" s="153">
        <f t="shared" si="48"/>
        <v>0</v>
      </c>
      <c r="AJ924" s="153" t="s">
        <v>6</v>
      </c>
    </row>
    <row r="925" spans="1:36" ht="30" customHeight="1">
      <c r="A925" s="92"/>
      <c r="B925" s="92"/>
      <c r="C925" s="92"/>
      <c r="D925" s="92"/>
      <c r="E925" s="92"/>
      <c r="F925" s="92"/>
      <c r="G925" s="92"/>
      <c r="H925" s="92"/>
      <c r="I925" s="92"/>
      <c r="J925" s="92"/>
      <c r="K925" s="92"/>
      <c r="L925" s="92"/>
      <c r="M925" s="92"/>
      <c r="N925" s="155"/>
      <c r="O925" s="157"/>
      <c r="P925" s="92"/>
      <c r="Q925" s="145"/>
      <c r="R925" s="92"/>
      <c r="S925" s="145"/>
      <c r="T925" s="92"/>
      <c r="U925" s="145"/>
      <c r="V925" s="92"/>
      <c r="W925" s="145"/>
      <c r="X925" s="92"/>
      <c r="Y925" s="145"/>
      <c r="Z925" s="92"/>
      <c r="AA925" s="145"/>
      <c r="AB925" s="64"/>
      <c r="AC925" s="145"/>
      <c r="AD925" s="64"/>
      <c r="AE925" s="145"/>
      <c r="AF925" s="196" t="str">
        <f t="shared" si="47"/>
        <v/>
      </c>
      <c r="AG925" s="95" t="b">
        <f t="shared" si="46"/>
        <v>0</v>
      </c>
      <c r="AH925" s="9"/>
      <c r="AI925" s="153">
        <f t="shared" si="48"/>
        <v>0</v>
      </c>
      <c r="AJ925" s="153" t="s">
        <v>6</v>
      </c>
    </row>
    <row r="926" spans="1:36" ht="30" customHeight="1">
      <c r="A926" s="92"/>
      <c r="B926" s="92"/>
      <c r="C926" s="92"/>
      <c r="D926" s="92"/>
      <c r="E926" s="92"/>
      <c r="F926" s="92"/>
      <c r="G926" s="92"/>
      <c r="H926" s="92"/>
      <c r="I926" s="92"/>
      <c r="J926" s="92"/>
      <c r="K926" s="92"/>
      <c r="L926" s="92"/>
      <c r="M926" s="92"/>
      <c r="N926" s="155"/>
      <c r="O926" s="157"/>
      <c r="P926" s="92"/>
      <c r="Q926" s="145"/>
      <c r="R926" s="92"/>
      <c r="S926" s="145"/>
      <c r="T926" s="92"/>
      <c r="U926" s="145"/>
      <c r="V926" s="92"/>
      <c r="W926" s="145"/>
      <c r="X926" s="92"/>
      <c r="Y926" s="145"/>
      <c r="Z926" s="92"/>
      <c r="AA926" s="145"/>
      <c r="AB926" s="64"/>
      <c r="AC926" s="145"/>
      <c r="AD926" s="64"/>
      <c r="AE926" s="145"/>
      <c r="AF926" s="196" t="str">
        <f t="shared" si="47"/>
        <v/>
      </c>
      <c r="AG926" s="95" t="b">
        <f t="shared" si="46"/>
        <v>0</v>
      </c>
      <c r="AH926" s="9"/>
      <c r="AI926" s="153">
        <f t="shared" si="48"/>
        <v>0</v>
      </c>
      <c r="AJ926" s="153" t="s">
        <v>6</v>
      </c>
    </row>
    <row r="927" spans="1:36" ht="30" customHeight="1">
      <c r="A927" s="92"/>
      <c r="B927" s="92"/>
      <c r="C927" s="92"/>
      <c r="D927" s="92"/>
      <c r="E927" s="92"/>
      <c r="F927" s="92"/>
      <c r="G927" s="92"/>
      <c r="H927" s="92"/>
      <c r="I927" s="92"/>
      <c r="J927" s="92"/>
      <c r="K927" s="92"/>
      <c r="L927" s="92"/>
      <c r="M927" s="92"/>
      <c r="N927" s="155"/>
      <c r="O927" s="157"/>
      <c r="P927" s="92"/>
      <c r="Q927" s="145"/>
      <c r="R927" s="92"/>
      <c r="S927" s="145"/>
      <c r="T927" s="92"/>
      <c r="U927" s="145"/>
      <c r="V927" s="92"/>
      <c r="W927" s="145"/>
      <c r="X927" s="92"/>
      <c r="Y927" s="145"/>
      <c r="Z927" s="92"/>
      <c r="AA927" s="145"/>
      <c r="AB927" s="64"/>
      <c r="AC927" s="145"/>
      <c r="AD927" s="64"/>
      <c r="AE927" s="145"/>
      <c r="AF927" s="196" t="str">
        <f t="shared" si="47"/>
        <v/>
      </c>
      <c r="AG927" s="95" t="b">
        <f t="shared" si="46"/>
        <v>0</v>
      </c>
      <c r="AH927" s="9"/>
      <c r="AI927" s="153">
        <f t="shared" si="48"/>
        <v>0</v>
      </c>
      <c r="AJ927" s="153" t="s">
        <v>6</v>
      </c>
    </row>
    <row r="928" spans="1:36" ht="30" customHeight="1">
      <c r="A928" s="92"/>
      <c r="B928" s="92"/>
      <c r="C928" s="92"/>
      <c r="D928" s="92"/>
      <c r="E928" s="92"/>
      <c r="F928" s="92"/>
      <c r="G928" s="92"/>
      <c r="H928" s="92"/>
      <c r="I928" s="92"/>
      <c r="J928" s="92"/>
      <c r="K928" s="92"/>
      <c r="L928" s="92"/>
      <c r="M928" s="92"/>
      <c r="N928" s="155"/>
      <c r="O928" s="157"/>
      <c r="P928" s="92"/>
      <c r="Q928" s="145"/>
      <c r="R928" s="92"/>
      <c r="S928" s="145"/>
      <c r="T928" s="92"/>
      <c r="U928" s="145"/>
      <c r="V928" s="92"/>
      <c r="W928" s="145"/>
      <c r="X928" s="92"/>
      <c r="Y928" s="145"/>
      <c r="Z928" s="92"/>
      <c r="AA928" s="145"/>
      <c r="AB928" s="64"/>
      <c r="AC928" s="145"/>
      <c r="AD928" s="64"/>
      <c r="AE928" s="145"/>
      <c r="AF928" s="196" t="str">
        <f t="shared" si="47"/>
        <v/>
      </c>
      <c r="AG928" s="95" t="b">
        <f t="shared" si="46"/>
        <v>0</v>
      </c>
      <c r="AH928" s="9"/>
      <c r="AI928" s="153">
        <f t="shared" si="48"/>
        <v>0</v>
      </c>
      <c r="AJ928" s="153" t="s">
        <v>6</v>
      </c>
    </row>
    <row r="929" spans="1:36" ht="30" customHeight="1">
      <c r="A929" s="92"/>
      <c r="B929" s="92"/>
      <c r="C929" s="92"/>
      <c r="D929" s="92"/>
      <c r="E929" s="92"/>
      <c r="F929" s="92"/>
      <c r="G929" s="92"/>
      <c r="H929" s="92"/>
      <c r="I929" s="92"/>
      <c r="J929" s="92"/>
      <c r="K929" s="92"/>
      <c r="L929" s="92"/>
      <c r="M929" s="92"/>
      <c r="N929" s="155"/>
      <c r="O929" s="157"/>
      <c r="P929" s="92"/>
      <c r="Q929" s="145"/>
      <c r="R929" s="92"/>
      <c r="S929" s="145"/>
      <c r="T929" s="92"/>
      <c r="U929" s="145"/>
      <c r="V929" s="92"/>
      <c r="W929" s="145"/>
      <c r="X929" s="92"/>
      <c r="Y929" s="145"/>
      <c r="Z929" s="92"/>
      <c r="AA929" s="145"/>
      <c r="AB929" s="64"/>
      <c r="AC929" s="145"/>
      <c r="AD929" s="64"/>
      <c r="AE929" s="145"/>
      <c r="AF929" s="196" t="str">
        <f t="shared" si="47"/>
        <v/>
      </c>
      <c r="AG929" s="95" t="b">
        <f t="shared" si="46"/>
        <v>0</v>
      </c>
      <c r="AH929" s="9"/>
      <c r="AI929" s="153">
        <f t="shared" si="48"/>
        <v>0</v>
      </c>
      <c r="AJ929" s="153" t="s">
        <v>6</v>
      </c>
    </row>
    <row r="930" spans="1:36" ht="30" customHeight="1">
      <c r="A930" s="92"/>
      <c r="B930" s="92"/>
      <c r="C930" s="92"/>
      <c r="D930" s="92"/>
      <c r="E930" s="92"/>
      <c r="F930" s="92"/>
      <c r="G930" s="92"/>
      <c r="H930" s="92"/>
      <c r="I930" s="92"/>
      <c r="J930" s="92"/>
      <c r="K930" s="92"/>
      <c r="L930" s="92"/>
      <c r="M930" s="92"/>
      <c r="N930" s="155"/>
      <c r="O930" s="157"/>
      <c r="P930" s="92"/>
      <c r="Q930" s="145"/>
      <c r="R930" s="92"/>
      <c r="S930" s="145"/>
      <c r="T930" s="92"/>
      <c r="U930" s="145"/>
      <c r="V930" s="92"/>
      <c r="W930" s="145"/>
      <c r="X930" s="92"/>
      <c r="Y930" s="145"/>
      <c r="Z930" s="92"/>
      <c r="AA930" s="145"/>
      <c r="AB930" s="64"/>
      <c r="AC930" s="145"/>
      <c r="AD930" s="64"/>
      <c r="AE930" s="145"/>
      <c r="AF930" s="196" t="str">
        <f t="shared" si="47"/>
        <v/>
      </c>
      <c r="AG930" s="95" t="b">
        <f t="shared" si="46"/>
        <v>0</v>
      </c>
      <c r="AH930" s="9"/>
      <c r="AI930" s="153">
        <f t="shared" si="48"/>
        <v>0</v>
      </c>
      <c r="AJ930" s="153" t="s">
        <v>6</v>
      </c>
    </row>
    <row r="931" spans="1:36" ht="30" customHeight="1">
      <c r="A931" s="92"/>
      <c r="B931" s="92"/>
      <c r="C931" s="92"/>
      <c r="D931" s="92"/>
      <c r="E931" s="92"/>
      <c r="F931" s="92"/>
      <c r="G931" s="92"/>
      <c r="H931" s="92"/>
      <c r="I931" s="92"/>
      <c r="J931" s="92"/>
      <c r="K931" s="92"/>
      <c r="L931" s="92"/>
      <c r="M931" s="92"/>
      <c r="N931" s="155"/>
      <c r="O931" s="157"/>
      <c r="P931" s="92"/>
      <c r="Q931" s="145"/>
      <c r="R931" s="92"/>
      <c r="S931" s="145"/>
      <c r="T931" s="92"/>
      <c r="U931" s="145"/>
      <c r="V931" s="92"/>
      <c r="W931" s="145"/>
      <c r="X931" s="92"/>
      <c r="Y931" s="145"/>
      <c r="Z931" s="92"/>
      <c r="AA931" s="145"/>
      <c r="AB931" s="64"/>
      <c r="AC931" s="145"/>
      <c r="AD931" s="64"/>
      <c r="AE931" s="145"/>
      <c r="AF931" s="196" t="str">
        <f t="shared" si="47"/>
        <v/>
      </c>
      <c r="AG931" s="95" t="b">
        <f t="shared" si="46"/>
        <v>0</v>
      </c>
      <c r="AH931" s="9"/>
      <c r="AI931" s="153">
        <f t="shared" si="48"/>
        <v>0</v>
      </c>
      <c r="AJ931" s="153" t="s">
        <v>6</v>
      </c>
    </row>
    <row r="932" spans="1:36" ht="30" customHeight="1">
      <c r="A932" s="92"/>
      <c r="B932" s="92"/>
      <c r="C932" s="92"/>
      <c r="D932" s="92"/>
      <c r="E932" s="92"/>
      <c r="F932" s="92"/>
      <c r="G932" s="92"/>
      <c r="H932" s="92"/>
      <c r="I932" s="92"/>
      <c r="J932" s="92"/>
      <c r="K932" s="92"/>
      <c r="L932" s="92"/>
      <c r="M932" s="92"/>
      <c r="N932" s="155"/>
      <c r="O932" s="157"/>
      <c r="P932" s="92"/>
      <c r="Q932" s="145"/>
      <c r="R932" s="92"/>
      <c r="S932" s="145"/>
      <c r="T932" s="92"/>
      <c r="U932" s="145"/>
      <c r="V932" s="92"/>
      <c r="W932" s="145"/>
      <c r="X932" s="92"/>
      <c r="Y932" s="145"/>
      <c r="Z932" s="92"/>
      <c r="AA932" s="145"/>
      <c r="AB932" s="64"/>
      <c r="AC932" s="145"/>
      <c r="AD932" s="64"/>
      <c r="AE932" s="145"/>
      <c r="AF932" s="196" t="str">
        <f t="shared" si="47"/>
        <v/>
      </c>
      <c r="AG932" s="95" t="b">
        <f t="shared" si="46"/>
        <v>0</v>
      </c>
      <c r="AH932" s="9"/>
      <c r="AI932" s="153">
        <f t="shared" si="48"/>
        <v>0</v>
      </c>
      <c r="AJ932" s="153" t="s">
        <v>6</v>
      </c>
    </row>
    <row r="933" spans="1:36" ht="30" customHeight="1">
      <c r="A933" s="92"/>
      <c r="B933" s="92"/>
      <c r="C933" s="92"/>
      <c r="D933" s="92"/>
      <c r="E933" s="92"/>
      <c r="F933" s="92"/>
      <c r="G933" s="92"/>
      <c r="H933" s="92"/>
      <c r="I933" s="92"/>
      <c r="J933" s="92"/>
      <c r="K933" s="92"/>
      <c r="L933" s="92"/>
      <c r="M933" s="92"/>
      <c r="N933" s="155"/>
      <c r="O933" s="157"/>
      <c r="P933" s="92"/>
      <c r="Q933" s="145"/>
      <c r="R933" s="92"/>
      <c r="S933" s="145"/>
      <c r="T933" s="92"/>
      <c r="U933" s="145"/>
      <c r="V933" s="92"/>
      <c r="W933" s="145"/>
      <c r="X933" s="92"/>
      <c r="Y933" s="145"/>
      <c r="Z933" s="92"/>
      <c r="AA933" s="145"/>
      <c r="AB933" s="64"/>
      <c r="AC933" s="145"/>
      <c r="AD933" s="64"/>
      <c r="AE933" s="145"/>
      <c r="AF933" s="196" t="str">
        <f t="shared" si="47"/>
        <v/>
      </c>
      <c r="AG933" s="95" t="b">
        <f t="shared" si="46"/>
        <v>0</v>
      </c>
      <c r="AH933" s="9"/>
      <c r="AI933" s="153">
        <f t="shared" si="48"/>
        <v>0</v>
      </c>
      <c r="AJ933" s="153" t="s">
        <v>6</v>
      </c>
    </row>
    <row r="934" spans="1:36" ht="30" customHeight="1">
      <c r="A934" s="92"/>
      <c r="B934" s="92"/>
      <c r="C934" s="92"/>
      <c r="D934" s="92"/>
      <c r="E934" s="92"/>
      <c r="F934" s="92"/>
      <c r="G934" s="92"/>
      <c r="H934" s="92"/>
      <c r="I934" s="92"/>
      <c r="J934" s="92"/>
      <c r="K934" s="92"/>
      <c r="L934" s="92"/>
      <c r="M934" s="92"/>
      <c r="N934" s="155"/>
      <c r="O934" s="157"/>
      <c r="P934" s="92"/>
      <c r="Q934" s="145"/>
      <c r="R934" s="92"/>
      <c r="S934" s="145"/>
      <c r="T934" s="92"/>
      <c r="U934" s="145"/>
      <c r="V934" s="92"/>
      <c r="W934" s="145"/>
      <c r="X934" s="92"/>
      <c r="Y934" s="145"/>
      <c r="Z934" s="92"/>
      <c r="AA934" s="145"/>
      <c r="AB934" s="64"/>
      <c r="AC934" s="145"/>
      <c r="AD934" s="64"/>
      <c r="AE934" s="145"/>
      <c r="AF934" s="196" t="str">
        <f t="shared" si="47"/>
        <v/>
      </c>
      <c r="AG934" s="95" t="b">
        <f t="shared" si="46"/>
        <v>0</v>
      </c>
      <c r="AH934" s="9"/>
      <c r="AI934" s="153">
        <f t="shared" si="48"/>
        <v>0</v>
      </c>
      <c r="AJ934" s="153" t="s">
        <v>6</v>
      </c>
    </row>
    <row r="935" spans="1:36" ht="30" customHeight="1">
      <c r="A935" s="92"/>
      <c r="B935" s="92"/>
      <c r="C935" s="92"/>
      <c r="D935" s="92"/>
      <c r="E935" s="92"/>
      <c r="F935" s="92"/>
      <c r="G935" s="92"/>
      <c r="H935" s="92"/>
      <c r="I935" s="92"/>
      <c r="J935" s="92"/>
      <c r="K935" s="92"/>
      <c r="L935" s="92"/>
      <c r="M935" s="92"/>
      <c r="N935" s="155"/>
      <c r="O935" s="157"/>
      <c r="P935" s="92"/>
      <c r="Q935" s="145"/>
      <c r="R935" s="92"/>
      <c r="S935" s="145"/>
      <c r="T935" s="92"/>
      <c r="U935" s="145"/>
      <c r="V935" s="92"/>
      <c r="W935" s="145"/>
      <c r="X935" s="92"/>
      <c r="Y935" s="145"/>
      <c r="Z935" s="92"/>
      <c r="AA935" s="145"/>
      <c r="AB935" s="64"/>
      <c r="AC935" s="145"/>
      <c r="AD935" s="64"/>
      <c r="AE935" s="145"/>
      <c r="AF935" s="196" t="str">
        <f t="shared" si="47"/>
        <v/>
      </c>
      <c r="AG935" s="95" t="b">
        <f t="shared" si="46"/>
        <v>0</v>
      </c>
      <c r="AH935" s="9"/>
      <c r="AI935" s="153">
        <f t="shared" si="48"/>
        <v>0</v>
      </c>
      <c r="AJ935" s="153" t="s">
        <v>6</v>
      </c>
    </row>
    <row r="936" spans="1:36" ht="30" customHeight="1">
      <c r="A936" s="92"/>
      <c r="B936" s="92"/>
      <c r="C936" s="92"/>
      <c r="D936" s="92"/>
      <c r="E936" s="92"/>
      <c r="F936" s="92"/>
      <c r="G936" s="92"/>
      <c r="H936" s="92"/>
      <c r="I936" s="92"/>
      <c r="J936" s="92"/>
      <c r="K936" s="92"/>
      <c r="L936" s="92"/>
      <c r="M936" s="92"/>
      <c r="N936" s="155"/>
      <c r="O936" s="157"/>
      <c r="P936" s="92"/>
      <c r="Q936" s="145"/>
      <c r="R936" s="92"/>
      <c r="S936" s="145"/>
      <c r="T936" s="92"/>
      <c r="U936" s="145"/>
      <c r="V936" s="92"/>
      <c r="W936" s="145"/>
      <c r="X936" s="92"/>
      <c r="Y936" s="145"/>
      <c r="Z936" s="92"/>
      <c r="AA936" s="145"/>
      <c r="AB936" s="64"/>
      <c r="AC936" s="145"/>
      <c r="AD936" s="64"/>
      <c r="AE936" s="145"/>
      <c r="AF936" s="196" t="str">
        <f t="shared" si="47"/>
        <v/>
      </c>
      <c r="AG936" s="95" t="b">
        <f t="shared" si="46"/>
        <v>0</v>
      </c>
      <c r="AH936" s="9"/>
      <c r="AI936" s="153">
        <f t="shared" si="48"/>
        <v>0</v>
      </c>
      <c r="AJ936" s="153" t="s">
        <v>6</v>
      </c>
    </row>
    <row r="937" spans="1:36" ht="30" customHeight="1">
      <c r="A937" s="92"/>
      <c r="B937" s="92"/>
      <c r="C937" s="92"/>
      <c r="D937" s="92"/>
      <c r="E937" s="92"/>
      <c r="F937" s="92"/>
      <c r="G937" s="92"/>
      <c r="H937" s="92"/>
      <c r="I937" s="92"/>
      <c r="J937" s="92"/>
      <c r="K937" s="92"/>
      <c r="L937" s="92"/>
      <c r="M937" s="92"/>
      <c r="N937" s="155"/>
      <c r="O937" s="157"/>
      <c r="P937" s="92"/>
      <c r="Q937" s="145"/>
      <c r="R937" s="92"/>
      <c r="S937" s="145"/>
      <c r="T937" s="92"/>
      <c r="U937" s="145"/>
      <c r="V937" s="92"/>
      <c r="W937" s="145"/>
      <c r="X937" s="92"/>
      <c r="Y937" s="145"/>
      <c r="Z937" s="92"/>
      <c r="AA937" s="145"/>
      <c r="AB937" s="64"/>
      <c r="AC937" s="145"/>
      <c r="AD937" s="64"/>
      <c r="AE937" s="145"/>
      <c r="AF937" s="196" t="str">
        <f t="shared" si="47"/>
        <v/>
      </c>
      <c r="AG937" s="95" t="b">
        <f t="shared" si="46"/>
        <v>0</v>
      </c>
      <c r="AH937" s="9"/>
      <c r="AI937" s="153">
        <f t="shared" si="48"/>
        <v>0</v>
      </c>
      <c r="AJ937" s="153" t="s">
        <v>6</v>
      </c>
    </row>
    <row r="938" spans="1:36" ht="30" customHeight="1">
      <c r="A938" s="92"/>
      <c r="B938" s="92"/>
      <c r="C938" s="92"/>
      <c r="D938" s="92"/>
      <c r="E938" s="92"/>
      <c r="F938" s="92"/>
      <c r="G938" s="92"/>
      <c r="H938" s="92"/>
      <c r="I938" s="92"/>
      <c r="J938" s="92"/>
      <c r="K938" s="92"/>
      <c r="L938" s="92"/>
      <c r="M938" s="92"/>
      <c r="N938" s="155"/>
      <c r="O938" s="157"/>
      <c r="P938" s="92"/>
      <c r="Q938" s="145"/>
      <c r="R938" s="92"/>
      <c r="S938" s="145"/>
      <c r="T938" s="92"/>
      <c r="U938" s="145"/>
      <c r="V938" s="92"/>
      <c r="W938" s="145"/>
      <c r="X938" s="92"/>
      <c r="Y938" s="145"/>
      <c r="Z938" s="92"/>
      <c r="AA938" s="145"/>
      <c r="AB938" s="64"/>
      <c r="AC938" s="145"/>
      <c r="AD938" s="64"/>
      <c r="AE938" s="145"/>
      <c r="AF938" s="196" t="str">
        <f t="shared" si="47"/>
        <v/>
      </c>
      <c r="AG938" s="95" t="b">
        <f t="shared" si="46"/>
        <v>0</v>
      </c>
      <c r="AH938" s="9"/>
      <c r="AI938" s="153">
        <f t="shared" si="48"/>
        <v>0</v>
      </c>
      <c r="AJ938" s="153" t="s">
        <v>6</v>
      </c>
    </row>
    <row r="939" spans="1:36" ht="30" customHeight="1">
      <c r="A939" s="92"/>
      <c r="B939" s="92"/>
      <c r="C939" s="92"/>
      <c r="D939" s="92"/>
      <c r="E939" s="92"/>
      <c r="F939" s="92"/>
      <c r="G939" s="92"/>
      <c r="H939" s="92"/>
      <c r="I939" s="92"/>
      <c r="J939" s="92"/>
      <c r="K939" s="92"/>
      <c r="L939" s="92"/>
      <c r="M939" s="92"/>
      <c r="N939" s="155"/>
      <c r="O939" s="157"/>
      <c r="P939" s="92"/>
      <c r="Q939" s="145"/>
      <c r="R939" s="92"/>
      <c r="S939" s="145"/>
      <c r="T939" s="92"/>
      <c r="U939" s="145"/>
      <c r="V939" s="92"/>
      <c r="W939" s="145"/>
      <c r="X939" s="92"/>
      <c r="Y939" s="145"/>
      <c r="Z939" s="92"/>
      <c r="AA939" s="145"/>
      <c r="AB939" s="64"/>
      <c r="AC939" s="145"/>
      <c r="AD939" s="64"/>
      <c r="AE939" s="145"/>
      <c r="AF939" s="196" t="str">
        <f t="shared" si="47"/>
        <v/>
      </c>
      <c r="AG939" s="95" t="b">
        <f t="shared" si="46"/>
        <v>0</v>
      </c>
      <c r="AH939" s="9"/>
      <c r="AI939" s="153">
        <f t="shared" si="48"/>
        <v>0</v>
      </c>
      <c r="AJ939" s="153" t="s">
        <v>6</v>
      </c>
    </row>
    <row r="940" spans="1:36" ht="30" customHeight="1">
      <c r="A940" s="92"/>
      <c r="B940" s="92"/>
      <c r="C940" s="92"/>
      <c r="D940" s="92"/>
      <c r="E940" s="92"/>
      <c r="F940" s="92"/>
      <c r="G940" s="92"/>
      <c r="H940" s="92"/>
      <c r="I940" s="92"/>
      <c r="J940" s="92"/>
      <c r="K940" s="92"/>
      <c r="L940" s="92"/>
      <c r="M940" s="92"/>
      <c r="N940" s="155"/>
      <c r="O940" s="157"/>
      <c r="P940" s="92"/>
      <c r="Q940" s="145"/>
      <c r="R940" s="92"/>
      <c r="S940" s="145"/>
      <c r="T940" s="92"/>
      <c r="U940" s="145"/>
      <c r="V940" s="92"/>
      <c r="W940" s="145"/>
      <c r="X940" s="92"/>
      <c r="Y940" s="145"/>
      <c r="Z940" s="92"/>
      <c r="AA940" s="145"/>
      <c r="AB940" s="64"/>
      <c r="AC940" s="145"/>
      <c r="AD940" s="64"/>
      <c r="AE940" s="145"/>
      <c r="AF940" s="196" t="str">
        <f t="shared" si="47"/>
        <v/>
      </c>
      <c r="AG940" s="95" t="b">
        <f t="shared" si="46"/>
        <v>0</v>
      </c>
      <c r="AH940" s="9"/>
      <c r="AI940" s="153">
        <f t="shared" si="48"/>
        <v>0</v>
      </c>
      <c r="AJ940" s="153" t="s">
        <v>6</v>
      </c>
    </row>
    <row r="941" spans="1:36" ht="30" customHeight="1">
      <c r="A941" s="92"/>
      <c r="B941" s="92"/>
      <c r="C941" s="92"/>
      <c r="D941" s="92"/>
      <c r="E941" s="92"/>
      <c r="F941" s="92"/>
      <c r="G941" s="92"/>
      <c r="H941" s="92"/>
      <c r="I941" s="92"/>
      <c r="J941" s="92"/>
      <c r="K941" s="92"/>
      <c r="L941" s="92"/>
      <c r="M941" s="92"/>
      <c r="N941" s="155"/>
      <c r="O941" s="157"/>
      <c r="P941" s="92"/>
      <c r="Q941" s="145"/>
      <c r="R941" s="92"/>
      <c r="S941" s="145"/>
      <c r="T941" s="92"/>
      <c r="U941" s="145"/>
      <c r="V941" s="92"/>
      <c r="W941" s="145"/>
      <c r="X941" s="92"/>
      <c r="Y941" s="145"/>
      <c r="Z941" s="92"/>
      <c r="AA941" s="145"/>
      <c r="AB941" s="64"/>
      <c r="AC941" s="145"/>
      <c r="AD941" s="64"/>
      <c r="AE941" s="145"/>
      <c r="AF941" s="196" t="str">
        <f t="shared" si="47"/>
        <v/>
      </c>
      <c r="AG941" s="95" t="b">
        <f t="shared" si="46"/>
        <v>0</v>
      </c>
      <c r="AH941" s="9"/>
      <c r="AI941" s="153">
        <f t="shared" si="48"/>
        <v>0</v>
      </c>
      <c r="AJ941" s="153" t="s">
        <v>6</v>
      </c>
    </row>
    <row r="942" spans="1:36" ht="30" customHeight="1">
      <c r="A942" s="92"/>
      <c r="B942" s="92"/>
      <c r="C942" s="92"/>
      <c r="D942" s="92"/>
      <c r="E942" s="92"/>
      <c r="F942" s="92"/>
      <c r="G942" s="92"/>
      <c r="H942" s="92"/>
      <c r="I942" s="92"/>
      <c r="J942" s="92"/>
      <c r="K942" s="92"/>
      <c r="L942" s="92"/>
      <c r="M942" s="92"/>
      <c r="N942" s="155"/>
      <c r="O942" s="157"/>
      <c r="P942" s="92"/>
      <c r="Q942" s="145"/>
      <c r="R942" s="92"/>
      <c r="S942" s="145"/>
      <c r="T942" s="92"/>
      <c r="U942" s="145"/>
      <c r="V942" s="92"/>
      <c r="W942" s="145"/>
      <c r="X942" s="92"/>
      <c r="Y942" s="145"/>
      <c r="Z942" s="92"/>
      <c r="AA942" s="145"/>
      <c r="AB942" s="64"/>
      <c r="AC942" s="145"/>
      <c r="AD942" s="64"/>
      <c r="AE942" s="145"/>
      <c r="AF942" s="196" t="str">
        <f t="shared" si="47"/>
        <v/>
      </c>
      <c r="AG942" s="95" t="b">
        <f t="shared" si="46"/>
        <v>0</v>
      </c>
      <c r="AH942" s="9"/>
      <c r="AI942" s="153">
        <f t="shared" si="48"/>
        <v>0</v>
      </c>
      <c r="AJ942" s="153" t="s">
        <v>6</v>
      </c>
    </row>
    <row r="943" spans="1:36" ht="30" customHeight="1">
      <c r="A943" s="92"/>
      <c r="B943" s="92"/>
      <c r="C943" s="92"/>
      <c r="D943" s="92"/>
      <c r="E943" s="92"/>
      <c r="F943" s="92"/>
      <c r="G943" s="92"/>
      <c r="H943" s="92"/>
      <c r="I943" s="92"/>
      <c r="J943" s="92"/>
      <c r="K943" s="92"/>
      <c r="L943" s="92"/>
      <c r="M943" s="92"/>
      <c r="N943" s="155"/>
      <c r="O943" s="157"/>
      <c r="P943" s="92"/>
      <c r="Q943" s="145"/>
      <c r="R943" s="92"/>
      <c r="S943" s="145"/>
      <c r="T943" s="92"/>
      <c r="U943" s="145"/>
      <c r="V943" s="92"/>
      <c r="W943" s="145"/>
      <c r="X943" s="92"/>
      <c r="Y943" s="145"/>
      <c r="Z943" s="92"/>
      <c r="AA943" s="145"/>
      <c r="AB943" s="64"/>
      <c r="AC943" s="145"/>
      <c r="AD943" s="64"/>
      <c r="AE943" s="145"/>
      <c r="AF943" s="196" t="str">
        <f t="shared" si="47"/>
        <v/>
      </c>
      <c r="AG943" s="95" t="b">
        <f t="shared" si="46"/>
        <v>0</v>
      </c>
      <c r="AH943" s="9"/>
      <c r="AI943" s="153">
        <f t="shared" si="48"/>
        <v>0</v>
      </c>
      <c r="AJ943" s="153" t="s">
        <v>6</v>
      </c>
    </row>
    <row r="944" spans="1:36" ht="30" customHeight="1">
      <c r="A944" s="92"/>
      <c r="B944" s="92"/>
      <c r="C944" s="92"/>
      <c r="D944" s="92"/>
      <c r="E944" s="92"/>
      <c r="F944" s="92"/>
      <c r="G944" s="92"/>
      <c r="H944" s="92"/>
      <c r="I944" s="92"/>
      <c r="J944" s="92"/>
      <c r="K944" s="92"/>
      <c r="L944" s="92"/>
      <c r="M944" s="92"/>
      <c r="N944" s="155"/>
      <c r="O944" s="157"/>
      <c r="P944" s="92"/>
      <c r="Q944" s="145"/>
      <c r="R944" s="92"/>
      <c r="S944" s="145"/>
      <c r="T944" s="92"/>
      <c r="U944" s="145"/>
      <c r="V944" s="92"/>
      <c r="W944" s="145"/>
      <c r="X944" s="92"/>
      <c r="Y944" s="145"/>
      <c r="Z944" s="92"/>
      <c r="AA944" s="145"/>
      <c r="AB944" s="64"/>
      <c r="AC944" s="145"/>
      <c r="AD944" s="64"/>
      <c r="AE944" s="145"/>
      <c r="AF944" s="196" t="str">
        <f t="shared" si="47"/>
        <v/>
      </c>
      <c r="AG944" s="95" t="b">
        <f t="shared" si="46"/>
        <v>0</v>
      </c>
      <c r="AH944" s="9"/>
      <c r="AI944" s="153">
        <f t="shared" si="48"/>
        <v>0</v>
      </c>
      <c r="AJ944" s="153" t="s">
        <v>6</v>
      </c>
    </row>
  </sheetData>
  <autoFilter ref="A1:AJ944" xr:uid="{00000000-0001-0000-0E00-000000000000}"/>
  <conditionalFormatting sqref="A1 C1:E1">
    <cfRule type="duplicateValues" dxfId="25" priority="42"/>
  </conditionalFormatting>
  <conditionalFormatting sqref="A1 C1:E1">
    <cfRule type="duplicateValues" dxfId="24" priority="41" stopIfTrue="1"/>
  </conditionalFormatting>
  <conditionalFormatting sqref="O66 AF113 O117:O944 Q114:Q944 S114:S944 U114:U944 W114:W944 Y114:Y944 AA114:AA944 AC114:AC944 AE114:AF944 O71:O104 Q49:Q112 S49:S112 U49:U112 AF2:AF47 O2:O58 W3:W112 Y3:Y112 AA3:AA112 AC3:AC112 AE3:AF112">
    <cfRule type="expression" dxfId="23" priority="39">
      <formula>O2=""</formula>
    </cfRule>
    <cfRule type="expression" dxfId="22" priority="40" stopIfTrue="1">
      <formula>NOT(OR(O2="C",O2="NC",O2="SF",O2="NA"))</formula>
    </cfRule>
  </conditionalFormatting>
  <conditionalFormatting sqref="Q2 Q4 Q6 Q8 Q10 Q12 Q14 Q16 Q19 Q21 Q23 Q25 Q27 Q29 Q31 Q33:Q34 Q36 Q38:Q47">
    <cfRule type="expression" dxfId="21" priority="37">
      <formula>Q2=""</formula>
    </cfRule>
    <cfRule type="expression" dxfId="20" priority="38" stopIfTrue="1">
      <formula>NOT(OR(Q2="C",Q2="NC",Q2="SF",Q2="NA"))</formula>
    </cfRule>
  </conditionalFormatting>
  <conditionalFormatting sqref="Q3 Q5 Q7 Q9 Q11 Q13 Q15 Q17:Q18 Q20 Q22 Q24 Q26 Q28 Q30 Q32 Q35 Q37 Q48">
    <cfRule type="expression" dxfId="19" priority="35">
      <formula>Q3=""</formula>
    </cfRule>
    <cfRule type="expression" dxfId="18" priority="36" stopIfTrue="1">
      <formula>NOT(OR(Q3="C",Q3="NC",Q3="SF",Q3="NA"))</formula>
    </cfRule>
  </conditionalFormatting>
  <conditionalFormatting sqref="S2 S4 S6 S8 S10 S12 S14 S16 S19 S21 S23 S25 S27 S29 S31 S33:S34 S36 S38:S47">
    <cfRule type="expression" dxfId="17" priority="33">
      <formula>S2=""</formula>
    </cfRule>
    <cfRule type="expression" dxfId="16" priority="34" stopIfTrue="1">
      <formula>NOT(OR(S2="C",S2="NC",S2="SF",S2="NA"))</formula>
    </cfRule>
  </conditionalFormatting>
  <conditionalFormatting sqref="S3 S5 S7 S9 S11 S13 S15 S17:S18 S20 S22 S24 S26 S28 S30 S32 S35 S37 S48">
    <cfRule type="expression" dxfId="15" priority="31">
      <formula>S3=""</formula>
    </cfRule>
    <cfRule type="expression" dxfId="14" priority="32" stopIfTrue="1">
      <formula>NOT(OR(S3="C",S3="NC",S3="SF",S3="NA"))</formula>
    </cfRule>
  </conditionalFormatting>
  <conditionalFormatting sqref="U2 U4 U6 U8 U10 U12 U14 U16 U19 U21 U23 U25 U27 U29 U31 U33:U34 U36 U38:U47">
    <cfRule type="expression" dxfId="13" priority="29">
      <formula>U2=""</formula>
    </cfRule>
    <cfRule type="expression" dxfId="12" priority="30" stopIfTrue="1">
      <formula>NOT(OR(U2="C",U2="NC",U2="SF",U2="NA"))</formula>
    </cfRule>
  </conditionalFormatting>
  <conditionalFormatting sqref="U3 U5 U7 U9 U11 U13 U15 U17:U18 U20 U22 U24 U26 U28 U30 U32 U35 U37 U48">
    <cfRule type="expression" dxfId="11" priority="27">
      <formula>U3=""</formula>
    </cfRule>
    <cfRule type="expression" dxfId="10" priority="28" stopIfTrue="1">
      <formula>NOT(OR(U3="C",U3="NC",U3="SF",U3="NA"))</formula>
    </cfRule>
  </conditionalFormatting>
  <conditionalFormatting sqref="W2">
    <cfRule type="expression" dxfId="9" priority="25">
      <formula>W2=""</formula>
    </cfRule>
    <cfRule type="expression" dxfId="8" priority="26" stopIfTrue="1">
      <formula>NOT(OR(W2="C",W2="NC",W2="SF",W2="NA"))</formula>
    </cfRule>
  </conditionalFormatting>
  <conditionalFormatting sqref="Y2">
    <cfRule type="expression" dxfId="7" priority="21">
      <formula>Y2=""</formula>
    </cfRule>
    <cfRule type="expression" dxfId="6" priority="22" stopIfTrue="1">
      <formula>NOT(OR(Y2="C",Y2="NC",Y2="SF",Y2="NA"))</formula>
    </cfRule>
  </conditionalFormatting>
  <conditionalFormatting sqref="AA2">
    <cfRule type="expression" dxfId="5" priority="17">
      <formula>AA2=""</formula>
    </cfRule>
    <cfRule type="expression" dxfId="4" priority="18" stopIfTrue="1">
      <formula>NOT(OR(AA2="C",AA2="NC",AA2="SF",AA2="NA"))</formula>
    </cfRule>
  </conditionalFormatting>
  <conditionalFormatting sqref="AE2">
    <cfRule type="expression" dxfId="3" priority="13">
      <formula>AE2=""</formula>
    </cfRule>
    <cfRule type="expression" dxfId="2" priority="14" stopIfTrue="1">
      <formula>NOT(OR(AE2="C",AE2="NC",AE2="SF",AE2="NA"))</formula>
    </cfRule>
  </conditionalFormatting>
  <conditionalFormatting sqref="AC2">
    <cfRule type="expression" dxfId="1" priority="5">
      <formula>AC2=""</formula>
    </cfRule>
    <cfRule type="expression" dxfId="0" priority="6" stopIfTrue="1">
      <formula>NOT(OR(AC2="C",AC2="NC",AC2="SF",AC2="NA"))</formula>
    </cfRule>
  </conditionalFormatting>
  <pageMargins left="0.511811024" right="0.511811024" top="0.78740157499999996" bottom="0.78740157499999996" header="0.31496062000000002" footer="0.31496062000000002"/>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2" tint="-0.249977111117893"/>
    <pageSetUpPr fitToPage="1"/>
  </sheetPr>
  <dimension ref="A1:H14"/>
  <sheetViews>
    <sheetView zoomScale="70" zoomScaleNormal="70" zoomScaleSheetLayoutView="70" workbookViewId="0">
      <selection activeCell="B32" sqref="B32"/>
    </sheetView>
  </sheetViews>
  <sheetFormatPr defaultColWidth="9.140625" defaultRowHeight="21" customHeight="1"/>
  <cols>
    <col min="1" max="1" width="5.7109375" style="99" customWidth="1"/>
    <col min="2" max="2" width="30.7109375" style="99" customWidth="1"/>
    <col min="3" max="3" width="34.7109375" style="99" customWidth="1"/>
    <col min="4" max="7" width="30.7109375" style="99" customWidth="1"/>
    <col min="8" max="8" width="5.7109375" style="99" customWidth="1"/>
    <col min="9" max="12" width="9.140625" style="99" bestFit="1" customWidth="1"/>
    <col min="13" max="16384" width="9.140625" style="99"/>
  </cols>
  <sheetData>
    <row r="1" spans="1:8" s="30" customFormat="1" ht="35.1" customHeight="1">
      <c r="A1" s="433" t="s">
        <v>68</v>
      </c>
      <c r="B1" s="433"/>
      <c r="C1" s="433"/>
      <c r="D1" s="433"/>
      <c r="E1" s="433"/>
      <c r="F1" s="433"/>
      <c r="G1" s="433"/>
      <c r="H1" s="433"/>
    </row>
    <row r="2" spans="1:8" s="31" customFormat="1" ht="20.100000000000001" customHeight="1">
      <c r="A2" s="44"/>
      <c r="B2" s="44"/>
      <c r="C2" s="44"/>
      <c r="D2" s="44"/>
      <c r="E2" s="44"/>
      <c r="F2" s="44"/>
      <c r="G2" s="44"/>
      <c r="H2" s="45"/>
    </row>
    <row r="3" spans="1:8" s="29" customFormat="1" ht="20.100000000000001" customHeight="1">
      <c r="A3" s="439" t="s">
        <v>1397</v>
      </c>
      <c r="B3" s="439"/>
      <c r="C3" s="439"/>
      <c r="D3" s="439"/>
      <c r="E3" s="439"/>
      <c r="F3" s="439"/>
      <c r="G3" s="439"/>
      <c r="H3" s="439"/>
    </row>
    <row r="5" spans="1:8" ht="21" customHeight="1">
      <c r="B5" s="440" t="str">
        <f>'DADOS - FREGUESIA DO Ó'!B400</f>
        <v>TESTE</v>
      </c>
      <c r="C5" s="440"/>
      <c r="D5" s="440"/>
      <c r="E5" s="440"/>
      <c r="F5" s="440"/>
      <c r="G5" s="440"/>
    </row>
    <row r="6" spans="1:8" ht="21" customHeight="1">
      <c r="B6" s="441" t="s">
        <v>1398</v>
      </c>
      <c r="C6" s="441"/>
      <c r="D6" s="129" t="s">
        <v>56</v>
      </c>
      <c r="E6" s="129" t="s">
        <v>1399</v>
      </c>
      <c r="F6" s="129" t="s">
        <v>41</v>
      </c>
      <c r="G6" s="129" t="s">
        <v>42</v>
      </c>
    </row>
    <row r="7" spans="1:8" ht="21" customHeight="1">
      <c r="B7" s="446" t="s">
        <v>46</v>
      </c>
      <c r="C7" s="446"/>
      <c r="D7" s="101">
        <f t="shared" ref="D7:D14" si="0">F7+G7+E7</f>
        <v>0</v>
      </c>
      <c r="E7" s="101">
        <f>COUNTIFS(REPOSIÇÃO!N:N,'EQUIPES - REPOSIÇÃO'!B5,REPOSIÇÃO!O:O,"SF")</f>
        <v>0</v>
      </c>
      <c r="F7" s="101">
        <f>COUNTIFS(REPOSIÇÃO!N:N,'EQUIPES - REPOSIÇÃO'!B5,REPOSIÇÃO!O:O,"c")</f>
        <v>0</v>
      </c>
      <c r="G7" s="101">
        <f>COUNTIFS(REPOSIÇÃO!N:N,'EQUIPES - REPOSIÇÃO'!B5,REPOSIÇÃO!O:O,"Nc")</f>
        <v>0</v>
      </c>
    </row>
    <row r="8" spans="1:8" ht="21" customHeight="1">
      <c r="B8" s="446" t="s">
        <v>47</v>
      </c>
      <c r="C8" s="446"/>
      <c r="D8" s="101">
        <f t="shared" si="0"/>
        <v>0</v>
      </c>
      <c r="E8" s="101">
        <f>COUNTIFS(REPOSIÇÃO!N:N,'EQUIPES - REPOSIÇÃO'!B5,REPOSIÇÃO!Q:Q,"SF")</f>
        <v>0</v>
      </c>
      <c r="F8" s="101">
        <f>COUNTIFS(REPOSIÇÃO!N:N,'EQUIPES - REPOSIÇÃO'!B5,REPOSIÇÃO!Q:Q,"c")</f>
        <v>0</v>
      </c>
      <c r="G8" s="101">
        <f>COUNTIFS(REPOSIÇÃO!N:N,'EQUIPES - REPOSIÇÃO'!B5,REPOSIÇÃO!Q:Q,"Nc")</f>
        <v>0</v>
      </c>
    </row>
    <row r="9" spans="1:8" ht="21" customHeight="1">
      <c r="B9" s="446" t="s">
        <v>69</v>
      </c>
      <c r="C9" s="446"/>
      <c r="D9" s="101">
        <f t="shared" si="0"/>
        <v>0</v>
      </c>
      <c r="E9" s="101">
        <f>COUNTIFS(REPOSIÇÃO!N:N,'EQUIPES - REPOSIÇÃO'!B5,REPOSIÇÃO!S:S,"SF")</f>
        <v>0</v>
      </c>
      <c r="F9" s="101">
        <f>COUNTIFS(REPOSIÇÃO!N:N,'EQUIPES - REPOSIÇÃO'!B5,REPOSIÇÃO!S:S,"c")</f>
        <v>0</v>
      </c>
      <c r="G9" s="101">
        <f>COUNTIFS(REPOSIÇÃO!N:N,'EQUIPES - REPOSIÇÃO'!B5,REPOSIÇÃO!S:S,"Nc")</f>
        <v>0</v>
      </c>
    </row>
    <row r="10" spans="1:8" ht="21" customHeight="1">
      <c r="B10" s="446" t="s">
        <v>70</v>
      </c>
      <c r="C10" s="446"/>
      <c r="D10" s="101">
        <f t="shared" si="0"/>
        <v>0</v>
      </c>
      <c r="E10" s="101">
        <f>COUNTIFS(REPOSIÇÃO!N:N,'EQUIPES - REPOSIÇÃO'!B5,REPOSIÇÃO!U:U,"SF")</f>
        <v>0</v>
      </c>
      <c r="F10" s="101">
        <f>COUNTIFS(REPOSIÇÃO!N:N,'EQUIPES - REPOSIÇÃO'!B5,REPOSIÇÃO!U:U,"c")</f>
        <v>0</v>
      </c>
      <c r="G10" s="101">
        <f>COUNTIFS(REPOSIÇÃO!N:N,'EQUIPES - REPOSIÇÃO'!B5,REPOSIÇÃO!U:U,"Nc")</f>
        <v>0</v>
      </c>
    </row>
    <row r="11" spans="1:8" ht="21" customHeight="1">
      <c r="B11" s="446" t="s">
        <v>71</v>
      </c>
      <c r="C11" s="446"/>
      <c r="D11" s="101">
        <f t="shared" si="0"/>
        <v>0</v>
      </c>
      <c r="E11" s="101">
        <f>COUNTIFS(REPOSIÇÃO!N:N,'EQUIPES - REPOSIÇÃO'!B5,REPOSIÇÃO!W:W,"SF")</f>
        <v>0</v>
      </c>
      <c r="F11" s="101">
        <f>COUNTIFS(REPOSIÇÃO!N:N,'EQUIPES - REPOSIÇÃO'!B5,REPOSIÇÃO!W:W,"c")</f>
        <v>0</v>
      </c>
      <c r="G11" s="101">
        <f>COUNTIFS(REPOSIÇÃO!N:N,'EQUIPES - REPOSIÇÃO'!B5,REPOSIÇÃO!W:W,"Nc")</f>
        <v>0</v>
      </c>
    </row>
    <row r="12" spans="1:8" ht="21" customHeight="1">
      <c r="B12" s="446" t="s">
        <v>72</v>
      </c>
      <c r="C12" s="446"/>
      <c r="D12" s="101">
        <f t="shared" si="0"/>
        <v>0</v>
      </c>
      <c r="E12" s="101">
        <f>COUNTIFS(REPOSIÇÃO!N:N,'EQUIPES - REPOSIÇÃO'!B5,REPOSIÇÃO!Y:Y,"SF")</f>
        <v>0</v>
      </c>
      <c r="F12" s="101">
        <f>COUNTIFS(REPOSIÇÃO!N:N,'EQUIPES - REPOSIÇÃO'!B5,REPOSIÇÃO!Y:Y,"c")</f>
        <v>0</v>
      </c>
      <c r="G12" s="101">
        <f>COUNTIFS(REPOSIÇÃO!N:N,'EQUIPES - REPOSIÇÃO'!B5,REPOSIÇÃO!Y:Y,"Nc")</f>
        <v>0</v>
      </c>
    </row>
    <row r="13" spans="1:8" ht="21" customHeight="1">
      <c r="B13" s="446" t="s">
        <v>73</v>
      </c>
      <c r="C13" s="446"/>
      <c r="D13" s="101">
        <f t="shared" si="0"/>
        <v>0</v>
      </c>
      <c r="E13" s="101">
        <f>COUNTIFS(REPOSIÇÃO!N:N,'EQUIPES - REPOSIÇÃO'!B5,REPOSIÇÃO!AA:AA,"SF")</f>
        <v>0</v>
      </c>
      <c r="F13" s="101">
        <f>COUNTIFS(REPOSIÇÃO!N:N,'EQUIPES - REPOSIÇÃO'!B5,REPOSIÇÃO!AA:AA,"c")</f>
        <v>0</v>
      </c>
      <c r="G13" s="101">
        <f>COUNTIFS(REPOSIÇÃO!N:N,'EQUIPES - REPOSIÇÃO'!B5,REPOSIÇÃO!AA:AA,"Nc")</f>
        <v>0</v>
      </c>
    </row>
    <row r="14" spans="1:8" ht="21" customHeight="1">
      <c r="B14" s="446" t="s">
        <v>53</v>
      </c>
      <c r="C14" s="446"/>
      <c r="D14" s="101">
        <f t="shared" si="0"/>
        <v>0</v>
      </c>
      <c r="E14" s="101">
        <f>COUNTIFS(REPOSIÇÃO!N:N,'EQUIPES - REPOSIÇÃO'!B5,REPOSIÇÃO!AC:AC,"SF")</f>
        <v>0</v>
      </c>
      <c r="F14" s="101">
        <f>COUNTIFS(REPOSIÇÃO!N:N,'EQUIPES - REPOSIÇÃO'!B5,REPOSIÇÃO!AC:AC,"c")</f>
        <v>0</v>
      </c>
      <c r="G14" s="101">
        <f>COUNTIFS(REPOSIÇÃO!N:N,'EQUIPES - REPOSIÇÃO'!B5,REPOSIÇÃO!AC:AC,"Nc")</f>
        <v>0</v>
      </c>
    </row>
  </sheetData>
  <mergeCells count="12">
    <mergeCell ref="B12:C12"/>
    <mergeCell ref="B13:C13"/>
    <mergeCell ref="B14:C14"/>
    <mergeCell ref="B11:C11"/>
    <mergeCell ref="A1:H1"/>
    <mergeCell ref="A3:H3"/>
    <mergeCell ref="B5:G5"/>
    <mergeCell ref="B6:C6"/>
    <mergeCell ref="B7:C7"/>
    <mergeCell ref="B8:C8"/>
    <mergeCell ref="B9:C9"/>
    <mergeCell ref="B10:C10"/>
  </mergeCells>
  <pageMargins left="0.511811024" right="0.14000000000000001" top="0.78740157499999996" bottom="0.78740157499999996" header="0.31496062000000002" footer="0.31496062000000002"/>
  <pageSetup paperSize="9" scale="4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Greiciele Prado</dc:creator>
  <cp:keywords/>
  <dc:description/>
  <cp:lastModifiedBy>Eliane de Campos Poloni</cp:lastModifiedBy>
  <cp:revision/>
  <dcterms:created xsi:type="dcterms:W3CDTF">2025-04-21T18:20:23Z</dcterms:created>
  <dcterms:modified xsi:type="dcterms:W3CDTF">2026-05-28T17:12:36Z</dcterms:modified>
  <cp:category/>
  <cp:contentStatus/>
</cp:coreProperties>
</file>